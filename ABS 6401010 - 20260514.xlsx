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13_ncr:1_{30067246-57C9-4695-AFF7-8FFE3437DEF2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Index" sheetId="7" r:id="rId1"/>
    <sheet name="Energy Summary" sheetId="8" r:id="rId2"/>
    <sheet name="Telecom Prices" sheetId="9" r:id="rId3"/>
    <sheet name="Data1" sheetId="1" r:id="rId4"/>
    <sheet name="Data2" sheetId="2" r:id="rId5"/>
    <sheet name="Data3" sheetId="3" r:id="rId6"/>
    <sheet name="Data4" sheetId="4" r:id="rId7"/>
    <sheet name="Data5" sheetId="5" r:id="rId8"/>
    <sheet name="Enquiries" sheetId="6" r:id="rId9"/>
  </sheets>
  <definedNames>
    <definedName name="A130389940C">Data1!$EW$1:$EW$10,Data1!$EW$11:$EW$111</definedName>
    <definedName name="A130389940C_Data">Data1!$EW$11:$EW$111</definedName>
    <definedName name="A130389940C_Latest">Data1!$EW$111</definedName>
    <definedName name="A130389947V">Data3!$AW$1:$AW$10,Data3!$AW$11:$AW$111</definedName>
    <definedName name="A130389947V_Data">Data3!$AW$11:$AW$111</definedName>
    <definedName name="A130389947V_Latest">Data3!$AW$111</definedName>
    <definedName name="A130389954T">Data4!$BK$1:$BK$10,Data4!$BK$11:$BK$111</definedName>
    <definedName name="A130389954T_Data">Data4!$BK$11:$BK$111</definedName>
    <definedName name="A130389954T_Latest">Data4!$BK$111</definedName>
    <definedName name="A130389961R">Data1!$V$1:$V$10,Data1!$V$11:$V$111</definedName>
    <definedName name="A130389961R_Data">Data1!$V$11:$V$111</definedName>
    <definedName name="A130389961R_Latest">Data1!$V$111</definedName>
    <definedName name="A130389968F">Data2!$FL$1:$FL$10,Data2!$FL$11:$FL$111</definedName>
    <definedName name="A130389968F_Data">Data2!$FL$11:$FL$111</definedName>
    <definedName name="A130389968F_Latest">Data2!$FL$111</definedName>
    <definedName name="A130389975C">Data3!$IA$1:$IA$10,Data3!$IA$90:$IA$111</definedName>
    <definedName name="A130389975C_Data">Data3!$IA$90:$IA$111</definedName>
    <definedName name="A130389975C_Latest">Data3!$IA$111</definedName>
    <definedName name="A130389982A">Data3!$DJ$1:$DJ$10,Data3!$DJ$90:$DJ$111</definedName>
    <definedName name="A130389982A_Data">Data3!$DJ$90:$DJ$111</definedName>
    <definedName name="A130389982A_Latest">Data3!$DJ$111</definedName>
    <definedName name="A130389996R">Data4!$DX$1:$DX$10,Data4!$DX$90:$DX$111</definedName>
    <definedName name="A130389996R_Data">Data4!$DX$90:$DX$111</definedName>
    <definedName name="A130389996R_Latest">Data4!$DX$111</definedName>
    <definedName name="A130390003J">Data4!$L$1:$L$10,Data4!$L$90:$L$111</definedName>
    <definedName name="A130390003J_Data">Data4!$L$90:$L$111</definedName>
    <definedName name="A130390003J_Latest">Data4!$L$111</definedName>
    <definedName name="A130390010F">Data4!$EN$1:$EN$10,Data4!$EN$90:$EN$111</definedName>
    <definedName name="A130390010F_Data">Data4!$EN$90:$EN$111</definedName>
    <definedName name="A130390010F_Latest">Data4!$EN$111</definedName>
    <definedName name="A130390017W">Data1!$IN$1:$IN$10,Data1!$IN$90:$IN$111</definedName>
    <definedName name="A130390017W_Data">Data1!$IN$90:$IN$111</definedName>
    <definedName name="A130390017W_Latest">Data1!$IN$111</definedName>
    <definedName name="A130390031T">Data3!$EW$1:$EW$10,Data3!$EW$90:$EW$111</definedName>
    <definedName name="A130390031T_Data">Data3!$EW$90:$EW$111</definedName>
    <definedName name="A130390031T_Latest">Data3!$EW$111</definedName>
    <definedName name="A130390038J">Data2!$EJ$1:$EJ$10,Data2!$EJ$11:$EJ$111</definedName>
    <definedName name="A130390038J_Data">Data2!$EJ$11:$EJ$111</definedName>
    <definedName name="A130390038J_Latest">Data2!$EJ$111</definedName>
    <definedName name="A130390045F">Data3!$V$1:$V$10,Data3!$V$11:$V$111</definedName>
    <definedName name="A130390045F_Data">Data3!$V$11:$V$111</definedName>
    <definedName name="A130390045F_Latest">Data3!$V$111</definedName>
    <definedName name="A130390066T">Data1!$HI$1:$HI$10,Data1!$HI$90:$HI$111</definedName>
    <definedName name="A130390066T_Data">Data1!$HI$90:$HI$111</definedName>
    <definedName name="A130390066T_Latest">Data1!$HI$111</definedName>
    <definedName name="A130390073R">Data2!$CU$1:$CU$10,Data2!$CU$90:$CU$111</definedName>
    <definedName name="A130390073R_Data">Data2!$CU$90:$CU$111</definedName>
    <definedName name="A130390073R_Latest">Data2!$CU$111</definedName>
    <definedName name="A130390080L">Data3!$BH$1:$BH$10,Data3!$BH$11:$BH$111</definedName>
    <definedName name="A130390080L_Data">Data3!$BH$11:$BH$111</definedName>
    <definedName name="A130390080L_Latest">Data3!$BH$111</definedName>
    <definedName name="A130390087C">Data4!$GX$1:$GX$10,Data4!$GX$11:$GX$111</definedName>
    <definedName name="A130390087C_Data">Data4!$GX$11:$GX$111</definedName>
    <definedName name="A130390087C_Latest">Data4!$GX$111</definedName>
    <definedName name="A130390101L">Data5!$BA$1:$BA$10,Data5!$BA$90:$BA$111</definedName>
    <definedName name="A130390101L_Data">Data5!$BA$90:$BA$111</definedName>
    <definedName name="A130390101L_Latest">Data5!$BA$111</definedName>
    <definedName name="A130390171V">Data2!$EL$1:$EL$10,Data2!$EL$90:$EL$111</definedName>
    <definedName name="A130390171V_Data">Data2!$EL$90:$EL$111</definedName>
    <definedName name="A130390171V_Latest">Data2!$EL$111</definedName>
    <definedName name="A130390178K">Data3!$EZ$1:$EZ$10,Data3!$EZ$90:$EZ$111</definedName>
    <definedName name="A130390178K_Data">Data3!$EZ$90:$EZ$111</definedName>
    <definedName name="A130390178K_Latest">Data3!$EZ$111</definedName>
    <definedName name="A130390206J">Data3!$FO$1:$FO$10,Data3!$FO$11:$FO$111</definedName>
    <definedName name="A130390206J_Data">Data3!$FO$11:$FO$111</definedName>
    <definedName name="A130390206J_Latest">Data3!$FO$111</definedName>
    <definedName name="A130390213F">Data3!$GA$1:$GA$10,Data3!$GA$11:$GA$111</definedName>
    <definedName name="A130390213F_Data">Data3!$GA$11:$GA$111</definedName>
    <definedName name="A130390213F_Latest">Data3!$GA$111</definedName>
    <definedName name="A130390220C">Data1!$AD$1:$AD$10,Data1!$AD$11:$AD$111</definedName>
    <definedName name="A130390220C_Data">Data1!$AD$11:$AD$111</definedName>
    <definedName name="A130390220C_Latest">Data1!$AD$111</definedName>
    <definedName name="A130390234T">Data3!$GH$1:$GH$10,Data3!$GH$11:$GH$111</definedName>
    <definedName name="A130390234T_Data">Data3!$GH$11:$GH$111</definedName>
    <definedName name="A130390234T_Latest">Data3!$GH$111</definedName>
    <definedName name="A130390241R">Data2!$BF$1:$BF$10,Data2!$BF$90:$BF$111</definedName>
    <definedName name="A130390241R_Data">Data2!$BF$90:$BF$111</definedName>
    <definedName name="A130390241R_Latest">Data2!$BF$111</definedName>
    <definedName name="A130390248F">Data4!$HJ$1:$HJ$10,Data4!$HJ$90:$HJ$111</definedName>
    <definedName name="A130390248F_Data">Data4!$HJ$90:$HJ$111</definedName>
    <definedName name="A130390248F_Latest">Data4!$HJ$111</definedName>
    <definedName name="A130390255C">Data2!$CG$1:$CG$10,Data2!$CG$90:$CG$111</definedName>
    <definedName name="A130390255C_Data">Data2!$CG$90:$CG$111</definedName>
    <definedName name="A130390255C_Latest">Data2!$CG$111</definedName>
    <definedName name="A130390262A">Data4!$DI$1:$DI$10,Data4!$DI$90:$DI$111</definedName>
    <definedName name="A130390262A_Data">Data4!$DI$90:$DI$111</definedName>
    <definedName name="A130390262A_Latest">Data4!$DI$111</definedName>
    <definedName name="A130390269T">Data1!$GV$1:$GV$10,Data1!$GV$90:$GV$111</definedName>
    <definedName name="A130390269T_Data">Data1!$GV$90:$GV$111</definedName>
    <definedName name="A130390269T_Latest">Data1!$GV$111</definedName>
    <definedName name="A130390276R">Data1!$GR$1:$GR$10,Data1!$GR$90:$GR$111</definedName>
    <definedName name="A130390276R_Data">Data1!$GR$90:$GR$111</definedName>
    <definedName name="A130390276R_Latest">Data1!$GR$111</definedName>
    <definedName name="A130390290K">Data1!$DE$1:$DE$10,Data1!$DE$90:$DE$111</definedName>
    <definedName name="A130390290K_Data">Data1!$DE$90:$DE$111</definedName>
    <definedName name="A130390290K_Latest">Data1!$DE$111</definedName>
    <definedName name="A130390297A">Data4!$EU$1:$EU$10,Data4!$EU$90:$EU$111</definedName>
    <definedName name="A130390297A_Data">Data4!$EU$90:$EU$111</definedName>
    <definedName name="A130390297A_Latest">Data4!$EU$111</definedName>
    <definedName name="A130390304L">Data5!$AJ$1:$AJ$10,Data5!$AJ$90:$AJ$111</definedName>
    <definedName name="A130390304L_Data">Data5!$AJ$90:$AJ$111</definedName>
    <definedName name="A130390304L_Latest">Data5!$AJ$111</definedName>
    <definedName name="A130390353J">Data2!$Q$1:$Q$10,Data2!$Q$90:$Q$111</definedName>
    <definedName name="A130390353J_Data">Data2!$Q$90:$Q$111</definedName>
    <definedName name="A130390353J_Latest">Data2!$Q$111</definedName>
    <definedName name="A130390360F">Data3!$FG$1:$FG$10,Data3!$FG$90:$FG$111</definedName>
    <definedName name="A130390360F_Data">Data3!$FG$90:$FG$111</definedName>
    <definedName name="A130390360F_Latest">Data3!$FG$111</definedName>
    <definedName name="A130390367W">Data4!$AS$1:$AS$10,Data4!$AS$90:$AS$111</definedName>
    <definedName name="A130390367W_Data">Data4!$AS$90:$AS$111</definedName>
    <definedName name="A130390367W_Latest">Data4!$AS$111</definedName>
    <definedName name="A130390374V">Data4!$FU$1:$FU$10,Data4!$FU$90:$FU$111</definedName>
    <definedName name="A130390374V_Data">Data4!$FU$90:$FU$111</definedName>
    <definedName name="A130390374V_Latest">Data4!$FU$111</definedName>
    <definedName name="A130390381T">Data4!$CG$1:$CG$10,Data4!$CG$90:$CG$111</definedName>
    <definedName name="A130390381T_Data">Data4!$CG$90:$CG$111</definedName>
    <definedName name="A130390381T_Latest">Data4!$CG$111</definedName>
    <definedName name="A130390388J">Data3!$CQ$1:$CQ$10,Data3!$CQ$90:$CQ$111</definedName>
    <definedName name="A130390388J_Data">Data3!$CQ$90:$CQ$111</definedName>
    <definedName name="A130390388J_Latest">Data3!$CQ$111</definedName>
    <definedName name="A130390395F">Data4!$DE$1:$DE$10,Data4!$DE$90:$DE$111</definedName>
    <definedName name="A130390395F_Data">Data4!$DE$90:$DE$111</definedName>
    <definedName name="A130390395F_Latest">Data4!$DE$111</definedName>
    <definedName name="A130390402T">Data1!$HQ$1:$HQ$10,Data1!$HQ$90:$HQ$111</definedName>
    <definedName name="A130390402T_Data">Data1!$HQ$90:$HQ$111</definedName>
    <definedName name="A130390402T_Latest">Data1!$HQ$111</definedName>
    <definedName name="A130390409J">Data1!$FL$1:$FL$10,Data1!$FL$90:$FL$111</definedName>
    <definedName name="A130390409J_Data">Data1!$FL$90:$FL$111</definedName>
    <definedName name="A130390409J_Latest">Data1!$FL$111</definedName>
    <definedName name="A130390416F">Data4!$GH$1:$GH$10,Data4!$GH$11:$GH$111</definedName>
    <definedName name="A130390416F_Data">Data4!$GH$11:$GH$111</definedName>
    <definedName name="A130390416F_Latest">Data4!$GH$111</definedName>
    <definedName name="A130390423C">Data3!$AF$1:$AF$10,Data3!$AF$11:$AF$111</definedName>
    <definedName name="A130390423C_Data">Data3!$AF$11:$AF$111</definedName>
    <definedName name="A130390423C_Latest">Data3!$AF$111</definedName>
    <definedName name="A130390430A">Data1!$EK$1:$EK$10,Data1!$EK$11:$EK$111</definedName>
    <definedName name="A130390430A_Data">Data1!$EK$11:$EK$111</definedName>
    <definedName name="A130390430A_Latest">Data1!$EK$111</definedName>
    <definedName name="A130390444R">Data3!$GK$1:$GK$10,Data3!$GK$90:$GK$111</definedName>
    <definedName name="A130390444R_Data">Data3!$GK$90:$GK$111</definedName>
    <definedName name="A130390444R_Latest">Data3!$GK$111</definedName>
    <definedName name="A130390451L">Data4!$BW$1:$BW$10,Data4!$BW$90:$BW$111</definedName>
    <definedName name="A130390451L_Data">Data4!$BW$90:$BW$111</definedName>
    <definedName name="A130390451L_Latest">Data4!$BW$111</definedName>
    <definedName name="A130390458C">Data1!$BE$1:$BE$10,Data1!$BE$69:$BE$111</definedName>
    <definedName name="A130390458C_Data">Data1!$BE$69:$BE$111</definedName>
    <definedName name="A130390458C_Latest">Data1!$BE$111</definedName>
    <definedName name="A130390465A">Data1!$GG$1:$GG$10,Data1!$GG$69:$GG$111</definedName>
    <definedName name="A130390465A_Data">Data1!$GG$69:$GG$111</definedName>
    <definedName name="A130390465A_Latest">Data1!$GG$111</definedName>
    <definedName name="A130390472X">Data1!$BK$1:$BK$10,Data1!$BK$90:$BK$111</definedName>
    <definedName name="A130390472X_Data">Data1!$BK$90:$BK$111</definedName>
    <definedName name="A130390472X_Latest">Data1!$BK$111</definedName>
    <definedName name="A130390486L">Data4!$EO$1:$EO$10,Data4!$EO$90:$EO$111</definedName>
    <definedName name="A130390486L_Data">Data4!$EO$90:$EO$111</definedName>
    <definedName name="A130390486L_Latest">Data4!$EO$111</definedName>
    <definedName name="A130390493K">Data4!$J$1:$J$10,Data4!$J$90:$J$111</definedName>
    <definedName name="A130390493K_Data">Data4!$J$90:$J$111</definedName>
    <definedName name="A130390493K_Latest">Data4!$J$111</definedName>
    <definedName name="A130390500W">Data3!$BM$1:$BM$10,Data3!$BM$90:$BM$111</definedName>
    <definedName name="A130390500W_Data">Data3!$BM$90:$BM$111</definedName>
    <definedName name="A130390500W_Latest">Data3!$BM$111</definedName>
    <definedName name="A130390507L">Data4!$CE$1:$CE$10,Data4!$CE$11:$CE$111</definedName>
    <definedName name="A130390507L_Data">Data4!$CE$11:$CE$111</definedName>
    <definedName name="A130390507L_Latest">Data4!$CE$111</definedName>
    <definedName name="A130390514K">Data1!$IK$1:$IK$10,Data1!$IK$11:$IK$111</definedName>
    <definedName name="A130390514K_Data">Data1!$IK$11:$IK$111</definedName>
    <definedName name="A130390514K_Latest">Data1!$IK$111</definedName>
    <definedName name="A130390521J">Data3!$AS$1:$AS$10,Data3!$AS$11:$AS$111</definedName>
    <definedName name="A130390521J_Data">Data3!$AS$11:$AS$111</definedName>
    <definedName name="A130390521J_Latest">Data3!$AS$111</definedName>
    <definedName name="A130390528X">Data3!$AT$1:$AT$10,Data3!$AT$11:$AT$111</definedName>
    <definedName name="A130390528X_Data">Data3!$AT$11:$AT$111</definedName>
    <definedName name="A130390528X_Latest">Data3!$AT$111</definedName>
    <definedName name="A130390542V">Data4!$GJ$1:$GJ$10,Data4!$GJ$11:$GJ$111</definedName>
    <definedName name="A130390542V_Data">Data4!$GJ$11:$GJ$111</definedName>
    <definedName name="A130390542V_Latest">Data4!$GJ$111</definedName>
    <definedName name="A130390549K">Data4!$FW$1:$FW$10,Data4!$FW$11:$FW$111</definedName>
    <definedName name="A130390549K_Data">Data4!$FW$11:$FW$111</definedName>
    <definedName name="A130390549K_Latest">Data4!$FW$111</definedName>
    <definedName name="A130390556J">Data4!$FY$1:$FY$10,Data4!$FY$11:$FY$111</definedName>
    <definedName name="A130390556J_Data">Data4!$FY$11:$FY$111</definedName>
    <definedName name="A130390556J_Latest">Data4!$FY$111</definedName>
    <definedName name="A130390563F">Data4!$BB$1:$BB$10,Data4!$BB$11:$BB$111</definedName>
    <definedName name="A130390563F_Data">Data4!$BB$11:$BB$111</definedName>
    <definedName name="A130390563F_Latest">Data4!$BB$111</definedName>
    <definedName name="A130390570C">Data3!$AO$1:$AO$10,Data3!$AO$11:$AO$111</definedName>
    <definedName name="A130390570C_Data">Data3!$AO$11:$AO$111</definedName>
    <definedName name="A130390570C_Latest">Data3!$AO$111</definedName>
    <definedName name="A130390577V">Data1!$N$1:$N$10,Data1!$N$11:$N$111</definedName>
    <definedName name="A130390577V_Data">Data1!$N$11:$N$111</definedName>
    <definedName name="A130390577V_Latest">Data1!$N$111</definedName>
    <definedName name="A130390584T">Data2!$AC$1:$AC$10,Data2!$AC$11:$AC$111</definedName>
    <definedName name="A130390584T_Data">Data2!$AC$11:$AC$111</definedName>
    <definedName name="A130390584T_Latest">Data2!$AC$111</definedName>
    <definedName name="A130390591R">Data3!$AQ$1:$AQ$10,Data3!$AQ$11:$AQ$111</definedName>
    <definedName name="A130390591R_Data">Data3!$AQ$11:$AQ$111</definedName>
    <definedName name="A130390591R_Latest">Data3!$AQ$111</definedName>
    <definedName name="A130390605T">Data1!$AI$1:$AI$10,Data1!$AI$90:$AI$111</definedName>
    <definedName name="A130390605T_Data">Data1!$AI$90:$AI$111</definedName>
    <definedName name="A130390605T_Latest">Data1!$AI$111</definedName>
    <definedName name="A130390626C">Data2!$FO$1:$FO$10,Data2!$FO$11:$FO$111</definedName>
    <definedName name="A130390626C_Data">Data2!$FO$11:$FO$111</definedName>
    <definedName name="A130390626C_Latest">Data2!$FO$111</definedName>
    <definedName name="A130390633A">Data3!$GC$1:$GC$10,Data3!$GC$11:$GC$111</definedName>
    <definedName name="A130390633A_Data">Data3!$GC$11:$GC$111</definedName>
    <definedName name="A130390633A_Latest">Data3!$GC$111</definedName>
    <definedName name="A130390654L">Data4!$BS$1:$BS$10,Data4!$BS$11:$BS$111</definedName>
    <definedName name="A130390654L_Data">Data4!$BS$11:$BS$111</definedName>
    <definedName name="A130390654L_Latest">Data4!$BS$111</definedName>
    <definedName name="A130390661K">Data1!$AW$1:$AW$10,Data1!$AW$90:$AW$111</definedName>
    <definedName name="A130390661K_Data">Data1!$AW$90:$AW$111</definedName>
    <definedName name="A130390661K_Latest">Data1!$AW$111</definedName>
    <definedName name="A130390668A">Data2!$BK$1:$BK$10,Data2!$BK$90:$BK$111</definedName>
    <definedName name="A130390668A_Data">Data2!$BK$90:$BK$111</definedName>
    <definedName name="A130390668A_Latest">Data2!$BK$111</definedName>
    <definedName name="A130390675X">Data2!$BL$1:$BL$10,Data2!$BL$90:$BL$111</definedName>
    <definedName name="A130390675X_Data">Data2!$BL$90:$BL$111</definedName>
    <definedName name="A130390675X_Latest">Data2!$BL$111</definedName>
    <definedName name="A130390682W">Data1!$AY$1:$AY$10,Data1!$AY$90:$AY$111</definedName>
    <definedName name="A130390682W_Data">Data1!$AY$90:$AY$111</definedName>
    <definedName name="A130390682W_Latest">Data1!$AY$111</definedName>
    <definedName name="A130390689L">Data2!$BM$1:$BM$10,Data2!$BM$90:$BM$111</definedName>
    <definedName name="A130390689L_Data">Data2!$BM$90:$BM$111</definedName>
    <definedName name="A130390689L_Latest">Data2!$BM$111</definedName>
    <definedName name="A130390696K">Data3!$CA$1:$CA$10,Data3!$CA$90:$CA$111</definedName>
    <definedName name="A130390696K_Data">Data3!$CA$90:$CA$111</definedName>
    <definedName name="A130390696K_Latest">Data3!$CA$111</definedName>
    <definedName name="A130390703W">Data4!$HQ$1:$HQ$10,Data4!$HQ$90:$HQ$111</definedName>
    <definedName name="A130390703W_Data">Data4!$HQ$90:$HQ$111</definedName>
    <definedName name="A130390703W_Latest">Data4!$HQ$111</definedName>
    <definedName name="A130390710V">Data1!$BB$1:$BB$10,Data1!$BB$90:$BB$111</definedName>
    <definedName name="A130390710V_Data">Data1!$BB$90:$BB$111</definedName>
    <definedName name="A130390710V_Latest">Data1!$BB$111</definedName>
    <definedName name="A130390717K">Data2!$BW$1:$BW$10,Data2!$BW$90:$BW$111</definedName>
    <definedName name="A130390717K_Data">Data2!$BW$90:$BW$111</definedName>
    <definedName name="A130390717K_Latest">Data2!$BW$111</definedName>
    <definedName name="A130390724J">Data1!$BM$1:$BM$10,Data1!$BM$60:$BM$111</definedName>
    <definedName name="A130390724J_Data">Data1!$BM$60:$BM$111</definedName>
    <definedName name="A130390724J_Latest">Data1!$BM$111</definedName>
    <definedName name="A130390738W">Data3!$HQ$1:$HQ$10,Data3!$HQ$60:$HQ$111</definedName>
    <definedName name="A130390738W_Data">Data3!$HQ$60:$HQ$111</definedName>
    <definedName name="A130390738W_Latest">Data3!$HQ$111</definedName>
    <definedName name="A130390745V">Data4!$DC$1:$DC$10,Data4!$DC$60:$DC$111</definedName>
    <definedName name="A130390745V_Data">Data4!$DC$60:$DC$111</definedName>
    <definedName name="A130390745V_Latest">Data4!$DC$111</definedName>
    <definedName name="A130390752T">Data1!$GS$1:$GS$10,Data1!$GS$90:$GS$111</definedName>
    <definedName name="A130390752T_Data">Data1!$GS$90:$GS$111</definedName>
    <definedName name="A130390752T_Latest">Data1!$GS$111</definedName>
    <definedName name="A130390759J">Data4!$DG$1:$DG$10,Data4!$DG$90:$DG$111</definedName>
    <definedName name="A130390759J_Data">Data4!$DG$90:$DG$111</definedName>
    <definedName name="A130390759J_Latest">Data4!$DG$111</definedName>
    <definedName name="A130390766F">Data3!$HZ$1:$HZ$10,Data3!$HZ$90:$HZ$111</definedName>
    <definedName name="A130390766F_Data">Data3!$HZ$90:$HZ$111</definedName>
    <definedName name="A130390766F_Latest">Data3!$HZ$111</definedName>
    <definedName name="A130390773C">Data4!$DL$1:$DL$10,Data4!$DL$90:$DL$111</definedName>
    <definedName name="A130390773C_Data">Data4!$DL$90:$DL$111</definedName>
    <definedName name="A130390773C_Latest">Data4!$DL$111</definedName>
    <definedName name="A130390780A">Data4!$IN$1:$IN$10,Data4!$IN$90:$IN$111</definedName>
    <definedName name="A130390780A_Data">Data4!$IN$90:$IN$111</definedName>
    <definedName name="A130390780A_Latest">Data4!$IN$111</definedName>
    <definedName name="A130390787T">Data3!$IC$1:$IC$10,Data3!$IC$90:$IC$111</definedName>
    <definedName name="A130390787T_Data">Data3!$IC$90:$IC$111</definedName>
    <definedName name="A130390787T_Latest">Data3!$IC$111</definedName>
    <definedName name="A130390794R">Data2!$HQ$1:$HQ$10,Data2!$HQ$11:$HQ$111</definedName>
    <definedName name="A130390794R_Data">Data2!$HQ$11:$HQ$111</definedName>
    <definedName name="A130390794R_Latest">Data2!$HQ$111</definedName>
    <definedName name="A130390801A">Data3!$P$1:$P$10,Data3!$P$90:$P$111</definedName>
    <definedName name="A130390801A_Data">Data3!$P$90:$P$111</definedName>
    <definedName name="A130390801A_Latest">Data3!$P$111</definedName>
    <definedName name="A130390815R">Data1!$CZ$1:$CZ$10,Data1!$CZ$69:$CZ$111</definedName>
    <definedName name="A130390815R_Data">Data1!$CZ$69:$CZ$111</definedName>
    <definedName name="A130390815R_Latest">Data1!$CZ$111</definedName>
    <definedName name="A130390822L">Data3!$EB$1:$EB$10,Data3!$EB$69:$EB$111</definedName>
    <definedName name="A130390822L_Data">Data3!$EB$69:$EB$111</definedName>
    <definedName name="A130390822L_Latest">Data3!$EB$111</definedName>
    <definedName name="A130390829C">Data1!$HS$1:$HS$10,Data1!$HS$90:$HS$111</definedName>
    <definedName name="A130390829C_Data">Data1!$HS$90:$HS$111</definedName>
    <definedName name="A130390829C_Latest">Data1!$HS$111</definedName>
    <definedName name="A130390836A">Data5!$S$1:$S$10,Data5!$S$90:$S$111</definedName>
    <definedName name="A130390836A_Data">Data5!$S$90:$S$111</definedName>
    <definedName name="A130390836A_Latest">Data5!$S$111</definedName>
    <definedName name="A130390843X">Data1!$HW$1:$HW$10,Data1!$HW$90:$HW$111</definedName>
    <definedName name="A130390843X_Data">Data1!$HW$90:$HW$111</definedName>
    <definedName name="A130390843X_Latest">Data1!$HW$111</definedName>
    <definedName name="A130390857L">Data1!$CR$1:$CR$10,Data1!$CR$90:$CR$111</definedName>
    <definedName name="A130390857L_Data">Data1!$CR$90:$CR$111</definedName>
    <definedName name="A130390857L_Latest">Data1!$CR$111</definedName>
    <definedName name="A130390864K">Data1!$HT$1:$HT$10,Data1!$HT$90:$HT$111</definedName>
    <definedName name="A130390864K_Data">Data1!$HT$90:$HT$111</definedName>
    <definedName name="A130390864K_Latest">Data1!$HT$111</definedName>
    <definedName name="A130390871J">Data2!$DF$1:$DF$10,Data2!$DF$90:$DF$111</definedName>
    <definedName name="A130390871J_Data">Data2!$DF$90:$DF$111</definedName>
    <definedName name="A130390871J_Latest">Data2!$DF$111</definedName>
    <definedName name="A130390878X">Data3!$DY$1:$DY$10,Data3!$DY$90:$DY$111</definedName>
    <definedName name="A130390878X_Data">Data3!$DY$90:$DY$111</definedName>
    <definedName name="A130390878X_Latest">Data3!$DY$111</definedName>
    <definedName name="A130390885W">Data4!$EM$1:$EM$10,Data4!$EM$90:$EM$111</definedName>
    <definedName name="A130390885W_Data">Data4!$EM$90:$EM$111</definedName>
    <definedName name="A130390885W_Latest">Data4!$EM$111</definedName>
    <definedName name="A130390899K">Data2!$GB$1:$GB$10,Data2!$GB$11:$GB$111</definedName>
    <definedName name="A130390899K_Data">Data2!$GB$11:$GB$111</definedName>
    <definedName name="A130390899K_Latest">Data2!$GB$111</definedName>
    <definedName name="A130390906W">Data2!$BD$1:$BD$10,Data2!$BD$11:$BD$111</definedName>
    <definedName name="A130390906W_Data">Data2!$BD$11:$BD$111</definedName>
    <definedName name="A130390906W_Latest">Data2!$BD$111</definedName>
    <definedName name="A130390913V">Data3!$BR$1:$BR$10,Data3!$BR$11:$BR$111</definedName>
    <definedName name="A130390913V_Data">Data3!$BR$11:$BR$111</definedName>
    <definedName name="A130390913V_Latest">Data3!$BR$111</definedName>
    <definedName name="A130390927J">Data5!$M$1:$M$10,Data5!$M$90:$M$111</definedName>
    <definedName name="A130390927J_Data">Data5!$M$90:$M$111</definedName>
    <definedName name="A130390927J_Latest">Data5!$M$111</definedName>
    <definedName name="A130390934F">Data1!$CN$1:$CN$10,Data1!$CN$90:$CN$111</definedName>
    <definedName name="A130390934F_Data">Data1!$CN$90:$CN$111</definedName>
    <definedName name="A130390934F_Latest">Data1!$CN$111</definedName>
    <definedName name="A130390941C">Data5!$P$1:$P$10,Data5!$P$90:$P$111</definedName>
    <definedName name="A130390941C_Data">Data5!$P$90:$P$111</definedName>
    <definedName name="A130390941C_Latest">Data5!$P$111</definedName>
    <definedName name="A130390948V">Data2!$CP$1:$CP$10,Data2!$CP$11:$CP$111</definedName>
    <definedName name="A130390948V_Data">Data2!$CP$11:$CP$111</definedName>
    <definedName name="A130390948V_Latest">Data2!$CP$111</definedName>
    <definedName name="A130390955T">Data1!$CF$1:$CF$10,Data1!$CF$90:$CF$111</definedName>
    <definedName name="A130390955T_Data">Data1!$CF$90:$CF$111</definedName>
    <definedName name="A130390955T_Latest">Data1!$CF$111</definedName>
    <definedName name="A130390962R">Data2!$HV$1:$HV$10,Data2!$HV$90:$HV$111</definedName>
    <definedName name="A130390962R_Data">Data2!$HV$90:$HV$111</definedName>
    <definedName name="A130390962R_Latest">Data2!$HV$111</definedName>
    <definedName name="A130390969F">Data4!$DV$1:$DV$10,Data4!$DV$90:$DV$111</definedName>
    <definedName name="A130390969F_Data">Data4!$DV$90:$DV$111</definedName>
    <definedName name="A130390969F_Latest">Data4!$DV$111</definedName>
    <definedName name="A130390976C">Data1!$IM$1:$IM$10,Data1!$IM$11:$IM$111</definedName>
    <definedName name="A130390976C_Data">Data1!$IM$11:$IM$111</definedName>
    <definedName name="A130390976C_Latest">Data1!$IM$111</definedName>
    <definedName name="A130390983A">Data4!$Y$1:$Y$10,Data4!$Y$11:$Y$111</definedName>
    <definedName name="A130390983A_Data">Data4!$Y$11:$Y$111</definedName>
    <definedName name="A130390983A_Latest">Data4!$Y$111</definedName>
    <definedName name="A130390990X">Data2!$F$1:$F$10,Data2!$F$90:$F$111</definedName>
    <definedName name="A130390990X_Data">Data2!$F$90:$F$111</definedName>
    <definedName name="A130390990X_Latest">Data2!$F$111</definedName>
    <definedName name="A130390997R">Data2!$EH$1:$EH$10,Data2!$EH$90:$EH$111</definedName>
    <definedName name="A130390997R_Data">Data2!$EH$90:$EH$111</definedName>
    <definedName name="A130390997R_Latest">Data2!$EH$111</definedName>
    <definedName name="A130391004C">Data1!$AA$1:$AA$10,Data1!$AA$11:$AA$111</definedName>
    <definedName name="A130391004C_Data">Data1!$AA$11:$AA$111</definedName>
    <definedName name="A130391004C_Latest">Data1!$AA$111</definedName>
    <definedName name="A130391011A">Data1!$FW$1:$FW$10,Data1!$FW$90:$FW$111</definedName>
    <definedName name="A130391011A_Data">Data1!$FW$90:$FW$111</definedName>
    <definedName name="A130391011A_Latest">Data1!$FW$111</definedName>
    <definedName name="A130391025R">Data1!$GB$1:$GB$10,Data1!$GB$90:$GB$111</definedName>
    <definedName name="A130391025R_Data">Data1!$GB$90:$GB$111</definedName>
    <definedName name="A130391025R_Latest">Data1!$GB$111</definedName>
    <definedName name="A130391032L">Data2!$GP$1:$GP$10,Data2!$GP$90:$GP$111</definedName>
    <definedName name="A130391032L_Data">Data2!$GP$90:$GP$111</definedName>
    <definedName name="A130391032L_Latest">Data2!$GP$111</definedName>
    <definedName name="A130391039C">Data2!$BO$1:$BO$10,Data2!$BO$90:$BO$111</definedName>
    <definedName name="A130391039C_Data">Data2!$BO$90:$BO$111</definedName>
    <definedName name="A130391039C_Latest">Data2!$BO$111</definedName>
    <definedName name="A130391046A">Data2!$GQ$1:$GQ$10,Data2!$GQ$90:$GQ$111</definedName>
    <definedName name="A130391046A_Data">Data2!$GQ$90:$GQ$111</definedName>
    <definedName name="A130391046A_Latest">Data2!$GQ$111</definedName>
    <definedName name="A130391053X">Data1!$BL$1:$BL$10,Data1!$BL$90:$BL$111</definedName>
    <definedName name="A130391053X_Data">Data1!$BL$90:$BL$111</definedName>
    <definedName name="A130391053X_Latest">Data1!$BL$111</definedName>
    <definedName name="A130391067L">Data4!$ID$1:$ID$10,Data4!$ID$90:$ID$111</definedName>
    <definedName name="A130391067L_Data">Data4!$ID$90:$ID$111</definedName>
    <definedName name="A130391067L_Latest">Data4!$ID$111</definedName>
    <definedName name="A130391074K">Data2!$BU$1:$BU$10,Data2!$BU$11:$BU$111</definedName>
    <definedName name="A130391074K_Data">Data2!$BU$11:$BU$111</definedName>
    <definedName name="A130391074K_Latest">Data2!$BU$111</definedName>
    <definedName name="A130391081J">Data3!$CI$1:$CI$10,Data3!$CI$11:$CI$111</definedName>
    <definedName name="A130391081J_Data">Data3!$CI$11:$CI$111</definedName>
    <definedName name="A130391081J_Latest">Data3!$CI$111</definedName>
    <definedName name="A130391088X">Data2!$GZ$1:$GZ$10,Data2!$GZ$11:$GZ$111</definedName>
    <definedName name="A130391088X_Data">Data2!$GZ$11:$GZ$111</definedName>
    <definedName name="A130391088X_Latest">Data2!$GZ$111</definedName>
    <definedName name="A130391095W">Data4!$CZ$1:$CZ$10,Data4!$CZ$11:$CZ$111</definedName>
    <definedName name="A130391095W_Data">Data4!$CZ$11:$CZ$111</definedName>
    <definedName name="A130391095W_Latest">Data4!$CZ$111</definedName>
    <definedName name="A130391102J">Data4!$IM$1:$IM$10,Data4!$IM$90:$IM$111</definedName>
    <definedName name="A130391102J_Data">Data4!$IM$90:$IM$111</definedName>
    <definedName name="A130391102J_Latest">Data4!$IM$111</definedName>
    <definedName name="A130391109X">Data3!$ID$1:$ID$10,Data3!$ID$11:$ID$111</definedName>
    <definedName name="A130391109X_Data">Data3!$ID$11:$ID$111</definedName>
    <definedName name="A130391109X_Latest">Data3!$ID$111</definedName>
    <definedName name="A130391123V">Data3!$EI$1:$EI$10,Data3!$EI$90:$EI$111</definedName>
    <definedName name="A130391123V_Data">Data3!$EI$90:$EI$111</definedName>
    <definedName name="A130391123V_Latest">Data3!$EI$111</definedName>
    <definedName name="A130391130T">Data4!$FD$1:$FD$10,Data4!$FD$90:$FD$111</definedName>
    <definedName name="A130391130T_Data">Data4!$FD$90:$FD$111</definedName>
    <definedName name="A130391130T_Latest">Data4!$FD$111</definedName>
    <definedName name="A130391137J">Data1!$DQ$1:$DQ$10,Data1!$DQ$90:$DQ$111</definedName>
    <definedName name="A130391137J_Data">Data1!$DQ$90:$DQ$111</definedName>
    <definedName name="A130391137J_Latest">Data1!$DQ$111</definedName>
    <definedName name="A130391144F">Data3!$ET$1:$ET$10,Data3!$ET$90:$ET$111</definedName>
    <definedName name="A130391144F_Data">Data3!$ET$90:$ET$111</definedName>
    <definedName name="A130391144F_Latest">Data3!$ET$111</definedName>
    <definedName name="A130391214A">Data3!$AV$1:$AV$10,Data3!$AV$11:$AV$111</definedName>
    <definedName name="A130391214A_Data">Data3!$AV$11:$AV$111</definedName>
    <definedName name="A130391214A_Latest">Data3!$AV$111</definedName>
    <definedName name="A130391221X">Data4!$BJ$1:$BJ$10,Data4!$BJ$11:$BJ$111</definedName>
    <definedName name="A130391221X_Data">Data4!$BJ$11:$BJ$111</definedName>
    <definedName name="A130391221X_Latest">Data4!$BJ$111</definedName>
    <definedName name="A130391228R">Data4!$GL$1:$GL$10,Data4!$GL$11:$GL$111</definedName>
    <definedName name="A130391228R_Data">Data4!$GL$11:$GL$111</definedName>
    <definedName name="A130391228R_Latest">Data4!$GL$111</definedName>
    <definedName name="A130391235L">Data2!$CK$1:$CK$10,Data2!$CK$90:$CK$111</definedName>
    <definedName name="A130391235L_Data">Data2!$CK$90:$CK$111</definedName>
    <definedName name="A130391235L_Latest">Data2!$CK$111</definedName>
    <definedName name="A130391242K">Data3!$CY$1:$CY$10,Data3!$CY$90:$CY$111</definedName>
    <definedName name="A130391242K_Data">Data3!$CY$90:$CY$111</definedName>
    <definedName name="A130391242K_Latest">Data3!$CY$111</definedName>
    <definedName name="A130391256X">Data2!$HN$1:$HN$10,Data2!$HN$90:$HN$111</definedName>
    <definedName name="A130391256X_Data">Data2!$HN$90:$HN$111</definedName>
    <definedName name="A130391256X_Latest">Data2!$HN$111</definedName>
    <definedName name="A130391270V">Data1!$CH$1:$CH$10,Data1!$CH$90:$CH$111</definedName>
    <definedName name="A130391270V_Data">Data1!$CH$90:$CH$111</definedName>
    <definedName name="A130391270V_Latest">Data1!$CH$111</definedName>
    <definedName name="A130391277K">Data1!$CX$1:$CX$10,Data1!$CX$90:$CX$111</definedName>
    <definedName name="A130391277K_Data">Data1!$CX$90:$CX$111</definedName>
    <definedName name="A130391277K_Latest">Data1!$CX$111</definedName>
    <definedName name="A130391284J">Data1!$HZ$1:$HZ$10,Data1!$HZ$90:$HZ$111</definedName>
    <definedName name="A130391284J_Data">Data1!$HZ$90:$HZ$111</definedName>
    <definedName name="A130391284J_Latest">Data1!$HZ$111</definedName>
    <definedName name="A130391298W">Data2!$EG$1:$EG$10,Data2!$EG$90:$EG$111</definedName>
    <definedName name="A130391298W_Data">Data2!$EG$90:$EG$111</definedName>
    <definedName name="A130391298W_Latest">Data2!$EG$111</definedName>
    <definedName name="A130391305J">Data2!$EI$1:$EI$10,Data2!$EI$90:$EI$111</definedName>
    <definedName name="A130391305J_Data">Data2!$EI$90:$EI$111</definedName>
    <definedName name="A130391305J_Latest">Data2!$EI$111</definedName>
    <definedName name="A130391312F">Data5!$AW$1:$AW$10,Data5!$AW$90:$AW$111</definedName>
    <definedName name="A130391312F_Data">Data5!$AW$90:$AW$111</definedName>
    <definedName name="A130391312F_Latest">Data5!$AW$111</definedName>
    <definedName name="A130391319W">Data2!$H$1:$H$10,Data2!$H$11:$H$111</definedName>
    <definedName name="A130391319W_Data">Data2!$H$11:$H$111</definedName>
    <definedName name="A130391319W_Latest">Data2!$H$111</definedName>
    <definedName name="A130391326V">Data3!$DG$1:$DG$10,Data3!$DG$90:$DG$111</definedName>
    <definedName name="A130391326V_Data">Data3!$DG$90:$DG$111</definedName>
    <definedName name="A130391326V_Latest">Data3!$DG$111</definedName>
    <definedName name="A130391333T">Data4!$DU$1:$DU$10,Data4!$DU$90:$DU$111</definedName>
    <definedName name="A130391333T_Data">Data4!$DU$90:$DU$111</definedName>
    <definedName name="A130391333T_Latest">Data4!$DU$111</definedName>
    <definedName name="A130391340R">Data3!$IK$1:$IK$10,Data3!$IK$90:$IK$111</definedName>
    <definedName name="A130391340R_Data">Data3!$IK$90:$IK$111</definedName>
    <definedName name="A130391340R_Latest">Data3!$IK$111</definedName>
    <definedName name="A130391347F">Data1!$AB$1:$AB$10,Data1!$AB$11:$AB$111</definedName>
    <definedName name="A130391347F_Data">Data1!$AB$11:$AB$111</definedName>
    <definedName name="A130391347F_Latest">Data1!$AB$111</definedName>
    <definedName name="A130391354C">Data1!$FD$1:$FD$10,Data1!$FD$11:$FD$111</definedName>
    <definedName name="A130391354C_Data">Data1!$FD$11:$FD$111</definedName>
    <definedName name="A130391354C_Latest">Data1!$FD$111</definedName>
    <definedName name="A130391361A">Data3!$FA$1:$FA$10,Data3!$FA$90:$FA$111</definedName>
    <definedName name="A130391361A_Data">Data3!$FA$90:$FA$111</definedName>
    <definedName name="A130391361A_Latest">Data3!$FA$111</definedName>
    <definedName name="A130391368T">Data3!$Z$1:$Z$10,Data3!$Z$90:$Z$111</definedName>
    <definedName name="A130391368T_Data">Data3!$Z$90:$Z$111</definedName>
    <definedName name="A130391368T_Latest">Data3!$Z$111</definedName>
    <definedName name="A130391375R">Data3!$FB$1:$FB$10,Data3!$FB$90:$FB$111</definedName>
    <definedName name="A130391375R_Data">Data3!$FB$90:$FB$111</definedName>
    <definedName name="A130391375R_Latest">Data3!$FB$111</definedName>
    <definedName name="A130391459X">Data4!$AL$1:$AL$10,Data4!$AL$90:$AL$111</definedName>
    <definedName name="A130391459X_Data">Data4!$AL$90:$AL$111</definedName>
    <definedName name="A130391459X_Latest">Data4!$AL$111</definedName>
    <definedName name="A130391466W">Data4!$FN$1:$FN$10,Data4!$FN$90:$FN$111</definedName>
    <definedName name="A130391466W_Data">Data4!$FN$90:$FN$111</definedName>
    <definedName name="A130391466W_Latest">Data4!$FN$111</definedName>
    <definedName name="A130391473V">Data1!$K$1:$K$10,Data1!$K$11:$K$111</definedName>
    <definedName name="A130391473V_Data">Data1!$K$11:$K$111</definedName>
    <definedName name="A130391473V_Latest">Data1!$K$111</definedName>
    <definedName name="A130391487J">Data4!$GO$1:$GO$10,Data4!$GO$11:$GO$111</definedName>
    <definedName name="A130391487J_Data">Data4!$GO$11:$GO$111</definedName>
    <definedName name="A130391487J_Latest">Data4!$GO$111</definedName>
    <definedName name="A130391494F">Data2!$GH$1:$GH$10,Data2!$GH$90:$GH$111</definedName>
    <definedName name="A130391494F_Data">Data2!$GH$90:$GH$111</definedName>
    <definedName name="A130391494F_Latest">Data2!$GH$111</definedName>
    <definedName name="A130391501T">Data1!$BS$1:$BS$10,Data1!$BS$90:$BS$111</definedName>
    <definedName name="A130391501T_Data">Data1!$BS$90:$BS$111</definedName>
    <definedName name="A130391501T_Latest">Data1!$BS$111</definedName>
    <definedName name="A130391508J">Data3!$CV$1:$CV$10,Data3!$CV$90:$CV$111</definedName>
    <definedName name="A130391508J_Data">Data3!$CV$90:$CV$111</definedName>
    <definedName name="A130391508J_Latest">Data3!$CV$111</definedName>
    <definedName name="A130391515F">Data2!$HF$1:$HF$10,Data2!$HF$90:$HF$111</definedName>
    <definedName name="A130391515F_Data">Data2!$HF$90:$HF$111</definedName>
    <definedName name="A130391515F_Latest">Data2!$HF$111</definedName>
    <definedName name="A130391522C">Data1!$GT$1:$GT$10,Data1!$GT$90:$GT$111</definedName>
    <definedName name="A130391522C_Data">Data1!$GT$90:$GT$111</definedName>
    <definedName name="A130391522C_Latest">Data1!$GT$111</definedName>
    <definedName name="A130391529V">Data1!$GH$1:$GH$10,Data1!$GH$11:$GH$111</definedName>
    <definedName name="A130391529V_Data">Data1!$GH$11:$GH$111</definedName>
    <definedName name="A130391529V_Latest">Data1!$GH$111</definedName>
    <definedName name="A130391543R">Data3!$HL$1:$HL$10,Data3!$HL$90:$HL$111</definedName>
    <definedName name="A130391543R_Data">Data3!$HL$90:$HL$111</definedName>
    <definedName name="A130391543R_Latest">Data3!$HL$111</definedName>
    <definedName name="A130391550L">Data4!$HZ$1:$HZ$10,Data4!$HZ$90:$HZ$111</definedName>
    <definedName name="A130391550L_Data">Data4!$HZ$90:$HZ$111</definedName>
    <definedName name="A130391550L_Latest">Data4!$HZ$111</definedName>
    <definedName name="A130391557C">Data1!$HK$1:$HK$10,Data1!$HK$90:$HK$111</definedName>
    <definedName name="A130391557C_Data">Data1!$HK$90:$HK$111</definedName>
    <definedName name="A130391557C_Latest">Data1!$HK$111</definedName>
    <definedName name="A130391564A">Data5!$K$1:$K$10,Data5!$K$90:$K$111</definedName>
    <definedName name="A130391564A_Data">Data5!$K$90:$K$111</definedName>
    <definedName name="A130391564A_Latest">Data5!$K$111</definedName>
    <definedName name="A130391571X">Data2!$CZ$1:$CZ$10,Data2!$CZ$90:$CZ$111</definedName>
    <definedName name="A130391571X_Data">Data2!$CZ$90:$CZ$111</definedName>
    <definedName name="A130391571X_Latest">Data2!$CZ$111</definedName>
    <definedName name="A130391578R">Data3!$EG$1:$EG$10,Data3!$EG$90:$EG$111</definedName>
    <definedName name="A130391578R_Data">Data3!$EG$90:$EG$111</definedName>
    <definedName name="A130391578R_Latest">Data3!$EG$111</definedName>
    <definedName name="A130391585L">Data4!$S$1:$S$10,Data4!$S$90:$S$111</definedName>
    <definedName name="A130391585L_Data">Data4!$S$90:$S$111</definedName>
    <definedName name="A130391585L_Latest">Data4!$S$111</definedName>
    <definedName name="A130391592K">Data5!$AG$1:$AG$10,Data5!$AG$90:$AG$111</definedName>
    <definedName name="A130391592K_Data">Data5!$AG$90:$AG$111</definedName>
    <definedName name="A130391592K_Latest">Data5!$AG$111</definedName>
    <definedName name="A130391599A">Data1!$DF$1:$DF$10,Data1!$DF$90:$DF$111</definedName>
    <definedName name="A130391599A_Data">Data1!$DF$90:$DF$111</definedName>
    <definedName name="A130391599A_Latest">Data1!$DF$111</definedName>
    <definedName name="A130391606L">Data1!$IJ$1:$IJ$10,Data1!$IJ$90:$IJ$111</definedName>
    <definedName name="A130391606L_Data">Data1!$IJ$90:$IJ$111</definedName>
    <definedName name="A130391606L_Latest">Data1!$IJ$111</definedName>
    <definedName name="A130391613K">Data4!$ES$1:$ES$10,Data4!$ES$90:$ES$111</definedName>
    <definedName name="A130391613K_Data">Data4!$ES$90:$ES$111</definedName>
    <definedName name="A130391613K_Latest">Data4!$ES$111</definedName>
    <definedName name="A130391620J">Data1!$EA$1:$EA$10,Data1!$EA$11:$EA$111</definedName>
    <definedName name="A130391620J_Data">Data1!$EA$11:$EA$111</definedName>
    <definedName name="A130391620J_Latest">Data1!$EA$111</definedName>
    <definedName name="A130391676V">Data4!$HU$1:$HU$10,Data4!$HU$90:$HU$111</definedName>
    <definedName name="A130391676V_Data">Data4!$HU$90:$HU$111</definedName>
    <definedName name="A130391676V_Latest">Data4!$HU$111</definedName>
    <definedName name="A130391683T">Data1!$CO$1:$CO$10,Data1!$CO$90:$CO$111</definedName>
    <definedName name="A130391683T_Data">Data1!$CO$90:$CO$111</definedName>
    <definedName name="A130391683T_Latest">Data1!$CO$111</definedName>
    <definedName name="A130391690R">Data5!$Q$1:$Q$10,Data5!$Q$90:$Q$111</definedName>
    <definedName name="A130391690R_Data">Data5!$Q$90:$Q$111</definedName>
    <definedName name="A130391690R_Latest">Data5!$Q$111</definedName>
    <definedName name="A130391697F">Data4!$HB$1:$HB$10,Data4!$HB$90:$HB$111</definedName>
    <definedName name="A130391697F_Data">Data4!$HB$90:$HB$111</definedName>
    <definedName name="A130391697F_Latest">Data4!$HB$111</definedName>
    <definedName name="A130391711R">Data4!$FV$1:$FV$10,Data4!$FV$11:$FV$111</definedName>
    <definedName name="A130391711R_Data">Data4!$FV$11:$FV$111</definedName>
    <definedName name="A130391711R_Latest">Data4!$FV$111</definedName>
    <definedName name="A130391718F">Data2!$EY$1:$EY$10,Data2!$EY$11:$EY$111</definedName>
    <definedName name="A130391718F_Data">Data2!$EY$11:$EY$111</definedName>
    <definedName name="A130391718F_Latest">Data2!$EY$111</definedName>
    <definedName name="A130391725C">Data4!$AY$1:$AY$10,Data4!$AY$11:$AY$111</definedName>
    <definedName name="A130391725C_Data">Data4!$AY$11:$AY$111</definedName>
    <definedName name="A130391725C_Latest">Data4!$AY$111</definedName>
    <definedName name="A130391732A">Data2!$AU$1:$AU$10,Data2!$AU$90:$AU$111</definedName>
    <definedName name="A130391732A_Data">Data2!$AU$90:$AU$111</definedName>
    <definedName name="A130391732A_Latest">Data2!$AU$111</definedName>
    <definedName name="A130391739T">Data4!$GY$1:$GY$10,Data4!$GY$90:$GY$111</definedName>
    <definedName name="A130391739T_Data">Data4!$GY$90:$GY$111</definedName>
    <definedName name="A130391739T_Latest">Data4!$GY$111</definedName>
    <definedName name="A130391746R">Data1!$AV$1:$AV$10,Data1!$AV$90:$AV$111</definedName>
    <definedName name="A130391746R_Data">Data1!$AV$90:$AV$111</definedName>
    <definedName name="A130391746R_Latest">Data1!$AV$111</definedName>
    <definedName name="A130391753L">Data3!$BX$1:$BX$10,Data3!$BX$90:$BX$111</definedName>
    <definedName name="A130391753L_Data">Data3!$BX$90:$BX$111</definedName>
    <definedName name="A130391753L_Latest">Data3!$BX$111</definedName>
    <definedName name="A130391767A">Data1!$GM$1:$GM$10,Data1!$GM$90:$GM$111</definedName>
    <definedName name="A130391767A_Data">Data1!$GM$90:$GM$111</definedName>
    <definedName name="A130391767A_Latest">Data1!$GM$111</definedName>
    <definedName name="A130391774X">Data2!$HA$1:$HA$10,Data2!$HA$90:$HA$111</definedName>
    <definedName name="A130391774X_Data">Data2!$HA$90:$HA$111</definedName>
    <definedName name="A130391774X_Latest">Data2!$HA$111</definedName>
    <definedName name="A130391781W">Data1!$CY$1:$CY$10,Data1!$CY$90:$CY$111</definedName>
    <definedName name="A130391781W_Data">Data1!$CY$90:$CY$111</definedName>
    <definedName name="A130391781W_Latest">Data1!$CY$111</definedName>
    <definedName name="A130391795K">Data2!$DJ$1:$DJ$10,Data2!$DJ$90:$DJ$111</definedName>
    <definedName name="A130391795K_Data">Data2!$DJ$90:$DJ$111</definedName>
    <definedName name="A130391795K_Latest">Data2!$DJ$111</definedName>
    <definedName name="A130391802W">Data1!$AK$1:$AK$10,Data1!$AK$90:$AK$111</definedName>
    <definedName name="A130391802W_Data">Data1!$AK$90:$AK$111</definedName>
    <definedName name="A130391802W_Latest">Data1!$AK$111</definedName>
    <definedName name="A130391809L">Data3!$GO$1:$GO$10,Data3!$GO$90:$GO$111</definedName>
    <definedName name="A130391809L_Data">Data3!$GO$90:$GO$111</definedName>
    <definedName name="A130391809L_Latest">Data3!$GO$111</definedName>
    <definedName name="A130391816K">Data1!$FQ$1:$FQ$10,Data1!$FQ$11:$FQ$111</definedName>
    <definedName name="A130391816K_Data">Data1!$FQ$11:$FQ$111</definedName>
    <definedName name="A130391816K_Latest">Data1!$FQ$111</definedName>
    <definedName name="A130391823J">Data4!$HG$1:$HG$10,Data4!$HG$11:$HG$111</definedName>
    <definedName name="A130391823J_Data">Data4!$HG$11:$HG$111</definedName>
    <definedName name="A130391823J_Latest">Data4!$HG$111</definedName>
    <definedName name="A130391837W">Data5!$AK$1:$AK$10,Data5!$AK$11:$AK$111</definedName>
    <definedName name="A130391837W_Data">Data5!$AK$11:$AK$111</definedName>
    <definedName name="A130391837W_Latest">Data5!$AK$111</definedName>
    <definedName name="A130391851T">Data3!$FV$1:$FV$10,Data3!$FV$11:$FV$111</definedName>
    <definedName name="A130391851T_Data">Data3!$FV$11:$FV$111</definedName>
    <definedName name="A130391851T_Latest">Data3!$FV$111</definedName>
    <definedName name="A130391858J">Data1!$EU$1:$EU$10,Data1!$EU$11:$EU$111</definedName>
    <definedName name="A130391858J_Data">Data1!$EU$11:$EU$111</definedName>
    <definedName name="A130391858J_Latest">Data1!$EU$111</definedName>
    <definedName name="A130391865F">Data2!$AG$1:$AG$10,Data2!$AG$11:$AG$111</definedName>
    <definedName name="A130391865F_Data">Data2!$AG$11:$AG$111</definedName>
    <definedName name="A130391865F_Latest">Data2!$AG$111</definedName>
    <definedName name="A130391872C">Data4!$BI$1:$BI$10,Data4!$BI$11:$BI$111</definedName>
    <definedName name="A130391872C_Data">Data4!$BI$11:$BI$111</definedName>
    <definedName name="A130391872C_Latest">Data4!$BI$111</definedName>
    <definedName name="A130391879V">Data2!$EU$1:$EU$10,Data2!$EU$11:$EU$111</definedName>
    <definedName name="A130391879V_Data">Data2!$EU$11:$EU$111</definedName>
    <definedName name="A130391879V_Latest">Data2!$EU$111</definedName>
    <definedName name="A130391886T">Data1!$EI$1:$EI$10,Data1!$EI$11:$EI$111</definedName>
    <definedName name="A130391886T_Data">Data1!$EI$11:$EI$111</definedName>
    <definedName name="A130391886T_Latest">Data1!$EI$111</definedName>
    <definedName name="A130391893R">Data4!$AW$1:$AW$10,Data4!$AW$11:$AW$111</definedName>
    <definedName name="A130391893R_Data">Data4!$AW$11:$AW$111</definedName>
    <definedName name="A130391893R_Latest">Data4!$AW$111</definedName>
    <definedName name="A130391900A">Data1!$EJ$1:$EJ$10,Data1!$EJ$11:$EJ$111</definedName>
    <definedName name="A130391900A_Data">Data1!$EJ$11:$EJ$111</definedName>
    <definedName name="A130391900A_Latest">Data1!$EJ$111</definedName>
    <definedName name="A130391907T">Data4!$GB$1:$GB$10,Data4!$GB$11:$GB$111</definedName>
    <definedName name="A130391907T_Data">Data4!$GB$11:$GB$111</definedName>
    <definedName name="A130391907T_Latest">Data4!$GB$111</definedName>
    <definedName name="A130391914R">Data1!$EN$1:$EN$10,Data1!$EN$11:$EN$111</definedName>
    <definedName name="A130391914R_Data">Data1!$EN$11:$EN$111</definedName>
    <definedName name="A130391914R_Latest">Data1!$EN$111</definedName>
    <definedName name="A130391935A">Data3!$FS$1:$FS$10,Data3!$FS$11:$FS$111</definedName>
    <definedName name="A130391935A_Data">Data3!$FS$11:$FS$111</definedName>
    <definedName name="A130391935A_Latest">Data3!$FS$111</definedName>
    <definedName name="A130391949R">Data4!$BX$1:$BX$10,Data4!$BX$90:$BX$111</definedName>
    <definedName name="A130391949R_Data">Data4!$BX$90:$BX$111</definedName>
    <definedName name="A130391949R_Latest">Data4!$BX$111</definedName>
    <definedName name="A130391956L">Data1!$EZ$1:$EZ$10,Data1!$EZ$11:$EZ$111</definedName>
    <definedName name="A130391956L_Data">Data1!$EZ$11:$EZ$111</definedName>
    <definedName name="A130391956L_Latest">Data1!$EZ$111</definedName>
    <definedName name="A130391970J">Data1!$AE$1:$AE$10,Data1!$AE$11:$AE$111</definedName>
    <definedName name="A130391970J_Data">Data1!$AE$11:$AE$111</definedName>
    <definedName name="A130391970J_Latest">Data1!$AE$111</definedName>
    <definedName name="A130391977X">Data3!$BG$1:$BG$10,Data3!$BG$11:$BG$111</definedName>
    <definedName name="A130391977X_Data">Data3!$BG$11:$BG$111</definedName>
    <definedName name="A130391977X_Latest">Data3!$BG$111</definedName>
    <definedName name="A130391984W">Data1!$FY$1:$FY$10,Data1!$FY$90:$FY$111</definedName>
    <definedName name="A130391984W_Data">Data1!$FY$90:$FY$111</definedName>
    <definedName name="A130391984W_Latest">Data1!$FY$111</definedName>
    <definedName name="A130391998K">Data1!$GD$1:$GD$10,Data1!$GD$90:$GD$111</definedName>
    <definedName name="A130391998K_Data">Data1!$GD$90:$GD$111</definedName>
    <definedName name="A130391998K_Latest">Data1!$GD$111</definedName>
    <definedName name="A130392005X">Data2!$BP$1:$BP$10,Data2!$BP$90:$BP$111</definedName>
    <definedName name="A130392005X_Data">Data2!$BP$90:$BP$111</definedName>
    <definedName name="A130392005X_Latest">Data2!$BP$111</definedName>
    <definedName name="A130392012W">Data4!$CY$1:$CY$10,Data4!$CY$90:$CY$111</definedName>
    <definedName name="A130392012W_Data">Data4!$CY$90:$CY$111</definedName>
    <definedName name="A130392012W_Latest">Data4!$CY$111</definedName>
    <definedName name="A130392019L">Data3!$CO$1:$CO$10,Data3!$CO$60:$CO$111</definedName>
    <definedName name="A130392019L_Data">Data3!$CO$60:$CO$111</definedName>
    <definedName name="A130392019L_Latest">Data3!$CO$111</definedName>
    <definedName name="A130392026K">Data2!$HO$1:$HO$10,Data2!$HO$90:$HO$111</definedName>
    <definedName name="A130392026K_Data">Data2!$HO$90:$HO$111</definedName>
    <definedName name="A130392026K_Latest">Data2!$HO$111</definedName>
    <definedName name="A130392040F">Data1!$DP$1:$DP$10,Data1!$DP$90:$DP$111</definedName>
    <definedName name="A130392040F_Data">Data1!$DP$90:$DP$111</definedName>
    <definedName name="A130392040F_Latest">Data1!$DP$111</definedName>
    <definedName name="A130392047W">Data2!$B$1:$B$10,Data2!$B$90:$B$111</definedName>
    <definedName name="A130392047W_Data">Data2!$B$90:$B$111</definedName>
    <definedName name="A130392047W_Latest">Data2!$B$111</definedName>
    <definedName name="A130392061T">Data4!$AD$1:$AD$10,Data4!$AD$90:$AD$111</definedName>
    <definedName name="A130392061T_Data">Data4!$AD$90:$AD$111</definedName>
    <definedName name="A130392061T_Latest">Data4!$AD$111</definedName>
    <definedName name="A130392068J">Data3!$O$1:$O$10,Data3!$O$11:$O$111</definedName>
    <definedName name="A130392068J_Data">Data3!$O$11:$O$111</definedName>
    <definedName name="A130392068J_Latest">Data3!$O$111</definedName>
    <definedName name="A130392075F">Data4!$EG$1:$EG$10,Data4!$EG$90:$EG$111</definedName>
    <definedName name="A130392075F_Data">Data4!$EG$90:$EG$111</definedName>
    <definedName name="A130392075F_Latest">Data4!$EG$111</definedName>
    <definedName name="A130392082C">Data2!$DI$1:$DI$10,Data2!$DI$90:$DI$111</definedName>
    <definedName name="A130392082C_Data">Data2!$DI$90:$DI$111</definedName>
    <definedName name="A130392082C_Latest">Data2!$DI$111</definedName>
    <definedName name="A130392089V">Data3!$DT$1:$DT$10,Data3!$DT$90:$DT$111</definedName>
    <definedName name="A130392089V_Data">Data3!$DT$90:$DT$111</definedName>
    <definedName name="A130392089V_Latest">Data3!$DT$111</definedName>
    <definedName name="A130392096T">Data1!$HV$1:$HV$10,Data1!$HV$90:$HV$111</definedName>
    <definedName name="A130392096T_Data">Data1!$HV$90:$HV$111</definedName>
    <definedName name="A130392096T_Latest">Data1!$HV$111</definedName>
    <definedName name="A130392103C">Data2!$IJ$1:$IJ$10,Data2!$IJ$90:$IJ$111</definedName>
    <definedName name="A130392103C_Data">Data2!$IJ$90:$IJ$111</definedName>
    <definedName name="A130392103C_Latest">Data2!$IJ$111</definedName>
    <definedName name="A130392117T">Data5!$V$1:$V$10,Data5!$V$90:$V$111</definedName>
    <definedName name="A130392117T_Data">Data5!$V$90:$V$111</definedName>
    <definedName name="A130392117T_Latest">Data5!$V$111</definedName>
    <definedName name="A130392124R">Data1!$CW$1:$CW$10,Data1!$CW$90:$CW$111</definedName>
    <definedName name="A130392124R_Data">Data1!$CW$90:$CW$111</definedName>
    <definedName name="A130392124R_Latest">Data1!$CW$111</definedName>
    <definedName name="A130392131L">Data2!$IM$1:$IM$10,Data2!$IM$90:$IM$111</definedName>
    <definedName name="A130392131L_Data">Data2!$IM$90:$IM$111</definedName>
    <definedName name="A130392131L_Latest">Data2!$IM$111</definedName>
    <definedName name="A130392138C">Data4!$CD$1:$CD$10,Data4!$CD$11:$CD$111</definedName>
    <definedName name="A130392138C_Data">Data4!$CD$11:$CD$111</definedName>
    <definedName name="A130392138C_Latest">Data4!$CD$111</definedName>
    <definedName name="A130392145A">Data4!$HF$1:$HF$10,Data4!$HF$11:$HF$111</definedName>
    <definedName name="A130392145A_Data">Data4!$HF$11:$HF$111</definedName>
    <definedName name="A130392145A_Latest">Data4!$HF$111</definedName>
    <definedName name="A130392152X">Data3!$DM$1:$DM$10,Data3!$DM$90:$DM$111</definedName>
    <definedName name="A130392152X_Data">Data3!$DM$90:$DM$111</definedName>
    <definedName name="A130392152X_Latest">Data3!$DM$111</definedName>
    <definedName name="A130392159R">Data3!$DP$1:$DP$10,Data3!$DP$90:$DP$111</definedName>
    <definedName name="A130392159R_Data">Data3!$DP$90:$DP$111</definedName>
    <definedName name="A130392159R_Latest">Data3!$DP$111</definedName>
    <definedName name="A130392166L">Data2!$CX$1:$CX$10,Data2!$CX$90:$CX$111</definedName>
    <definedName name="A130392166L_Data">Data2!$CX$90:$CX$111</definedName>
    <definedName name="A130392166L_Latest">Data2!$CX$111</definedName>
    <definedName name="A130392173K">Data1!$CB$1:$CB$10,Data1!$CB$11:$CB$111</definedName>
    <definedName name="A130392173K_Data">Data1!$CB$11:$CB$111</definedName>
    <definedName name="A130392173K_Latest">Data1!$CB$111</definedName>
    <definedName name="A130392180J">Data3!$IF$1:$IF$10,Data3!$IF$11:$IF$111</definedName>
    <definedName name="A130392180J_Data">Data3!$IF$11:$IF$111</definedName>
    <definedName name="A130392180J_Latest">Data3!$IF$111</definedName>
    <definedName name="A130392187X">Data1!$HH$1:$HH$10,Data1!$HH$90:$HH$111</definedName>
    <definedName name="A130392187X_Data">Data1!$HH$90:$HH$111</definedName>
    <definedName name="A130392187X_Latest">Data1!$HH$111</definedName>
    <definedName name="A130392201J">Data5!$AM$1:$AM$10,Data5!$AM$11:$AM$111</definedName>
    <definedName name="A130392201J_Data">Data5!$AM$11:$AM$111</definedName>
    <definedName name="A130392201J_Latest">Data5!$AM$111</definedName>
    <definedName name="A130392208X">Data2!$FP$1:$FP$10,Data2!$FP$11:$FP$111</definedName>
    <definedName name="A130392208X_Data">Data2!$FP$11:$FP$111</definedName>
    <definedName name="A130392208X_Latest">Data2!$FP$111</definedName>
    <definedName name="A130392222V">Data2!$FQ$1:$FQ$10,Data2!$FQ$11:$FQ$111</definedName>
    <definedName name="A130392222V_Data">Data2!$FQ$11:$FQ$111</definedName>
    <definedName name="A130392222V_Latest">Data2!$FQ$111</definedName>
    <definedName name="A130392229K">Data3!$BV$1:$BV$10,Data3!$BV$90:$BV$111</definedName>
    <definedName name="A130392229K_Data">Data3!$BV$90:$BV$111</definedName>
    <definedName name="A130392229K_Latest">Data3!$BV$111</definedName>
    <definedName name="A130392236J">Data3!$GX$1:$GX$10,Data3!$GX$90:$GX$111</definedName>
    <definedName name="A130392236J_Data">Data3!$GX$90:$GX$111</definedName>
    <definedName name="A130392236J_Latest">Data3!$GX$111</definedName>
    <definedName name="A130392243F">Data2!$GK$1:$GK$10,Data2!$GK$90:$GK$111</definedName>
    <definedName name="A130392243F_Data">Data2!$GK$90:$GK$111</definedName>
    <definedName name="A130392243F_Latest">Data2!$GK$111</definedName>
    <definedName name="A130392250C">Data4!$CP$1:$CP$10,Data4!$CP$90:$CP$111</definedName>
    <definedName name="A130392250C_Data">Data4!$CP$90:$CP$111</definedName>
    <definedName name="A130392250C_Latest">Data4!$CP$111</definedName>
    <definedName name="A130392257V">Data1!$BA$1:$BA$10,Data1!$BA$90:$BA$111</definedName>
    <definedName name="A130392257V_Data">Data1!$BA$90:$BA$111</definedName>
    <definedName name="A130392257V_Latest">Data1!$BA$111</definedName>
    <definedName name="A130392264T">Data1!$GC$1:$GC$10,Data1!$GC$90:$GC$111</definedName>
    <definedName name="A130392264T_Data">Data1!$GC$90:$GC$111</definedName>
    <definedName name="A130392264T_Latest">Data1!$GC$111</definedName>
    <definedName name="A130392271R">Data4!$HS$1:$HS$10,Data4!$HS$90:$HS$111</definedName>
    <definedName name="A130392271R_Data">Data4!$HS$90:$HS$111</definedName>
    <definedName name="A130392271R_Latest">Data4!$HS$111</definedName>
    <definedName name="A130392278F">Data1!$BG$1:$BG$10,Data1!$BG$11:$BG$111</definedName>
    <definedName name="A130392278F_Data">Data1!$BG$11:$BG$111</definedName>
    <definedName name="A130392278F_Latest">Data1!$BG$111</definedName>
    <definedName name="A130392285C">Data2!$GW$1:$GW$10,Data2!$GW$11:$GW$111</definedName>
    <definedName name="A130392285C_Data">Data2!$GW$11:$GW$111</definedName>
    <definedName name="A130392285C_Latest">Data2!$GW$111</definedName>
    <definedName name="A130392292A">Data2!$CI$1:$CI$10,Data2!$CI$90:$CI$111</definedName>
    <definedName name="A130392292A_Data">Data2!$CI$90:$CI$111</definedName>
    <definedName name="A130392292A_Latest">Data2!$CI$111</definedName>
    <definedName name="A130392299T">Data1!$HE$1:$HE$10,Data1!$HE$11:$HE$111</definedName>
    <definedName name="A130392299T_Data">Data1!$HE$11:$HE$111</definedName>
    <definedName name="A130392299T_Latest">Data1!$HE$111</definedName>
    <definedName name="A130392306C">Data2!$CQ$1:$CQ$10,Data2!$CQ$11:$CQ$111</definedName>
    <definedName name="A130392306C_Data">Data2!$CQ$11:$CQ$111</definedName>
    <definedName name="A130392306C_Latest">Data2!$CQ$111</definedName>
    <definedName name="A130392313A">Data2!$EA$1:$EA$10,Data2!$EA$90:$EA$111</definedName>
    <definedName name="A130392313A_Data">Data2!$EA$90:$EA$111</definedName>
    <definedName name="A130392313A_Latest">Data2!$EA$111</definedName>
    <definedName name="A130392320X">Data5!$AO$1:$AO$10,Data5!$AO$90:$AO$111</definedName>
    <definedName name="A130392320X_Data">Data5!$AO$90:$AO$111</definedName>
    <definedName name="A130392320X_Latest">Data5!$AO$111</definedName>
    <definedName name="A130392327R">Data1!$IP$1:$IP$10,Data1!$IP$90:$IP$111</definedName>
    <definedName name="A130392327R_Data">Data1!$IP$90:$IP$111</definedName>
    <definedName name="A130392327R_Latest">Data1!$IP$111</definedName>
    <definedName name="A130392341K">Data4!$FG$1:$FG$10,Data4!$FG$90:$FG$111</definedName>
    <definedName name="A130392341K_Data">Data4!$FG$90:$FG$111</definedName>
    <definedName name="A130392341K_Latest">Data4!$FG$111</definedName>
    <definedName name="A130392348A">Data4!$FH$1:$FH$10,Data4!$FH$90:$FH$111</definedName>
    <definedName name="A130392348A_Data">Data4!$FH$90:$FH$111</definedName>
    <definedName name="A130392348A_Latest">Data4!$FH$111</definedName>
    <definedName name="A130392355X">Data3!$FF$1:$FF$10,Data3!$FF$90:$FF$111</definedName>
    <definedName name="A130392355X_Data">Data3!$FF$90:$FF$111</definedName>
    <definedName name="A130392355X_Latest">Data3!$FF$111</definedName>
    <definedName name="A130392418W">Data2!$AH$1:$AH$10,Data2!$AH$11:$AH$111</definedName>
    <definedName name="A130392418W_Data">Data2!$AH$11:$AH$111</definedName>
    <definedName name="A130392418W_Latest">Data2!$AH$111</definedName>
    <definedName name="A130392425V">Data2!$FJ$1:$FJ$10,Data2!$FJ$11:$FJ$111</definedName>
    <definedName name="A130392425V_Data">Data2!$FJ$11:$FJ$111</definedName>
    <definedName name="A130392425V_Latest">Data2!$FJ$111</definedName>
    <definedName name="A130392432T">Data2!$AI$1:$AI$10,Data2!$AI$11:$AI$111</definedName>
    <definedName name="A130392432T_Data">Data2!$AI$11:$AI$111</definedName>
    <definedName name="A130392432T_Latest">Data2!$AI$111</definedName>
    <definedName name="A130392439J">Data2!$FK$1:$FK$10,Data2!$FK$11:$FK$111</definedName>
    <definedName name="A130392439J_Data">Data2!$FK$11:$FK$111</definedName>
    <definedName name="A130392439J_Latest">Data2!$FK$111</definedName>
    <definedName name="A130392453C">Data3!$FY$1:$FY$10,Data3!$FY$11:$FY$111</definedName>
    <definedName name="A130392453C_Data">Data3!$FY$11:$FY$111</definedName>
    <definedName name="A130392453C_Latest">Data3!$FY$111</definedName>
    <definedName name="A130392460A">Data3!$AX$1:$AX$10,Data3!$AX$11:$AX$111</definedName>
    <definedName name="A130392460A_Data">Data3!$AX$11:$AX$111</definedName>
    <definedName name="A130392460A_Latest">Data3!$AX$111</definedName>
    <definedName name="A130392467T">Data3!$FZ$1:$FZ$10,Data3!$FZ$11:$FZ$111</definedName>
    <definedName name="A130392467T_Data">Data3!$FZ$11:$FZ$111</definedName>
    <definedName name="A130392467T_Latest">Data3!$FZ$111</definedName>
    <definedName name="A130392481L">Data4!$AQ$1:$AQ$10,Data4!$AQ$11:$AQ$111</definedName>
    <definedName name="A130392481L_Data">Data4!$AQ$11:$AQ$111</definedName>
    <definedName name="A130392481L_Latest">Data4!$AQ$111</definedName>
    <definedName name="A130392488C">Data5!$BE$1:$BE$10,Data5!$BE$11:$BE$111</definedName>
    <definedName name="A130392488C_Data">Data5!$BE$11:$BE$111</definedName>
    <definedName name="A130392488C_Latest">Data5!$BE$111</definedName>
    <definedName name="A130392495A">Data2!$HX$1:$HX$10,Data2!$HX$90:$HX$111</definedName>
    <definedName name="A130392495A_Data">Data2!$HX$90:$HX$111</definedName>
    <definedName name="A130392495A_Latest">Data2!$HX$111</definedName>
    <definedName name="A130392502L">Data2!$IN$1:$IN$10,Data2!$IN$90:$IN$111</definedName>
    <definedName name="A130392502L_Data">Data2!$IN$90:$IN$111</definedName>
    <definedName name="A130392502L_Latest">Data2!$IN$111</definedName>
    <definedName name="A130392509C">Data3!$DZ$1:$DZ$10,Data3!$DZ$90:$DZ$111</definedName>
    <definedName name="A130392509C_Data">Data3!$DZ$90:$DZ$111</definedName>
    <definedName name="A130392509C_Latest">Data3!$DZ$111</definedName>
    <definedName name="A130392516A">Data3!$B$1:$B$10,Data3!$B$90:$B$111</definedName>
    <definedName name="A130392516A_Data">Data3!$B$90:$B$111</definedName>
    <definedName name="A130392516A_Latest">Data3!$B$111</definedName>
    <definedName name="A130392523X">Data1!$DL$1:$DL$10,Data1!$DL$90:$DL$111</definedName>
    <definedName name="A130392523X_Data">Data1!$DL$90:$DL$111</definedName>
    <definedName name="A130392523X_Latest">Data1!$DL$111</definedName>
    <definedName name="A130392530W">Data5!$AN$1:$AN$10,Data5!$AN$90:$AN$111</definedName>
    <definedName name="A130392530W_Data">Data5!$AN$90:$AN$111</definedName>
    <definedName name="A130392530W_Latest">Data5!$AN$111</definedName>
    <definedName name="A130392537L">Data4!$FK$1:$FK$10,Data4!$FK$90:$FK$111</definedName>
    <definedName name="A130392537L_Data">Data4!$FK$90:$FK$111</definedName>
    <definedName name="A130392537L_Latest">Data4!$FK$111</definedName>
    <definedName name="A130392544K">Data3!$EY$1:$EY$10,Data3!$EY$11:$EY$111</definedName>
    <definedName name="A130392544K_Data">Data3!$EY$11:$EY$111</definedName>
    <definedName name="A130392544K_Latest">Data3!$EY$111</definedName>
    <definedName name="A130392551J">Data4!$AK$1:$AK$10,Data4!$AK$11:$AK$111</definedName>
    <definedName name="A130392551J_Data">Data4!$AK$11:$AK$111</definedName>
    <definedName name="A130392551J_Latest">Data4!$AK$111</definedName>
    <definedName name="A130392558X">Data1!$CE$1:$CE$10,Data1!$CE$90:$CE$111</definedName>
    <definedName name="A130392558X_Data">Data1!$CE$90:$CE$111</definedName>
    <definedName name="A130392558X_Latest">Data1!$CE$111</definedName>
    <definedName name="A130392565W">Data1!$CG$1:$CG$10,Data1!$CG$90:$CG$111</definedName>
    <definedName name="A130392565W_Data">Data1!$CG$90:$CG$111</definedName>
    <definedName name="A130392565W_Latest">Data1!$CG$111</definedName>
    <definedName name="A130392572V">Data3!$BD$1:$BD$10,Data3!$BD$11:$BD$111</definedName>
    <definedName name="A130392572V_Data">Data3!$BD$11:$BD$111</definedName>
    <definedName name="A130392572V_Latest">Data3!$BD$111</definedName>
    <definedName name="A130392579K">Data3!$GJ$1:$GJ$10,Data3!$GJ$11:$GJ$111</definedName>
    <definedName name="A130392579K_Data">Data3!$GJ$11:$GJ$111</definedName>
    <definedName name="A130392579K_Latest">Data3!$GJ$111</definedName>
    <definedName name="A130392586J">Data1!$BD$1:$BD$10,Data1!$BD$69:$BD$111</definedName>
    <definedName name="A130392586J_Data">Data1!$BD$69:$BD$111</definedName>
    <definedName name="A130392586J_Latest">Data1!$BD$111</definedName>
    <definedName name="A130392593F">Data3!$CF$1:$CF$10,Data3!$CF$69:$CF$111</definedName>
    <definedName name="A130392593F_Data">Data3!$CF$69:$CF$111</definedName>
    <definedName name="A130392593F_Latest">Data3!$CF$111</definedName>
    <definedName name="A130392600T">Data4!$CT$1:$CT$10,Data4!$CT$69:$CT$111</definedName>
    <definedName name="A130392600T_Data">Data4!$CT$69:$CT$111</definedName>
    <definedName name="A130392600T_Latest">Data4!$CT$111</definedName>
    <definedName name="A130392607J">Data3!$CP$1:$CP$10,Data3!$CP$60:$CP$111</definedName>
    <definedName name="A130392607J_Data">Data3!$CP$60:$CP$111</definedName>
    <definedName name="A130392607J_Latest">Data3!$CP$111</definedName>
    <definedName name="A130392621C">Data1!$DY$1:$DY$10,Data1!$DY$90:$DY$111</definedName>
    <definedName name="A130392621C_Data">Data1!$DY$90:$DY$111</definedName>
    <definedName name="A130392621C_Latest">Data1!$DY$111</definedName>
    <definedName name="A130392628V">Data1!$DZ$1:$DZ$10,Data1!$DZ$90:$DZ$111</definedName>
    <definedName name="A130392628V_Data">Data1!$DZ$90:$DZ$111</definedName>
    <definedName name="A130392628V_Latest">Data1!$DZ$111</definedName>
    <definedName name="A130392754J">Data3!$X$1:$X$10,Data3!$X$90:$X$111</definedName>
    <definedName name="A130392754J_Data">Data3!$X$90:$X$111</definedName>
    <definedName name="A130392754J_Latest">Data3!$X$111</definedName>
    <definedName name="A130392782T">Data2!$AR$1:$AR$10,Data2!$AR$11:$AR$111</definedName>
    <definedName name="A130392782T_Data">Data2!$AR$11:$AR$111</definedName>
    <definedName name="A130392782T_Latest">Data2!$AR$111</definedName>
    <definedName name="A130392789J">Data4!$BT$1:$BT$10,Data4!$BT$11:$BT$111</definedName>
    <definedName name="A130392789J_Data">Data4!$BT$11:$BT$111</definedName>
    <definedName name="A130392789J_Latest">Data4!$BT$111</definedName>
    <definedName name="A130392796F">Data3!$BT$1:$BT$10,Data3!$BT$90:$BT$111</definedName>
    <definedName name="A130392796F_Data">Data3!$BT$90:$BT$111</definedName>
    <definedName name="A130392796F_Latest">Data3!$BT$111</definedName>
    <definedName name="A130392803T">Data4!$CH$1:$CH$10,Data4!$CH$90:$CH$111</definedName>
    <definedName name="A130392803T_Data">Data4!$CH$90:$CH$111</definedName>
    <definedName name="A130392803T_Latest">Data4!$CH$111</definedName>
    <definedName name="A130392810R">Data1!$GU$1:$GU$10,Data1!$GU$90:$GU$111</definedName>
    <definedName name="A130392810R_Data">Data1!$GU$90:$GU$111</definedName>
    <definedName name="A130392810R_Latest">Data1!$GU$111</definedName>
    <definedName name="A130392817F">Data2!$CH$1:$CH$10,Data2!$CH$90:$CH$111</definedName>
    <definedName name="A130392817F_Data">Data2!$CH$90:$CH$111</definedName>
    <definedName name="A130392817F_Latest">Data2!$CH$111</definedName>
    <definedName name="A130392824C">Data2!$GV$1:$GV$10,Data2!$GV$11:$GV$111</definedName>
    <definedName name="A130392824C_Data">Data2!$GV$11:$GV$111</definedName>
    <definedName name="A130392824C_Latest">Data2!$GV$111</definedName>
    <definedName name="A130392831A">Data3!$HJ$1:$HJ$10,Data3!$HJ$11:$HJ$111</definedName>
    <definedName name="A130392831A_Data">Data3!$HJ$11:$HJ$111</definedName>
    <definedName name="A130392831A_Latest">Data3!$HJ$111</definedName>
    <definedName name="A130392838T">Data1!$BH$1:$BH$10,Data1!$BH$90:$BH$111</definedName>
    <definedName name="A130392838T_Data">Data1!$BH$90:$BH$111</definedName>
    <definedName name="A130392838T_Latest">Data1!$BH$111</definedName>
    <definedName name="A130392845R">Data3!$CJ$1:$CJ$10,Data3!$CJ$90:$CJ$111</definedName>
    <definedName name="A130392845R_Data">Data3!$CJ$90:$CJ$111</definedName>
    <definedName name="A130392845R_Latest">Data3!$CJ$111</definedName>
    <definedName name="A130392852L">Data2!$IB$1:$IB$10,Data2!$IB$90:$IB$111</definedName>
    <definedName name="A130392852L_Data">Data2!$IB$90:$IB$111</definedName>
    <definedName name="A130392852L_Latest">Data2!$IB$111</definedName>
    <definedName name="A130392859C">Data2!$DT$1:$DT$10,Data2!$DT$90:$DT$111</definedName>
    <definedName name="A130392859C_Data">Data2!$DT$90:$DT$111</definedName>
    <definedName name="A130392859C_Latest">Data2!$DT$111</definedName>
    <definedName name="A130392866A">Data5!$AH$1:$AH$10,Data5!$AH$90:$AH$111</definedName>
    <definedName name="A130392866A_Data">Data5!$AH$90:$AH$111</definedName>
    <definedName name="A130392866A_Latest">Data5!$AH$111</definedName>
    <definedName name="A130392873X">Data1!$DH$1:$DH$10,Data1!$DH$90:$DH$111</definedName>
    <definedName name="A130392873X_Data">Data1!$DH$90:$DH$111</definedName>
    <definedName name="A130392873X_Latest">Data1!$DH$111</definedName>
    <definedName name="A130392887L">Data4!$EX$1:$EX$10,Data4!$EX$90:$EX$111</definedName>
    <definedName name="A130392887L_Data">Data4!$EX$90:$EX$111</definedName>
    <definedName name="A130392887L_Latest">Data4!$EX$111</definedName>
    <definedName name="A130392894K">Data2!$DQ$1:$DQ$10,Data2!$DQ$90:$DQ$111</definedName>
    <definedName name="A130392894K_Data">Data2!$DQ$90:$DQ$111</definedName>
    <definedName name="A130392894K_Latest">Data2!$DQ$111</definedName>
    <definedName name="A130392957J">Data1!$C$1:$C$10,Data1!$C$90:$C$111</definedName>
    <definedName name="A130392957J_Data">Data1!$C$90:$C$111</definedName>
    <definedName name="A130392957J_Latest">Data1!$C$111</definedName>
    <definedName name="A130392964F">Data1!$AQ$1:$AQ$10,Data1!$AQ$90:$AQ$111</definedName>
    <definedName name="A130392964F_Data">Data1!$AQ$90:$AQ$111</definedName>
    <definedName name="A130392964F_Latest">Data1!$AQ$111</definedName>
    <definedName name="A130392971C">Data2!$GG$1:$GG$10,Data2!$GG$90:$GG$111</definedName>
    <definedName name="A130392971C_Data">Data2!$GG$90:$GG$111</definedName>
    <definedName name="A130392971C_Latest">Data2!$GG$111</definedName>
    <definedName name="A130392978V">Data3!$BS$1:$BS$10,Data3!$BS$90:$BS$111</definedName>
    <definedName name="A130392978V_Data">Data3!$BS$90:$BS$111</definedName>
    <definedName name="A130392978V_Latest">Data3!$BS$111</definedName>
    <definedName name="A130392985T">Data1!$GE$1:$GE$10,Data1!$GE$90:$GE$111</definedName>
    <definedName name="A130392985T_Data">Data1!$GE$90:$GE$111</definedName>
    <definedName name="A130392985T_Latest">Data1!$GE$111</definedName>
    <definedName name="A130392992R">Data4!$CS$1:$CS$10,Data4!$CS$90:$CS$111</definedName>
    <definedName name="A130392992R_Data">Data4!$CS$90:$CS$111</definedName>
    <definedName name="A130392992R_Latest">Data4!$CS$111</definedName>
    <definedName name="A130392999F">Data1!$BO$1:$BO$10,Data1!$BO$90:$BO$111</definedName>
    <definedName name="A130392999F_Data">Data1!$BO$90:$BO$111</definedName>
    <definedName name="A130392999F_Latest">Data1!$BO$111</definedName>
    <definedName name="A130393006V">Data1!$GQ$1:$GQ$10,Data1!$GQ$90:$GQ$111</definedName>
    <definedName name="A130393006V_Data">Data1!$GQ$90:$GQ$111</definedName>
    <definedName name="A130393006V_Latest">Data1!$GQ$111</definedName>
    <definedName name="A130393013T">Data4!$IG$1:$IG$10,Data4!$IG$90:$IG$111</definedName>
    <definedName name="A130393013T_Data">Data4!$IG$90:$IG$111</definedName>
    <definedName name="A130393013T_Latest">Data4!$IG$111</definedName>
    <definedName name="A130393020R">Data2!$FZ$1:$FZ$10,Data2!$FZ$90:$FZ$111</definedName>
    <definedName name="A130393020R_Data">Data2!$FZ$90:$FZ$111</definedName>
    <definedName name="A130393020R_Latest">Data2!$FZ$111</definedName>
    <definedName name="A130393041A">Data4!$BF$1:$BF$10,Data4!$BF$11:$BF$111</definedName>
    <definedName name="A130393041A_Data">Data4!$BF$11:$BF$111</definedName>
    <definedName name="A130393041A_Latest">Data4!$BF$111</definedName>
    <definedName name="A130393048T">Data4!$AT$1:$AT$10,Data4!$AT$11:$AT$111</definedName>
    <definedName name="A130393048T_Data">Data4!$AT$11:$AT$111</definedName>
    <definedName name="A130393048T_Latest">Data4!$AT$111</definedName>
    <definedName name="A130393055R">Data1!$I$1:$I$10,Data1!$I$11:$I$111</definedName>
    <definedName name="A130393055R_Data">Data1!$I$11:$I$111</definedName>
    <definedName name="A130393055R_Latest">Data1!$I$111</definedName>
    <definedName name="A130393062L">Data3!$AK$1:$AK$10,Data3!$AK$11:$AK$111</definedName>
    <definedName name="A130393062L_Data">Data3!$AK$11:$AK$111</definedName>
    <definedName name="A130393062L_Latest">Data3!$AK$111</definedName>
    <definedName name="A130393069C">Data4!$GA$1:$GA$10,Data4!$GA$11:$GA$111</definedName>
    <definedName name="A130393069C_Data">Data4!$GA$11:$GA$111</definedName>
    <definedName name="A130393069C_Latest">Data4!$GA$111</definedName>
    <definedName name="A130393076A">Data2!$GL$1:$GL$10,Data2!$GL$90:$GL$111</definedName>
    <definedName name="A130393076A_Data">Data2!$GL$90:$GL$111</definedName>
    <definedName name="A130393076A_Latest">Data2!$GL$111</definedName>
    <definedName name="A130393083X">Data2!$BY$1:$BY$10,Data2!$BY$90:$BY$111</definedName>
    <definedName name="A130393083X_Data">Data2!$BY$90:$BY$111</definedName>
    <definedName name="A130393083X_Latest">Data2!$BY$111</definedName>
    <definedName name="A130393097L">Data3!$HO$1:$HO$10,Data3!$HO$90:$HO$111</definedName>
    <definedName name="A130393097L_Data">Data3!$HO$90:$HO$111</definedName>
    <definedName name="A130393097L_Latest">Data3!$HO$111</definedName>
    <definedName name="A130393104X">Data1!$IA$1:$IA$10,Data1!$IA$90:$IA$111</definedName>
    <definedName name="A130393104X_Data">Data1!$IA$90:$IA$111</definedName>
    <definedName name="A130393104X_Latest">Data1!$IA$111</definedName>
    <definedName name="A130393111W">Data3!$EA$1:$EA$10,Data3!$EA$90:$EA$111</definedName>
    <definedName name="A130393111W_Data">Data3!$EA$90:$EA$111</definedName>
    <definedName name="A130393111W_Latest">Data3!$EA$111</definedName>
    <definedName name="A130393125K">Data4!$EL$1:$EL$10,Data4!$EL$90:$EL$111</definedName>
    <definedName name="A130393125K_Data">Data4!$EL$90:$EL$111</definedName>
    <definedName name="A130393125K_Latest">Data4!$EL$111</definedName>
    <definedName name="A130393132J">Data2!$GA$1:$GA$10,Data2!$GA$90:$GA$111</definedName>
    <definedName name="A130393132J_Data">Data2!$GA$90:$GA$111</definedName>
    <definedName name="A130393132J_Latest">Data2!$GA$111</definedName>
    <definedName name="A130393139X">Data3!$BQ$1:$BQ$10,Data3!$BQ$11:$BQ$111</definedName>
    <definedName name="A130393139X_Data">Data3!$BQ$11:$BQ$111</definedName>
    <definedName name="A130393139X_Latest">Data3!$BQ$111</definedName>
    <definedName name="A130393146W">Data3!$GS$1:$GS$10,Data3!$GS$11:$GS$111</definedName>
    <definedName name="A130393146W_Data">Data3!$GS$11:$GS$111</definedName>
    <definedName name="A130393146W_Latest">Data3!$GS$111</definedName>
    <definedName name="A130393153V">Data2!$DW$1:$DW$10,Data2!$DW$11:$DW$111</definedName>
    <definedName name="A130393153V_Data">Data2!$DW$11:$DW$111</definedName>
    <definedName name="A130393153V_Latest">Data2!$DW$111</definedName>
    <definedName name="A130393160T">Data3!$I$1:$I$10,Data3!$I$11:$I$111</definedName>
    <definedName name="A130393160T_Data">Data3!$I$11:$I$111</definedName>
    <definedName name="A130393160T_Latest">Data3!$I$111</definedName>
    <definedName name="A130393167J">Data4!$W$1:$W$10,Data4!$W$11:$W$111</definedName>
    <definedName name="A130393167J_Data">Data4!$W$11:$W$111</definedName>
    <definedName name="A130393167J_Latest">Data4!$W$111</definedName>
    <definedName name="A130393174F">Data1!$ET$1:$ET$10,Data1!$ET$11:$ET$111</definedName>
    <definedName name="A130393174F_Data">Data1!$ET$11:$ET$111</definedName>
    <definedName name="A130393174F_Latest">Data1!$ET$111</definedName>
    <definedName name="A130393181C">Data2!$AF$1:$AF$10,Data2!$AF$11:$AF$111</definedName>
    <definedName name="A130393181C_Data">Data2!$AF$11:$AF$111</definedName>
    <definedName name="A130393181C_Latest">Data2!$AF$111</definedName>
    <definedName name="A130393188V">Data2!$FI$1:$FI$10,Data2!$FI$11:$FI$111</definedName>
    <definedName name="A130393188V_Data">Data2!$FI$11:$FI$111</definedName>
    <definedName name="A130393188V_Latest">Data2!$FI$111</definedName>
    <definedName name="A130393209V">Data4!$AU$1:$AU$10,Data4!$AU$11:$AU$111</definedName>
    <definedName name="A130393209V_Data">Data4!$AU$11:$AU$111</definedName>
    <definedName name="A130393209V_Latest">Data4!$AU$111</definedName>
    <definedName name="A130393216T">Data4!$FX$1:$FX$10,Data4!$FX$11:$FX$111</definedName>
    <definedName name="A130393216T_Data">Data4!$FX$11:$FX$111</definedName>
    <definedName name="A130393216T_Latest">Data4!$FX$111</definedName>
    <definedName name="A130393230L">Data2!$V$1:$V$10,Data2!$V$11:$V$111</definedName>
    <definedName name="A130393230L_Data">Data2!$V$11:$V$111</definedName>
    <definedName name="A130393230L_Latest">Data2!$V$111</definedName>
    <definedName name="A130393237C">Data3!$AJ$1:$AJ$10,Data3!$AJ$11:$AJ$111</definedName>
    <definedName name="A130393237C_Data">Data3!$AJ$11:$AJ$111</definedName>
    <definedName name="A130393237C_Latest">Data3!$AJ$111</definedName>
    <definedName name="A130393251X">Data4!$GZ$1:$GZ$10,Data4!$GZ$90:$GZ$111</definedName>
    <definedName name="A130393251X_Data">Data4!$GZ$90:$GZ$111</definedName>
    <definedName name="A130393251X_Latest">Data4!$GZ$111</definedName>
    <definedName name="A130393258R">Data3!$BK$1:$BK$10,Data3!$BK$90:$BK$111</definedName>
    <definedName name="A130393258R_Data">Data3!$BK$90:$BK$111</definedName>
    <definedName name="A130393258R_Latest">Data3!$BK$111</definedName>
    <definedName name="A130393265L">Data3!$GG$1:$GG$10,Data3!$GG$11:$GG$111</definedName>
    <definedName name="A130393265L_Data">Data3!$GG$11:$GG$111</definedName>
    <definedName name="A130393265L_Latest">Data3!$GG$111</definedName>
    <definedName name="A130393272K">Data3!$BY$1:$BY$10,Data3!$BY$90:$BY$111</definedName>
    <definedName name="A130393272K_Data">Data3!$BY$90:$BY$111</definedName>
    <definedName name="A130393272K_Latest">Data3!$BY$111</definedName>
    <definedName name="A130393286X">Data3!$HA$1:$HA$10,Data3!$HA$90:$HA$111</definedName>
    <definedName name="A130393286X_Data">Data3!$HA$90:$HA$111</definedName>
    <definedName name="A130393286X_Latest">Data3!$HA$111</definedName>
    <definedName name="A130393293W">Data1!$AX$1:$AX$10,Data1!$AX$90:$AX$111</definedName>
    <definedName name="A130393293W_Data">Data1!$AX$90:$AX$111</definedName>
    <definedName name="A130393293W_Latest">Data1!$AX$111</definedName>
    <definedName name="A130393300J">Data3!$HB$1:$HB$10,Data3!$HB$90:$HB$111</definedName>
    <definedName name="A130393300J_Data">Data3!$HB$90:$HB$111</definedName>
    <definedName name="A130393300J_Latest">Data3!$HB$111</definedName>
    <definedName name="A130393307X">Data1!$GX$1:$GX$10,Data1!$GX$90:$GX$111</definedName>
    <definedName name="A130393307X_Data">Data1!$GX$90:$GX$111</definedName>
    <definedName name="A130393307X_Latest">Data1!$GX$111</definedName>
    <definedName name="A130393314W">Data3!$CX$1:$CX$10,Data3!$CX$90:$CX$111</definedName>
    <definedName name="A130393314W_Data">Data3!$CX$90:$CX$111</definedName>
    <definedName name="A130393314W_Latest">Data3!$CX$111</definedName>
    <definedName name="A130393321V">Data3!$DA$1:$DA$10,Data3!$DA$90:$DA$111</definedName>
    <definedName name="A130393321V_Data">Data3!$DA$90:$DA$111</definedName>
    <definedName name="A130393321V_Latest">Data3!$DA$111</definedName>
    <definedName name="A130393328K">Data2!$CO$1:$CO$10,Data2!$CO$11:$CO$111</definedName>
    <definedName name="A130393328K_Data">Data2!$CO$11:$CO$111</definedName>
    <definedName name="A130393328K_Latest">Data2!$CO$111</definedName>
    <definedName name="A130393335J">Data3!$ER$1:$ER$10,Data3!$ER$90:$ER$111</definedName>
    <definedName name="A130393335J_Data">Data3!$ER$90:$ER$111</definedName>
    <definedName name="A130393335J_Latest">Data3!$ER$111</definedName>
    <definedName name="A130393342F">Data5!$AR$1:$AR$10,Data5!$AR$90:$AR$111</definedName>
    <definedName name="A130393342F_Data">Data5!$AR$90:$AR$111</definedName>
    <definedName name="A130393342F_Latest">Data5!$AR$111</definedName>
    <definedName name="A130393349W">Data4!$FE$1:$FE$10,Data4!$FE$11:$FE$111</definedName>
    <definedName name="A130393349W_Data">Data4!$FE$11:$FE$111</definedName>
    <definedName name="A130393349W_Latest">Data4!$FE$111</definedName>
    <definedName name="A130393356V">Data5!$AQ$1:$AQ$10,Data5!$AQ$11:$AQ$111</definedName>
    <definedName name="A130393356V_Data">Data5!$AQ$11:$AQ$111</definedName>
    <definedName name="A130393356V_Latest">Data5!$AQ$111</definedName>
    <definedName name="A130393363T">Data2!$DO$1:$DO$10,Data2!$DO$90:$DO$111</definedName>
    <definedName name="A130393363T_Data">Data2!$DO$90:$DO$111</definedName>
    <definedName name="A130393363T_Latest">Data2!$DO$111</definedName>
    <definedName name="A130393370R">Data1!$CQ$1:$CQ$10,Data1!$CQ$90:$CQ$111</definedName>
    <definedName name="A130393370R_Data">Data1!$CQ$90:$CQ$111</definedName>
    <definedName name="A130393370R_Latest">Data1!$CQ$111</definedName>
    <definedName name="A130393377F">Data3!$DW$1:$DW$10,Data3!$DW$90:$DW$111</definedName>
    <definedName name="A130393377F_Data">Data3!$DW$90:$DW$111</definedName>
    <definedName name="A130393377F_Latest">Data3!$DW$111</definedName>
    <definedName name="A130393384C">Data2!$IH$1:$IH$10,Data2!$IH$90:$IH$111</definedName>
    <definedName name="A130393384C_Data">Data2!$IH$90:$IH$111</definedName>
    <definedName name="A130393384C_Latest">Data2!$IH$111</definedName>
    <definedName name="A130393398T">Data2!$DH$1:$DH$10,Data2!$DH$90:$DH$111</definedName>
    <definedName name="A130393398T_Data">Data2!$DH$90:$DH$111</definedName>
    <definedName name="A130393398T_Latest">Data2!$DH$111</definedName>
    <definedName name="A130393405C">Data4!$H$1:$H$10,Data4!$H$90:$H$111</definedName>
    <definedName name="A130393405C_Data">Data4!$H$90:$H$111</definedName>
    <definedName name="A130393405C_Latest">Data4!$H$111</definedName>
    <definedName name="A130393419T">Data3!$BO$1:$BO$10,Data3!$BO$90:$BO$111</definedName>
    <definedName name="A130393419T_Data">Data3!$BO$90:$BO$111</definedName>
    <definedName name="A130393419T_Latest">Data3!$BO$111</definedName>
    <definedName name="A130393426R">Data3!$GQ$1:$GQ$10,Data3!$GQ$90:$GQ$111</definedName>
    <definedName name="A130393426R_Data">Data3!$GQ$90:$GQ$111</definedName>
    <definedName name="A130393426R_Latest">Data3!$GQ$111</definedName>
    <definedName name="A130393433L">Data4!$CC$1:$CC$10,Data4!$CC$90:$CC$111</definedName>
    <definedName name="A130393433L_Data">Data4!$CC$90:$CC$111</definedName>
    <definedName name="A130393433L_Latest">Data4!$CC$111</definedName>
    <definedName name="A130393447A">Data4!$CB$1:$CB$10,Data4!$CB$11:$CB$111</definedName>
    <definedName name="A130393447A_Data">Data4!$CB$11:$CB$111</definedName>
    <definedName name="A130393447A_Latest">Data4!$CB$111</definedName>
    <definedName name="A130393454X">Data4!$HD$1:$HD$10,Data4!$HD$11:$HD$111</definedName>
    <definedName name="A130393454X_Data">Data4!$HD$11:$HD$111</definedName>
    <definedName name="A130393454X_Latest">Data4!$HD$111</definedName>
    <definedName name="A130393461W">Data3!$GT$1:$GT$10,Data3!$GT$11:$GT$111</definedName>
    <definedName name="A130393461W_Data">Data3!$GT$11:$GT$111</definedName>
    <definedName name="A130393461W_Latest">Data3!$GT$111</definedName>
    <definedName name="A130393468L">Data4!$HH$1:$HH$10,Data4!$HH$11:$HH$111</definedName>
    <definedName name="A130393468L_Data">Data4!$HH$11:$HH$111</definedName>
    <definedName name="A130393468L_Latest">Data4!$HH$111</definedName>
    <definedName name="A130393475K">Data4!$EC$1:$EC$10,Data4!$EC$90:$EC$111</definedName>
    <definedName name="A130393475K_Data">Data4!$EC$90:$EC$111</definedName>
    <definedName name="A130393475K_Latest">Data4!$EC$111</definedName>
    <definedName name="A130393489X">Data2!$ID$1:$ID$10,Data2!$ID$90:$ID$111</definedName>
    <definedName name="A130393489X_Data">Data2!$ID$90:$ID$111</definedName>
    <definedName name="A130393489X_Latest">Data2!$ID$111</definedName>
    <definedName name="A130393503J">Data1!$CJ$1:$CJ$10,Data1!$CJ$90:$CJ$111</definedName>
    <definedName name="A130393503J_Data">Data1!$CJ$90:$CJ$111</definedName>
    <definedName name="A130393503J_Latest">Data1!$CJ$111</definedName>
    <definedName name="A130393510F">Data3!$DL$1:$DL$10,Data3!$DL$90:$DL$111</definedName>
    <definedName name="A130393510F_Data">Data3!$DL$90:$DL$111</definedName>
    <definedName name="A130393510F_Latest">Data3!$DL$111</definedName>
    <definedName name="A130393524V">Data3!$DD$1:$DD$10,Data3!$DD$11:$DD$111</definedName>
    <definedName name="A130393524V_Data">Data3!$DD$11:$DD$111</definedName>
    <definedName name="A130393524V_Latest">Data3!$DD$111</definedName>
    <definedName name="A130393538J">Data2!$CT$1:$CT$10,Data2!$CT$90:$CT$111</definedName>
    <definedName name="A130393538J_Data">Data2!$CT$90:$CT$111</definedName>
    <definedName name="A130393538J_Latest">Data2!$CT$111</definedName>
    <definedName name="A130393552C">Data4!$FA$1:$FA$10,Data4!$FA$11:$FA$111</definedName>
    <definedName name="A130393552C_Data">Data4!$FA$11:$FA$111</definedName>
    <definedName name="A130393552C_Latest">Data4!$FA$111</definedName>
    <definedName name="A130393559V">Data1!$DT$1:$DT$10,Data1!$DT$90:$DT$111</definedName>
    <definedName name="A130393559V_Data">Data1!$DT$90:$DT$111</definedName>
    <definedName name="A130393559V_Latest">Data1!$DT$111</definedName>
    <definedName name="A130393566T">Data3!$T$1:$T$10,Data3!$T$90:$T$111</definedName>
    <definedName name="A130393566T_Data">Data3!$T$90:$T$111</definedName>
    <definedName name="A130393566T_Latest">Data3!$T$111</definedName>
    <definedName name="A130393580L">Data4!$AH$1:$AH$10,Data4!$AH$90:$AH$111</definedName>
    <definedName name="A130393580L_Data">Data4!$AH$90:$AH$111</definedName>
    <definedName name="A130393580L_Latest">Data4!$AH$111</definedName>
    <definedName name="A130393587C">Data4!$GR$1:$GR$10,Data4!$GR$11:$GR$111</definedName>
    <definedName name="A130393587C_Data">Data4!$GR$11:$GR$111</definedName>
    <definedName name="A130393587C_Latest">Data4!$GR$111</definedName>
    <definedName name="A130393594A">Data1!$FU$1:$FU$10,Data1!$FU$90:$FU$111</definedName>
    <definedName name="A130393594A_Data">Data1!$FU$90:$FU$111</definedName>
    <definedName name="A130393594A_Latest">Data1!$FU$111</definedName>
    <definedName name="A130393601L">Data3!$GW$1:$GW$10,Data3!$GW$90:$GW$111</definedName>
    <definedName name="A130393601L_Data">Data3!$GW$90:$GW$111</definedName>
    <definedName name="A130393601L_Latest">Data3!$GW$111</definedName>
    <definedName name="A130393608C">Data4!$HL$1:$HL$10,Data4!$HL$90:$HL$111</definedName>
    <definedName name="A130393608C_Data">Data4!$HL$90:$HL$111</definedName>
    <definedName name="A130393608C_Latest">Data4!$HL$111</definedName>
    <definedName name="A130393615A">Data4!$HM$1:$HM$10,Data4!$HM$90:$HM$111</definedName>
    <definedName name="A130393615A_Data">Data4!$HM$90:$HM$111</definedName>
    <definedName name="A130393615A_Latest">Data4!$HM$111</definedName>
    <definedName name="A130393622X">Data3!$HE$1:$HE$10,Data3!$HE$90:$HE$111</definedName>
    <definedName name="A130393622X_Data">Data3!$HE$90:$HE$111</definedName>
    <definedName name="A130393622X_Latest">Data3!$HE$111</definedName>
    <definedName name="A130393629R">Data2!$BZ$1:$BZ$10,Data2!$BZ$90:$BZ$111</definedName>
    <definedName name="A130393629R_Data">Data2!$BZ$90:$BZ$111</definedName>
    <definedName name="A130393629R_Latest">Data2!$BZ$111</definedName>
    <definedName name="A130393636L">Data3!$CN$1:$CN$10,Data3!$CN$90:$CN$111</definedName>
    <definedName name="A130393636L_Data">Data3!$CN$90:$CN$111</definedName>
    <definedName name="A130393636L_Latest">Data3!$CN$111</definedName>
    <definedName name="A130393643K">Data1!$BU$1:$BU$10,Data1!$BU$90:$BU$111</definedName>
    <definedName name="A130393643K_Data">Data1!$BU$90:$BU$111</definedName>
    <definedName name="A130393643K_Latest">Data1!$BU$111</definedName>
    <definedName name="A130393650J">Data3!$CW$1:$CW$10,Data3!$CW$90:$CW$111</definedName>
    <definedName name="A130393650J_Data">Data3!$CW$90:$CW$111</definedName>
    <definedName name="A130393650J_Latest">Data3!$CW$111</definedName>
    <definedName name="A130393657X">Data3!$HY$1:$HY$10,Data3!$HY$90:$HY$111</definedName>
    <definedName name="A130393657X_Data">Data3!$HY$90:$HY$111</definedName>
    <definedName name="A130393657X_Latest">Data3!$HY$111</definedName>
    <definedName name="A130393664W">Data4!$DP$1:$DP$10,Data4!$DP$11:$DP$111</definedName>
    <definedName name="A130393664W_Data">Data4!$DP$11:$DP$111</definedName>
    <definedName name="A130393664W_Latest">Data4!$DP$111</definedName>
    <definedName name="A130393671V">Data3!$DE$1:$DE$10,Data3!$DE$11:$DE$111</definedName>
    <definedName name="A130393671V_Data">Data3!$DE$11:$DE$111</definedName>
    <definedName name="A130393671V_Latest">Data3!$DE$111</definedName>
    <definedName name="A130393678K">Data3!$IG$1:$IG$10,Data3!$IG$11:$IG$111</definedName>
    <definedName name="A130393678K_Data">Data3!$IG$11:$IG$111</definedName>
    <definedName name="A130393678K_Latest">Data3!$IG$111</definedName>
    <definedName name="A130393685J">Data5!$F$1:$F$10,Data5!$F$90:$F$111</definedName>
    <definedName name="A130393685J_Data">Data5!$F$90:$F$111</definedName>
    <definedName name="A130393685J_Latest">Data5!$F$111</definedName>
    <definedName name="A130393692F">Data4!$EW$1:$EW$10,Data4!$EW$90:$EW$111</definedName>
    <definedName name="A130393692F_Data">Data4!$EW$90:$EW$111</definedName>
    <definedName name="A130393692F_Latest">Data4!$EW$111</definedName>
    <definedName name="A130393699W">Data3!$Q$1:$Q$10,Data3!$Q$90:$Q$111</definedName>
    <definedName name="A130393699W_Data">Data3!$Q$90:$Q$111</definedName>
    <definedName name="A130393699W_Latest">Data3!$Q$111</definedName>
    <definedName name="A130393706J">Data3!$ES$1:$ES$10,Data3!$ES$90:$ES$111</definedName>
    <definedName name="A130393706J_Data">Data3!$ES$90:$ES$111</definedName>
    <definedName name="A130393706J_Latest">Data3!$ES$111</definedName>
    <definedName name="A130393713F">Data3!$AD$1:$AD$10,Data3!$AD$90:$AD$111</definedName>
    <definedName name="A130393713F_Data">Data3!$AD$90:$AD$111</definedName>
    <definedName name="A130393713F_Latest">Data3!$AD$111</definedName>
    <definedName name="A130393727V">Data4!$FT$1:$FT$10,Data4!$FT$90:$FT$111</definedName>
    <definedName name="A130393727V_Data">Data4!$FT$90:$FT$111</definedName>
    <definedName name="A130393727V_Latest">Data4!$FT$111</definedName>
    <definedName name="A130393783L">Data4!$GM$1:$GM$10,Data4!$GM$11:$GM$111</definedName>
    <definedName name="A130393783L_Data">Data4!$GM$11:$GM$111</definedName>
    <definedName name="A130393783L_Latest">Data4!$GM$111</definedName>
    <definedName name="A130393790K">Data3!$FE$1:$FE$10,Data3!$FE$11:$FE$111</definedName>
    <definedName name="A130393790K_Data">Data3!$FE$11:$FE$111</definedName>
    <definedName name="A130393790K_Latest">Data3!$FE$111</definedName>
    <definedName name="A130393797A">Data1!$BW$1:$BW$10,Data1!$BW$90:$BW$111</definedName>
    <definedName name="A130393797A_Data">Data1!$BW$90:$BW$111</definedName>
    <definedName name="A130393797A_Latest">Data1!$BW$111</definedName>
    <definedName name="A130393804L">Data2!$HM$1:$HM$10,Data2!$HM$90:$HM$111</definedName>
    <definedName name="A130393804L_Data">Data2!$HM$90:$HM$111</definedName>
    <definedName name="A130393804L_Latest">Data2!$HM$111</definedName>
    <definedName name="A130393811K">Data4!$DM$1:$DM$10,Data4!$DM$90:$DM$111</definedName>
    <definedName name="A130393811K_Data">Data4!$DM$90:$DM$111</definedName>
    <definedName name="A130393811K_Latest">Data4!$DM$111</definedName>
    <definedName name="A130393818A">Data2!$CL$1:$CL$10,Data2!$CL$90:$CL$111</definedName>
    <definedName name="A130393818A_Data">Data2!$CL$90:$CL$111</definedName>
    <definedName name="A130393818A_Latest">Data2!$CL$111</definedName>
    <definedName name="A130393825X">Data1!$DB$1:$DB$10,Data1!$DB$90:$DB$111</definedName>
    <definedName name="A130393825X_Data">Data1!$DB$90:$DB$111</definedName>
    <definedName name="A130393825X_Latest">Data1!$DB$111</definedName>
    <definedName name="A130393839L">Data4!$Z$1:$Z$10,Data4!$Z$90:$Z$111</definedName>
    <definedName name="A130393839L_Data">Data4!$Z$90:$Z$111</definedName>
    <definedName name="A130393839L_Latest">Data4!$Z$111</definedName>
    <definedName name="A130393846K">Data2!$E$1:$E$10,Data2!$E$90:$E$111</definedName>
    <definedName name="A130393846K_Data">Data2!$E$90:$E$111</definedName>
    <definedName name="A130393846K_Latest">Data2!$E$111</definedName>
    <definedName name="A130393853J">Data1!$DU$1:$DU$10,Data1!$DU$90:$DU$111</definedName>
    <definedName name="A130393853J_Data">Data1!$DU$90:$DU$111</definedName>
    <definedName name="A130393853J_Latest">Data1!$DU$111</definedName>
    <definedName name="A130393860F">Data1!$DV$1:$DV$10,Data1!$DV$11:$DV$111</definedName>
    <definedName name="A130393860F_Data">Data1!$DV$11:$DV$111</definedName>
    <definedName name="A130393860F_Latest">Data1!$DV$111</definedName>
    <definedName name="A130393867W">Data4!$FL$1:$FL$10,Data4!$FL$11:$FL$111</definedName>
    <definedName name="A130393867W_Data">Data4!$FL$11:$FL$111</definedName>
    <definedName name="A130393867W_Latest">Data4!$FL$111</definedName>
    <definedName name="A130393874V">Data2!$I$1:$I$10,Data2!$I$11:$I$111</definedName>
    <definedName name="A130393874V_Data">Data2!$I$11:$I$111</definedName>
    <definedName name="A130393874V_Latest">Data2!$I$111</definedName>
    <definedName name="A130393881T">Data3!$W$1:$W$10,Data3!$W$11:$W$111</definedName>
    <definedName name="A130393881T_Data">Data3!$W$11:$W$111</definedName>
    <definedName name="A130393881T_Latest">Data3!$W$111</definedName>
    <definedName name="A130393888J">Data4!$FM$1:$FM$10,Data4!$FM$11:$FM$111</definedName>
    <definedName name="A130393888J_Data">Data4!$FM$11:$FM$111</definedName>
    <definedName name="A130393888J_Latest">Data4!$FM$111</definedName>
    <definedName name="A130393895F">Data2!$CS$1:$CS$10,Data2!$CS$90:$CS$111</definedName>
    <definedName name="A130393895F_Data">Data2!$CS$90:$CS$111</definedName>
    <definedName name="A130393895F_Latest">Data2!$CS$111</definedName>
    <definedName name="A130393902T">Data2!$HU$1:$HU$10,Data2!$HU$90:$HU$111</definedName>
    <definedName name="A130393902T_Data">Data2!$HU$90:$HU$111</definedName>
    <definedName name="A130393902T_Latest">Data2!$HU$111</definedName>
    <definedName name="A130393909J">Data3!$II$1:$II$10,Data3!$II$90:$II$111</definedName>
    <definedName name="A130393909J_Data">Data3!$II$90:$II$111</definedName>
    <definedName name="A130393909J_Latest">Data3!$II$111</definedName>
    <definedName name="A130393916F">Data4!$DW$1:$DW$10,Data4!$DW$90:$DW$111</definedName>
    <definedName name="A130393916F_Data">Data4!$DW$90:$DW$111</definedName>
    <definedName name="A130393916F_Latest">Data4!$DW$111</definedName>
    <definedName name="A130393923C">Data2!$AP$1:$AP$10,Data2!$AP$11:$AP$111</definedName>
    <definedName name="A130393923C_Data">Data2!$AP$11:$AP$111</definedName>
    <definedName name="A130393923C_Latest">Data2!$AP$111</definedName>
    <definedName name="A130393930A">Data3!$GF$1:$GF$10,Data3!$GF$11:$GF$111</definedName>
    <definedName name="A130393930A_Data">Data3!$GF$11:$GF$111</definedName>
    <definedName name="A130393930A_Latest">Data3!$GF$111</definedName>
    <definedName name="A130393937T">Data2!$AT$1:$AT$10,Data2!$AT$11:$AT$111</definedName>
    <definedName name="A130393937T_Data">Data2!$AT$11:$AT$111</definedName>
    <definedName name="A130393937T_Latest">Data2!$AT$111</definedName>
    <definedName name="A130393951L">Data4!$AM$1:$AM$10,Data4!$AM$90:$AM$111</definedName>
    <definedName name="A130393951L_Data">Data4!$AM$90:$AM$111</definedName>
    <definedName name="A130393951L_Latest">Data4!$AM$111</definedName>
    <definedName name="A130393958C">Data2!$L$1:$L$10,Data2!$L$90:$L$111</definedName>
    <definedName name="A130393958C_Data">Data2!$L$90:$L$111</definedName>
    <definedName name="A130393958C_Latest">Data2!$L$111</definedName>
    <definedName name="A130394098J">Data4!$BM$1:$BM$10,Data4!$BM$11:$BM$111</definedName>
    <definedName name="A130394098J_Data">Data4!$BM$11:$BM$111</definedName>
    <definedName name="A130394098J_Latest">Data4!$BM$111</definedName>
    <definedName name="A130394112T">Data3!$HW$1:$HW$10,Data3!$HW$90:$HW$111</definedName>
    <definedName name="A130394112T_Data">Data3!$HW$90:$HW$111</definedName>
    <definedName name="A130394112T_Latest">Data3!$HW$111</definedName>
    <definedName name="A130394119J">Data1!$BT$1:$BT$10,Data1!$BT$90:$BT$111</definedName>
    <definedName name="A130394119J_Data">Data1!$BT$90:$BT$111</definedName>
    <definedName name="A130394119J_Latest">Data1!$BT$111</definedName>
    <definedName name="A130394126F">Data2!$HJ$1:$HJ$10,Data2!$HJ$90:$HJ$111</definedName>
    <definedName name="A130394126F_Data">Data2!$HJ$90:$HJ$111</definedName>
    <definedName name="A130394126F_Latest">Data2!$HJ$111</definedName>
    <definedName name="A130394133C">Data1!$BP$1:$BP$10,Data1!$BP$90:$BP$111</definedName>
    <definedName name="A130394133C_Data">Data1!$BP$90:$BP$111</definedName>
    <definedName name="A130394133C_Latest">Data1!$BP$111</definedName>
    <definedName name="A130394140A">Data3!$CR$1:$CR$10,Data3!$CR$90:$CR$111</definedName>
    <definedName name="A130394140A_Data">Data3!$CR$90:$CR$111</definedName>
    <definedName name="A130394140A_Latest">Data3!$CR$111</definedName>
    <definedName name="A130394147T">Data2!$CF$1:$CF$10,Data2!$CF$90:$CF$111</definedName>
    <definedName name="A130394147T_Data">Data2!$CF$90:$CF$111</definedName>
    <definedName name="A130394147T_Latest">Data2!$CF$111</definedName>
    <definedName name="A130394154R">Data1!$BF$1:$BF$10,Data1!$BF$11:$BF$111</definedName>
    <definedName name="A130394154R_Data">Data1!$BF$11:$BF$111</definedName>
    <definedName name="A130394154R_Latest">Data1!$BF$111</definedName>
    <definedName name="A130394161L">Data1!$CI$1:$CI$10,Data1!$CI$90:$CI$111</definedName>
    <definedName name="A130394161L_Data">Data1!$CI$90:$CI$111</definedName>
    <definedName name="A130394161L_Latest">Data1!$CI$111</definedName>
    <definedName name="A130394168C">Data3!$DN$1:$DN$10,Data3!$DN$90:$DN$111</definedName>
    <definedName name="A130394168C_Data">Data3!$DN$90:$DN$111</definedName>
    <definedName name="A130394168C_Latest">Data3!$DN$111</definedName>
    <definedName name="A130394175A">Data4!$EB$1:$EB$10,Data4!$EB$90:$EB$111</definedName>
    <definedName name="A130394175A_Data">Data4!$EB$90:$EB$111</definedName>
    <definedName name="A130394175A_Latest">Data4!$EB$111</definedName>
    <definedName name="A130394182X">Data1!$IH$1:$IH$10,Data1!$IH$90:$IH$111</definedName>
    <definedName name="A130394182X_Data">Data1!$IH$90:$IH$111</definedName>
    <definedName name="A130394182X_Latest">Data1!$IH$111</definedName>
    <definedName name="A130394189R">Data3!$F$1:$F$10,Data3!$F$90:$F$111</definedName>
    <definedName name="A130394189R_Data">Data3!$F$90:$F$111</definedName>
    <definedName name="A130394189R_Latest">Data3!$F$111</definedName>
    <definedName name="A130394203X">Data3!$H$1:$H$10,Data3!$H$90:$H$111</definedName>
    <definedName name="A130394203X_Data">Data3!$H$90:$H$111</definedName>
    <definedName name="A130394203X_Latest">Data3!$H$111</definedName>
    <definedName name="A130394210W">Data4!$V$1:$V$10,Data4!$V$90:$V$111</definedName>
    <definedName name="A130394210W_Data">Data4!$V$90:$V$111</definedName>
    <definedName name="A130394210W_Latest">Data4!$V$111</definedName>
    <definedName name="A130394217L">Data1!$IE$1:$IE$10,Data1!$IE$90:$IE$111</definedName>
    <definedName name="A130394217L_Data">Data1!$IE$90:$IE$111</definedName>
    <definedName name="A130394217L_Latest">Data1!$IE$111</definedName>
    <definedName name="A130394224K">Data3!$EE$1:$EE$10,Data3!$EE$90:$EE$111</definedName>
    <definedName name="A130394224K_Data">Data3!$EE$90:$EE$111</definedName>
    <definedName name="A130394224K_Latest">Data3!$EE$111</definedName>
    <definedName name="A130394231J">Data1!$EB$1:$EB$10,Data1!$EB$11:$EB$111</definedName>
    <definedName name="A130394231J_Data">Data1!$EB$11:$EB$111</definedName>
    <definedName name="A130394231J_Latest">Data1!$EB$111</definedName>
    <definedName name="A130394238X">Data5!$BD$1:$BD$10,Data5!$BD$11:$BD$111</definedName>
    <definedName name="A130394238X_Data">Data5!$BD$11:$BD$111</definedName>
    <definedName name="A130394238X_Latest">Data5!$BD$111</definedName>
    <definedName name="A130394273F">Data3!$AE$1:$AE$10,Data3!$AE$90:$AE$111</definedName>
    <definedName name="A130394273F_Data">Data3!$AE$90:$AE$111</definedName>
    <definedName name="A130394273F_Latest">Data3!$AE$111</definedName>
    <definedName name="A130394280C">Data1!$BC$1:$BC$10,Data1!$BC$90:$BC$111</definedName>
    <definedName name="A130394280C_Data">Data1!$BC$90:$BC$111</definedName>
    <definedName name="A130394280C_Latest">Data1!$BC$111</definedName>
    <definedName name="A130394287V">Data2!$GS$1:$GS$10,Data2!$GS$90:$GS$111</definedName>
    <definedName name="A130394287V_Data">Data2!$GS$90:$GS$111</definedName>
    <definedName name="A130394287V_Latest">Data2!$GS$111</definedName>
    <definedName name="A130394294T">Data2!$HE$1:$HE$10,Data2!$HE$90:$HE$111</definedName>
    <definedName name="A130394294T_Data">Data2!$HE$90:$HE$111</definedName>
    <definedName name="A130394294T_Latest">Data2!$HE$111</definedName>
    <definedName name="A130394301C">Data3!$HS$1:$HS$10,Data3!$HS$90:$HS$111</definedName>
    <definedName name="A130394301C_Data">Data3!$HS$90:$HS$111</definedName>
    <definedName name="A130394301C_Latest">Data3!$HS$111</definedName>
    <definedName name="A130394308V">Data4!$C$1:$C$10,Data4!$C$90:$C$111</definedName>
    <definedName name="A130394308V_Data">Data4!$C$90:$C$111</definedName>
    <definedName name="A130394308V_Latest">Data4!$C$111</definedName>
    <definedName name="A130394315T">Data4!$EE$1:$EE$10,Data4!$EE$90:$EE$111</definedName>
    <definedName name="A130394315T_Data">Data4!$EE$90:$EE$111</definedName>
    <definedName name="A130394315T_Latest">Data4!$EE$111</definedName>
    <definedName name="A130394322R">Data4!$BZ$1:$BZ$10,Data4!$BZ$90:$BZ$111</definedName>
    <definedName name="A130394322R_Data">Data4!$BZ$90:$BZ$111</definedName>
    <definedName name="A130394322R_Latest">Data4!$BZ$111</definedName>
    <definedName name="A130394329F">Data2!$FF$1:$FF$10,Data2!$FF$11:$FF$111</definedName>
    <definedName name="A130394329F_Data">Data2!$FF$11:$FF$111</definedName>
    <definedName name="A130394329F_Latest">Data2!$FF$111</definedName>
    <definedName name="A130394336C">Data3!$AR$1:$AR$10,Data3!$AR$11:$AR$111</definedName>
    <definedName name="A130394336C_Data">Data3!$AR$11:$AR$111</definedName>
    <definedName name="A130394336C_Latest">Data3!$AR$111</definedName>
    <definedName name="A130394343A">Data1!$D$1:$D$10,Data1!$D$11:$D$111</definedName>
    <definedName name="A130394343A_Data">Data1!$D$11:$D$111</definedName>
    <definedName name="A130394343A_Latest">Data1!$D$111</definedName>
    <definedName name="A130394350X">Data2!$ET$1:$ET$10,Data2!$ET$11:$ET$111</definedName>
    <definedName name="A130394350X_Data">Data2!$ET$11:$ET$111</definedName>
    <definedName name="A130394350X_Latest">Data2!$ET$111</definedName>
    <definedName name="A130394357R">Data2!$W$1:$W$10,Data2!$W$11:$W$111</definedName>
    <definedName name="A130394357R_Data">Data2!$W$11:$W$111</definedName>
    <definedName name="A130394357R_Latest">Data2!$W$111</definedName>
    <definedName name="A130394371K">Data1!$FI$1:$FI$10,Data1!$FI$90:$FI$111</definedName>
    <definedName name="A130394371K_Data">Data1!$FI$90:$FI$111</definedName>
    <definedName name="A130394371K_Latest">Data1!$FI$111</definedName>
    <definedName name="A130394378A">Data2!$BJ$1:$BJ$10,Data2!$BJ$90:$BJ$111</definedName>
    <definedName name="A130394378A_Data">Data2!$BJ$90:$BJ$111</definedName>
    <definedName name="A130394378A_Latest">Data2!$BJ$111</definedName>
    <definedName name="A130394385X">Data3!$HI$1:$HI$10,Data3!$HI$69:$HI$111</definedName>
    <definedName name="A130394385X_Data">Data3!$HI$69:$HI$111</definedName>
    <definedName name="A130394385X_Latest">Data3!$HI$111</definedName>
    <definedName name="A130394392W">Data4!$HW$1:$HW$10,Data4!$HW$69:$HW$111</definedName>
    <definedName name="A130394392W_Data">Data4!$HW$69:$HW$111</definedName>
    <definedName name="A130394392W_Latest">Data4!$HW$111</definedName>
    <definedName name="A130394399L">Data3!$CM$1:$CM$10,Data3!$CM$90:$CM$111</definedName>
    <definedName name="A130394399L_Data">Data3!$CM$90:$CM$111</definedName>
    <definedName name="A130394399L_Latest">Data3!$CM$111</definedName>
    <definedName name="A130394406X">Data4!$IC$1:$IC$10,Data4!$IC$90:$IC$111</definedName>
    <definedName name="A130394406X_Data">Data4!$IC$90:$IC$111</definedName>
    <definedName name="A130394406X_Latest">Data4!$IC$111</definedName>
    <definedName name="A130394420V">Data1!$AO$1:$AO$10,Data1!$AO$11:$AO$111</definedName>
    <definedName name="A130394420V_Data">Data1!$AO$11:$AO$111</definedName>
    <definedName name="A130394420V_Latest">Data1!$AO$111</definedName>
    <definedName name="A130394427K">Data2!$FG$1:$FG$10,Data2!$FG$11:$FG$111</definedName>
    <definedName name="A130394427K_Data">Data2!$FG$11:$FG$111</definedName>
    <definedName name="A130394427K_Latest">Data2!$FG$111</definedName>
    <definedName name="A130394434J">Data3!$FU$1:$FU$10,Data3!$FU$11:$FU$111</definedName>
    <definedName name="A130394434J_Data">Data3!$FU$11:$FU$111</definedName>
    <definedName name="A130394434J_Latest">Data3!$FU$111</definedName>
    <definedName name="A130394441F">Data3!$AG$1:$AG$10,Data3!$AG$11:$AG$111</definedName>
    <definedName name="A130394441F_Data">Data3!$AG$11:$AG$111</definedName>
    <definedName name="A130394441F_Latest">Data3!$AG$111</definedName>
    <definedName name="A130394448W">Data1!$F$1:$F$10,Data1!$F$11:$F$111</definedName>
    <definedName name="A130394448W_Data">Data1!$F$11:$F$111</definedName>
    <definedName name="A130394448W_Latest">Data1!$F$111</definedName>
    <definedName name="A130394455V">Data1!$EH$1:$EH$10,Data1!$EH$11:$EH$111</definedName>
    <definedName name="A130394455V_Data">Data1!$EH$11:$EH$111</definedName>
    <definedName name="A130394455V_Latest">Data1!$EH$111</definedName>
    <definedName name="A130394462T">Data1!$J$1:$J$10,Data1!$J$11:$J$111</definedName>
    <definedName name="A130394462T_Data">Data1!$J$11:$J$111</definedName>
    <definedName name="A130394462T_Latest">Data1!$J$111</definedName>
    <definedName name="A130394469J">Data2!$EZ$1:$EZ$10,Data2!$EZ$11:$EZ$111</definedName>
    <definedName name="A130394469J_Data">Data2!$EZ$11:$EZ$111</definedName>
    <definedName name="A130394469J_Latest">Data2!$EZ$111</definedName>
    <definedName name="A130394476F">Data2!$AB$1:$AB$10,Data2!$AB$11:$AB$111</definedName>
    <definedName name="A130394476F_Data">Data2!$AB$11:$AB$111</definedName>
    <definedName name="A130394476F_Latest">Data2!$AB$111</definedName>
    <definedName name="A130394483C">Data4!$BD$1:$BD$10,Data4!$BD$11:$BD$111</definedName>
    <definedName name="A130394483C_Data">Data4!$BD$11:$BD$111</definedName>
    <definedName name="A130394483C_Latest">Data4!$BD$111</definedName>
    <definedName name="A130394490A">Data4!$GG$1:$GG$10,Data4!$GG$11:$GG$111</definedName>
    <definedName name="A130394490A_Data">Data4!$GG$11:$GG$111</definedName>
    <definedName name="A130394490A_Latest">Data4!$GG$111</definedName>
    <definedName name="A130394497T">Data2!$AV$1:$AV$10,Data2!$AV$90:$AV$111</definedName>
    <definedName name="A130394497T_Data">Data2!$AV$90:$AV$111</definedName>
    <definedName name="A130394497T_Latest">Data2!$AV$111</definedName>
    <definedName name="A130394504C">Data2!$FX$1:$FX$10,Data2!$FX$90:$FX$111</definedName>
    <definedName name="A130394504C_Data">Data2!$FX$90:$FX$111</definedName>
    <definedName name="A130394504C_Latest">Data2!$FX$111</definedName>
    <definedName name="A130394511A">Data3!$AZ$1:$AZ$10,Data3!$AZ$11:$AZ$111</definedName>
    <definedName name="A130394511A_Data">Data3!$AZ$11:$AZ$111</definedName>
    <definedName name="A130394511A_Latest">Data3!$AZ$111</definedName>
    <definedName name="A130394518T">Data1!$FA$1:$FA$10,Data1!$FA$11:$FA$111</definedName>
    <definedName name="A130394518T_Data">Data1!$FA$11:$FA$111</definedName>
    <definedName name="A130394518T_Latest">Data1!$FA$111</definedName>
    <definedName name="A130394525R">Data2!$AM$1:$AM$10,Data2!$AM$11:$AM$111</definedName>
    <definedName name="A130394525R_Data">Data2!$AM$11:$AM$111</definedName>
    <definedName name="A130394525R_Latest">Data2!$AM$111</definedName>
    <definedName name="A130394532L">Data2!$FU$1:$FU$10,Data2!$FU$11:$FU$111</definedName>
    <definedName name="A130394532L_Data">Data2!$FU$11:$FU$111</definedName>
    <definedName name="A130394532L_Latest">Data2!$FU$111</definedName>
    <definedName name="A130394539C">Data3!$GI$1:$GI$10,Data3!$GI$11:$GI$111</definedName>
    <definedName name="A130394539C_Data">Data3!$GI$11:$GI$111</definedName>
    <definedName name="A130394539C_Latest">Data3!$GI$111</definedName>
    <definedName name="A130394546A">Data4!$GW$1:$GW$10,Data4!$GW$11:$GW$111</definedName>
    <definedName name="A130394546A_Data">Data4!$GW$11:$GW$111</definedName>
    <definedName name="A130394546A_Latest">Data4!$GW$111</definedName>
    <definedName name="A130394553X">Data3!$BE$1:$BE$10,Data3!$BE$11:$BE$111</definedName>
    <definedName name="A130394553X_Data">Data3!$BE$11:$BE$111</definedName>
    <definedName name="A130394553X_Latest">Data3!$BE$111</definedName>
    <definedName name="A130394560W">Data2!$GM$1:$GM$10,Data2!$GM$90:$GM$111</definedName>
    <definedName name="A130394560W_Data">Data2!$GM$90:$GM$111</definedName>
    <definedName name="A130394560W_Latest">Data2!$GM$111</definedName>
    <definedName name="A130394567L">Data3!$BZ$1:$BZ$10,Data3!$BZ$90:$BZ$111</definedName>
    <definedName name="A130394567L_Data">Data3!$BZ$90:$BZ$111</definedName>
    <definedName name="A130394567L_Latest">Data3!$BZ$111</definedName>
    <definedName name="A130394574K">Data4!$CR$1:$CR$10,Data4!$CR$90:$CR$111</definedName>
    <definedName name="A130394574K_Data">Data4!$CR$90:$CR$111</definedName>
    <definedName name="A130394574K_Latest">Data4!$CR$111</definedName>
    <definedName name="A130394581J">Data1!$BI$1:$BI$10,Data1!$BI$90:$BI$111</definedName>
    <definedName name="A130394581J_Data">Data1!$BI$90:$BI$111</definedName>
    <definedName name="A130394581J_Latest">Data1!$BI$111</definedName>
    <definedName name="A130394602J">Data3!$HU$1:$HU$10,Data3!$HU$90:$HU$111</definedName>
    <definedName name="A130394602J_Data">Data3!$HU$90:$HU$111</definedName>
    <definedName name="A130394602J_Latest">Data3!$HU$111</definedName>
    <definedName name="A130394609X">Data2!$CJ$1:$CJ$10,Data2!$CJ$90:$CJ$111</definedName>
    <definedName name="A130394609X_Data">Data2!$CJ$90:$CJ$111</definedName>
    <definedName name="A130394609X_Latest">Data2!$CJ$111</definedName>
    <definedName name="A130394616W">Data1!$HA$1:$HA$10,Data1!$HA$90:$HA$111</definedName>
    <definedName name="A130394616W_Data">Data1!$HA$90:$HA$111</definedName>
    <definedName name="A130394616W_Latest">Data1!$HA$111</definedName>
    <definedName name="A130394623V">Data1!$CA$1:$CA$10,Data1!$CA$11:$CA$111</definedName>
    <definedName name="A130394623V_Data">Data1!$CA$11:$CA$111</definedName>
    <definedName name="A130394623V_Latest">Data1!$CA$111</definedName>
    <definedName name="A130394630T">Data3!$EQ$1:$EQ$10,Data3!$EQ$11:$EQ$111</definedName>
    <definedName name="A130394630T_Data">Data3!$EQ$11:$EQ$111</definedName>
    <definedName name="A130394630T_Latest">Data3!$EQ$111</definedName>
    <definedName name="A130394637J">Data4!$N$1:$N$10,Data4!$N$69:$N$111</definedName>
    <definedName name="A130394637J_Data">Data4!$N$69:$N$111</definedName>
    <definedName name="A130394637J_Latest">Data4!$N$111</definedName>
    <definedName name="A130394644F">Data4!$EP$1:$EP$10,Data4!$EP$69:$EP$111</definedName>
    <definedName name="A130394644F_Data">Data4!$EP$69:$EP$111</definedName>
    <definedName name="A130394644F_Latest">Data4!$EP$111</definedName>
    <definedName name="A130394651C">Data1!$IC$1:$IC$10,Data1!$IC$90:$IC$111</definedName>
    <definedName name="A130394651C_Data">Data1!$IC$90:$IC$111</definedName>
    <definedName name="A130394651C_Latest">Data1!$IC$111</definedName>
    <definedName name="A130394658V">Data4!$O$1:$O$10,Data4!$O$90:$O$111</definedName>
    <definedName name="A130394658V_Data">Data4!$O$90:$O$111</definedName>
    <definedName name="A130394658V_Latest">Data4!$O$111</definedName>
    <definedName name="A130394665T">Data4!$EQ$1:$EQ$10,Data4!$EQ$90:$EQ$111</definedName>
    <definedName name="A130394665T_Data">Data4!$EQ$90:$EQ$111</definedName>
    <definedName name="A130394665T_Latest">Data4!$EQ$111</definedName>
    <definedName name="A130394672R">Data2!$IG$1:$IG$10,Data2!$IG$90:$IG$111</definedName>
    <definedName name="A130394672R_Data">Data2!$IG$90:$IG$111</definedName>
    <definedName name="A130394672R_Latest">Data2!$IG$111</definedName>
    <definedName name="A130394679F">Data2!$II$1:$II$10,Data2!$II$11:$II$111</definedName>
    <definedName name="A130394679F_Data">Data2!$II$11:$II$111</definedName>
    <definedName name="A130394679F_Latest">Data2!$II$111</definedName>
    <definedName name="A130394686C">Data4!$EI$1:$EI$10,Data4!$EI$11:$EI$111</definedName>
    <definedName name="A130394686C_Data">Data4!$EI$11:$EI$111</definedName>
    <definedName name="A130394686C_Latest">Data4!$EI$111</definedName>
    <definedName name="A130394693A">Data3!$DV$1:$DV$10,Data3!$DV$90:$DV$111</definedName>
    <definedName name="A130394693A_Data">Data3!$DV$90:$DV$111</definedName>
    <definedName name="A130394693A_Latest">Data3!$DV$111</definedName>
    <definedName name="A130394700L">Data1!$HY$1:$HY$10,Data1!$HY$90:$HY$111</definedName>
    <definedName name="A130394700L_Data">Data1!$HY$90:$HY$111</definedName>
    <definedName name="A130394700L_Latest">Data1!$HY$111</definedName>
    <definedName name="A130394707C">Data5!$Y$1:$Y$10,Data5!$Y$90:$Y$111</definedName>
    <definedName name="A130394707C_Data">Data5!$Y$90:$Y$111</definedName>
    <definedName name="A130394707C_Latest">Data5!$Y$111</definedName>
    <definedName name="A130394714A">Data3!$GP$1:$GP$10,Data3!$GP$11:$GP$111</definedName>
    <definedName name="A130394714A_Data">Data3!$GP$11:$GP$111</definedName>
    <definedName name="A130394714A_Latest">Data3!$GP$111</definedName>
    <definedName name="A130394721X">Data1!$AP$1:$AP$10,Data1!$AP$11:$AP$111</definedName>
    <definedName name="A130394721X_Data">Data1!$AP$11:$AP$111</definedName>
    <definedName name="A130394721X_Latest">Data1!$AP$111</definedName>
    <definedName name="A130394728R">Data2!$GF$1:$GF$10,Data2!$GF$11:$GF$111</definedName>
    <definedName name="A130394728R_Data">Data2!$GF$11:$GF$111</definedName>
    <definedName name="A130394728R_Latest">Data2!$GF$111</definedName>
    <definedName name="A130394735L">Data2!$IC$1:$IC$10,Data2!$IC$90:$IC$111</definedName>
    <definedName name="A130394735L_Data">Data2!$IC$90:$IC$111</definedName>
    <definedName name="A130394735L_Latest">Data2!$IC$111</definedName>
    <definedName name="A130394742K">Data1!$HP$1:$HP$10,Data1!$HP$90:$HP$111</definedName>
    <definedName name="A130394742K_Data">Data1!$HP$90:$HP$111</definedName>
    <definedName name="A130394742K_Latest">Data1!$HP$111</definedName>
    <definedName name="A130394749A">Data2!$HZ$1:$HZ$10,Data2!$HZ$90:$HZ$111</definedName>
    <definedName name="A130394749A_Data">Data2!$HZ$90:$HZ$111</definedName>
    <definedName name="A130394749A_Latest">Data2!$HZ$111</definedName>
    <definedName name="A130394756X">Data2!$HR$1:$HR$10,Data2!$HR$11:$HR$111</definedName>
    <definedName name="A130394756X_Data">Data2!$HR$11:$HR$111</definedName>
    <definedName name="A130394756X_Latest">Data2!$HR$111</definedName>
    <definedName name="A130394763W">Data4!$DR$1:$DR$10,Data4!$DR$11:$DR$111</definedName>
    <definedName name="A130394763W_Data">Data4!$DR$11:$DR$111</definedName>
    <definedName name="A130394763W_Latest">Data4!$DR$111</definedName>
    <definedName name="A130394770V">Data1!$DD$1:$DD$10,Data1!$DD$90:$DD$111</definedName>
    <definedName name="A130394770V_Data">Data1!$DD$90:$DD$111</definedName>
    <definedName name="A130394770V_Latest">Data1!$DD$111</definedName>
    <definedName name="A130394777K">Data2!$DR$1:$DR$10,Data2!$DR$90:$DR$111</definedName>
    <definedName name="A130394777K_Data">Data2!$DR$90:$DR$111</definedName>
    <definedName name="A130394777K_Latest">Data2!$DR$111</definedName>
    <definedName name="A130394784J">Data2!$DX$1:$DX$10,Data2!$DX$11:$DX$111</definedName>
    <definedName name="A130394784J_Data">Data2!$DX$11:$DX$111</definedName>
    <definedName name="A130394784J_Latest">Data2!$DX$111</definedName>
    <definedName name="A130394791F">Data1!$DK$1:$DK$10,Data1!$DK$11:$DK$111</definedName>
    <definedName name="A130394791F_Data">Data1!$DK$11:$DK$111</definedName>
    <definedName name="A130394791F_Latest">Data1!$DK$111</definedName>
    <definedName name="A130394805J">Data5!$AV$1:$AV$10,Data5!$AV$90:$AV$111</definedName>
    <definedName name="A130394805J_Data">Data5!$AV$90:$AV$111</definedName>
    <definedName name="A130394805J_Latest">Data5!$AV$111</definedName>
    <definedName name="A130394812F">Data3!$GD$1:$GD$10,Data3!$GD$11:$GD$111</definedName>
    <definedName name="A130394812F_Data">Data3!$GD$11:$GD$111</definedName>
    <definedName name="A130394812F_Latest">Data3!$GD$111</definedName>
    <definedName name="A130394826V">Data4!$GS$1:$GS$10,Data4!$GS$11:$GS$111</definedName>
    <definedName name="A130394826V_Data">Data4!$GS$11:$GS$111</definedName>
    <definedName name="A130394826V_Latest">Data4!$GS$111</definedName>
    <definedName name="A130394833T">Data2!$GI$1:$GI$10,Data2!$GI$90:$GI$111</definedName>
    <definedName name="A130394833T_Data">Data2!$GI$90:$GI$111</definedName>
    <definedName name="A130394833T_Latest">Data2!$GI$111</definedName>
    <definedName name="A130394840R">Data3!$BU$1:$BU$10,Data3!$BU$90:$BU$111</definedName>
    <definedName name="A130394840R_Data">Data3!$BU$90:$BU$111</definedName>
    <definedName name="A130394840R_Latest">Data3!$BU$111</definedName>
    <definedName name="A130394847F">Data1!$AU$1:$AU$10,Data1!$AU$90:$AU$111</definedName>
    <definedName name="A130394847F_Data">Data1!$AU$90:$AU$111</definedName>
    <definedName name="A130394847F_Latest">Data1!$AU$111</definedName>
    <definedName name="A130394854C">Data1!$AZ$1:$AZ$10,Data1!$AZ$90:$AZ$111</definedName>
    <definedName name="A130394854C_Data">Data1!$AZ$90:$AZ$111</definedName>
    <definedName name="A130394854C_Latest">Data1!$AZ$111</definedName>
    <definedName name="A130394861A">Data3!$HD$1:$HD$10,Data3!$HD$90:$HD$111</definedName>
    <definedName name="A130394861A_Data">Data3!$HD$90:$HD$111</definedName>
    <definedName name="A130394861A_Latest">Data3!$HD$111</definedName>
    <definedName name="A130394868T">Data4!$HR$1:$HR$10,Data4!$HR$90:$HR$111</definedName>
    <definedName name="A130394868T_Data">Data4!$HR$90:$HR$111</definedName>
    <definedName name="A130394868T_Latest">Data4!$HR$111</definedName>
    <definedName name="A130394875R">Data1!$GN$1:$GN$10,Data1!$GN$90:$GN$111</definedName>
    <definedName name="A130394875R_Data">Data1!$GN$90:$GN$111</definedName>
    <definedName name="A130394875R_Latest">Data1!$GN$111</definedName>
    <definedName name="A130394882L">Data2!$HB$1:$HB$10,Data2!$HB$90:$HB$111</definedName>
    <definedName name="A130394882L_Data">Data2!$HB$90:$HB$111</definedName>
    <definedName name="A130394882L_Latest">Data2!$HB$111</definedName>
    <definedName name="A130394889C">Data4!$CW$1:$CW$10,Data4!$CW$11:$CW$111</definedName>
    <definedName name="A130394889C_Data">Data4!$CW$11:$CW$111</definedName>
    <definedName name="A130394889C_Latest">Data4!$CW$111</definedName>
    <definedName name="A130394896A">Data2!$BX$1:$BX$10,Data2!$BX$11:$BX$111</definedName>
    <definedName name="A130394896A_Data">Data2!$BX$11:$BX$111</definedName>
    <definedName name="A130394896A_Latest">Data2!$BX$111</definedName>
    <definedName name="A130394903L">Data4!$IB$1:$IB$10,Data4!$IB$11:$IB$111</definedName>
    <definedName name="A130394903L_Data">Data4!$IB$11:$IB$111</definedName>
    <definedName name="A130394903L_Latest">Data4!$IB$111</definedName>
    <definedName name="A130394910K">Data2!$HP$1:$HP$10,Data2!$HP$11:$HP$111</definedName>
    <definedName name="A130394910K_Data">Data2!$HP$11:$HP$111</definedName>
    <definedName name="A130394910K_Latest">Data2!$HP$111</definedName>
    <definedName name="A130394924X">Data5!$B$1:$B$10,Data5!$B$11:$B$111</definedName>
    <definedName name="A130394924X_Data">Data5!$B$11:$B$111</definedName>
    <definedName name="A130394924X_Latest">Data5!$B$111</definedName>
    <definedName name="A130394931W">Data1!$HF$1:$HF$10,Data1!$HF$90:$HF$111</definedName>
    <definedName name="A130394931W_Data">Data1!$HF$90:$HF$111</definedName>
    <definedName name="A130394931W_Latest">Data1!$HF$111</definedName>
    <definedName name="A130394938L">Data3!$IH$1:$IH$10,Data3!$IH$90:$IH$111</definedName>
    <definedName name="A130394938L_Data">Data3!$IH$90:$IH$111</definedName>
    <definedName name="A130394938L_Latest">Data3!$IH$111</definedName>
    <definedName name="A130394945K">Data3!$G$1:$G$10,Data3!$G$90:$G$111</definedName>
    <definedName name="A130394945K_Data">Data3!$G$90:$G$111</definedName>
    <definedName name="A130394945K_Latest">Data3!$G$111</definedName>
    <definedName name="A130394959X">Data3!$M$1:$M$10,Data3!$M$90:$M$111</definedName>
    <definedName name="A130394959X_Data">Data3!$M$90:$M$111</definedName>
    <definedName name="A130394959X_Latest">Data3!$M$111</definedName>
    <definedName name="A130394966W">Data1!$DN$1:$DN$10,Data1!$DN$90:$DN$111</definedName>
    <definedName name="A130394966W_Data">Data1!$DN$90:$DN$111</definedName>
    <definedName name="A130394966W_Latest">Data1!$DN$111</definedName>
    <definedName name="A130394973V">Data4!$AE$1:$AE$10,Data4!$AE$90:$AE$111</definedName>
    <definedName name="A130394973V_Data">Data4!$AE$90:$AE$111</definedName>
    <definedName name="A130394973V_Latest">Data4!$AE$111</definedName>
    <definedName name="A130394980T">Data1!$DR$1:$DR$10,Data1!$DR$90:$DR$111</definedName>
    <definedName name="A130394980T_Data">Data1!$DR$90:$DR$111</definedName>
    <definedName name="A130394980T_Latest">Data1!$DR$111</definedName>
    <definedName name="A130394987J">Data2!$EF$1:$EF$10,Data2!$EF$90:$EF$111</definedName>
    <definedName name="A130394987J_Data">Data2!$EF$90:$EF$111</definedName>
    <definedName name="A130394987J_Latest">Data2!$EF$111</definedName>
    <definedName name="A130394994F">Data3!$R$1:$R$10,Data3!$R$90:$R$111</definedName>
    <definedName name="A130394994F_Data">Data3!$R$90:$R$111</definedName>
    <definedName name="A130394994F_Latest">Data3!$R$111</definedName>
    <definedName name="A130395001V">Data2!$ER$1:$ER$10,Data2!$ER$90:$ER$111</definedName>
    <definedName name="A130395001V_Data">Data2!$ER$90:$ER$111</definedName>
    <definedName name="A130395001V_Latest">Data2!$ER$111</definedName>
    <definedName name="A130395008K">Data4!$AR$1:$AR$10,Data4!$AR$90:$AR$111</definedName>
    <definedName name="A130395008K_Data">Data4!$AR$90:$AR$111</definedName>
    <definedName name="A130395008K_Latest">Data4!$AR$111</definedName>
    <definedName name="A130395099C">Data4!$IO$1:$IO$10,Data4!$IO$90:$IO$111</definedName>
    <definedName name="A130395099C_Data">Data4!$IO$90:$IO$111</definedName>
    <definedName name="A130395099C_Latest">Data4!$IO$111</definedName>
    <definedName name="A130395106R">Data1!$GZ$1:$GZ$10,Data1!$GZ$90:$GZ$111</definedName>
    <definedName name="A130395106R_Data">Data1!$GZ$90:$GZ$111</definedName>
    <definedName name="A130395106R_Latest">Data1!$GZ$111</definedName>
    <definedName name="A130395113L">Data3!$IB$1:$IB$10,Data3!$IB$90:$IB$111</definedName>
    <definedName name="A130395113L_Data">Data3!$IB$90:$IB$111</definedName>
    <definedName name="A130395113L_Latest">Data3!$IB$111</definedName>
    <definedName name="A130395120K">Data4!$DN$1:$DN$10,Data4!$DN$90:$DN$111</definedName>
    <definedName name="A130395120K_Data">Data4!$DN$90:$DN$111</definedName>
    <definedName name="A130395120K_Latest">Data4!$DN$111</definedName>
    <definedName name="A130395127A">Data2!$CV$1:$CV$10,Data2!$CV$90:$CV$111</definedName>
    <definedName name="A130395127A_Data">Data2!$CV$90:$CV$111</definedName>
    <definedName name="A130395127A_Latest">Data2!$CV$111</definedName>
    <definedName name="A130395134X">Data3!$ED$1:$ED$10,Data3!$ED$90:$ED$111</definedName>
    <definedName name="A130395134X_Data">Data3!$ED$90:$ED$111</definedName>
    <definedName name="A130395134X_Latest">Data3!$ED$111</definedName>
    <definedName name="A130395141W">Data3!$L$1:$L$10,Data3!$L$90:$L$111</definedName>
    <definedName name="A130395141W_Data">Data3!$L$90:$L$111</definedName>
    <definedName name="A130395141W_Latest">Data3!$L$111</definedName>
    <definedName name="A130395155K">Data3!$S$1:$S$10,Data3!$S$90:$S$111</definedName>
    <definedName name="A130395155K_Data">Data3!$S$90:$S$111</definedName>
    <definedName name="A130395155K_Latest">Data3!$S$111</definedName>
    <definedName name="A130395162J">Data5!$AU$1:$AU$10,Data5!$AU$90:$AU$111</definedName>
    <definedName name="A130395162J_Data">Data5!$AU$90:$AU$111</definedName>
    <definedName name="A130395162J_Latest">Data5!$AU$111</definedName>
    <definedName name="A130395169X">Data4!$AJ$1:$AJ$10,Data4!$AJ$11:$AJ$111</definedName>
    <definedName name="A130395169X_Data">Data4!$AJ$11:$AJ$111</definedName>
    <definedName name="A130395169X_Latest">Data4!$AJ$111</definedName>
    <definedName name="A130395176W">Data1!$DW$1:$DW$10,Data1!$DW$11:$DW$111</definedName>
    <definedName name="A130395176W_Data">Data1!$DW$11:$DW$111</definedName>
    <definedName name="A130395176W_Latest">Data1!$DW$111</definedName>
    <definedName name="A130395183V">Data5!$AY$1:$AY$10,Data5!$AY$11:$AY$111</definedName>
    <definedName name="A130395183V_Data">Data5!$AY$11:$AY$111</definedName>
    <definedName name="A130395183V_Latest">Data5!$AY$111</definedName>
    <definedName name="A130395190T">Data1!$HG$1:$HG$10,Data1!$HG$90:$HG$111</definedName>
    <definedName name="A130395190T_Data">Data1!$HG$90:$HG$111</definedName>
    <definedName name="A130395190T_Latest">Data1!$HG$111</definedName>
    <definedName name="A130395204V">Data5!$I$1:$I$10,Data5!$I$90:$I$111</definedName>
    <definedName name="A130395204V_Data">Data5!$I$90:$I$111</definedName>
    <definedName name="A130395204V_Latest">Data5!$I$111</definedName>
    <definedName name="A130395218J">Data4!$HV$1:$HV$10,Data4!$HV$69:$HV$111</definedName>
    <definedName name="A130395218J_Data">Data4!$HV$69:$HV$111</definedName>
    <definedName name="A130395218J_Latest">Data4!$HV$111</definedName>
    <definedName name="A130395225F">Data2!$CB$1:$CB$10,Data2!$CB$60:$CB$111</definedName>
    <definedName name="A130395225F_Data">Data2!$CB$60:$CB$111</definedName>
    <definedName name="A130395225F_Latest">Data2!$CB$111</definedName>
    <definedName name="A130395232C">Data4!$FP$1:$FP$10,Data4!$FP$90:$FP$111</definedName>
    <definedName name="A130395232C_Data">Data4!$FP$90:$FP$111</definedName>
    <definedName name="A130395232C_Latest">Data4!$FP$111</definedName>
    <definedName name="A130395288R">Data5!$AZ$1:$AZ$10,Data5!$AZ$90:$AZ$111</definedName>
    <definedName name="A130395288R_Data">Data5!$AZ$90:$AZ$111</definedName>
    <definedName name="A130395288R_Latest">Data5!$AZ$111</definedName>
    <definedName name="A130395330J">Data3!$AM$1:$AM$10,Data3!$AM$11:$AM$111</definedName>
    <definedName name="A130395330J_Data">Data3!$AM$11:$AM$111</definedName>
    <definedName name="A130395330J_Latest">Data3!$AM$111</definedName>
    <definedName name="A130395344W">Data4!$GC$1:$GC$10,Data4!$GC$11:$GC$111</definedName>
    <definedName name="A130395344W_Data">Data4!$GC$11:$GC$111</definedName>
    <definedName name="A130395344W_Latest">Data4!$GC$111</definedName>
    <definedName name="A130395351V">Data2!$FM$1:$FM$10,Data2!$FM$11:$FM$111</definedName>
    <definedName name="A130395351V_Data">Data2!$FM$11:$FM$111</definedName>
    <definedName name="A130395351V_Latest">Data2!$FM$111</definedName>
    <definedName name="A130395358K">Data3!$BF$1:$BF$10,Data3!$BF$11:$BF$111</definedName>
    <definedName name="A130395358K_Data">Data3!$BF$11:$BF$111</definedName>
    <definedName name="A130395358K_Latest">Data3!$BF$111</definedName>
    <definedName name="A130395365J">Data3!$GV$1:$GV$10,Data3!$GV$90:$GV$111</definedName>
    <definedName name="A130395365J_Data">Data3!$GV$90:$GV$111</definedName>
    <definedName name="A130395365J_Latest">Data3!$GV$111</definedName>
    <definedName name="A130395372F">Data4!$IK$1:$IK$10,Data4!$IK$90:$IK$111</definedName>
    <definedName name="A130395372F_Data">Data4!$IK$90:$IK$111</definedName>
    <definedName name="A130395372F_Latest">Data4!$IK$111</definedName>
    <definedName name="A130395386V">Data2!$CD$1:$CD$10,Data2!$CD$90:$CD$111</definedName>
    <definedName name="A130395386V_Data">Data2!$CD$90:$CD$111</definedName>
    <definedName name="A130395386V_Latest">Data2!$CD$111</definedName>
    <definedName name="A130395393T">Data4!$DF$1:$DF$10,Data4!$DF$90:$DF$111</definedName>
    <definedName name="A130395393T_Data">Data4!$DF$90:$DF$111</definedName>
    <definedName name="A130395393T_Latest">Data4!$DF$111</definedName>
    <definedName name="A130395400C">Data4!$IH$1:$IH$10,Data4!$IH$90:$IH$111</definedName>
    <definedName name="A130395400C_Data">Data4!$IH$90:$IH$111</definedName>
    <definedName name="A130395400C_Latest">Data4!$IH$111</definedName>
    <definedName name="A130395407V">Data3!$DK$1:$DK$10,Data3!$DK$90:$DK$111</definedName>
    <definedName name="A130395407V_Data">Data3!$DK$90:$DK$111</definedName>
    <definedName name="A130395407V_Latest">Data3!$DK$111</definedName>
    <definedName name="A130395414T">Data3!$IP$1:$IP$10,Data3!$IP$90:$IP$111</definedName>
    <definedName name="A130395414T_Data">Data3!$IP$90:$IP$111</definedName>
    <definedName name="A130395414T_Latest">Data3!$IP$111</definedName>
    <definedName name="A130395421R">Data4!$Q$1:$Q$10,Data4!$Q$90:$Q$111</definedName>
    <definedName name="A130395421R_Data">Data4!$Q$90:$Q$111</definedName>
    <definedName name="A130395421R_Latest">Data4!$Q$111</definedName>
    <definedName name="A130395428F">Data2!$N$1:$N$10,Data2!$N$11:$N$111</definedName>
    <definedName name="A130395428F_Data">Data2!$N$11:$N$111</definedName>
    <definedName name="A130395428F_Latest">Data2!$N$111</definedName>
    <definedName name="A130395470K">Data2!$ES$1:$ES$10,Data2!$ES$90:$ES$111</definedName>
    <definedName name="A130395470K_Data">Data2!$ES$90:$ES$111</definedName>
    <definedName name="A130395470K_Latest">Data2!$ES$111</definedName>
    <definedName name="A130395484X">Data2!$BQ$1:$BQ$10,Data2!$BQ$90:$BQ$111</definedName>
    <definedName name="A130395484X_Data">Data2!$BQ$90:$BQ$111</definedName>
    <definedName name="A130395484X_Latest">Data2!$BQ$111</definedName>
    <definedName name="A130395491W">Data3!$GN$1:$GN$10,Data3!$GN$90:$GN$111</definedName>
    <definedName name="A130395491W_Data">Data3!$GN$90:$GN$111</definedName>
    <definedName name="A130395491W_Latest">Data3!$GN$111</definedName>
    <definedName name="A130395498L">Data2!$AD$1:$AD$10,Data2!$AD$11:$AD$111</definedName>
    <definedName name="A130395498L_Data">Data2!$AD$11:$AD$111</definedName>
    <definedName name="A130395498L_Latest">Data2!$AD$111</definedName>
    <definedName name="A130395505X">Data3!$FH$1:$FH$10,Data3!$FH$11:$FH$111</definedName>
    <definedName name="A130395505X_Data">Data3!$FH$11:$FH$111</definedName>
    <definedName name="A130395505X_Latest">Data3!$FH$111</definedName>
    <definedName name="A130395512W">Data1!$FX$1:$FX$10,Data1!$FX$90:$FX$111</definedName>
    <definedName name="A130395512W_Data">Data1!$FX$90:$FX$111</definedName>
    <definedName name="A130395512W_Latest">Data1!$FX$111</definedName>
    <definedName name="A130395519L">Data3!$GZ$1:$GZ$10,Data3!$GZ$90:$GZ$111</definedName>
    <definedName name="A130395519L_Data">Data3!$GZ$90:$GZ$111</definedName>
    <definedName name="A130395519L_Latest">Data3!$GZ$111</definedName>
    <definedName name="A130395526K">Data3!$CG$1:$CG$10,Data3!$CG$69:$CG$111</definedName>
    <definedName name="A130395526K_Data">Data3!$CG$69:$CG$111</definedName>
    <definedName name="A130395526K_Latest">Data3!$CG$111</definedName>
    <definedName name="A130395533J">Data2!$DM$1:$DM$10,Data2!$DM$90:$DM$111</definedName>
    <definedName name="A130395533J_Data">Data2!$DM$90:$DM$111</definedName>
    <definedName name="A130395533J_Latest">Data2!$DM$111</definedName>
    <definedName name="A130395540F">Data2!$IO$1:$IO$10,Data2!$IO$90:$IO$111</definedName>
    <definedName name="A130395540F_Data">Data2!$IO$90:$IO$111</definedName>
    <definedName name="A130395540F_Latest">Data2!$IO$111</definedName>
    <definedName name="A130395547W">Data5!$AA$1:$AA$10,Data5!$AA$90:$AA$111</definedName>
    <definedName name="A130395547W_Data">Data5!$AA$90:$AA$111</definedName>
    <definedName name="A130395547W_Latest">Data5!$AA$111</definedName>
    <definedName name="A130395554V">Data1!$HR$1:$HR$10,Data1!$HR$90:$HR$111</definedName>
    <definedName name="A130395554V_Data">Data1!$HR$90:$HR$111</definedName>
    <definedName name="A130395554V_Latest">Data1!$HR$111</definedName>
    <definedName name="A130395561T">Data2!$DD$1:$DD$10,Data2!$DD$90:$DD$111</definedName>
    <definedName name="A130395561T_Data">Data2!$DD$90:$DD$111</definedName>
    <definedName name="A130395561T_Latest">Data2!$DD$111</definedName>
    <definedName name="A130395568J">Data3!$DX$1:$DX$10,Data3!$DX$90:$DX$111</definedName>
    <definedName name="A130395568J_Data">Data3!$DX$90:$DX$111</definedName>
    <definedName name="A130395568J_Latest">Data3!$DX$111</definedName>
    <definedName name="A130395575F">Data4!$HC$1:$HC$10,Data4!$HC$90:$HC$111</definedName>
    <definedName name="A130395575F_Data">Data4!$HC$90:$HC$111</definedName>
    <definedName name="A130395575F_Latest">Data4!$HC$111</definedName>
    <definedName name="A130395582C">Data2!$BC$1:$BC$10,Data2!$BC$11:$BC$111</definedName>
    <definedName name="A130395582C_Data">Data2!$BC$11:$BC$111</definedName>
    <definedName name="A130395582C_Latest">Data2!$BC$111</definedName>
    <definedName name="A130395589V">Data2!$GE$1:$GE$10,Data2!$GE$11:$GE$111</definedName>
    <definedName name="A130395589V_Data">Data2!$GE$11:$GE$111</definedName>
    <definedName name="A130395589V_Latest">Data2!$GE$111</definedName>
    <definedName name="A130395596T">Data4!$GI$1:$GI$10,Data4!$GI$11:$GI$111</definedName>
    <definedName name="A130395596T_Data">Data4!$GI$11:$GI$111</definedName>
    <definedName name="A130395596T_Latest">Data4!$GI$111</definedName>
    <definedName name="A130395603C">Data1!$R$1:$R$10,Data1!$R$11:$R$111</definedName>
    <definedName name="A130395603C_Data">Data1!$R$11:$R$111</definedName>
    <definedName name="A130395603C_Latest">Data1!$R$111</definedName>
    <definedName name="A130395610A">Data4!$BH$1:$BH$10,Data4!$BH$11:$BH$111</definedName>
    <definedName name="A130395610A_Data">Data4!$BH$11:$BH$111</definedName>
    <definedName name="A130395610A_Latest">Data4!$BH$111</definedName>
    <definedName name="A130395617T">Data3!$FW$1:$FW$10,Data3!$FW$11:$FW$111</definedName>
    <definedName name="A130395617T_Data">Data3!$FW$11:$FW$111</definedName>
    <definedName name="A130395617T_Latest">Data3!$FW$111</definedName>
    <definedName name="A130395624R">Data4!$GK$1:$GK$10,Data4!$GK$11:$GK$111</definedName>
    <definedName name="A130395624R_Data">Data4!$GK$11:$GK$111</definedName>
    <definedName name="A130395624R_Latest">Data4!$GK$111</definedName>
    <definedName name="A130395631L">Data2!$S$1:$S$10,Data2!$S$11:$S$111</definedName>
    <definedName name="A130395631L_Data">Data2!$S$11:$S$111</definedName>
    <definedName name="A130395631L_Latest">Data2!$S$111</definedName>
    <definedName name="A130395638C">Data2!$EV$1:$EV$10,Data2!$EV$11:$EV$111</definedName>
    <definedName name="A130395638C_Data">Data2!$EV$11:$EV$111</definedName>
    <definedName name="A130395638C_Latest">Data2!$EV$111</definedName>
    <definedName name="A130395645A">Data3!$FJ$1:$FJ$10,Data3!$FJ$11:$FJ$111</definedName>
    <definedName name="A130395645A_Data">Data3!$FJ$11:$FJ$111</definedName>
    <definedName name="A130395645A_Latest">Data3!$FJ$111</definedName>
    <definedName name="A130395652X">Data3!$AI$1:$AI$10,Data3!$AI$11:$AI$111</definedName>
    <definedName name="A130395652X_Data">Data3!$AI$11:$AI$111</definedName>
    <definedName name="A130395652X_Latest">Data3!$AI$111</definedName>
    <definedName name="A130395659R">Data3!$FK$1:$FK$10,Data3!$FK$11:$FK$111</definedName>
    <definedName name="A130395659R_Data">Data3!$FK$11:$FK$111</definedName>
    <definedName name="A130395659R_Latest">Data3!$FK$111</definedName>
    <definedName name="A130395666L">Data2!$Z$1:$Z$10,Data2!$Z$11:$Z$111</definedName>
    <definedName name="A130395666L_Data">Data2!$Z$11:$Z$111</definedName>
    <definedName name="A130395666L_Latest">Data2!$Z$111</definedName>
    <definedName name="A130395673K">Data4!$GD$1:$GD$10,Data4!$GD$11:$GD$111</definedName>
    <definedName name="A130395673K_Data">Data4!$GD$11:$GD$111</definedName>
    <definedName name="A130395673K_Latest">Data4!$GD$111</definedName>
    <definedName name="A130395680J">Data2!$FD$1:$FD$10,Data2!$FD$11:$FD$111</definedName>
    <definedName name="A130395680J_Data">Data2!$FD$11:$FD$111</definedName>
    <definedName name="A130395680J_Latest">Data2!$FD$111</definedName>
    <definedName name="A130395687X">Data3!$FR$1:$FR$10,Data3!$FR$11:$FR$111</definedName>
    <definedName name="A130395687X_Data">Data3!$FR$11:$FR$111</definedName>
    <definedName name="A130395687X_Latest">Data3!$FR$111</definedName>
    <definedName name="A130395694W">Data4!$GF$1:$GF$10,Data4!$GF$11:$GF$111</definedName>
    <definedName name="A130395694W_Data">Data4!$GF$11:$GF$111</definedName>
    <definedName name="A130395694W_Latest">Data4!$GF$111</definedName>
    <definedName name="A130395701J">Data4!$BE$1:$BE$10,Data4!$BE$11:$BE$111</definedName>
    <definedName name="A130395701J_Data">Data4!$BE$11:$BE$111</definedName>
    <definedName name="A130395701J_Latest">Data4!$BE$111</definedName>
    <definedName name="A130395708X">Data3!$BJ$1:$BJ$10,Data3!$BJ$90:$BJ$111</definedName>
    <definedName name="A130395708X_Data">Data3!$BJ$90:$BJ$111</definedName>
    <definedName name="A130395708X_Latest">Data3!$BJ$111</definedName>
    <definedName name="A130395715W">Data2!$AW$1:$AW$10,Data2!$AW$90:$AW$111</definedName>
    <definedName name="A130395715W_Data">Data2!$AW$90:$AW$111</definedName>
    <definedName name="A130395715W_Latest">Data2!$AW$111</definedName>
    <definedName name="A130395722V">Data3!$GM$1:$GM$10,Data3!$GM$90:$GM$111</definedName>
    <definedName name="A130395722V_Data">Data3!$GM$90:$GM$111</definedName>
    <definedName name="A130395722V_Latest">Data3!$GM$111</definedName>
    <definedName name="A130395729K">Data4!$BY$1:$BY$10,Data4!$BY$90:$BY$111</definedName>
    <definedName name="A130395729K_Data">Data4!$BY$90:$BY$111</definedName>
    <definedName name="A130395729K_Latest">Data4!$BY$111</definedName>
    <definedName name="A130395736J">Data2!$FS$1:$FS$10,Data2!$FS$11:$FS$111</definedName>
    <definedName name="A130395736J_Data">Data2!$FS$11:$FS$111</definedName>
    <definedName name="A130395736J_Latest">Data2!$FS$111</definedName>
    <definedName name="A130395750C">Data4!$CO$1:$CO$10,Data4!$CO$90:$CO$111</definedName>
    <definedName name="A130395750C_Data">Data4!$CO$90:$CO$111</definedName>
    <definedName name="A130395750C_Latest">Data4!$CO$111</definedName>
    <definedName name="A130395757V">Data2!$GR$1:$GR$10,Data2!$GR$90:$GR$111</definedName>
    <definedName name="A130395757V_Data">Data2!$GR$90:$GR$111</definedName>
    <definedName name="A130395757V_Latest">Data2!$GR$111</definedName>
    <definedName name="A130395764T">Data4!$HT$1:$HT$10,Data4!$HT$90:$HT$111</definedName>
    <definedName name="A130395764T_Data">Data4!$HT$90:$HT$111</definedName>
    <definedName name="A130395764T_Latest">Data4!$HT$111</definedName>
    <definedName name="A130395771R">Data2!$GY$1:$GY$10,Data2!$GY$90:$GY$111</definedName>
    <definedName name="A130395771R_Data">Data2!$GY$90:$GY$111</definedName>
    <definedName name="A130395771R_Latest">Data2!$GY$111</definedName>
    <definedName name="A130395778F">Data3!$HM$1:$HM$10,Data3!$HM$90:$HM$111</definedName>
    <definedName name="A130395778F_Data">Data3!$HM$90:$HM$111</definedName>
    <definedName name="A130395778F_Latest">Data3!$HM$111</definedName>
    <definedName name="A130395785C">Data1!$GO$1:$GO$10,Data1!$GO$60:$GO$111</definedName>
    <definedName name="A130395785C_Data">Data1!$GO$60:$GO$111</definedName>
    <definedName name="A130395785C_Latest">Data1!$GO$111</definedName>
    <definedName name="A130395792A">Data2!$HC$1:$HC$10,Data2!$HC$60:$HC$111</definedName>
    <definedName name="A130395792A_Data">Data2!$HC$60:$HC$111</definedName>
    <definedName name="A130395792A_Latest">Data2!$HC$111</definedName>
    <definedName name="A130395799T">Data2!$HG$1:$HG$10,Data2!$HG$90:$HG$111</definedName>
    <definedName name="A130395799T_Data">Data2!$HG$90:$HG$111</definedName>
    <definedName name="A130395799T_Latest">Data2!$HG$111</definedName>
    <definedName name="A130395806C">Data3!$CS$1:$CS$10,Data3!$CS$90:$CS$111</definedName>
    <definedName name="A130395806C_Data">Data3!$CS$90:$CS$111</definedName>
    <definedName name="A130395806C_Latest">Data3!$CS$111</definedName>
    <definedName name="A130395813A">Data4!$DO$1:$DO$10,Data4!$DO$90:$DO$111</definedName>
    <definedName name="A130395813A_Data">Data4!$DO$90:$DO$111</definedName>
    <definedName name="A130395813A_Latest">Data4!$DO$111</definedName>
    <definedName name="A130395820X">Data2!$IP$1:$IP$10,Data2!$IP$69:$IP$111</definedName>
    <definedName name="A130395820X_Data">Data2!$IP$69:$IP$111</definedName>
    <definedName name="A130395820X_Latest">Data2!$IP$111</definedName>
    <definedName name="A130395827R">Data2!$IQ$1:$IQ$10,Data2!$IQ$90:$IQ$111</definedName>
    <definedName name="A130395827R_Data">Data2!$IQ$90:$IQ$111</definedName>
    <definedName name="A130395827R_Latest">Data2!$IQ$111</definedName>
    <definedName name="A130395841K">Data4!$E$1:$E$10,Data4!$E$90:$E$111</definedName>
    <definedName name="A130395841K_Data">Data4!$E$90:$E$111</definedName>
    <definedName name="A130395841K_Latest">Data4!$E$111</definedName>
    <definedName name="A130395848A">Data2!$DG$1:$DG$10,Data2!$DG$11:$DG$111</definedName>
    <definedName name="A130395848A_Data">Data2!$DG$11:$DG$111</definedName>
    <definedName name="A130395848A_Latest">Data2!$DG$111</definedName>
    <definedName name="A130395855X">Data4!$G$1:$G$10,Data4!$G$11:$G$111</definedName>
    <definedName name="A130395855X_Data">Data4!$G$11:$G$111</definedName>
    <definedName name="A130395855X_Latest">Data4!$G$111</definedName>
    <definedName name="A130395862W">Data1!$CU$1:$CU$10,Data1!$CU$90:$CU$111</definedName>
    <definedName name="A130395862W_Data">Data1!$CU$90:$CU$111</definedName>
    <definedName name="A130395862W_Latest">Data1!$CU$111</definedName>
    <definedName name="A130395869L">Data4!$EH$1:$EH$10,Data4!$EH$90:$EH$111</definedName>
    <definedName name="A130395869L_Data">Data4!$EH$90:$EH$111</definedName>
    <definedName name="A130395869L_Latest">Data4!$EH$111</definedName>
    <definedName name="A130395876K">Data5!$T$1:$T$10,Data5!$T$90:$T$111</definedName>
    <definedName name="A130395876K_Data">Data5!$T$90:$T$111</definedName>
    <definedName name="A130395876K_Latest">Data5!$T$111</definedName>
    <definedName name="A130395883J">Data2!$DK$1:$DK$10,Data2!$DK$90:$DK$111</definedName>
    <definedName name="A130395883J_Data">Data2!$DK$90:$DK$111</definedName>
    <definedName name="A130395883J_Latest">Data2!$DK$111</definedName>
    <definedName name="A130395890F">Data4!$K$1:$K$10,Data4!$K$90:$K$111</definedName>
    <definedName name="A130395890F_Data">Data4!$K$90:$K$111</definedName>
    <definedName name="A130395890F_Latest">Data4!$K$111</definedName>
    <definedName name="A130395897W">Data1!$AN$1:$AN$10,Data1!$AN$11:$AN$111</definedName>
    <definedName name="A130395897W_Data">Data1!$AN$11:$AN$111</definedName>
    <definedName name="A130395897W_Latest">Data1!$AN$111</definedName>
    <definedName name="A130395904J">Data4!$HE$1:$HE$10,Data4!$HE$90:$HE$111</definedName>
    <definedName name="A130395904J_Data">Data4!$HE$90:$HE$111</definedName>
    <definedName name="A130395904J_Latest">Data4!$HE$111</definedName>
    <definedName name="A130395911F">Data1!$FN$1:$FN$10,Data1!$FN$11:$FN$111</definedName>
    <definedName name="A130395911F_Data">Data1!$FN$11:$FN$111</definedName>
    <definedName name="A130395911F_Latest">Data1!$FN$111</definedName>
    <definedName name="A130395918W">Data2!$AZ$1:$AZ$10,Data2!$AZ$11:$AZ$111</definedName>
    <definedName name="A130395918W_Data">Data2!$AZ$11:$AZ$111</definedName>
    <definedName name="A130395918W_Latest">Data2!$AZ$111</definedName>
    <definedName name="A130395925V">Data1!$FR$1:$FR$10,Data1!$FR$11:$FR$111</definedName>
    <definedName name="A130395925V_Data">Data1!$FR$11:$FR$111</definedName>
    <definedName name="A130395925V_Latest">Data1!$FR$111</definedName>
    <definedName name="A130395932T">Data5!$O$1:$O$10,Data5!$O$90:$O$111</definedName>
    <definedName name="A130395932T_Data">Data5!$O$90:$O$111</definedName>
    <definedName name="A130395932T_Latest">Data5!$O$111</definedName>
    <definedName name="A130395939J">Data3!$IO$1:$IO$10,Data3!$IO$90:$IO$111</definedName>
    <definedName name="A130395939J_Data">Data3!$IO$90:$IO$111</definedName>
    <definedName name="A130395939J_Latest">Data3!$IO$111</definedName>
    <definedName name="A130395946F">Data4!$EA$1:$EA$10,Data4!$EA$90:$EA$111</definedName>
    <definedName name="A130395946F_Data">Data4!$EA$90:$EA$111</definedName>
    <definedName name="A130395946F_Latest">Data4!$EA$111</definedName>
    <definedName name="A130395953C">Data4!$B$1:$B$10,Data4!$B$90:$B$111</definedName>
    <definedName name="A130395953C_Data">Data4!$B$90:$B$111</definedName>
    <definedName name="A130395953C_Latest">Data4!$B$111</definedName>
    <definedName name="A130395960A">Data3!$D$1:$D$10,Data3!$D$90:$D$111</definedName>
    <definedName name="A130395960A_Data">Data3!$D$90:$D$111</definedName>
    <definedName name="A130395960A_Latest">Data3!$D$111</definedName>
    <definedName name="A130395967T">Data4!$EZ$1:$EZ$10,Data4!$EZ$11:$EZ$111</definedName>
    <definedName name="A130395967T_Data">Data4!$EZ$11:$EZ$111</definedName>
    <definedName name="A130395967T_Latest">Data4!$EZ$111</definedName>
    <definedName name="A130395974R">Data2!$AN$1:$AN$10,Data2!$AN$11:$AN$111</definedName>
    <definedName name="A130395974R_Data">Data2!$AN$11:$AN$111</definedName>
    <definedName name="A130395974R_Latest">Data2!$AN$111</definedName>
    <definedName name="A130395981L">Data2!$AO$1:$AO$10,Data2!$AO$11:$AO$111</definedName>
    <definedName name="A130395981L_Data">Data2!$AO$11:$AO$111</definedName>
    <definedName name="A130395981L_Latest">Data2!$AO$111</definedName>
    <definedName name="A130395988C">Data2!$BG$1:$BG$10,Data2!$BG$90:$BG$111</definedName>
    <definedName name="A130395988C_Data">Data2!$BG$90:$BG$111</definedName>
    <definedName name="A130395988C_Latest">Data2!$BG$111</definedName>
    <definedName name="A130395995A">Data1!$AT$1:$AT$10,Data1!$AT$90:$AT$111</definedName>
    <definedName name="A130395995A_Data">Data1!$AT$90:$AT$111</definedName>
    <definedName name="A130395995A_Latest">Data1!$AT$111</definedName>
    <definedName name="A130396002R">Data1!$FV$1:$FV$10,Data1!$FV$90:$FV$111</definedName>
    <definedName name="A130396002R_Data">Data1!$FV$90:$FV$111</definedName>
    <definedName name="A130396002R_Latest">Data1!$FV$111</definedName>
    <definedName name="A130396009F">Data2!$BI$1:$BI$10,Data2!$BI$90:$BI$111</definedName>
    <definedName name="A130396009F_Data">Data2!$BI$90:$BI$111</definedName>
    <definedName name="A130396009F_Latest">Data2!$BI$111</definedName>
    <definedName name="A130396023A">Data4!$DB$1:$DB$10,Data4!$DB$90:$DB$111</definedName>
    <definedName name="A130396023A_Data">Data4!$DB$90:$DB$111</definedName>
    <definedName name="A130396023A_Latest">Data4!$DB$111</definedName>
    <definedName name="A130396030X">Data3!$HK$1:$HK$10,Data3!$HK$11:$HK$111</definedName>
    <definedName name="A130396030X_Data">Data3!$HK$11:$HK$111</definedName>
    <definedName name="A130396030X_Latest">Data3!$HK$111</definedName>
    <definedName name="A130396037R">Data1!$CD$1:$CD$10,Data1!$CD$90:$CD$111</definedName>
    <definedName name="A130396037R_Data">Data1!$CD$90:$CD$111</definedName>
    <definedName name="A130396037R_Latest">Data1!$CD$111</definedName>
    <definedName name="A130396044L">Data4!$FC$1:$FC$10,Data4!$FC$90:$FC$111</definedName>
    <definedName name="A130396044L_Data">Data4!$FC$90:$FC$111</definedName>
    <definedName name="A130396044L_Latest">Data4!$FC$111</definedName>
    <definedName name="A130396051K">Data2!$EB$1:$EB$10,Data2!$EB$90:$EB$111</definedName>
    <definedName name="A130396051K_Data">Data2!$EB$90:$EB$111</definedName>
    <definedName name="A130396051K_Latest">Data2!$EB$111</definedName>
    <definedName name="A130396058A">Data3!$N$1:$N$10,Data3!$N$90:$N$111</definedName>
    <definedName name="A130396058A_Data">Data3!$N$90:$N$111</definedName>
    <definedName name="A130396058A_Latest">Data3!$N$111</definedName>
    <definedName name="A130396065X">Data4!$AB$1:$AB$10,Data4!$AB$90:$AB$111</definedName>
    <definedName name="A130396065X_Data">Data4!$AB$90:$AB$111</definedName>
    <definedName name="A130396065X_Latest">Data4!$AB$111</definedName>
    <definedName name="A130396072W">Data2!$C$1:$C$10,Data2!$C$90:$C$111</definedName>
    <definedName name="A130396072W_Data">Data2!$C$90:$C$111</definedName>
    <definedName name="A130396072W_Latest">Data2!$C$111</definedName>
    <definedName name="A130396079L">Data5!$AT$1:$AT$10,Data5!$AT$90:$AT$111</definedName>
    <definedName name="A130396079L_Data">Data5!$AT$90:$AT$111</definedName>
    <definedName name="A130396079L_Latest">Data5!$AT$111</definedName>
    <definedName name="A130396086K">Data1!$ED$1:$ED$10,Data1!$ED$90:$ED$111</definedName>
    <definedName name="A130396086K_Data">Data1!$ED$90:$ED$111</definedName>
    <definedName name="A130396086K_Latest">Data1!$ED$111</definedName>
    <definedName name="A130396156F">Data1!$EV$1:$EV$10,Data1!$EV$11:$EV$111</definedName>
    <definedName name="A130396156F_Data">Data1!$EV$11:$EV$111</definedName>
    <definedName name="A130396156F_Latest">Data1!$EV$111</definedName>
    <definedName name="A130396163C">Data4!$GN$1:$GN$10,Data4!$GN$11:$GN$111</definedName>
    <definedName name="A130396163C_Data">Data4!$GN$11:$GN$111</definedName>
    <definedName name="A130396163C_Latest">Data4!$GN$111</definedName>
    <definedName name="A130396170A">Data1!$EC$1:$EC$10,Data1!$EC$11:$EC$111</definedName>
    <definedName name="A130396170A_Data">Data1!$EC$11:$EC$111</definedName>
    <definedName name="A130396170A_Latest">Data1!$EC$111</definedName>
    <definedName name="A130396177T">Data2!$O$1:$O$10,Data2!$O$11:$O$111</definedName>
    <definedName name="A130396177T_Data">Data2!$O$11:$O$111</definedName>
    <definedName name="A130396177T_Latest">Data2!$O$111</definedName>
    <definedName name="A130396184R">Data1!$GY$1:$GY$10,Data1!$GY$90:$GY$111</definedName>
    <definedName name="A130396184R_Data">Data1!$GY$90:$GY$111</definedName>
    <definedName name="A130396184R_Latest">Data1!$GY$111</definedName>
    <definedName name="A130396191L">Data1!$BX$1:$BX$10,Data1!$BX$90:$BX$111</definedName>
    <definedName name="A130396191L_Data">Data1!$BX$90:$BX$111</definedName>
    <definedName name="A130396191L_Latest">Data1!$BX$111</definedName>
    <definedName name="A130396198C">Data3!$IL$1:$IL$10,Data3!$IL$90:$IL$111</definedName>
    <definedName name="A130396198C_Data">Data3!$IL$90:$IL$111</definedName>
    <definedName name="A130396198C_Latest">Data3!$IL$111</definedName>
    <definedName name="A130396205R">Data2!$DL$1:$DL$10,Data2!$DL$90:$DL$111</definedName>
    <definedName name="A130396205R_Data">Data2!$DL$90:$DL$111</definedName>
    <definedName name="A130396205R_Latest">Data2!$DL$111</definedName>
    <definedName name="A130396212L">Data2!$DP$1:$DP$10,Data2!$DP$90:$DP$111</definedName>
    <definedName name="A130396212L_Data">Data2!$DP$90:$DP$111</definedName>
    <definedName name="A130396212L_Latest">Data2!$DP$111</definedName>
    <definedName name="A130396219C">Data1!$DS$1:$DS$10,Data1!$DS$90:$DS$111</definedName>
    <definedName name="A130396219C_Data">Data1!$DS$90:$DS$111</definedName>
    <definedName name="A130396219C_Latest">Data1!$DS$111</definedName>
    <definedName name="A130396226A">Data4!$FI$1:$FI$10,Data4!$FI$90:$FI$111</definedName>
    <definedName name="A130396226A_Data">Data4!$FI$90:$FI$111</definedName>
    <definedName name="A130396226A_Latest">Data4!$FI$111</definedName>
    <definedName name="A130396233X">Data3!$U$1:$U$10,Data3!$U$90:$U$111</definedName>
    <definedName name="A130396233X_Data">Data3!$U$90:$U$111</definedName>
    <definedName name="A130396233X_Latest">Data3!$U$111</definedName>
    <definedName name="A130396247L">Data2!$FR$1:$FR$10,Data2!$FR$11:$FR$111</definedName>
    <definedName name="A130396247L_Data">Data2!$FR$11:$FR$111</definedName>
    <definedName name="A130396247L_Latest">Data2!$FR$111</definedName>
    <definedName name="A130396261J">Data4!$GT$1:$GT$10,Data4!$GT$11:$GT$111</definedName>
    <definedName name="A130396261J_Data">Data4!$GT$11:$GT$111</definedName>
    <definedName name="A130396261J_Latest">Data4!$GT$111</definedName>
    <definedName name="A130396268X">Data1!$FH$1:$FH$10,Data1!$FH$11:$FH$111</definedName>
    <definedName name="A130396268X_Data">Data1!$FH$11:$FH$111</definedName>
    <definedName name="A130396268X_Latest">Data1!$FH$111</definedName>
    <definedName name="A130396275W">Data3!$HH$1:$HH$10,Data3!$HH$69:$HH$111</definedName>
    <definedName name="A130396275W_Data">Data3!$HH$69:$HH$111</definedName>
    <definedName name="A130396275W_Latest">Data3!$HH$111</definedName>
    <definedName name="A130396282V">Data1!$BN$1:$BN$10,Data1!$BN$60:$BN$111</definedName>
    <definedName name="A130396282V_Data">Data1!$BN$60:$BN$111</definedName>
    <definedName name="A130396282V_Latest">Data1!$BN$111</definedName>
    <definedName name="A130396289K">Data1!$GP$1:$GP$10,Data1!$GP$60:$GP$111</definedName>
    <definedName name="A130396289K_Data">Data1!$GP$60:$GP$111</definedName>
    <definedName name="A130396289K_Latest">Data1!$GP$111</definedName>
    <definedName name="A130396296J">Data2!$HD$1:$HD$10,Data2!$HD$60:$HD$111</definedName>
    <definedName name="A130396296J_Data">Data2!$HD$60:$HD$111</definedName>
    <definedName name="A130396296J_Latest">Data2!$HD$111</definedName>
    <definedName name="A130396303V">Data3!$HR$1:$HR$10,Data3!$HR$60:$HR$111</definedName>
    <definedName name="A130396303V_Data">Data3!$HR$60:$HR$111</definedName>
    <definedName name="A130396303V_Latest">Data3!$HR$111</definedName>
    <definedName name="A130396310T">Data4!$IF$1:$IF$10,Data4!$IF$60:$IF$111</definedName>
    <definedName name="A130396310T_Data">Data4!$IF$60:$IF$111</definedName>
    <definedName name="A130396310T_Latest">Data4!$IF$111</definedName>
    <definedName name="A130396317J">Data2!$K$1:$K$10,Data2!$K$90:$K$111</definedName>
    <definedName name="A130396317J_Data">Data2!$K$90:$K$111</definedName>
    <definedName name="A130396317J_Latest">Data2!$K$111</definedName>
    <definedName name="A130396422K">Data2!$J$1:$J$10,Data2!$J$90:$J$111</definedName>
    <definedName name="A130396422K_Data">Data2!$J$90:$J$111</definedName>
    <definedName name="A130396422K_Latest">Data2!$J$111</definedName>
    <definedName name="A130396436X">Data2!$FA$1:$FA$10,Data2!$FA$11:$FA$111</definedName>
    <definedName name="A130396436X_Data">Data2!$FA$11:$FA$111</definedName>
    <definedName name="A130396436X_Latest">Data2!$FA$111</definedName>
    <definedName name="A130396443W">Data4!$BA$1:$BA$10,Data4!$BA$11:$BA$111</definedName>
    <definedName name="A130396443W_Data">Data4!$BA$11:$BA$111</definedName>
    <definedName name="A130396443W_Latest">Data4!$BA$111</definedName>
    <definedName name="A130396450V">Data1!$W$1:$W$10,Data1!$W$11:$W$111</definedName>
    <definedName name="A130396450V_Data">Data1!$W$11:$W$111</definedName>
    <definedName name="A130396450V_Latest">Data1!$W$111</definedName>
    <definedName name="A130396457K">Data1!$EY$1:$EY$10,Data1!$EY$11:$EY$111</definedName>
    <definedName name="A130396457K_Data">Data1!$EY$11:$EY$111</definedName>
    <definedName name="A130396457K_Latest">Data1!$EY$111</definedName>
    <definedName name="A130396464J">Data2!$AK$1:$AK$10,Data2!$AK$11:$AK$111</definedName>
    <definedName name="A130396464J_Data">Data2!$AK$11:$AK$111</definedName>
    <definedName name="A130396464J_Latest">Data2!$AK$111</definedName>
    <definedName name="A130396471F">Data1!$FF$1:$FF$10,Data1!$FF$11:$FF$111</definedName>
    <definedName name="A130396471F_Data">Data1!$FF$11:$FF$111</definedName>
    <definedName name="A130396471F_Latest">Data1!$FF$111</definedName>
    <definedName name="A130396478W">Data1!$FT$1:$FT$10,Data1!$FT$90:$FT$111</definedName>
    <definedName name="A130396478W_Data">Data1!$FT$90:$FT$111</definedName>
    <definedName name="A130396478W_Latest">Data1!$FT$111</definedName>
    <definedName name="A130396485V">Data3!$CU$1:$CU$10,Data3!$CU$90:$CU$111</definedName>
    <definedName name="A130396485V_Data">Data3!$CU$90:$CU$111</definedName>
    <definedName name="A130396485V_Latest">Data3!$CU$111</definedName>
    <definedName name="A130396499J">Data4!$DJ$1:$DJ$10,Data4!$DJ$90:$DJ$111</definedName>
    <definedName name="A130396499J_Data">Data4!$DJ$90:$DJ$111</definedName>
    <definedName name="A130396499J_Latest">Data4!$DJ$111</definedName>
    <definedName name="A130396506V">Data4!$IL$1:$IL$10,Data4!$IL$90:$IL$111</definedName>
    <definedName name="A130396506V_Data">Data4!$IL$90:$IL$111</definedName>
    <definedName name="A130396506V_Latest">Data4!$IL$111</definedName>
    <definedName name="A130396513T">Data2!$HH$1:$HH$10,Data2!$HH$90:$HH$111</definedName>
    <definedName name="A130396513T_Data">Data2!$HH$90:$HH$111</definedName>
    <definedName name="A130396513T_Latest">Data2!$HH$111</definedName>
    <definedName name="A130396520R">Data2!$BT$1:$BT$10,Data2!$BT$11:$BT$111</definedName>
    <definedName name="A130396520R_Data">Data2!$BT$11:$BT$111</definedName>
    <definedName name="A130396520R_Latest">Data2!$BT$111</definedName>
    <definedName name="A130396527F">Data3!$CH$1:$CH$10,Data3!$CH$11:$CH$111</definedName>
    <definedName name="A130396527F_Data">Data3!$CH$11:$CH$111</definedName>
    <definedName name="A130396527F_Latest">Data3!$CH$111</definedName>
    <definedName name="A130396534C">Data4!$CV$1:$CV$10,Data4!$CV$11:$CV$111</definedName>
    <definedName name="A130396534C_Data">Data4!$CV$11:$CV$111</definedName>
    <definedName name="A130396534C_Latest">Data4!$CV$111</definedName>
    <definedName name="A130396541A">Data2!$HY$1:$HY$10,Data2!$HY$90:$HY$111</definedName>
    <definedName name="A130396541A_Data">Data2!$HY$90:$HY$111</definedName>
    <definedName name="A130396541A_Latest">Data2!$HY$111</definedName>
    <definedName name="A130396548T">Data3!$IM$1:$IM$10,Data3!$IM$90:$IM$111</definedName>
    <definedName name="A130396548T_Data">Data3!$IM$90:$IM$111</definedName>
    <definedName name="A130396548T_Latest">Data3!$IM$111</definedName>
    <definedName name="A130396555R">Data1!$IG$1:$IG$10,Data1!$IG$90:$IG$111</definedName>
    <definedName name="A130396555R_Data">Data1!$IG$90:$IG$111</definedName>
    <definedName name="A130396555R_Latest">Data1!$IG$111</definedName>
    <definedName name="A130396562L">Data2!$DS$1:$DS$10,Data2!$DS$90:$DS$111</definedName>
    <definedName name="A130396562L_Data">Data2!$DS$90:$DS$111</definedName>
    <definedName name="A130396562L_Latest">Data2!$DS$111</definedName>
    <definedName name="A130396569C">Data4!$EV$1:$EV$10,Data4!$EV$90:$EV$111</definedName>
    <definedName name="A130396569C_Data">Data4!$EV$90:$EV$111</definedName>
    <definedName name="A130396569C_Latest">Data4!$EV$111</definedName>
    <definedName name="A130396576A">Data3!$EJ$1:$EJ$10,Data3!$EJ$90:$EJ$111</definedName>
    <definedName name="A130396576A_Data">Data3!$EJ$90:$EJ$111</definedName>
    <definedName name="A130396576A_Latest">Data3!$EJ$111</definedName>
    <definedName name="A130396583X">Data3!$FD$1:$FD$10,Data3!$FD$11:$FD$111</definedName>
    <definedName name="A130396583X_Data">Data3!$FD$11:$FD$111</definedName>
    <definedName name="A130396583X_Latest">Data3!$FD$111</definedName>
    <definedName name="A130396590W">Data4!$AP$1:$AP$10,Data4!$AP$11:$AP$111</definedName>
    <definedName name="A130396590W_Data">Data4!$AP$11:$AP$111</definedName>
    <definedName name="A130396590W_Latest">Data4!$AP$111</definedName>
    <definedName name="A130396597L">Data4!$FR$1:$FR$10,Data4!$FR$11:$FR$111</definedName>
    <definedName name="A130396597L_Data">Data4!$FR$11:$FR$111</definedName>
    <definedName name="A130396597L_Latest">Data4!$FR$111</definedName>
    <definedName name="A130396604X">Data2!$M$1:$M$10,Data2!$M$11:$M$111</definedName>
    <definedName name="A130396604X_Data">Data2!$M$11:$M$111</definedName>
    <definedName name="A130396604X_Latest">Data2!$M$111</definedName>
    <definedName name="A130396611W">Data2!$EO$1:$EO$10,Data2!$EO$11:$EO$111</definedName>
    <definedName name="A130396611W_Data">Data2!$EO$11:$EO$111</definedName>
    <definedName name="A130396611W_Latest">Data2!$EO$111</definedName>
    <definedName name="A130396618L">Data3!$FC$1:$FC$10,Data3!$FC$11:$FC$111</definedName>
    <definedName name="A130396618L_Data">Data3!$FC$11:$FC$111</definedName>
    <definedName name="A130396618L_Latest">Data3!$FC$111</definedName>
    <definedName name="A130396660T">Data1!$FS$1:$FS$10,Data1!$FS$90:$FS$111</definedName>
    <definedName name="A130396660T_Data">Data1!$FS$90:$FS$111</definedName>
    <definedName name="A130396660T_Latest">Data1!$FS$111</definedName>
    <definedName name="A130396667J">Data3!$GU$1:$GU$10,Data3!$GU$90:$GU$111</definedName>
    <definedName name="A130396667J_Data">Data3!$GU$90:$GU$111</definedName>
    <definedName name="A130396667J_Latest">Data3!$GU$111</definedName>
    <definedName name="A130396674F">Data3!$CE$1:$CE$10,Data3!$CE$90:$CE$111</definedName>
    <definedName name="A130396674F_Data">Data3!$CE$90:$CE$111</definedName>
    <definedName name="A130396674F_Latest">Data3!$CE$111</definedName>
    <definedName name="A130396681C">Data2!$CC$1:$CC$10,Data2!$CC$90:$CC$111</definedName>
    <definedName name="A130396681C_Data">Data2!$CC$90:$CC$111</definedName>
    <definedName name="A130396681C_Latest">Data2!$CC$111</definedName>
    <definedName name="A130396695T">Data1!$AJ$1:$AJ$10,Data1!$AJ$90:$AJ$111</definedName>
    <definedName name="A130396695T_Data">Data1!$AJ$90:$AJ$111</definedName>
    <definedName name="A130396695T_Latest">Data1!$AJ$111</definedName>
    <definedName name="A130396702C">Data3!$FT$1:$FT$10,Data3!$FT$11:$FT$111</definedName>
    <definedName name="A130396702C_Data">Data3!$FT$11:$FT$111</definedName>
    <definedName name="A130396702C_Latest">Data3!$FT$111</definedName>
    <definedName name="A130396709V">Data1!$EF$1:$EF$10,Data1!$EF$11:$EF$111</definedName>
    <definedName name="A130396709V_Data">Data1!$EF$11:$EF$111</definedName>
    <definedName name="A130396709V_Latest">Data1!$EF$111</definedName>
    <definedName name="A130396716T">Data3!$FM$1:$FM$10,Data3!$FM$11:$FM$111</definedName>
    <definedName name="A130396716T_Data">Data3!$FM$11:$FM$111</definedName>
    <definedName name="A130396716T_Latest">Data3!$FM$111</definedName>
    <definedName name="A130396723R">Data3!$BI$1:$BI$10,Data3!$BI$90:$BI$111</definedName>
    <definedName name="A130396723R_Data">Data3!$BI$90:$BI$111</definedName>
    <definedName name="A130396723R_Latest">Data3!$BI$111</definedName>
    <definedName name="A130396730L">Data4!$CL$1:$CL$10,Data4!$CL$90:$CL$111</definedName>
    <definedName name="A130396730L_Data">Data4!$CL$90:$CL$111</definedName>
    <definedName name="A130396730L_Latest">Data4!$CL$111</definedName>
    <definedName name="A130396737C">Data4!$DA$1:$DA$10,Data4!$DA$90:$DA$111</definedName>
    <definedName name="A130396737C_Data">Data4!$DA$90:$DA$111</definedName>
    <definedName name="A130396737C_Latest">Data4!$DA$111</definedName>
    <definedName name="A130396744A">Data2!$IF$1:$IF$10,Data2!$IF$90:$IF$111</definedName>
    <definedName name="A130396744A_Data">Data2!$IF$90:$IF$111</definedName>
    <definedName name="A130396744A_Latest">Data2!$IF$111</definedName>
    <definedName name="A130396751X">Data3!$DR$1:$DR$10,Data3!$DR$90:$DR$111</definedName>
    <definedName name="A130396751X_Data">Data3!$DR$90:$DR$111</definedName>
    <definedName name="A130396751X_Latest">Data3!$DR$111</definedName>
    <definedName name="A130396758R">Data4!$EF$1:$EF$10,Data4!$EF$90:$EF$111</definedName>
    <definedName name="A130396758R_Data">Data4!$EF$90:$EF$111</definedName>
    <definedName name="A130396758R_Latest">Data4!$EF$111</definedName>
    <definedName name="A130396765L">Data5!$R$1:$R$10,Data5!$R$90:$R$111</definedName>
    <definedName name="A130396765L_Data">Data5!$R$90:$R$111</definedName>
    <definedName name="A130396765L_Latest">Data5!$R$111</definedName>
    <definedName name="A130396772K">Data1!$CV$1:$CV$10,Data1!$CV$90:$CV$111</definedName>
    <definedName name="A130396772K_Data">Data1!$CV$90:$CV$111</definedName>
    <definedName name="A130396772K_Latest">Data1!$CV$111</definedName>
    <definedName name="A130396779A">Data1!$HX$1:$HX$10,Data1!$HX$90:$HX$111</definedName>
    <definedName name="A130396779A_Data">Data1!$HX$90:$HX$111</definedName>
    <definedName name="A130396779A_Latest">Data1!$HX$111</definedName>
    <definedName name="A130396786X">Data2!$IL$1:$IL$10,Data2!$IL$90:$IL$111</definedName>
    <definedName name="A130396786X_Data">Data2!$IL$90:$IL$111</definedName>
    <definedName name="A130396786X_Latest">Data2!$IL$111</definedName>
    <definedName name="A130396793W">Data3!$EK$1:$EK$10,Data3!$EK$11:$EK$111</definedName>
    <definedName name="A130396793W_Data">Data3!$EK$11:$EK$111</definedName>
    <definedName name="A130396793W_Latest">Data3!$EK$111</definedName>
    <definedName name="A130396800J">Data4!$EY$1:$EY$10,Data4!$EY$11:$EY$111</definedName>
    <definedName name="A130396800J_Data">Data4!$EY$11:$EY$111</definedName>
    <definedName name="A130396800J_Latest">Data4!$EY$111</definedName>
    <definedName name="A130396807X">Data1!$Q$1:$Q$10,Data1!$Q$11:$Q$111</definedName>
    <definedName name="A130396807X_Data">Data1!$Q$11:$Q$111</definedName>
    <definedName name="A130396807X_Latest">Data1!$Q$111</definedName>
    <definedName name="A130396814W">Data1!$ES$1:$ES$10,Data1!$ES$11:$ES$111</definedName>
    <definedName name="A130396814W_Data">Data1!$ES$11:$ES$111</definedName>
    <definedName name="A130396814W_Latest">Data1!$ES$111</definedName>
    <definedName name="A130396821V">Data2!$FH$1:$FH$10,Data2!$FH$11:$FH$111</definedName>
    <definedName name="A130396821V_Data">Data2!$FH$11:$FH$111</definedName>
    <definedName name="A130396821V_Latest">Data2!$FH$111</definedName>
    <definedName name="A130396828K">Data2!$EX$1:$EX$10,Data2!$EX$11:$EX$111</definedName>
    <definedName name="A130396828K_Data">Data2!$EX$11:$EX$111</definedName>
    <definedName name="A130396828K_Latest">Data2!$EX$111</definedName>
    <definedName name="A130396835J">Data4!$FZ$1:$FZ$10,Data4!$FZ$11:$FZ$111</definedName>
    <definedName name="A130396835J_Data">Data4!$FZ$11:$FZ$111</definedName>
    <definedName name="A130396835J_Latest">Data4!$FZ$111</definedName>
    <definedName name="A130396842F">Data1!$EL$1:$EL$10,Data1!$EL$11:$EL$111</definedName>
    <definedName name="A130396842F_Data">Data1!$EL$11:$EL$111</definedName>
    <definedName name="A130396842F_Latest">Data1!$EL$111</definedName>
    <definedName name="A130396849W">Data3!$FN$1:$FN$10,Data3!$FN$11:$FN$111</definedName>
    <definedName name="A130396849W_Data">Data3!$FN$11:$FN$111</definedName>
    <definedName name="A130396849W_Latest">Data3!$FN$111</definedName>
    <definedName name="A130396856V">Data4!$AZ$1:$AZ$10,Data4!$AZ$11:$AZ$111</definedName>
    <definedName name="A130396856V_Data">Data4!$AZ$11:$AZ$111</definedName>
    <definedName name="A130396856V_Latest">Data4!$AZ$111</definedName>
    <definedName name="A130396863T">Data1!$L$1:$L$10,Data1!$L$11:$L$111</definedName>
    <definedName name="A130396863T_Data">Data1!$L$11:$L$111</definedName>
    <definedName name="A130396863T_Latest">Data1!$L$111</definedName>
    <definedName name="A130396870R">Data2!$FB$1:$FB$10,Data2!$FB$11:$FB$111</definedName>
    <definedName name="A130396870R_Data">Data2!$FB$11:$FB$111</definedName>
    <definedName name="A130396870R_Latest">Data2!$FB$111</definedName>
    <definedName name="A130396877F">Data2!$FC$1:$FC$10,Data2!$FC$11:$FC$111</definedName>
    <definedName name="A130396877F_Data">Data2!$FC$11:$FC$111</definedName>
    <definedName name="A130396877F_Latest">Data2!$FC$111</definedName>
    <definedName name="A130396884C">Data4!$BC$1:$BC$10,Data4!$BC$11:$BC$111</definedName>
    <definedName name="A130396884C_Data">Data4!$BC$11:$BC$111</definedName>
    <definedName name="A130396884C_Latest">Data4!$BC$111</definedName>
    <definedName name="A130396891A">Data3!$AP$1:$AP$10,Data3!$AP$11:$AP$111</definedName>
    <definedName name="A130396891A_Data">Data3!$AP$11:$AP$111</definedName>
    <definedName name="A130396891A_Latest">Data3!$AP$111</definedName>
    <definedName name="A130396898T">Data1!$O$1:$O$10,Data1!$O$11:$O$111</definedName>
    <definedName name="A130396898T_Data">Data1!$O$11:$O$111</definedName>
    <definedName name="A130396898T_Latest">Data1!$O$111</definedName>
    <definedName name="A130396905C">Data2!$FN$1:$FN$10,Data2!$FN$11:$FN$111</definedName>
    <definedName name="A130396905C_Data">Data2!$FN$11:$FN$111</definedName>
    <definedName name="A130396905C_Latest">Data2!$FN$111</definedName>
    <definedName name="A130396912A">Data3!$GB$1:$GB$10,Data3!$GB$11:$GB$111</definedName>
    <definedName name="A130396912A_Data">Data3!$GB$11:$GB$111</definedName>
    <definedName name="A130396912A_Latest">Data3!$GB$111</definedName>
    <definedName name="A130396919T">Data4!$BN$1:$BN$10,Data4!$BN$11:$BN$111</definedName>
    <definedName name="A130396919T_Data">Data4!$BN$11:$BN$111</definedName>
    <definedName name="A130396919T_Latest">Data4!$BN$111</definedName>
    <definedName name="A130396926R">Data4!$GP$1:$GP$10,Data4!$GP$11:$GP$111</definedName>
    <definedName name="A130396926R_Data">Data4!$GP$11:$GP$111</definedName>
    <definedName name="A130396926R_Latest">Data4!$GP$111</definedName>
    <definedName name="A130396933L">Data3!$BA$1:$BA$10,Data3!$BA$11:$BA$111</definedName>
    <definedName name="A130396933L_Data">Data3!$BA$11:$BA$111</definedName>
    <definedName name="A130396933L_Latest">Data3!$BA$111</definedName>
    <definedName name="A130396940K">Data1!$FE$1:$FE$10,Data1!$FE$11:$FE$111</definedName>
    <definedName name="A130396940K_Data">Data1!$FE$11:$FE$111</definedName>
    <definedName name="A130396940K_Latest">Data1!$FE$111</definedName>
    <definedName name="A130396947A">Data4!$GU$1:$GU$10,Data4!$GU$11:$GU$111</definedName>
    <definedName name="A130396947A_Data">Data4!$GU$11:$GU$111</definedName>
    <definedName name="A130396947A_Latest">Data4!$GU$111</definedName>
    <definedName name="A130396954X">Data4!$CM$1:$CM$10,Data4!$CM$90:$CM$111</definedName>
    <definedName name="A130396954X_Data">Data4!$CM$90:$CM$111</definedName>
    <definedName name="A130396954X_Latest">Data4!$CM$111</definedName>
    <definedName name="A130396961W">Data4!$HO$1:$HO$10,Data4!$HO$90:$HO$111</definedName>
    <definedName name="A130396961W_Data">Data4!$HO$90:$HO$111</definedName>
    <definedName name="A130396961W_Latest">Data4!$HO$111</definedName>
    <definedName name="A130396968L">Data4!$HP$1:$HP$10,Data4!$HP$90:$HP$111</definedName>
    <definedName name="A130396968L_Data">Data4!$HP$90:$HP$111</definedName>
    <definedName name="A130396968L_Latest">Data4!$HP$111</definedName>
    <definedName name="A130396975K">Data1!$GA$1:$GA$10,Data1!$GA$90:$GA$111</definedName>
    <definedName name="A130396975K_Data">Data1!$GA$90:$GA$111</definedName>
    <definedName name="A130396975K_Latest">Data1!$GA$111</definedName>
    <definedName name="A130396982J">Data3!$CD$1:$CD$10,Data3!$CD$90:$CD$111</definedName>
    <definedName name="A130396982J_Data">Data3!$CD$90:$CD$111</definedName>
    <definedName name="A130396982J_Latest">Data3!$CD$111</definedName>
    <definedName name="A130396989X">Data1!$GK$1:$GK$10,Data1!$GK$90:$GK$111</definedName>
    <definedName name="A130396989X_Data">Data1!$GK$90:$GK$111</definedName>
    <definedName name="A130396989X_Latest">Data1!$GK$111</definedName>
    <definedName name="A130396996W">Data2!$CA$1:$CA$10,Data2!$CA$60:$CA$111</definedName>
    <definedName name="A130396996W_Data">Data2!$CA$60:$CA$111</definedName>
    <definedName name="A130396996W_Latest">Data2!$CA$111</definedName>
    <definedName name="A130397003K">Data2!$CE$1:$CE$10,Data2!$CE$90:$CE$111</definedName>
    <definedName name="A130397003K_Data">Data2!$CE$90:$CE$111</definedName>
    <definedName name="A130397003K_Latest">Data2!$CE$111</definedName>
    <definedName name="A130397010J">Data2!$CM$1:$CM$10,Data2!$CM$90:$CM$111</definedName>
    <definedName name="A130397010J_Data">Data2!$CM$90:$CM$111</definedName>
    <definedName name="A130397010J_Latest">Data2!$CM$111</definedName>
    <definedName name="A130397017X">Data1!$HC$1:$HC$10,Data1!$HC$11:$HC$111</definedName>
    <definedName name="A130397017X_Data">Data1!$HC$11:$HC$111</definedName>
    <definedName name="A130397017X_Latest">Data1!$HC$111</definedName>
    <definedName name="A130397024W">Data4!$DQ$1:$DQ$10,Data4!$DQ$11:$DQ$111</definedName>
    <definedName name="A130397024W_Data">Data4!$DQ$11:$DQ$111</definedName>
    <definedName name="A130397024W_Latest">Data4!$DQ$111</definedName>
    <definedName name="A130397031V">Data5!$C$1:$C$10,Data5!$C$11:$C$111</definedName>
    <definedName name="A130397031V_Data">Data5!$C$11:$C$111</definedName>
    <definedName name="A130397031V_Latest">Data5!$C$111</definedName>
    <definedName name="A130397038K">Data4!$AC$1:$AC$10,Data4!$AC$11:$AC$111</definedName>
    <definedName name="A130397038K_Data">Data4!$AC$11:$AC$111</definedName>
    <definedName name="A130397038K_Latest">Data4!$AC$111</definedName>
    <definedName name="A130397045J">Data2!$DN$1:$DN$10,Data2!$DN$69:$DN$111</definedName>
    <definedName name="A130397045J_Data">Data2!$DN$69:$DN$111</definedName>
    <definedName name="A130397045J_Latest">Data2!$DN$111</definedName>
    <definedName name="A130397052F">Data5!$AB$1:$AB$10,Data5!$AB$69:$AB$111</definedName>
    <definedName name="A130397052F_Data">Data5!$AB$69:$AB$111</definedName>
    <definedName name="A130397052F_Latest">Data5!$AB$111</definedName>
    <definedName name="A130397059W">Data1!$CS$1:$CS$10,Data1!$CS$11:$CS$111</definedName>
    <definedName name="A130397059W_Data">Data1!$CS$11:$CS$111</definedName>
    <definedName name="A130397059W_Latest">Data1!$CS$111</definedName>
    <definedName name="A130397066V">Data5!$U$1:$U$10,Data5!$U$11:$U$111</definedName>
    <definedName name="A130397066V_Data">Data5!$U$11:$U$111</definedName>
    <definedName name="A130397066V_Latest">Data5!$U$111</definedName>
    <definedName name="A130397073T">Data4!$F$1:$F$10,Data4!$F$90:$F$111</definedName>
    <definedName name="A130397073T_Data">Data4!$F$90:$F$111</definedName>
    <definedName name="A130397073T_Latest">Data4!$F$111</definedName>
    <definedName name="A130397080R">Data4!$EJ$1:$EJ$10,Data4!$EJ$90:$EJ$111</definedName>
    <definedName name="A130397080R_Data">Data4!$EJ$90:$EJ$111</definedName>
    <definedName name="A130397080R_Latest">Data4!$EJ$111</definedName>
    <definedName name="A130397087F">Data3!$GR$1:$GR$10,Data3!$GR$11:$GR$111</definedName>
    <definedName name="A130397087F_Data">Data3!$GR$11:$GR$111</definedName>
    <definedName name="A130397087F_Latest">Data3!$GR$111</definedName>
    <definedName name="A130397094C">Data2!$GC$1:$GC$10,Data2!$GC$90:$GC$111</definedName>
    <definedName name="A130397094C_Data">Data2!$GC$90:$GC$111</definedName>
    <definedName name="A130397094C_Latest">Data2!$GC$111</definedName>
    <definedName name="A130397101R">Data1!$AL$1:$AL$10,Data1!$AL$11:$AL$111</definedName>
    <definedName name="A130397101R_Data">Data1!$AL$11:$AL$111</definedName>
    <definedName name="A130397101R_Latest">Data1!$AL$111</definedName>
    <definedName name="A130397108F">Data3!$BN$1:$BN$10,Data3!$BN$11:$BN$111</definedName>
    <definedName name="A130397108F_Data">Data3!$BN$11:$BN$111</definedName>
    <definedName name="A130397108F_Latest">Data3!$BN$111</definedName>
    <definedName name="A130397122A">Data1!$HO$1:$HO$10,Data1!$HO$90:$HO$111</definedName>
    <definedName name="A130397122A_Data">Data1!$HO$90:$HO$111</definedName>
    <definedName name="A130397122A_Latest">Data1!$HO$111</definedName>
    <definedName name="A130397129T">Data3!$IQ$1:$IQ$10,Data3!$IQ$90:$IQ$111</definedName>
    <definedName name="A130397129T_Data">Data3!$IQ$90:$IQ$111</definedName>
    <definedName name="A130397129T_Latest">Data3!$IQ$111</definedName>
    <definedName name="A130397136R">Data3!$IN$1:$IN$10,Data3!$IN$90:$IN$111</definedName>
    <definedName name="A130397136R_Data">Data3!$IN$90:$IN$111</definedName>
    <definedName name="A130397136R_Latest">Data3!$IN$111</definedName>
    <definedName name="A130397143L">Data4!$DZ$1:$DZ$10,Data4!$DZ$90:$DZ$111</definedName>
    <definedName name="A130397143L_Data">Data4!$DZ$90:$DZ$111</definedName>
    <definedName name="A130397143L_Latest">Data4!$DZ$111</definedName>
    <definedName name="A130397150K">Data5!$L$1:$L$10,Data5!$L$90:$L$111</definedName>
    <definedName name="A130397150K_Data">Data5!$L$90:$L$111</definedName>
    <definedName name="A130397150K_Latest">Data5!$L$111</definedName>
    <definedName name="A130397157A">Data3!$DH$1:$DH$10,Data3!$DH$90:$DH$111</definedName>
    <definedName name="A130397157A_Data">Data3!$DH$90:$DH$111</definedName>
    <definedName name="A130397157A_Latest">Data3!$DH$111</definedName>
    <definedName name="A130397164X">Data3!$IJ$1:$IJ$10,Data3!$IJ$90:$IJ$111</definedName>
    <definedName name="A130397164X_Data">Data3!$IJ$90:$IJ$111</definedName>
    <definedName name="A130397164X_Latest">Data3!$IJ$111</definedName>
    <definedName name="A130397171W">Data5!$H$1:$H$10,Data5!$H$90:$H$111</definedName>
    <definedName name="A130397171W_Data">Data5!$H$90:$H$111</definedName>
    <definedName name="A130397171W_Latest">Data5!$H$111</definedName>
    <definedName name="A130397178L">Data1!$IF$1:$IF$10,Data1!$IF$90:$IF$111</definedName>
    <definedName name="A130397178L_Data">Data1!$IF$90:$IF$111</definedName>
    <definedName name="A130397178L_Latest">Data1!$IF$111</definedName>
    <definedName name="A130397192J">Data4!$ET$1:$ET$10,Data4!$ET$90:$ET$111</definedName>
    <definedName name="A130397192J_Data">Data4!$ET$90:$ET$111</definedName>
    <definedName name="A130397192J_Latest">Data4!$ET$111</definedName>
    <definedName name="A130397199X">Data1!$DJ$1:$DJ$10,Data1!$DJ$11:$DJ$111</definedName>
    <definedName name="A130397199X_Data">Data1!$DJ$11:$DJ$111</definedName>
    <definedName name="A130397199X_Latest">Data1!$DJ$111</definedName>
    <definedName name="A130397206K">Data3!$J$1:$J$10,Data3!$J$11:$J$111</definedName>
    <definedName name="A130397206K_Data">Data3!$J$11:$J$111</definedName>
    <definedName name="A130397206K_Latest">Data3!$J$111</definedName>
    <definedName name="A130397213J">Data4!$X$1:$X$10,Data4!$X$11:$X$111</definedName>
    <definedName name="A130397213J_Data">Data4!$X$11:$X$111</definedName>
    <definedName name="A130397213J_Latest">Data4!$X$111</definedName>
    <definedName name="A130397220F">Data3!$K$1:$K$10,Data3!$K$11:$K$111</definedName>
    <definedName name="A130397220F_Data">Data3!$K$11:$K$111</definedName>
    <definedName name="A130397220F_Latest">Data3!$K$111</definedName>
    <definedName name="A130397227W">Data3!$EM$1:$EM$10,Data3!$EM$11:$EM$111</definedName>
    <definedName name="A130397227W_Data">Data3!$EM$11:$EM$111</definedName>
    <definedName name="A130397227W_Latest">Data3!$EM$111</definedName>
    <definedName name="A130397234V">Data1!$FB$1:$FB$10,Data1!$FB$11:$FB$111</definedName>
    <definedName name="A130397234V_Data">Data1!$FB$11:$FB$111</definedName>
    <definedName name="A130397234V_Latest">Data1!$FB$111</definedName>
    <definedName name="A130397241T">Data4!$BP$1:$BP$10,Data4!$BP$11:$BP$111</definedName>
    <definedName name="A130397241T_Data">Data4!$BP$11:$BP$111</definedName>
    <definedName name="A130397241T_Latest">Data4!$BP$111</definedName>
    <definedName name="A130397248J">Data1!$FC$1:$FC$10,Data1!$FC$11:$FC$111</definedName>
    <definedName name="A130397248J_Data">Data1!$FC$11:$FC$111</definedName>
    <definedName name="A130397248J_Latest">Data1!$FC$111</definedName>
    <definedName name="A130397255F">Data3!$GE$1:$GE$10,Data3!$GE$11:$GE$111</definedName>
    <definedName name="A130397255F_Data">Data3!$GE$11:$GE$111</definedName>
    <definedName name="A130397255F_Latest">Data3!$GE$111</definedName>
    <definedName name="A130397262C">Data4!$CI$1:$CI$10,Data4!$CI$90:$CI$111</definedName>
    <definedName name="A130397262C_Data">Data4!$CI$90:$CI$111</definedName>
    <definedName name="A130397262C_Latest">Data4!$CI$111</definedName>
    <definedName name="A130397269V">Data4!$HK$1:$HK$10,Data4!$HK$90:$HK$111</definedName>
    <definedName name="A130397269V_Data">Data4!$HK$90:$HK$111</definedName>
    <definedName name="A130397269V_Latest">Data4!$HK$111</definedName>
    <definedName name="A130397276T">Data2!$BH$1:$BH$10,Data2!$BH$90:$BH$111</definedName>
    <definedName name="A130397276T_Data">Data2!$BH$90:$BH$111</definedName>
    <definedName name="A130397276T_Latest">Data2!$BH$111</definedName>
    <definedName name="A130397283R">Data2!$GJ$1:$GJ$10,Data2!$GJ$90:$GJ$111</definedName>
    <definedName name="A130397283R_Data">Data2!$GJ$90:$GJ$111</definedName>
    <definedName name="A130397283R_Latest">Data2!$GJ$111</definedName>
    <definedName name="A130397297C">Data1!$GI$1:$GI$10,Data1!$GI$11:$GI$111</definedName>
    <definedName name="A130397297C_Data">Data1!$GI$11:$GI$111</definedName>
    <definedName name="A130397297C_Latest">Data1!$GI$111</definedName>
    <definedName name="A130397304R">Data3!$HN$1:$HN$10,Data3!$HN$11:$HN$111</definedName>
    <definedName name="A130397304R_Data">Data3!$HN$11:$HN$111</definedName>
    <definedName name="A130397304R_Latest">Data3!$HN$111</definedName>
    <definedName name="A130397311L">Data1!$GW$1:$GW$10,Data1!$GW$90:$GW$111</definedName>
    <definedName name="A130397311L_Data">Data1!$GW$90:$GW$111</definedName>
    <definedName name="A130397311L_Latest">Data1!$GW$111</definedName>
    <definedName name="A130397318C">Data1!$HB$1:$HB$10,Data1!$HB$11:$HB$111</definedName>
    <definedName name="A130397318C_Data">Data1!$HB$11:$HB$111</definedName>
    <definedName name="A130397318C_Latest">Data1!$HB$111</definedName>
    <definedName name="A130397325A">Data2!$CN$1:$CN$10,Data2!$CN$11:$CN$111</definedName>
    <definedName name="A130397325A_Data">Data2!$CN$11:$CN$111</definedName>
    <definedName name="A130397325A_Latest">Data2!$CN$111</definedName>
    <definedName name="A130397332X">Data2!$HS$1:$HS$10,Data2!$HS$11:$HS$111</definedName>
    <definedName name="A130397332X_Data">Data2!$HS$11:$HS$111</definedName>
    <definedName name="A130397332X_Latest">Data2!$HS$111</definedName>
    <definedName name="A130397346L">Data4!$DT$1:$DT$10,Data4!$DT$90:$DT$111</definedName>
    <definedName name="A130397346L_Data">Data4!$DT$90:$DT$111</definedName>
    <definedName name="A130397346L_Latest">Data4!$DT$111</definedName>
    <definedName name="A130397353K">Data1!$DM$1:$DM$10,Data1!$DM$90:$DM$111</definedName>
    <definedName name="A130397353K_Data">Data1!$DM$90:$DM$111</definedName>
    <definedName name="A130397353K_Latest">Data1!$DM$111</definedName>
    <definedName name="A130397367X">Data5!$AS$1:$AS$10,Data5!$AS$90:$AS$111</definedName>
    <definedName name="A130397367X_Data">Data5!$AS$90:$AS$111</definedName>
    <definedName name="A130397367X_Latest">Data5!$AS$111</definedName>
    <definedName name="A130397375X">Data1!$B$1:$B$10,Data1!$B$90:$B$111</definedName>
    <definedName name="A130397375X_Data">Data1!$B$90:$B$111</definedName>
    <definedName name="A130397375X_Latest">Data1!$B$111</definedName>
    <definedName name="A130397382W">Data2!$P$1:$P$10,Data2!$P$90:$P$111</definedName>
    <definedName name="A130397382W_Data">Data2!$P$90:$P$111</definedName>
    <definedName name="A130397382W_Latest">Data2!$P$111</definedName>
    <definedName name="A130397480A">Data2!$AJ$1:$AJ$10,Data2!$AJ$11:$AJ$111</definedName>
    <definedName name="A130397480A_Data">Data2!$AJ$11:$AJ$111</definedName>
    <definedName name="A130397480A_Latest">Data2!$AJ$111</definedName>
    <definedName name="A130397494R">Data4!$BL$1:$BL$10,Data4!$BL$11:$BL$111</definedName>
    <definedName name="A130397494R_Data">Data4!$BL$11:$BL$111</definedName>
    <definedName name="A130397494R_Latest">Data4!$BL$111</definedName>
    <definedName name="A130397501A">Data2!$EQ$1:$EQ$10,Data2!$EQ$11:$EQ$111</definedName>
    <definedName name="A130397501A_Data">Data2!$EQ$11:$EQ$111</definedName>
    <definedName name="A130397501A_Latest">Data2!$EQ$111</definedName>
    <definedName name="A130397508T">Data3!$AC$1:$AC$10,Data3!$AC$11:$AC$111</definedName>
    <definedName name="A130397508T_Data">Data3!$AC$11:$AC$111</definedName>
    <definedName name="A130397508T_Latest">Data3!$AC$111</definedName>
    <definedName name="A130397515R">Data4!$IP$1:$IP$10,Data4!$IP$90:$IP$111</definedName>
    <definedName name="A130397515R_Data">Data4!$IP$90:$IP$111</definedName>
    <definedName name="A130397515R_Latest">Data4!$IP$111</definedName>
    <definedName name="A130397522L">Data1!$HJ$1:$HJ$10,Data1!$HJ$90:$HJ$111</definedName>
    <definedName name="A130397522L_Data">Data1!$HJ$90:$HJ$111</definedName>
    <definedName name="A130397522L_Latest">Data1!$HJ$111</definedName>
    <definedName name="A130397529C">Data5!$J$1:$J$10,Data5!$J$90:$J$111</definedName>
    <definedName name="A130397529C_Data">Data5!$J$90:$J$111</definedName>
    <definedName name="A130397529C_Latest">Data5!$J$111</definedName>
    <definedName name="A130397536A">Data5!$Z$1:$Z$10,Data5!$Z$90:$Z$111</definedName>
    <definedName name="A130397536A_Data">Data5!$Z$90:$Z$111</definedName>
    <definedName name="A130397536A_Latest">Data5!$Z$111</definedName>
    <definedName name="A130397543X">Data1!$ID$1:$ID$10,Data1!$ID$90:$ID$111</definedName>
    <definedName name="A130397543X_Data">Data1!$ID$90:$ID$111</definedName>
    <definedName name="A130397543X_Latest">Data1!$ID$111</definedName>
    <definedName name="A130397550W">Data4!$P$1:$P$10,Data4!$P$90:$P$111</definedName>
    <definedName name="A130397550W_Data">Data4!$P$90:$P$111</definedName>
    <definedName name="A130397550W_Latest">Data4!$P$111</definedName>
    <definedName name="A130397557L">Data2!$DZ$1:$DZ$10,Data2!$DZ$90:$DZ$111</definedName>
    <definedName name="A130397557L_Data">Data2!$DZ$90:$DZ$111</definedName>
    <definedName name="A130397557L_Latest">Data2!$DZ$111</definedName>
    <definedName name="A130397564K">Data4!$FB$1:$FB$10,Data4!$FB$90:$FB$111</definedName>
    <definedName name="A130397564K_Data">Data4!$FB$90:$FB$111</definedName>
    <definedName name="A130397564K_Latest">Data4!$FB$111</definedName>
    <definedName name="A130397571J">Data4!$AG$1:$AG$10,Data4!$AG$90:$AG$111</definedName>
    <definedName name="A130397571J_Data">Data4!$AG$90:$AG$111</definedName>
    <definedName name="A130397571J_Latest">Data4!$AG$111</definedName>
    <definedName name="A130397578X">Data2!$G$1:$G$10,Data2!$G$90:$G$111</definedName>
    <definedName name="A130397578X_Data">Data2!$G$90:$G$111</definedName>
    <definedName name="A130397578X_Latest">Data2!$G$111</definedName>
    <definedName name="A130397585W">Data2!$EK$1:$EK$10,Data2!$EK$11:$EK$111</definedName>
    <definedName name="A130397585W_Data">Data2!$EK$11:$EK$111</definedName>
    <definedName name="A130397585W_Latest">Data2!$EK$111</definedName>
    <definedName name="A130397592V">Data5!$G$1:$G$10,Data5!$G$90:$G$111</definedName>
    <definedName name="A130397592V_Data">Data5!$G$90:$G$111</definedName>
    <definedName name="A130397592V_Latest">Data5!$G$111</definedName>
    <definedName name="A130397599K">Data2!$HW$1:$HW$10,Data2!$HW$90:$HW$111</definedName>
    <definedName name="A130397599K_Data">Data2!$HW$90:$HW$111</definedName>
    <definedName name="A130397599K_Latest">Data2!$HW$111</definedName>
    <definedName name="A130397606W">Data3!$DI$1:$DI$10,Data3!$DI$90:$DI$111</definedName>
    <definedName name="A130397606W_Data">Data3!$DI$90:$DI$111</definedName>
    <definedName name="A130397606W_Latest">Data3!$DI$111</definedName>
    <definedName name="A130397613V">Data4!$BR$1:$BR$10,Data4!$BR$11:$BR$111</definedName>
    <definedName name="A130397613V_Data">Data4!$BR$11:$BR$111</definedName>
    <definedName name="A130397613V_Latest">Data4!$BR$111</definedName>
    <definedName name="A130397620T">Data1!$AF$1:$AF$10,Data1!$AF$11:$AF$111</definedName>
    <definedName name="A130397620T_Data">Data1!$AF$11:$AF$111</definedName>
    <definedName name="A130397620T_Latest">Data1!$AF$111</definedName>
    <definedName name="A130397627J">Data1!$GF$1:$GF$10,Data1!$GF$69:$GF$111</definedName>
    <definedName name="A130397627J_Data">Data1!$GF$69:$GF$111</definedName>
    <definedName name="A130397627J_Latest">Data1!$GF$111</definedName>
    <definedName name="A130397634F">Data4!$DD$1:$DD$10,Data4!$DD$60:$DD$111</definedName>
    <definedName name="A130397634F_Data">Data4!$DD$60:$DD$111</definedName>
    <definedName name="A130397634F_Latest">Data4!$DD$111</definedName>
    <definedName name="A130397641C">Data5!$BB$1:$BB$10,Data5!$BB$90:$BB$111</definedName>
    <definedName name="A130397641C_Data">Data5!$BB$90:$BB$111</definedName>
    <definedName name="A130397641C_Latest">Data5!$BB$111</definedName>
    <definedName name="A130397767K">Data1!$EM$1:$EM$10,Data1!$EM$11:$EM$111</definedName>
    <definedName name="A130397767K_Data">Data1!$EM$11:$EM$111</definedName>
    <definedName name="A130397767K_Latest">Data1!$EM$111</definedName>
    <definedName name="A130397774J">Data4!$GV$1:$GV$10,Data4!$GV$11:$GV$111</definedName>
    <definedName name="A130397774J_Data">Data4!$GV$11:$GV$111</definedName>
    <definedName name="A130397774J_Latest">Data4!$GV$111</definedName>
    <definedName name="A130397781F">Data2!$HI$1:$HI$10,Data2!$HI$90:$HI$111</definedName>
    <definedName name="A130397781F_Data">Data2!$HI$90:$HI$111</definedName>
    <definedName name="A130397781F_Latest">Data2!$HI$111</definedName>
    <definedName name="A130397788W">Data3!$HX$1:$HX$10,Data3!$HX$90:$HX$111</definedName>
    <definedName name="A130397788W_Data">Data3!$HX$90:$HX$111</definedName>
    <definedName name="A130397788W_Latest">Data3!$HX$111</definedName>
    <definedName name="A130397802F">Data3!$HT$1:$HT$10,Data3!$HT$90:$HT$111</definedName>
    <definedName name="A130397802F_Data">Data3!$HT$90:$HT$111</definedName>
    <definedName name="A130397802F_Latest">Data3!$HT$111</definedName>
    <definedName name="A130397809W">Data1!$BR$1:$BR$10,Data1!$BR$90:$BR$111</definedName>
    <definedName name="A130397809W_Data">Data1!$BR$90:$BR$111</definedName>
    <definedName name="A130397809W_Latest">Data1!$BR$111</definedName>
    <definedName name="A130397816V">Data3!$CT$1:$CT$10,Data3!$CT$90:$CT$111</definedName>
    <definedName name="A130397816V_Data">Data3!$CT$90:$CT$111</definedName>
    <definedName name="A130397816V_Latest">Data3!$CT$111</definedName>
    <definedName name="A130397830R">Data3!$HV$1:$HV$10,Data3!$HV$90:$HV$111</definedName>
    <definedName name="A130397830R_Data">Data3!$HV$90:$HV$111</definedName>
    <definedName name="A130397830R_Latest">Data3!$HV$111</definedName>
    <definedName name="A130397837F">Data2!$GX$1:$GX$10,Data2!$GX$90:$GX$111</definedName>
    <definedName name="A130397837F_Data">Data2!$GX$90:$GX$111</definedName>
    <definedName name="A130397837F_Latest">Data2!$GX$111</definedName>
    <definedName name="A130397858T">Data5!$N$1:$N$10,Data5!$N$90:$N$111</definedName>
    <definedName name="A130397858T_Data">Data5!$N$90:$N$111</definedName>
    <definedName name="A130397858T_Latest">Data5!$N$111</definedName>
    <definedName name="A130397872L">Data4!$T$1:$T$10,Data4!$T$90:$T$111</definedName>
    <definedName name="A130397872L_Data">Data4!$T$90:$T$111</definedName>
    <definedName name="A130397872L_Latest">Data4!$T$111</definedName>
    <definedName name="A130397879C">Data2!$EP$1:$EP$10,Data2!$EP$11:$EP$111</definedName>
    <definedName name="A130397879C_Data">Data2!$EP$11:$EP$111</definedName>
    <definedName name="A130397879C_Latest">Data2!$EP$111</definedName>
    <definedName name="A130397886A">Data4!$AO$1:$AO$10,Data4!$AO$11:$AO$111</definedName>
    <definedName name="A130397886A_Data">Data4!$AO$11:$AO$111</definedName>
    <definedName name="A130397886A_Latest">Data4!$AO$111</definedName>
    <definedName name="A130397935K">Data4!$HI$1:$HI$10,Data4!$HI$90:$HI$111</definedName>
    <definedName name="A130397935K_Data">Data4!$HI$90:$HI$111</definedName>
    <definedName name="A130397935K_Latest">Data4!$HI$111</definedName>
    <definedName name="A130397942J">Data2!$DC$1:$DC$10,Data2!$DC$90:$DC$111</definedName>
    <definedName name="A130397942J_Data">Data2!$DC$90:$DC$111</definedName>
    <definedName name="A130397942J_Latest">Data2!$DC$111</definedName>
    <definedName name="A130397949X">Data2!$IE$1:$IE$10,Data2!$IE$90:$IE$111</definedName>
    <definedName name="A130397949X_Data">Data2!$IE$90:$IE$111</definedName>
    <definedName name="A130397949X_Latest">Data2!$IE$111</definedName>
    <definedName name="A130397956W">Data1!$AG$1:$AG$10,Data1!$AG$90:$AG$111</definedName>
    <definedName name="A130397956W_Data">Data1!$AG$90:$AG$111</definedName>
    <definedName name="A130397956W_Latest">Data1!$AG$111</definedName>
    <definedName name="A130397963V">Data2!$FW$1:$FW$10,Data2!$FW$90:$FW$111</definedName>
    <definedName name="A130397963V_Data">Data2!$FW$90:$FW$111</definedName>
    <definedName name="A130397963V_Latest">Data2!$FW$111</definedName>
    <definedName name="A130397977J">Data4!$CU$1:$CU$10,Data4!$CU$69:$CU$111</definedName>
    <definedName name="A130397977J_Data">Data4!$CU$69:$CU$111</definedName>
    <definedName name="A130397977J_Latest">Data4!$CU$111</definedName>
    <definedName name="A130397984F">Data5!$X$1:$X$10,Data5!$X$90:$X$111</definedName>
    <definedName name="A130397984F_Data">Data5!$X$90:$X$111</definedName>
    <definedName name="A130397984F_Latest">Data5!$X$111</definedName>
    <definedName name="A130397991C">Data1!$FM$1:$FM$10,Data1!$FM$90:$FM$111</definedName>
    <definedName name="A130397991C_Data">Data1!$FM$90:$FM$111</definedName>
    <definedName name="A130397991C_Latest">Data1!$FM$111</definedName>
    <definedName name="A130397998V">Data2!$AY$1:$AY$10,Data2!$AY$90:$AY$111</definedName>
    <definedName name="A130397998V_Data">Data2!$AY$90:$AY$111</definedName>
    <definedName name="A130397998V_Latest">Data2!$AY$111</definedName>
    <definedName name="A130398005J">Data4!$CA$1:$CA$10,Data4!$CA$90:$CA$111</definedName>
    <definedName name="A130398005J_Data">Data4!$CA$90:$CA$111</definedName>
    <definedName name="A130398005J_Latest">Data4!$CA$111</definedName>
    <definedName name="A130398019W">Data1!$DI$1:$DI$10,Data1!$DI$11:$DI$111</definedName>
    <definedName name="A130398019W_Data">Data1!$DI$11:$DI$111</definedName>
    <definedName name="A130398019W_Latest">Data1!$DI$111</definedName>
    <definedName name="A130398026V">Data1!$S$1:$S$10,Data1!$S$11:$S$111</definedName>
    <definedName name="A130398026V_Data">Data1!$S$11:$S$111</definedName>
    <definedName name="A130398026V_Latest">Data1!$S$111</definedName>
    <definedName name="A130398033T">Data1!$E$1:$E$10,Data1!$E$11:$E$111</definedName>
    <definedName name="A130398033T_Data">Data1!$E$11:$E$111</definedName>
    <definedName name="A130398033T_Latest">Data1!$E$111</definedName>
    <definedName name="A130398040R">Data1!$EG$1:$EG$10,Data1!$EG$11:$EG$111</definedName>
    <definedName name="A130398040R_Data">Data1!$EG$11:$EG$111</definedName>
    <definedName name="A130398040R_Latest">Data1!$EG$111</definedName>
    <definedName name="A130398047F">Data2!$T$1:$T$10,Data2!$T$11:$T$111</definedName>
    <definedName name="A130398047F_Data">Data2!$T$11:$T$111</definedName>
    <definedName name="A130398047F_Latest">Data2!$T$111</definedName>
    <definedName name="A130398054C">Data4!$AV$1:$AV$10,Data4!$AV$11:$AV$111</definedName>
    <definedName name="A130398054C_Data">Data4!$AV$11:$AV$111</definedName>
    <definedName name="A130398054C_Latest">Data4!$AV$111</definedName>
    <definedName name="A130398068T">Data4!$AX$1:$AX$10,Data4!$AX$11:$AX$111</definedName>
    <definedName name="A130398068T_Data">Data4!$AX$11:$AX$111</definedName>
    <definedName name="A130398068T_Latest">Data4!$AX$111</definedName>
    <definedName name="A130398075R">Data3!$AL$1:$AL$10,Data3!$AL$11:$AL$111</definedName>
    <definedName name="A130398075R_Data">Data3!$AL$11:$AL$111</definedName>
    <definedName name="A130398075R_Latest">Data3!$AL$111</definedName>
    <definedName name="A130398082L">Data3!$AN$1:$AN$10,Data3!$AN$11:$AN$111</definedName>
    <definedName name="A130398082L_Data">Data3!$AN$11:$AN$111</definedName>
    <definedName name="A130398082L_Latest">Data3!$AN$111</definedName>
    <definedName name="A130398089C">Data3!$FP$1:$FP$10,Data3!$FP$11:$FP$111</definedName>
    <definedName name="A130398089C_Data">Data3!$FP$11:$FP$111</definedName>
    <definedName name="A130398089C_Latest">Data3!$FP$111</definedName>
    <definedName name="A130398096A">Data1!$M$1:$M$10,Data1!$M$11:$M$111</definedName>
    <definedName name="A130398096A_Data">Data1!$M$11:$M$111</definedName>
    <definedName name="A130398096A_Latest">Data1!$M$111</definedName>
    <definedName name="A130398103L">Data2!$AA$1:$AA$10,Data2!$AA$11:$AA$111</definedName>
    <definedName name="A130398103L_Data">Data2!$AA$11:$AA$111</definedName>
    <definedName name="A130398103L_Latest">Data2!$AA$111</definedName>
    <definedName name="A130398110K">Data3!$FQ$1:$FQ$10,Data3!$FQ$11:$FQ$111</definedName>
    <definedName name="A130398110K_Data">Data3!$FQ$11:$FQ$111</definedName>
    <definedName name="A130398110K_Latest">Data3!$FQ$111</definedName>
    <definedName name="A130398117A">Data4!$GE$1:$GE$10,Data4!$GE$11:$GE$111</definedName>
    <definedName name="A130398117A_Data">Data4!$GE$11:$GE$111</definedName>
    <definedName name="A130398117A_Latest">Data4!$GE$111</definedName>
    <definedName name="A130398124X">Data1!$EQ$1:$EQ$10,Data1!$EQ$11:$EQ$111</definedName>
    <definedName name="A130398124X_Data">Data1!$EQ$11:$EQ$111</definedName>
    <definedName name="A130398124X_Latest">Data1!$EQ$111</definedName>
    <definedName name="A130398131W">Data1!$FJ$1:$FJ$10,Data1!$FJ$90:$FJ$111</definedName>
    <definedName name="A130398131W_Data">Data1!$FJ$90:$FJ$111</definedName>
    <definedName name="A130398131W_Latest">Data1!$FJ$111</definedName>
    <definedName name="A130398138L">Data1!$FK$1:$FK$10,Data1!$FK$90:$FK$111</definedName>
    <definedName name="A130398138L_Data">Data1!$FK$90:$FK$111</definedName>
    <definedName name="A130398138L_Latest">Data1!$FK$111</definedName>
    <definedName name="A130398145K">Data4!$HA$1:$HA$10,Data4!$HA$90:$HA$111</definedName>
    <definedName name="A130398145K_Data">Data4!$HA$90:$HA$111</definedName>
    <definedName name="A130398145K_Latest">Data4!$HA$111</definedName>
    <definedName name="A130398152J">Data1!$X$1:$X$10,Data1!$X$11:$X$111</definedName>
    <definedName name="A130398152J_Data">Data1!$X$11:$X$111</definedName>
    <definedName name="A130398152J_Latest">Data1!$X$111</definedName>
    <definedName name="A130398159X">Data2!$AL$1:$AL$10,Data2!$AL$11:$AL$111</definedName>
    <definedName name="A130398159X_Data">Data2!$AL$11:$AL$111</definedName>
    <definedName name="A130398159X_Latest">Data2!$AL$111</definedName>
    <definedName name="A130398166W">Data4!$GQ$1:$GQ$10,Data4!$GQ$11:$GQ$111</definedName>
    <definedName name="A130398166W_Data">Data4!$GQ$11:$GQ$111</definedName>
    <definedName name="A130398166W_Latest">Data4!$GQ$111</definedName>
    <definedName name="A130398173V">Data2!$AS$1:$AS$10,Data2!$AS$11:$AS$111</definedName>
    <definedName name="A130398173V_Data">Data2!$AS$11:$AS$111</definedName>
    <definedName name="A130398173V_Latest">Data2!$AS$111</definedName>
    <definedName name="A130398180T">Data1!$AC$1:$AC$10,Data1!$AC$11:$AC$111</definedName>
    <definedName name="A130398180T_Data">Data1!$AC$11:$AC$111</definedName>
    <definedName name="A130398180T_Latest">Data1!$AC$111</definedName>
    <definedName name="A130398187J">Data2!$GN$1:$GN$10,Data2!$GN$90:$GN$111</definedName>
    <definedName name="A130398187J_Data">Data2!$GN$90:$GN$111</definedName>
    <definedName name="A130398187J_Latest">Data2!$GN$111</definedName>
    <definedName name="A130398194F">Data2!$GO$1:$GO$10,Data2!$GO$90:$GO$111</definedName>
    <definedName name="A130398194F_Data">Data2!$GO$90:$GO$111</definedName>
    <definedName name="A130398194F_Latest">Data2!$GO$111</definedName>
    <definedName name="A130398201T">Data3!$CK$1:$CK$10,Data3!$CK$90:$CK$111</definedName>
    <definedName name="A130398201T_Data">Data3!$CK$90:$CK$111</definedName>
    <definedName name="A130398201T_Latest">Data3!$CK$111</definedName>
    <definedName name="A130398208J">Data4!$IA$1:$IA$10,Data4!$IA$90:$IA$111</definedName>
    <definedName name="A130398208J_Data">Data4!$IA$90:$IA$111</definedName>
    <definedName name="A130398208J_Latest">Data4!$IA$111</definedName>
    <definedName name="A130398215F">Data1!$BQ$1:$BQ$10,Data1!$BQ$90:$BQ$111</definedName>
    <definedName name="A130398215F_Data">Data1!$BQ$90:$BQ$111</definedName>
    <definedName name="A130398215F_Latest">Data1!$BQ$111</definedName>
    <definedName name="A130398222C">Data4!$II$1:$II$10,Data4!$II$90:$II$111</definedName>
    <definedName name="A130398222C_Data">Data4!$II$90:$II$111</definedName>
    <definedName name="A130398222C_Latest">Data4!$II$111</definedName>
    <definedName name="A130398229V">Data2!$HL$1:$HL$10,Data2!$HL$90:$HL$111</definedName>
    <definedName name="A130398229V_Data">Data2!$HL$90:$HL$111</definedName>
    <definedName name="A130398229V_Latest">Data2!$HL$111</definedName>
    <definedName name="A130398236T">Data1!$BY$1:$BY$10,Data1!$BY$90:$BY$111</definedName>
    <definedName name="A130398236T_Data">Data1!$BY$90:$BY$111</definedName>
    <definedName name="A130398236T_Latest">Data1!$BY$111</definedName>
    <definedName name="A130398243R">Data3!$DC$1:$DC$10,Data3!$DC$11:$DC$111</definedName>
    <definedName name="A130398243R_Data">Data3!$DC$11:$DC$111</definedName>
    <definedName name="A130398243R_Latest">Data3!$DC$111</definedName>
    <definedName name="A130398250L">Data2!$ED$1:$ED$10,Data2!$ED$90:$ED$111</definedName>
    <definedName name="A130398250L_Data">Data2!$ED$90:$ED$111</definedName>
    <definedName name="A130398250L_Latest">Data2!$ED$111</definedName>
    <definedName name="A130398257C">Data1!$DO$1:$DO$10,Data1!$DO$11:$DO$111</definedName>
    <definedName name="A130398257C_Data">Data1!$DO$11:$DO$111</definedName>
    <definedName name="A130398257C_Latest">Data1!$DO$111</definedName>
    <definedName name="A130398264A">Data1!$IQ$1:$IQ$10,Data1!$IQ$11:$IQ$111</definedName>
    <definedName name="A130398264A_Data">Data1!$IQ$11:$IQ$111</definedName>
    <definedName name="A130398264A_Latest">Data1!$IQ$111</definedName>
    <definedName name="A130398271X">Data2!$EC$1:$EC$10,Data2!$EC$11:$EC$111</definedName>
    <definedName name="A130398271X_Data">Data2!$EC$11:$EC$111</definedName>
    <definedName name="A130398271X_Latest">Data2!$EC$111</definedName>
    <definedName name="A130398278R">Data1!$DA$1:$DA$10,Data1!$DA$90:$DA$111</definedName>
    <definedName name="A130398278R_Data">Data1!$DA$90:$DA$111</definedName>
    <definedName name="A130398278R_Latest">Data1!$DA$111</definedName>
    <definedName name="A130398285L">Data3!$EC$1:$EC$10,Data3!$EC$90:$EC$111</definedName>
    <definedName name="A130398285L_Data">Data3!$EC$90:$EC$111</definedName>
    <definedName name="A130398285L_Latest">Data3!$EC$111</definedName>
    <definedName name="A130398299A">Data5!$AC$1:$AC$10,Data5!$AC$90:$AC$111</definedName>
    <definedName name="A130398299A_Data">Data5!$AC$90:$AC$111</definedName>
    <definedName name="A130398299A_Latest">Data5!$AC$111</definedName>
    <definedName name="A130398306L">Data3!$DS$1:$DS$10,Data3!$DS$90:$DS$111</definedName>
    <definedName name="A130398306L_Data">Data3!$DS$90:$DS$111</definedName>
    <definedName name="A130398306L_Latest">Data3!$DS$111</definedName>
    <definedName name="A130398313K">Data3!$DU$1:$DU$10,Data3!$DU$11:$DU$111</definedName>
    <definedName name="A130398313K_Data">Data3!$DU$11:$DU$111</definedName>
    <definedName name="A130398313K_Latest">Data3!$DU$111</definedName>
    <definedName name="A130398327X">Data2!$IK$1:$IK$10,Data2!$IK$90:$IK$111</definedName>
    <definedName name="A130398327X_Data">Data2!$IK$90:$IK$111</definedName>
    <definedName name="A130398327X_Latest">Data2!$IK$111</definedName>
    <definedName name="A130398334W">Data4!$I$1:$I$10,Data4!$I$90:$I$111</definedName>
    <definedName name="A130398334W_Data">Data4!$I$90:$I$111</definedName>
    <definedName name="A130398334W_Latest">Data4!$I$111</definedName>
    <definedName name="A130398341V">Data4!$EK$1:$EK$10,Data4!$EK$90:$EK$111</definedName>
    <definedName name="A130398341V_Data">Data4!$EK$90:$EK$111</definedName>
    <definedName name="A130398341V_Latest">Data4!$EK$111</definedName>
    <definedName name="A130398348K">Data5!$W$1:$W$10,Data5!$W$90:$W$111</definedName>
    <definedName name="A130398348K_Data">Data5!$W$90:$W$111</definedName>
    <definedName name="A130398348K_Latest">Data5!$W$111</definedName>
    <definedName name="A130398355J">Data1!$CT$1:$CT$10,Data1!$CT$90:$CT$111</definedName>
    <definedName name="A130398355J_Data">Data1!$CT$90:$CT$111</definedName>
    <definedName name="A130398355J_Latest">Data1!$CT$111</definedName>
    <definedName name="A130398369W">Data1!$FP$1:$FP$10,Data1!$FP$11:$FP$111</definedName>
    <definedName name="A130398369W_Data">Data1!$FP$11:$FP$111</definedName>
    <definedName name="A130398369W_Latest">Data1!$FP$111</definedName>
    <definedName name="A130398376V">Data2!$BA$1:$BA$10,Data2!$BA$90:$BA$111</definedName>
    <definedName name="A130398376V_Data">Data2!$BA$90:$BA$111</definedName>
    <definedName name="A130398376V_Latest">Data2!$BA$111</definedName>
    <definedName name="A130398383T">Data1!$CM$1:$CM$10,Data1!$CM$90:$CM$111</definedName>
    <definedName name="A130398383T_Data">Data1!$CM$90:$CM$111</definedName>
    <definedName name="A130398383T_Latest">Data1!$CM$111</definedName>
    <definedName name="A130398390R">Data1!$HM$1:$HM$10,Data1!$HM$90:$HM$111</definedName>
    <definedName name="A130398390R_Data">Data1!$HM$90:$HM$111</definedName>
    <definedName name="A130398390R_Latest">Data1!$HM$111</definedName>
    <definedName name="A130398397F">Data4!$ED$1:$ED$10,Data4!$ED$90:$ED$111</definedName>
    <definedName name="A130398397F_Data">Data4!$ED$90:$ED$111</definedName>
    <definedName name="A130398397F_Latest">Data4!$ED$111</definedName>
    <definedName name="A130398404T">Data1!$HL$1:$HL$10,Data1!$HL$90:$HL$111</definedName>
    <definedName name="A130398404T_Data">Data1!$HL$90:$HL$111</definedName>
    <definedName name="A130398404T_Latest">Data1!$HL$111</definedName>
    <definedName name="A130398411R">Data1!$HD$1:$HD$10,Data1!$HD$11:$HD$111</definedName>
    <definedName name="A130398411R_Data">Data1!$HD$11:$HD$111</definedName>
    <definedName name="A130398411R_Latest">Data1!$HD$111</definedName>
    <definedName name="A130398418F">Data5!$D$1:$D$10,Data5!$D$11:$D$111</definedName>
    <definedName name="A130398418F_Data">Data5!$D$11:$D$111</definedName>
    <definedName name="A130398418F_Latest">Data5!$D$111</definedName>
    <definedName name="A130398425C">Data5!$AF$1:$AF$10,Data5!$AF$90:$AF$111</definedName>
    <definedName name="A130398425C_Data">Data5!$AF$90:$AF$111</definedName>
    <definedName name="A130398425C_Latest">Data5!$AF$111</definedName>
    <definedName name="A130398432A">Data1!$IL$1:$IL$10,Data1!$IL$11:$IL$111</definedName>
    <definedName name="A130398432A_Data">Data1!$IL$11:$IL$111</definedName>
    <definedName name="A130398432A_Latest">Data1!$IL$111</definedName>
    <definedName name="A130398439T">Data3!$EL$1:$EL$10,Data3!$EL$11:$EL$111</definedName>
    <definedName name="A130398439T_Data">Data3!$EL$11:$EL$111</definedName>
    <definedName name="A130398439T_Latest">Data3!$EL$111</definedName>
    <definedName name="A130398446R">Data5!$AL$1:$AL$10,Data5!$AL$11:$AL$111</definedName>
    <definedName name="A130398446R_Data">Data5!$AL$11:$AL$111</definedName>
    <definedName name="A130398446R_Latest">Data5!$AL$111</definedName>
    <definedName name="A130398453L">Data4!$BQ$1:$BQ$10,Data4!$BQ$11:$BQ$111</definedName>
    <definedName name="A130398453L_Data">Data4!$BQ$11:$BQ$111</definedName>
    <definedName name="A130398453L_Latest">Data4!$BQ$111</definedName>
    <definedName name="A130398460K">Data1!$AS$1:$AS$10,Data1!$AS$90:$AS$111</definedName>
    <definedName name="A130398460K_Data">Data1!$AS$90:$AS$111</definedName>
    <definedName name="A130398460K_Latest">Data1!$AS$111</definedName>
    <definedName name="A130398474X">Data3!$CC$1:$CC$10,Data3!$CC$90:$CC$111</definedName>
    <definedName name="A130398474X_Data">Data3!$CC$90:$CC$111</definedName>
    <definedName name="A130398474X_Latest">Data3!$CC$111</definedName>
    <definedName name="A130398481W">Data4!$HY$1:$HY$10,Data4!$HY$11:$HY$111</definedName>
    <definedName name="A130398481W_Data">Data4!$HY$11:$HY$111</definedName>
    <definedName name="A130398481W_Latest">Data4!$HY$111</definedName>
    <definedName name="A130398488L">Data1!$BJ$1:$BJ$10,Data1!$BJ$11:$BJ$111</definedName>
    <definedName name="A130398488L_Data">Data1!$BJ$11:$BJ$111</definedName>
    <definedName name="A130398488L_Latest">Data1!$BJ$111</definedName>
    <definedName name="A130398495K">Data1!$GL$1:$GL$10,Data1!$GL$11:$GL$111</definedName>
    <definedName name="A130398495K_Data">Data1!$GL$11:$GL$111</definedName>
    <definedName name="A130398495K_Latest">Data1!$GL$111</definedName>
    <definedName name="A130398502W">Data3!$CL$1:$CL$10,Data3!$CL$11:$CL$111</definedName>
    <definedName name="A130398502W_Data">Data3!$CL$11:$CL$111</definedName>
    <definedName name="A130398502W_Latest">Data3!$CL$111</definedName>
    <definedName name="A130398509L">Data2!$HK$1:$HK$10,Data2!$HK$90:$HK$111</definedName>
    <definedName name="A130398509L_Data">Data2!$HK$90:$HK$111</definedName>
    <definedName name="A130398509L_Latest">Data2!$HK$111</definedName>
    <definedName name="A130398523J">Data4!$DK$1:$DK$10,Data4!$DK$90:$DK$111</definedName>
    <definedName name="A130398523J_Data">Data4!$DK$90:$DK$111</definedName>
    <definedName name="A130398523J_Latest">Data4!$DK$111</definedName>
    <definedName name="A130398530F">Data1!$BZ$1:$BZ$10,Data1!$BZ$11:$BZ$111</definedName>
    <definedName name="A130398530F_Data">Data1!$BZ$11:$BZ$111</definedName>
    <definedName name="A130398530F_Latest">Data1!$BZ$111</definedName>
    <definedName name="A130398537W">Data3!$DB$1:$DB$10,Data3!$DB$11:$DB$111</definedName>
    <definedName name="A130398537W_Data">Data3!$DB$11:$DB$111</definedName>
    <definedName name="A130398537W_Latest">Data3!$DB$111</definedName>
    <definedName name="A130398544V">Data1!$CC$1:$CC$10,Data1!$CC$11:$CC$111</definedName>
    <definedName name="A130398544V_Data">Data1!$CC$11:$CC$111</definedName>
    <definedName name="A130398544V_Latest">Data1!$CC$111</definedName>
    <definedName name="A130398551T">Data4!$DS$1:$DS$10,Data4!$DS$11:$DS$111</definedName>
    <definedName name="A130398551T_Data">Data4!$DS$11:$DS$111</definedName>
    <definedName name="A130398551T_Latest">Data4!$DS$111</definedName>
    <definedName name="A130398558J">Data2!$CR$1:$CR$10,Data2!$CR$90:$CR$111</definedName>
    <definedName name="A130398558J_Data">Data2!$CR$90:$CR$111</definedName>
    <definedName name="A130398558J_Latest">Data2!$CR$111</definedName>
    <definedName name="A130398565F">Data3!$DF$1:$DF$10,Data3!$DF$90:$DF$111</definedName>
    <definedName name="A130398565F_Data">Data3!$DF$90:$DF$111</definedName>
    <definedName name="A130398565F_Latest">Data3!$DF$111</definedName>
    <definedName name="A130398572C">Data1!$II$1:$II$10,Data1!$II$90:$II$111</definedName>
    <definedName name="A130398572C_Data">Data1!$II$90:$II$111</definedName>
    <definedName name="A130398572C_Latest">Data1!$II$111</definedName>
    <definedName name="A130398579V">Data2!$DU$1:$DU$10,Data2!$DU$90:$DU$111</definedName>
    <definedName name="A130398579V_Data">Data2!$DU$90:$DU$111</definedName>
    <definedName name="A130398579V_Latest">Data2!$DU$111</definedName>
    <definedName name="A130398586T">Data4!$U$1:$U$10,Data4!$U$90:$U$111</definedName>
    <definedName name="A130398586T_Data">Data4!$U$90:$U$111</definedName>
    <definedName name="A130398586T_Latest">Data4!$U$111</definedName>
    <definedName name="A130398593R">Data1!$IO$1:$IO$10,Data1!$IO$90:$IO$111</definedName>
    <definedName name="A130398593R_Data">Data1!$IO$90:$IO$111</definedName>
    <definedName name="A130398593R_Latest">Data1!$IO$111</definedName>
    <definedName name="A130398600A">Data3!$EO$1:$EO$10,Data3!$EO$90:$EO$111</definedName>
    <definedName name="A130398600A_Data">Data3!$EO$90:$EO$111</definedName>
    <definedName name="A130398600A_Latest">Data3!$EO$111</definedName>
    <definedName name="A130398607T">Data3!$EP$1:$EP$10,Data3!$EP$90:$EP$111</definedName>
    <definedName name="A130398607T_Data">Data3!$EP$90:$EP$111</definedName>
    <definedName name="A130398607T_Latest">Data3!$EP$111</definedName>
    <definedName name="A130398614R">Data5!$AP$1:$AP$10,Data5!$AP$90:$AP$111</definedName>
    <definedName name="A130398614R_Data">Data5!$AP$90:$AP$111</definedName>
    <definedName name="A130398614R_Latest">Data5!$AP$111</definedName>
    <definedName name="A130398621L">Data2!$EE$1:$EE$10,Data2!$EE$90:$EE$111</definedName>
    <definedName name="A130398621L_Data">Data2!$EE$90:$EE$111</definedName>
    <definedName name="A130398621L_Latest">Data2!$EE$111</definedName>
    <definedName name="A130398628C">Data2!$D$1:$D$10,Data2!$D$90:$D$111</definedName>
    <definedName name="A130398628C_Data">Data2!$D$90:$D$111</definedName>
    <definedName name="A130398628C_Latest">Data2!$D$111</definedName>
    <definedName name="A130398687C">Data1!$T$1:$T$10,Data1!$T$11:$T$111</definedName>
    <definedName name="A130398687C_Data">Data1!$T$11:$T$111</definedName>
    <definedName name="A130398687C_Latest">Data1!$T$111</definedName>
    <definedName name="A130398694A">Data3!$FX$1:$FX$10,Data3!$FX$11:$FX$111</definedName>
    <definedName name="A130398694A_Data">Data3!$FX$11:$FX$111</definedName>
    <definedName name="A130398694A_Latest">Data3!$FX$111</definedName>
    <definedName name="A130398701L">Data1!$U$1:$U$10,Data1!$U$11:$U$111</definedName>
    <definedName name="A130398701L_Data">Data1!$U$11:$U$111</definedName>
    <definedName name="A130398701L_Latest">Data1!$U$111</definedName>
    <definedName name="A130398708C">Data1!$EX$1:$EX$10,Data1!$EX$11:$EX$111</definedName>
    <definedName name="A130398708C_Data">Data1!$EX$11:$EX$111</definedName>
    <definedName name="A130398708C_Latest">Data1!$EX$111</definedName>
    <definedName name="A130398715A">Data4!$FS$1:$FS$10,Data4!$FS$11:$FS$111</definedName>
    <definedName name="A130398715A_Data">Data4!$FS$11:$FS$111</definedName>
    <definedName name="A130398715A_Latest">Data4!$FS$111</definedName>
    <definedName name="A130398722X">Data3!$CZ$1:$CZ$10,Data3!$CZ$90:$CZ$111</definedName>
    <definedName name="A130398722X_Data">Data3!$CZ$90:$CZ$111</definedName>
    <definedName name="A130398722X_Latest">Data3!$CZ$111</definedName>
    <definedName name="A130398729R">Data4!$ER$1:$ER$10,Data4!$ER$90:$ER$111</definedName>
    <definedName name="A130398729R_Data">Data4!$ER$90:$ER$111</definedName>
    <definedName name="A130398729R_Latest">Data4!$ER$111</definedName>
    <definedName name="A130398736L">Data5!$AD$1:$AD$10,Data5!$AD$90:$AD$111</definedName>
    <definedName name="A130398736L_Data">Data5!$AD$90:$AD$111</definedName>
    <definedName name="A130398736L_Latest">Data5!$AD$111</definedName>
    <definedName name="A130398743K">Data3!$EN$1:$EN$10,Data3!$EN$90:$EN$111</definedName>
    <definedName name="A130398743K_Data">Data3!$EN$90:$EN$111</definedName>
    <definedName name="A130398743K_Latest">Data3!$EN$111</definedName>
    <definedName name="A130398750J">Data3!$EU$1:$EU$10,Data3!$EU$90:$EU$111</definedName>
    <definedName name="A130398750J_Data">Data3!$EU$90:$EU$111</definedName>
    <definedName name="A130398750J_Latest">Data3!$EU$111</definedName>
    <definedName name="A130398764W">Data4!$AI$1:$AI$10,Data4!$AI$90:$AI$111</definedName>
    <definedName name="A130398764W_Data">Data4!$AI$90:$AI$111</definedName>
    <definedName name="A130398764W_Latest">Data4!$AI$111</definedName>
    <definedName name="A130398771V">Data3!$EX$1:$EX$10,Data3!$EX$11:$EX$111</definedName>
    <definedName name="A130398771V_Data">Data3!$EX$11:$EX$111</definedName>
    <definedName name="A130398771V_Latest">Data3!$EX$111</definedName>
    <definedName name="A130398778K">Data5!$AX$1:$AX$10,Data5!$AX$11:$AX$111</definedName>
    <definedName name="A130398778K_Data">Data5!$AX$11:$AX$111</definedName>
    <definedName name="A130398778K_Latest">Data5!$AX$111</definedName>
    <definedName name="A130398785J">Data2!$FV$1:$FV$10,Data2!$FV$11:$FV$111</definedName>
    <definedName name="A130398785J_Data">Data2!$FV$11:$FV$111</definedName>
    <definedName name="A130398785J_Latest">Data2!$FV$111</definedName>
    <definedName name="A130398792F">Data4!$BV$1:$BV$10,Data4!$BV$11:$BV$111</definedName>
    <definedName name="A130398792F_Data">Data4!$BV$11:$BV$111</definedName>
    <definedName name="A130398792F_Latest">Data4!$BV$111</definedName>
    <definedName name="A130398799W">Data2!$BR$1:$BR$10,Data2!$BR$69:$BR$111</definedName>
    <definedName name="A130398799W_Data">Data2!$BR$69:$BR$111</definedName>
    <definedName name="A130398799W_Latest">Data2!$BR$111</definedName>
    <definedName name="A130398806J">Data2!$GT$1:$GT$10,Data2!$GT$69:$GT$111</definedName>
    <definedName name="A130398806J_Data">Data2!$GT$69:$GT$111</definedName>
    <definedName name="A130398806J_Latest">Data2!$GT$111</definedName>
    <definedName name="A130398813F">Data2!$EM$1:$EM$10,Data2!$EM$90:$EM$111</definedName>
    <definedName name="A130398813F_Data">Data2!$EM$90:$EM$111</definedName>
    <definedName name="A130398813F_Latest">Data2!$EM$111</definedName>
    <definedName name="A130398820C">Data3!$Y$1:$Y$10,Data3!$Y$90:$Y$111</definedName>
    <definedName name="A130398820C_Data">Data3!$Y$90:$Y$111</definedName>
    <definedName name="A130398820C_Latest">Data3!$Y$111</definedName>
    <definedName name="A130398827V">Data4!$FO$1:$FO$10,Data4!$FO$90:$FO$111</definedName>
    <definedName name="A130398827V_Data">Data4!$FO$90:$FO$111</definedName>
    <definedName name="A130398827V_Latest">Data4!$FO$111</definedName>
    <definedName name="A130398834T">Data2!$EN$1:$EN$10,Data2!$EN$90:$EN$111</definedName>
    <definedName name="A130398834T_Data">Data2!$EN$90:$EN$111</definedName>
    <definedName name="A130398834T_Latest">Data2!$EN$111</definedName>
    <definedName name="A130398841R">Data4!$AN$1:$AN$10,Data4!$AN$90:$AN$111</definedName>
    <definedName name="A130398841R_Data">Data4!$AN$90:$AN$111</definedName>
    <definedName name="A130398841R_Latest">Data4!$AN$111</definedName>
    <definedName name="A130398932W">Data1!$DX$1:$DX$10,Data1!$DX$90:$DX$111</definedName>
    <definedName name="A130398932W_Data">Data1!$DX$90:$DX$111</definedName>
    <definedName name="A130398932W_Latest">Data1!$DX$111</definedName>
    <definedName name="A130398946K">Data2!$Y$1:$Y$10,Data2!$Y$11:$Y$111</definedName>
    <definedName name="A130398946K_Data">Data2!$Y$11:$Y$111</definedName>
    <definedName name="A130398946K_Latest">Data2!$Y$111</definedName>
    <definedName name="A130398953J">Data3!$AY$1:$AY$10,Data3!$AY$11:$AY$111</definedName>
    <definedName name="A130398953J_Data">Data3!$AY$11:$AY$111</definedName>
    <definedName name="A130398953J_Latest">Data3!$AY$111</definedName>
    <definedName name="A130398960F">Data2!$FT$1:$FT$10,Data2!$FT$11:$FT$111</definedName>
    <definedName name="A130398960F_Data">Data2!$FT$11:$FT$111</definedName>
    <definedName name="A130398960F_Latest">Data2!$FT$111</definedName>
    <definedName name="A130398967W">Data1!$AR$1:$AR$10,Data1!$AR$90:$AR$111</definedName>
    <definedName name="A130398967W_Data">Data1!$AR$90:$AR$111</definedName>
    <definedName name="A130398967W_Latest">Data1!$AR$111</definedName>
    <definedName name="A130398974V">Data4!$DH$1:$DH$10,Data4!$DH$90:$DH$111</definedName>
    <definedName name="A130398974V_Data">Data4!$DH$90:$DH$111</definedName>
    <definedName name="A130398974V_Latest">Data4!$DH$111</definedName>
    <definedName name="A130398981T">Data4!$IJ$1:$IJ$10,Data4!$IJ$90:$IJ$111</definedName>
    <definedName name="A130398981T_Data">Data4!$IJ$90:$IJ$111</definedName>
    <definedName name="A130398981T_Latest">Data4!$IJ$111</definedName>
    <definedName name="A130398988J">Data4!$HX$1:$HX$10,Data4!$HX$11:$HX$111</definedName>
    <definedName name="A130398988J_Data">Data4!$HX$11:$HX$111</definedName>
    <definedName name="A130398988J_Latest">Data4!$HX$111</definedName>
    <definedName name="A130398995F">Data1!$GJ$1:$GJ$10,Data1!$GJ$90:$GJ$111</definedName>
    <definedName name="A130398995F_Data">Data1!$GJ$90:$GJ$111</definedName>
    <definedName name="A130398995F_Latest">Data1!$GJ$111</definedName>
    <definedName name="A130399002V">Data2!$BV$1:$BV$10,Data2!$BV$90:$BV$111</definedName>
    <definedName name="A130399002V_Data">Data2!$BV$90:$BV$111</definedName>
    <definedName name="A130399002V_Latest">Data2!$BV$111</definedName>
    <definedName name="A130399009K">Data4!$CX$1:$CX$10,Data4!$CX$90:$CX$111</definedName>
    <definedName name="A130399009K_Data">Data4!$CX$90:$CX$111</definedName>
    <definedName name="A130399009K_Latest">Data4!$CX$111</definedName>
    <definedName name="A130399016J">Data2!$CW$1:$CW$10,Data2!$CW$90:$CW$111</definedName>
    <definedName name="A130399016J_Data">Data2!$CW$90:$CW$111</definedName>
    <definedName name="A130399016J_Latest">Data2!$CW$111</definedName>
    <definedName name="A130399023F">Data4!$DY$1:$DY$10,Data4!$DY$90:$DY$111</definedName>
    <definedName name="A130399023F_Data">Data4!$DY$90:$DY$111</definedName>
    <definedName name="A130399023F_Latest">Data4!$DY$111</definedName>
    <definedName name="A130399030C">Data1!$CL$1:$CL$10,Data1!$CL$90:$CL$111</definedName>
    <definedName name="A130399030C_Data">Data1!$CL$90:$CL$111</definedName>
    <definedName name="A130399030C_Latest">Data1!$CL$111</definedName>
    <definedName name="A130399037V">Data1!$HN$1:$HN$10,Data1!$HN$90:$HN$111</definedName>
    <definedName name="A130399037V_Data">Data1!$HN$90:$HN$111</definedName>
    <definedName name="A130399037V_Latest">Data1!$HN$111</definedName>
    <definedName name="A130399044T">Data3!$E$1:$E$10,Data3!$E$90:$E$111</definedName>
    <definedName name="A130399044T_Data">Data3!$E$90:$E$111</definedName>
    <definedName name="A130399044T_Latest">Data3!$E$111</definedName>
    <definedName name="A130399051R">Data3!$EH$1:$EH$10,Data3!$EH$90:$EH$111</definedName>
    <definedName name="A130399051R_Data">Data3!$EH$90:$EH$111</definedName>
    <definedName name="A130399051R_Latest">Data3!$EH$111</definedName>
    <definedName name="A130399058F">Data2!$DV$1:$DV$10,Data2!$DV$90:$DV$111</definedName>
    <definedName name="A130399058F_Data">Data2!$DV$90:$DV$111</definedName>
    <definedName name="A130399058F_Latest">Data2!$DV$111</definedName>
    <definedName name="A130399065C">Data1!$DC$1:$DC$10,Data1!$DC$90:$DC$111</definedName>
    <definedName name="A130399065C_Data">Data1!$DC$90:$DC$111</definedName>
    <definedName name="A130399065C_Latest">Data1!$DC$111</definedName>
    <definedName name="A130399072A">Data3!$C$1:$C$10,Data3!$C$90:$C$111</definedName>
    <definedName name="A130399072A_Data">Data3!$C$90:$C$111</definedName>
    <definedName name="A130399072A_Latest">Data3!$C$111</definedName>
    <definedName name="A130399086R">Data5!$AE$1:$AE$10,Data5!$AE$90:$AE$111</definedName>
    <definedName name="A130399086R_Data">Data5!$AE$90:$AE$111</definedName>
    <definedName name="A130399086R_Latest">Data5!$AE$111</definedName>
    <definedName name="A130399093L">Data3!$AB$1:$AB$10,Data3!$AB$11:$AB$111</definedName>
    <definedName name="A130399093L_Data">Data3!$AB$11:$AB$111</definedName>
    <definedName name="A130399093L_Latest">Data3!$AB$111</definedName>
    <definedName name="A130399107R">Data3!$AA$1:$AA$10,Data3!$AA$11:$AA$111</definedName>
    <definedName name="A130399107R_Data">Data3!$AA$11:$AA$111</definedName>
    <definedName name="A130399107R_Latest">Data3!$AA$111</definedName>
    <definedName name="A130399121K">Data4!$FQ$1:$FQ$10,Data4!$FQ$11:$FQ$111</definedName>
    <definedName name="A130399121K_Data">Data4!$FQ$11:$FQ$111</definedName>
    <definedName name="A130399121K_Latest">Data4!$FQ$111</definedName>
    <definedName name="A130399128A">Data5!$BC$1:$BC$10,Data5!$BC$11:$BC$111</definedName>
    <definedName name="A130399128A_Data">Data5!$BC$11:$BC$111</definedName>
    <definedName name="A130399128A_Latest">Data5!$BC$111</definedName>
    <definedName name="A130399170F">Data1!$EE$1:$EE$10,Data1!$EE$90:$EE$111</definedName>
    <definedName name="A130399170F_Data">Data1!$EE$90:$EE$111</definedName>
    <definedName name="A130399170F_Latest">Data1!$EE$111</definedName>
    <definedName name="A130399177W">Data2!$BE$1:$BE$10,Data2!$BE$90:$BE$111</definedName>
    <definedName name="A130399177W_Data">Data2!$BE$90:$BE$111</definedName>
    <definedName name="A130399177W_Latest">Data2!$BE$111</definedName>
    <definedName name="A130399191T">Data3!$HG$1:$HG$10,Data3!$HG$90:$HG$111</definedName>
    <definedName name="A130399191T_Data">Data3!$HG$90:$HG$111</definedName>
    <definedName name="A130399191T_Latest">Data3!$HG$111</definedName>
    <definedName name="A130399205V">Data3!$DQ$1:$DQ$10,Data3!$DQ$90:$DQ$111</definedName>
    <definedName name="A130399205V_Data">Data3!$DQ$90:$DQ$111</definedName>
    <definedName name="A130399205V_Latest">Data3!$DQ$111</definedName>
    <definedName name="A130399212T">Data2!$AX$1:$AX$10,Data2!$AX$90:$AX$111</definedName>
    <definedName name="A130399212T_Data">Data2!$AX$90:$AX$111</definedName>
    <definedName name="A130399212T_Latest">Data2!$AX$111</definedName>
    <definedName name="A130399219J">Data3!$BL$1:$BL$10,Data3!$BL$90:$BL$111</definedName>
    <definedName name="A130399219J_Data">Data3!$BL$90:$BL$111</definedName>
    <definedName name="A130399219J_Latest">Data3!$BL$111</definedName>
    <definedName name="A130399226F">Data1!$P$1:$P$10,Data1!$P$11:$P$111</definedName>
    <definedName name="A130399226F_Data">Data1!$P$11:$P$111</definedName>
    <definedName name="A130399226F_Latest">Data1!$P$111</definedName>
    <definedName name="A130399233C">Data1!$ER$1:$ER$10,Data1!$ER$11:$ER$111</definedName>
    <definedName name="A130399233C_Data">Data1!$ER$11:$ER$111</definedName>
    <definedName name="A130399233C_Latest">Data1!$ER$111</definedName>
    <definedName name="A130399240A">Data2!$R$1:$R$10,Data2!$R$11:$R$111</definedName>
    <definedName name="A130399240A_Data">Data2!$R$11:$R$111</definedName>
    <definedName name="A130399240A_Latest">Data2!$R$111</definedName>
    <definedName name="A130399247T">Data4!$HN$1:$HN$10,Data4!$HN$90:$HN$111</definedName>
    <definedName name="A130399247T_Data">Data4!$HN$90:$HN$111</definedName>
    <definedName name="A130399247T_Latest">Data4!$HN$111</definedName>
    <definedName name="A130399254R">Data2!$BS$1:$BS$10,Data2!$BS$69:$BS$111</definedName>
    <definedName name="A130399254R_Data">Data2!$BS$69:$BS$111</definedName>
    <definedName name="A130399254R_Latest">Data2!$BS$111</definedName>
    <definedName name="A130399261L">Data2!$GU$1:$GU$10,Data2!$GU$69:$GU$111</definedName>
    <definedName name="A130399261L_Data">Data2!$GU$69:$GU$111</definedName>
    <definedName name="A130399261L_Latest">Data2!$GU$111</definedName>
    <definedName name="A130399268C">Data4!$M$1:$M$10,Data4!$M$90:$M$111</definedName>
    <definedName name="A130399268C_Data">Data4!$M$90:$M$111</definedName>
    <definedName name="A130399268C_Latest">Data4!$M$111</definedName>
    <definedName name="A130399275A">Data1!$CP$1:$CP$10,Data1!$CP$90:$CP$111</definedName>
    <definedName name="A130399275A_Data">Data1!$CP$90:$CP$111</definedName>
    <definedName name="A130399275A_Latest">Data1!$CP$111</definedName>
    <definedName name="A130399282X">Data4!$D$1:$D$10,Data4!$D$90:$D$111</definedName>
    <definedName name="A130399282X_Data">Data4!$D$90:$D$111</definedName>
    <definedName name="A130399282X_Latest">Data4!$D$111</definedName>
    <definedName name="A130399289R">Data2!$AE$1:$AE$10,Data2!$AE$11:$AE$111</definedName>
    <definedName name="A130399289R_Data">Data2!$AE$11:$AE$111</definedName>
    <definedName name="A130399289R_Latest">Data2!$AE$111</definedName>
    <definedName name="A130399296L">Data4!$BG$1:$BG$10,Data4!$BG$11:$BG$111</definedName>
    <definedName name="A130399296L_Data">Data4!$BG$11:$BG$111</definedName>
    <definedName name="A130399296L_Latest">Data4!$BG$111</definedName>
    <definedName name="A130399303X">Data3!$AU$1:$AU$10,Data3!$AU$11:$AU$111</definedName>
    <definedName name="A130399303X_Data">Data3!$AU$11:$AU$111</definedName>
    <definedName name="A130399303X_Latest">Data3!$AU$111</definedName>
    <definedName name="A130399310W">Data3!$FI$1:$FI$10,Data3!$FI$11:$FI$111</definedName>
    <definedName name="A130399310W_Data">Data3!$FI$11:$FI$111</definedName>
    <definedName name="A130399310W_Latest">Data3!$FI$111</definedName>
    <definedName name="A130399317L">Data3!$AH$1:$AH$10,Data3!$AH$11:$AH$111</definedName>
    <definedName name="A130399317L_Data">Data3!$AH$11:$AH$111</definedName>
    <definedName name="A130399317L_Latest">Data3!$AH$111</definedName>
    <definedName name="A130399331J">Data1!$G$1:$G$10,Data1!$G$11:$G$111</definedName>
    <definedName name="A130399331J_Data">Data1!$G$11:$G$111</definedName>
    <definedName name="A130399331J_Latest">Data1!$G$111</definedName>
    <definedName name="A130399338X">Data2!$U$1:$U$10,Data2!$U$11:$U$111</definedName>
    <definedName name="A130399338X_Data">Data2!$U$11:$U$111</definedName>
    <definedName name="A130399338X_Latest">Data2!$U$111</definedName>
    <definedName name="A130399345W">Data2!$EW$1:$EW$10,Data2!$EW$11:$EW$111</definedName>
    <definedName name="A130399345W_Data">Data2!$EW$11:$EW$111</definedName>
    <definedName name="A130399345W_Latest">Data2!$EW$111</definedName>
    <definedName name="A130399352V">Data1!$H$1:$H$10,Data1!$H$11:$H$111</definedName>
    <definedName name="A130399352V_Data">Data1!$H$11:$H$111</definedName>
    <definedName name="A130399352V_Latest">Data1!$H$111</definedName>
    <definedName name="A130399359K">Data3!$FL$1:$FL$10,Data3!$FL$11:$FL$111</definedName>
    <definedName name="A130399359K_Data">Data3!$FL$11:$FL$111</definedName>
    <definedName name="A130399359K_Latest">Data3!$FL$111</definedName>
    <definedName name="A130399366J">Data2!$X$1:$X$10,Data2!$X$11:$X$111</definedName>
    <definedName name="A130399366J_Data">Data2!$X$11:$X$111</definedName>
    <definedName name="A130399366J_Latest">Data2!$X$111</definedName>
    <definedName name="A130399380C">Data1!$EO$1:$EO$10,Data1!$EO$11:$EO$111</definedName>
    <definedName name="A130399380C_Data">Data1!$EO$11:$EO$111</definedName>
    <definedName name="A130399380C_Latest">Data1!$EO$111</definedName>
    <definedName name="A130399387V">Data1!$EP$1:$EP$10,Data1!$EP$11:$EP$111</definedName>
    <definedName name="A130399387V_Data">Data1!$EP$11:$EP$111</definedName>
    <definedName name="A130399387V_Latest">Data1!$EP$111</definedName>
    <definedName name="A130399394T">Data2!$FE$1:$FE$10,Data2!$FE$11:$FE$111</definedName>
    <definedName name="A130399394T_Data">Data2!$FE$11:$FE$111</definedName>
    <definedName name="A130399394T_Latest">Data2!$FE$111</definedName>
    <definedName name="A130399401C">Data1!$AH$1:$AH$10,Data1!$AH$90:$AH$111</definedName>
    <definedName name="A130399401C_Data">Data1!$AH$90:$AH$111</definedName>
    <definedName name="A130399401C_Latest">Data1!$AH$111</definedName>
    <definedName name="A130399408V">Data3!$GL$1:$GL$10,Data3!$GL$90:$GL$111</definedName>
    <definedName name="A130399408V_Data">Data3!$GL$90:$GL$111</definedName>
    <definedName name="A130399408V_Latest">Data3!$GL$111</definedName>
    <definedName name="A130399415T">Data2!$FY$1:$FY$10,Data2!$FY$90:$FY$111</definedName>
    <definedName name="A130399415T_Data">Data2!$FY$90:$FY$111</definedName>
    <definedName name="A130399415T_Latest">Data2!$FY$111</definedName>
    <definedName name="A130399422R">Data1!$Y$1:$Y$10,Data1!$Y$11:$Y$111</definedName>
    <definedName name="A130399422R_Data">Data1!$Y$11:$Y$111</definedName>
    <definedName name="A130399422R_Latest">Data1!$Y$111</definedName>
    <definedName name="A130399429F">Data4!$BO$1:$BO$10,Data4!$BO$11:$BO$111</definedName>
    <definedName name="A130399429F_Data">Data4!$BO$11:$BO$111</definedName>
    <definedName name="A130399429F_Latest">Data4!$BO$111</definedName>
    <definedName name="A130399436C">Data1!$FG$1:$FG$10,Data1!$FG$11:$FG$111</definedName>
    <definedName name="A130399436C_Data">Data1!$FG$11:$FG$111</definedName>
    <definedName name="A130399436C_Latest">Data1!$FG$111</definedName>
    <definedName name="A130399443A">Data4!$BU$1:$BU$10,Data4!$BU$11:$BU$111</definedName>
    <definedName name="A130399443A_Data">Data4!$BU$11:$BU$111</definedName>
    <definedName name="A130399443A_Latest">Data4!$BU$111</definedName>
    <definedName name="A130399450X">Data2!$AQ$1:$AQ$10,Data2!$AQ$11:$AQ$111</definedName>
    <definedName name="A130399450X_Data">Data2!$AQ$11:$AQ$111</definedName>
    <definedName name="A130399450X_Latest">Data2!$AQ$111</definedName>
    <definedName name="A130399457R">Data1!$FZ$1:$FZ$10,Data1!$FZ$90:$FZ$111</definedName>
    <definedName name="A130399457R_Data">Data1!$FZ$90:$FZ$111</definedName>
    <definedName name="A130399457R_Latest">Data1!$FZ$111</definedName>
    <definedName name="A130399464L">Data4!$CN$1:$CN$10,Data4!$CN$90:$CN$111</definedName>
    <definedName name="A130399464L_Data">Data4!$CN$90:$CN$111</definedName>
    <definedName name="A130399464L_Latest">Data4!$CN$111</definedName>
    <definedName name="A130399471K">Data3!$HC$1:$HC$10,Data3!$HC$90:$HC$111</definedName>
    <definedName name="A130399471K_Data">Data3!$HC$90:$HC$111</definedName>
    <definedName name="A130399471K_Latest">Data3!$HC$111</definedName>
    <definedName name="A130399485X">Data3!$HF$1:$HF$10,Data3!$HF$90:$HF$111</definedName>
    <definedName name="A130399485X_Data">Data3!$HF$90:$HF$111</definedName>
    <definedName name="A130399485X_Latest">Data3!$HF$111</definedName>
    <definedName name="A130399492W">Data4!$IE$1:$IE$10,Data4!$IE$60:$IE$111</definedName>
    <definedName name="A130399492W_Data">Data4!$IE$60:$IE$111</definedName>
    <definedName name="A130399492W_Latest">Data4!$IE$111</definedName>
    <definedName name="A130399499L">Data1!$BV$1:$BV$10,Data1!$BV$90:$BV$111</definedName>
    <definedName name="A130399499L_Data">Data1!$BV$90:$BV$111</definedName>
    <definedName name="A130399499L_Latest">Data1!$BV$111</definedName>
    <definedName name="A130399513W">Data4!$IQ$1:$IQ$10,Data4!$IQ$90:$IQ$111</definedName>
    <definedName name="A130399513W_Data">Data4!$IQ$90:$IQ$111</definedName>
    <definedName name="A130399513W_Latest">Data4!$IQ$111</definedName>
    <definedName name="A130399527K">Data3!$IE$1:$IE$10,Data3!$IE$11:$IE$111</definedName>
    <definedName name="A130399527K_Data">Data3!$IE$11:$IE$111</definedName>
    <definedName name="A130399527K_Latest">Data3!$IE$111</definedName>
    <definedName name="A130399534J">Data4!$FF$1:$FF$10,Data4!$FF$90:$FF$111</definedName>
    <definedName name="A130399534J_Data">Data4!$FF$90:$FF$111</definedName>
    <definedName name="A130399534J_Latest">Data4!$FF$111</definedName>
    <definedName name="A130399541F">Data1!$IB$1:$IB$10,Data1!$IB$69:$IB$111</definedName>
    <definedName name="A130399541F_Data">Data1!$IB$69:$IB$111</definedName>
    <definedName name="A130399541F_Latest">Data1!$IB$111</definedName>
    <definedName name="A130399555V">Data2!$DE$1:$DE$10,Data2!$DE$90:$DE$111</definedName>
    <definedName name="A130399555V_Data">Data2!$DE$90:$DE$111</definedName>
    <definedName name="A130399555V_Latest">Data2!$DE$111</definedName>
    <definedName name="A130399562T">Data1!$HU$1:$HU$10,Data1!$HU$11:$HU$111</definedName>
    <definedName name="A130399562T_Data">Data1!$HU$11:$HU$111</definedName>
    <definedName name="A130399562T_Latest">Data1!$HU$111</definedName>
    <definedName name="A130399569J">Data2!$BB$1:$BB$10,Data2!$BB$11:$BB$111</definedName>
    <definedName name="A130399569J_Data">Data2!$BB$11:$BB$111</definedName>
    <definedName name="A130399569J_Latest">Data2!$BB$111</definedName>
    <definedName name="A130399576F">Data2!$GD$1:$GD$10,Data2!$GD$11:$GD$111</definedName>
    <definedName name="A130399576F_Data">Data2!$GD$11:$GD$111</definedName>
    <definedName name="A130399576F_Latest">Data2!$GD$111</definedName>
    <definedName name="A130399583C">Data3!$BP$1:$BP$10,Data3!$BP$11:$BP$111</definedName>
    <definedName name="A130399583C_Data">Data3!$BP$11:$BP$111</definedName>
    <definedName name="A130399583C_Latest">Data3!$BP$111</definedName>
    <definedName name="A130399590A">Data1!$AM$1:$AM$10,Data1!$AM$90:$AM$111</definedName>
    <definedName name="A130399590A_Data">Data1!$AM$90:$AM$111</definedName>
    <definedName name="A130399590A_Latest">Data1!$AM$111</definedName>
    <definedName name="A130399597T">Data1!$FO$1:$FO$10,Data1!$FO$90:$FO$111</definedName>
    <definedName name="A130399597T_Data">Data1!$FO$90:$FO$111</definedName>
    <definedName name="A130399597T_Latest">Data1!$FO$111</definedName>
    <definedName name="A130399604C">Data4!$CF$1:$CF$10,Data4!$CF$11:$CF$111</definedName>
    <definedName name="A130399604C_Data">Data4!$CF$11:$CF$111</definedName>
    <definedName name="A130399604C_Latest">Data4!$CF$111</definedName>
    <definedName name="A130399611A">Data2!$DA$1:$DA$10,Data2!$DA$90:$DA$111</definedName>
    <definedName name="A130399611A_Data">Data2!$DA$90:$DA$111</definedName>
    <definedName name="A130399611A_Latest">Data2!$DA$111</definedName>
    <definedName name="A130399618T">Data3!$DO$1:$DO$10,Data3!$DO$90:$DO$111</definedName>
    <definedName name="A130399618T_Data">Data3!$DO$90:$DO$111</definedName>
    <definedName name="A130399618T_Latest">Data3!$DO$111</definedName>
    <definedName name="A130399625R">Data1!$CK$1:$CK$10,Data1!$CK$90:$CK$111</definedName>
    <definedName name="A130399625R_Data">Data1!$CK$90:$CK$111</definedName>
    <definedName name="A130399625R_Latest">Data1!$CK$111</definedName>
    <definedName name="A130399632L">Data2!$CY$1:$CY$10,Data2!$CY$90:$CY$111</definedName>
    <definedName name="A130399632L_Data">Data2!$CY$90:$CY$111</definedName>
    <definedName name="A130399632L_Latest">Data2!$CY$111</definedName>
    <definedName name="A130399639C">Data2!$IA$1:$IA$10,Data2!$IA$90:$IA$111</definedName>
    <definedName name="A130399639C_Data">Data2!$IA$90:$IA$111</definedName>
    <definedName name="A130399639C_Latest">Data2!$IA$111</definedName>
    <definedName name="A130399646A">Data2!$DB$1:$DB$10,Data2!$DB$90:$DB$111</definedName>
    <definedName name="A130399646A_Data">Data2!$DB$90:$DB$111</definedName>
    <definedName name="A130399646A_Latest">Data2!$DB$111</definedName>
    <definedName name="A130399653X">Data3!$EF$1:$EF$10,Data3!$EF$90:$EF$111</definedName>
    <definedName name="A130399653X_Data">Data3!$EF$90:$EF$111</definedName>
    <definedName name="A130399653X_Latest">Data3!$EF$111</definedName>
    <definedName name="A130399660W">Data4!$R$1:$R$10,Data4!$R$90:$R$111</definedName>
    <definedName name="A130399660W_Data">Data4!$R$90:$R$111</definedName>
    <definedName name="A130399660W_Latest">Data4!$R$111</definedName>
    <definedName name="A130399667L">Data2!$DY$1:$DY$10,Data2!$DY$11:$DY$111</definedName>
    <definedName name="A130399667L_Data">Data2!$DY$11:$DY$111</definedName>
    <definedName name="A130399667L_Latest">Data2!$DY$111</definedName>
    <definedName name="A130399674K">Data3!$EV$1:$EV$10,Data3!$EV$90:$EV$111</definedName>
    <definedName name="A130399674K_Data">Data3!$EV$90:$EV$111</definedName>
    <definedName name="A130399674K_Latest">Data3!$EV$111</definedName>
    <definedName name="A130399681J">Data4!$FJ$1:$FJ$10,Data4!$FJ$90:$FJ$111</definedName>
    <definedName name="A130399681J_Data">Data4!$FJ$90:$FJ$111</definedName>
    <definedName name="A130399681J_Latest">Data4!$FJ$111</definedName>
    <definedName name="A130399688X">Data1!$Z$1:$Z$10,Data1!$Z$11:$Z$111</definedName>
    <definedName name="A130399688X_Data">Data1!$Z$11:$Z$111</definedName>
    <definedName name="A130399688X_Latest">Data1!$Z$111</definedName>
    <definedName name="A130399695W">Data3!$BB$1:$BB$10,Data3!$BB$11:$BB$111</definedName>
    <definedName name="A130399695W_Data">Data3!$BB$11:$BB$111</definedName>
    <definedName name="A130399695W_Latest">Data3!$BB$111</definedName>
    <definedName name="A130399702J">Data3!$BC$1:$BC$10,Data3!$BC$11:$BC$111</definedName>
    <definedName name="A130399702J_Data">Data3!$BC$11:$BC$111</definedName>
    <definedName name="A130399702J_Latest">Data3!$BC$111</definedName>
    <definedName name="A130399716W">Data4!$CJ$1:$CJ$10,Data4!$CJ$90:$CJ$111</definedName>
    <definedName name="A130399716W_Data">Data4!$CJ$90:$CJ$111</definedName>
    <definedName name="A130399716W_Latest">Data4!$CJ$111</definedName>
    <definedName name="A130399723V">Data3!$BW$1:$BW$10,Data3!$BW$90:$BW$111</definedName>
    <definedName name="A130399723V_Data">Data3!$BW$90:$BW$111</definedName>
    <definedName name="A130399723V_Latest">Data3!$BW$111</definedName>
    <definedName name="A130399730T">Data3!$GY$1:$GY$10,Data3!$GY$90:$GY$111</definedName>
    <definedName name="A130399730T_Data">Data3!$GY$90:$GY$111</definedName>
    <definedName name="A130399730T_Latest">Data3!$GY$111</definedName>
    <definedName name="A130399737J">Data4!$CK$1:$CK$10,Data4!$CK$90:$CK$111</definedName>
    <definedName name="A130399737J_Data">Data4!$CK$90:$CK$111</definedName>
    <definedName name="A130399737J_Latest">Data4!$CK$111</definedName>
    <definedName name="A130399744F">Data2!$BN$1:$BN$10,Data2!$BN$90:$BN$111</definedName>
    <definedName name="A130399744F_Data">Data2!$BN$90:$BN$111</definedName>
    <definedName name="A130399744F_Latest">Data2!$BN$111</definedName>
    <definedName name="A130399751C">Data3!$CB$1:$CB$10,Data3!$CB$90:$CB$111</definedName>
    <definedName name="A130399751C_Data">Data3!$CB$90:$CB$111</definedName>
    <definedName name="A130399751C_Latest">Data3!$CB$111</definedName>
    <definedName name="A130399758V">Data4!$CQ$1:$CQ$10,Data4!$CQ$90:$CQ$111</definedName>
    <definedName name="A130399758V_Data">Data4!$CQ$90:$CQ$111</definedName>
    <definedName name="A130399758V_Latest">Data4!$CQ$111</definedName>
    <definedName name="A130399765T">Data3!$HP$1:$HP$10,Data3!$HP$90:$HP$111</definedName>
    <definedName name="A130399765T_Data">Data3!$HP$90:$HP$111</definedName>
    <definedName name="A130399765T_Latest">Data3!$HP$111</definedName>
    <definedName name="A130399786C">Data5!$E$1:$E$10,Data5!$E$11:$E$111</definedName>
    <definedName name="A130399786C_Data">Data5!$E$11:$E$111</definedName>
    <definedName name="A130399786C_Latest">Data5!$E$111</definedName>
    <definedName name="A130399793A">Data2!$HT$1:$HT$10,Data2!$HT$90:$HT$111</definedName>
    <definedName name="A130399793A_Data">Data2!$HT$90:$HT$111</definedName>
    <definedName name="A130399793A_Latest">Data2!$HT$111</definedName>
    <definedName name="A130399800L">Data1!$DG$1:$DG$10,Data1!$DG$90:$DG$111</definedName>
    <definedName name="A130399800L_Data">Data1!$DG$90:$DG$111</definedName>
    <definedName name="A130399800L_Latest">Data1!$DG$111</definedName>
    <definedName name="A130399807C">Data5!$AI$1:$AI$10,Data5!$AI$90:$AI$111</definedName>
    <definedName name="A130399807C_Data">Data5!$AI$90:$AI$111</definedName>
    <definedName name="A130399807C_Latest">Data5!$AI$111</definedName>
    <definedName name="A130399814A">Data4!$AA$1:$AA$10,Data4!$AA$90:$AA$111</definedName>
    <definedName name="A130399814A_Data">Data4!$AA$90:$AA$111</definedName>
    <definedName name="A130399814A_Latest">Data4!$AA$111</definedName>
    <definedName name="A130399828R">Data4!$AF$1:$AF$10,Data4!$AF$90:$AF$111</definedName>
    <definedName name="A130399828R_Data">Data4!$AF$90:$AF$111</definedName>
    <definedName name="A130399828R_Latest">Data4!$AF$111</definedName>
    <definedName name="Date_Range">Data1!$A$2:$A$10,Data1!$A$11:$A$111</definedName>
    <definedName name="Date_Range_Data">Data1!$A$11:$A$111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9" l="1"/>
  <c r="T27" i="9"/>
  <c r="S27" i="9"/>
  <c r="R27" i="9"/>
  <c r="Q27" i="9"/>
  <c r="P27" i="9"/>
  <c r="O27" i="9"/>
  <c r="N27" i="9"/>
  <c r="M27" i="9"/>
  <c r="U26" i="9"/>
  <c r="T26" i="9"/>
  <c r="S26" i="9"/>
  <c r="R26" i="9"/>
  <c r="Q26" i="9"/>
  <c r="P26" i="9"/>
  <c r="O26" i="9"/>
  <c r="N26" i="9"/>
  <c r="M26" i="9"/>
  <c r="U25" i="9"/>
  <c r="T25" i="9"/>
  <c r="S25" i="9"/>
  <c r="R25" i="9"/>
  <c r="Q25" i="9"/>
  <c r="P25" i="9"/>
  <c r="O25" i="9"/>
  <c r="N25" i="9"/>
  <c r="M25" i="9"/>
  <c r="U24" i="9"/>
  <c r="T24" i="9"/>
  <c r="S24" i="9"/>
  <c r="R24" i="9"/>
  <c r="Q24" i="9"/>
  <c r="P24" i="9"/>
  <c r="O24" i="9"/>
  <c r="N24" i="9"/>
  <c r="M24" i="9"/>
  <c r="U23" i="9"/>
  <c r="T23" i="9"/>
  <c r="S23" i="9"/>
  <c r="R23" i="9"/>
  <c r="Q23" i="9"/>
  <c r="P23" i="9"/>
  <c r="O23" i="9"/>
  <c r="N23" i="9"/>
  <c r="M23" i="9"/>
  <c r="U22" i="9"/>
  <c r="T22" i="9"/>
  <c r="S22" i="9"/>
  <c r="R22" i="9"/>
  <c r="Q22" i="9"/>
  <c r="P22" i="9"/>
  <c r="O22" i="9"/>
  <c r="N22" i="9"/>
  <c r="M22" i="9"/>
  <c r="U21" i="9"/>
  <c r="T21" i="9"/>
  <c r="S21" i="9"/>
  <c r="R21" i="9"/>
  <c r="Q21" i="9"/>
  <c r="P21" i="9"/>
  <c r="O21" i="9"/>
  <c r="N21" i="9"/>
  <c r="M21" i="9"/>
  <c r="U20" i="9"/>
  <c r="T20" i="9"/>
  <c r="S20" i="9"/>
  <c r="R20" i="9"/>
  <c r="Q20" i="9"/>
  <c r="P20" i="9"/>
  <c r="O20" i="9"/>
  <c r="N20" i="9"/>
  <c r="M20" i="9"/>
  <c r="U19" i="9"/>
  <c r="T19" i="9"/>
  <c r="S19" i="9"/>
  <c r="R19" i="9"/>
  <c r="Q19" i="9"/>
  <c r="P19" i="9"/>
  <c r="O19" i="9"/>
  <c r="N19" i="9"/>
  <c r="M19" i="9"/>
  <c r="U17" i="9"/>
  <c r="T17" i="9"/>
  <c r="S17" i="9"/>
  <c r="R17" i="9"/>
  <c r="Q17" i="9"/>
  <c r="P17" i="9"/>
  <c r="O17" i="9"/>
  <c r="N17" i="9"/>
  <c r="M17" i="9"/>
  <c r="U16" i="9"/>
  <c r="T16" i="9"/>
  <c r="S16" i="9"/>
  <c r="R16" i="9"/>
  <c r="Q16" i="9"/>
  <c r="P16" i="9"/>
  <c r="O16" i="9"/>
  <c r="N16" i="9"/>
  <c r="M16" i="9"/>
  <c r="U15" i="9"/>
  <c r="T15" i="9"/>
  <c r="S15" i="9"/>
  <c r="R15" i="9"/>
  <c r="Q15" i="9"/>
  <c r="P15" i="9"/>
  <c r="O15" i="9"/>
  <c r="N15" i="9"/>
  <c r="M15" i="9"/>
  <c r="U14" i="9"/>
  <c r="T14" i="9"/>
  <c r="S14" i="9"/>
  <c r="R14" i="9"/>
  <c r="Q14" i="9"/>
  <c r="P14" i="9"/>
  <c r="O14" i="9"/>
  <c r="N14" i="9"/>
  <c r="M14" i="9"/>
  <c r="U13" i="9"/>
  <c r="T13" i="9"/>
  <c r="S13" i="9"/>
  <c r="R13" i="9"/>
  <c r="Q13" i="9"/>
  <c r="P13" i="9"/>
  <c r="O13" i="9"/>
  <c r="N13" i="9"/>
  <c r="M13" i="9"/>
  <c r="U12" i="9"/>
  <c r="T12" i="9"/>
  <c r="S12" i="9"/>
  <c r="R12" i="9"/>
  <c r="Q12" i="9"/>
  <c r="P12" i="9"/>
  <c r="O12" i="9"/>
  <c r="N12" i="9"/>
  <c r="M12" i="9"/>
  <c r="U11" i="9"/>
  <c r="T11" i="9"/>
  <c r="S11" i="9"/>
  <c r="R11" i="9"/>
  <c r="Q11" i="9"/>
  <c r="P11" i="9"/>
  <c r="O11" i="9"/>
  <c r="N11" i="9"/>
  <c r="M11" i="9"/>
  <c r="U10" i="9"/>
  <c r="T10" i="9"/>
  <c r="S10" i="9"/>
  <c r="R10" i="9"/>
  <c r="Q10" i="9"/>
  <c r="P10" i="9"/>
  <c r="O10" i="9"/>
  <c r="N10" i="9"/>
  <c r="M10" i="9"/>
  <c r="U9" i="9"/>
  <c r="T9" i="9"/>
  <c r="S9" i="9"/>
  <c r="R9" i="9"/>
  <c r="Q9" i="9"/>
  <c r="P9" i="9"/>
  <c r="O9" i="9"/>
  <c r="N9" i="9"/>
  <c r="M9" i="9"/>
  <c r="V10" i="9"/>
  <c r="I54" i="9"/>
  <c r="H54" i="9"/>
  <c r="G54" i="9"/>
  <c r="F54" i="9"/>
  <c r="E54" i="9"/>
  <c r="D54" i="9"/>
  <c r="C54" i="9"/>
  <c r="B54" i="9"/>
  <c r="A54" i="9"/>
  <c r="I53" i="9"/>
  <c r="H53" i="9"/>
  <c r="G53" i="9"/>
  <c r="F53" i="9"/>
  <c r="E53" i="9"/>
  <c r="D53" i="9"/>
  <c r="C53" i="9"/>
  <c r="B53" i="9"/>
  <c r="A53" i="9"/>
  <c r="I52" i="9"/>
  <c r="H52" i="9"/>
  <c r="G52" i="9"/>
  <c r="F52" i="9"/>
  <c r="E52" i="9"/>
  <c r="D52" i="9"/>
  <c r="C52" i="9"/>
  <c r="B52" i="9"/>
  <c r="A52" i="9"/>
  <c r="I51" i="9"/>
  <c r="H51" i="9"/>
  <c r="G51" i="9"/>
  <c r="F51" i="9"/>
  <c r="E51" i="9"/>
  <c r="D51" i="9"/>
  <c r="C51" i="9"/>
  <c r="B51" i="9"/>
  <c r="A51" i="9"/>
  <c r="J50" i="9"/>
  <c r="I50" i="9"/>
  <c r="H50" i="9"/>
  <c r="G50" i="9"/>
  <c r="F50" i="9"/>
  <c r="E50" i="9"/>
  <c r="D50" i="9"/>
  <c r="C50" i="9"/>
  <c r="B50" i="9"/>
  <c r="A50" i="9"/>
  <c r="I49" i="9"/>
  <c r="H49" i="9"/>
  <c r="G49" i="9"/>
  <c r="F49" i="9"/>
  <c r="E49" i="9"/>
  <c r="D49" i="9"/>
  <c r="C49" i="9"/>
  <c r="B49" i="9"/>
  <c r="A49" i="9"/>
  <c r="I48" i="9"/>
  <c r="H48" i="9"/>
  <c r="G48" i="9"/>
  <c r="F48" i="9"/>
  <c r="E48" i="9"/>
  <c r="D48" i="9"/>
  <c r="C48" i="9"/>
  <c r="B48" i="9"/>
  <c r="A48" i="9"/>
  <c r="I47" i="9"/>
  <c r="H47" i="9"/>
  <c r="G47" i="9"/>
  <c r="F47" i="9"/>
  <c r="E47" i="9"/>
  <c r="D47" i="9"/>
  <c r="C47" i="9"/>
  <c r="B47" i="9"/>
  <c r="A47" i="9"/>
  <c r="I46" i="9"/>
  <c r="H46" i="9"/>
  <c r="G46" i="9"/>
  <c r="F46" i="9"/>
  <c r="E46" i="9"/>
  <c r="D46" i="9"/>
  <c r="C46" i="9"/>
  <c r="B46" i="9"/>
  <c r="A46" i="9"/>
  <c r="I45" i="9"/>
  <c r="H45" i="9"/>
  <c r="G45" i="9"/>
  <c r="F45" i="9"/>
  <c r="E45" i="9"/>
  <c r="D45" i="9"/>
  <c r="C45" i="9"/>
  <c r="B45" i="9"/>
  <c r="A45" i="9"/>
  <c r="I44" i="9"/>
  <c r="H44" i="9"/>
  <c r="G44" i="9"/>
  <c r="F44" i="9"/>
  <c r="E44" i="9"/>
  <c r="D44" i="9"/>
  <c r="C44" i="9"/>
  <c r="B44" i="9"/>
  <c r="A44" i="9"/>
  <c r="I43" i="9"/>
  <c r="H43" i="9"/>
  <c r="G43" i="9"/>
  <c r="F43" i="9"/>
  <c r="E43" i="9"/>
  <c r="D43" i="9"/>
  <c r="C43" i="9"/>
  <c r="B43" i="9"/>
  <c r="A43" i="9"/>
  <c r="I42" i="9"/>
  <c r="H42" i="9"/>
  <c r="G42" i="9"/>
  <c r="F42" i="9"/>
  <c r="E42" i="9"/>
  <c r="D42" i="9"/>
  <c r="C42" i="9"/>
  <c r="B42" i="9"/>
  <c r="A42" i="9"/>
  <c r="I41" i="9"/>
  <c r="H41" i="9"/>
  <c r="G41" i="9"/>
  <c r="F41" i="9"/>
  <c r="E41" i="9"/>
  <c r="D41" i="9"/>
  <c r="C41" i="9"/>
  <c r="B41" i="9"/>
  <c r="A41" i="9"/>
  <c r="I40" i="9"/>
  <c r="H40" i="9"/>
  <c r="G40" i="9"/>
  <c r="F40" i="9"/>
  <c r="E40" i="9"/>
  <c r="D40" i="9"/>
  <c r="C40" i="9"/>
  <c r="B40" i="9"/>
  <c r="A40" i="9"/>
  <c r="I39" i="9"/>
  <c r="H39" i="9"/>
  <c r="G39" i="9"/>
  <c r="F39" i="9"/>
  <c r="E39" i="9"/>
  <c r="D39" i="9"/>
  <c r="C39" i="9"/>
  <c r="B39" i="9"/>
  <c r="A39" i="9"/>
  <c r="I38" i="9"/>
  <c r="H38" i="9"/>
  <c r="G38" i="9"/>
  <c r="F38" i="9"/>
  <c r="E38" i="9"/>
  <c r="D38" i="9"/>
  <c r="C38" i="9"/>
  <c r="B38" i="9"/>
  <c r="A38" i="9"/>
  <c r="I37" i="9"/>
  <c r="H37" i="9"/>
  <c r="G37" i="9"/>
  <c r="F37" i="9"/>
  <c r="E37" i="9"/>
  <c r="D37" i="9"/>
  <c r="C37" i="9"/>
  <c r="B37" i="9"/>
  <c r="A37" i="9"/>
  <c r="I36" i="9"/>
  <c r="H36" i="9"/>
  <c r="G36" i="9"/>
  <c r="F36" i="9"/>
  <c r="E36" i="9"/>
  <c r="D36" i="9"/>
  <c r="C36" i="9"/>
  <c r="B36" i="9"/>
  <c r="A36" i="9"/>
  <c r="I35" i="9"/>
  <c r="H35" i="9"/>
  <c r="G35" i="9"/>
  <c r="F35" i="9"/>
  <c r="E35" i="9"/>
  <c r="D35" i="9"/>
  <c r="C35" i="9"/>
  <c r="B35" i="9"/>
  <c r="A35" i="9"/>
  <c r="I34" i="9"/>
  <c r="H34" i="9"/>
  <c r="G34" i="9"/>
  <c r="F34" i="9"/>
  <c r="E34" i="9"/>
  <c r="D34" i="9"/>
  <c r="C34" i="9"/>
  <c r="B34" i="9"/>
  <c r="A34" i="9"/>
  <c r="J33" i="9"/>
  <c r="I33" i="9"/>
  <c r="H33" i="9"/>
  <c r="G33" i="9"/>
  <c r="F33" i="9"/>
  <c r="E33" i="9"/>
  <c r="D33" i="9"/>
  <c r="C33" i="9"/>
  <c r="B33" i="9"/>
  <c r="A33" i="9"/>
  <c r="I29" i="9"/>
  <c r="H29" i="9"/>
  <c r="G29" i="9"/>
  <c r="F29" i="9"/>
  <c r="E29" i="9"/>
  <c r="D29" i="9"/>
  <c r="C29" i="9"/>
  <c r="B29" i="9"/>
  <c r="A29" i="9"/>
  <c r="J28" i="9"/>
  <c r="I28" i="9"/>
  <c r="H28" i="9"/>
  <c r="G28" i="9"/>
  <c r="F28" i="9"/>
  <c r="E28" i="9"/>
  <c r="D28" i="9"/>
  <c r="C28" i="9"/>
  <c r="B28" i="9"/>
  <c r="A28" i="9"/>
  <c r="J27" i="9"/>
  <c r="I27" i="9"/>
  <c r="H27" i="9"/>
  <c r="G27" i="9"/>
  <c r="F27" i="9"/>
  <c r="E27" i="9"/>
  <c r="D27" i="9"/>
  <c r="C27" i="9"/>
  <c r="B27" i="9"/>
  <c r="A27" i="9"/>
  <c r="I26" i="9"/>
  <c r="H26" i="9"/>
  <c r="G26" i="9"/>
  <c r="F26" i="9"/>
  <c r="E26" i="9"/>
  <c r="D26" i="9"/>
  <c r="C26" i="9"/>
  <c r="B26" i="9"/>
  <c r="A26" i="9"/>
  <c r="I25" i="9"/>
  <c r="H25" i="9"/>
  <c r="G25" i="9"/>
  <c r="F25" i="9"/>
  <c r="E25" i="9"/>
  <c r="D25" i="9"/>
  <c r="C25" i="9"/>
  <c r="B25" i="9"/>
  <c r="A25" i="9"/>
  <c r="I24" i="9"/>
  <c r="H24" i="9"/>
  <c r="G24" i="9"/>
  <c r="F24" i="9"/>
  <c r="E24" i="9"/>
  <c r="D24" i="9"/>
  <c r="C24" i="9"/>
  <c r="B24" i="9"/>
  <c r="A24" i="9"/>
  <c r="I23" i="9"/>
  <c r="H23" i="9"/>
  <c r="G23" i="9"/>
  <c r="F23" i="9"/>
  <c r="E23" i="9"/>
  <c r="D23" i="9"/>
  <c r="C23" i="9"/>
  <c r="B23" i="9"/>
  <c r="A23" i="9"/>
  <c r="I22" i="9"/>
  <c r="H22" i="9"/>
  <c r="G22" i="9"/>
  <c r="F22" i="9"/>
  <c r="E22" i="9"/>
  <c r="D22" i="9"/>
  <c r="C22" i="9"/>
  <c r="B22" i="9"/>
  <c r="A22" i="9"/>
  <c r="I21" i="9"/>
  <c r="H21" i="9"/>
  <c r="G21" i="9"/>
  <c r="F21" i="9"/>
  <c r="E21" i="9"/>
  <c r="D21" i="9"/>
  <c r="C21" i="9"/>
  <c r="B21" i="9"/>
  <c r="A21" i="9"/>
  <c r="I20" i="9"/>
  <c r="H20" i="9"/>
  <c r="G20" i="9"/>
  <c r="F20" i="9"/>
  <c r="E20" i="9"/>
  <c r="D20" i="9"/>
  <c r="C20" i="9"/>
  <c r="B20" i="9"/>
  <c r="A20" i="9"/>
  <c r="I19" i="9"/>
  <c r="H19" i="9"/>
  <c r="G19" i="9"/>
  <c r="F19" i="9"/>
  <c r="E19" i="9"/>
  <c r="D19" i="9"/>
  <c r="C19" i="9"/>
  <c r="B19" i="9"/>
  <c r="A19" i="9"/>
  <c r="J18" i="9"/>
  <c r="I18" i="9"/>
  <c r="H18" i="9"/>
  <c r="G18" i="9"/>
  <c r="F18" i="9"/>
  <c r="E18" i="9"/>
  <c r="D18" i="9"/>
  <c r="C18" i="9"/>
  <c r="B18" i="9"/>
  <c r="A18" i="9"/>
  <c r="I17" i="9"/>
  <c r="H17" i="9"/>
  <c r="G17" i="9"/>
  <c r="F17" i="9"/>
  <c r="E17" i="9"/>
  <c r="D17" i="9"/>
  <c r="C17" i="9"/>
  <c r="B17" i="9"/>
  <c r="A17" i="9"/>
  <c r="I16" i="9"/>
  <c r="H16" i="9"/>
  <c r="G16" i="9"/>
  <c r="F16" i="9"/>
  <c r="E16" i="9"/>
  <c r="D16" i="9"/>
  <c r="C16" i="9"/>
  <c r="B16" i="9"/>
  <c r="A16" i="9"/>
  <c r="I15" i="9"/>
  <c r="H15" i="9"/>
  <c r="G15" i="9"/>
  <c r="F15" i="9"/>
  <c r="E15" i="9"/>
  <c r="D15" i="9"/>
  <c r="C15" i="9"/>
  <c r="B15" i="9"/>
  <c r="A15" i="9"/>
  <c r="I14" i="9"/>
  <c r="H14" i="9"/>
  <c r="G14" i="9"/>
  <c r="F14" i="9"/>
  <c r="E14" i="9"/>
  <c r="D14" i="9"/>
  <c r="C14" i="9"/>
  <c r="B14" i="9"/>
  <c r="A14" i="9"/>
  <c r="J13" i="9"/>
  <c r="I13" i="9"/>
  <c r="H13" i="9"/>
  <c r="G13" i="9"/>
  <c r="F13" i="9"/>
  <c r="E13" i="9"/>
  <c r="D13" i="9"/>
  <c r="C13" i="9"/>
  <c r="B13" i="9"/>
  <c r="A13" i="9"/>
  <c r="I12" i="9"/>
  <c r="H12" i="9"/>
  <c r="G12" i="9"/>
  <c r="F12" i="9"/>
  <c r="E12" i="9"/>
  <c r="D12" i="9"/>
  <c r="C12" i="9"/>
  <c r="B12" i="9"/>
  <c r="A12" i="9"/>
  <c r="J11" i="9"/>
  <c r="I11" i="9"/>
  <c r="H11" i="9"/>
  <c r="G11" i="9"/>
  <c r="F11" i="9"/>
  <c r="E11" i="9"/>
  <c r="D11" i="9"/>
  <c r="C11" i="9"/>
  <c r="B11" i="9"/>
  <c r="A11" i="9"/>
  <c r="I10" i="9"/>
  <c r="H10" i="9"/>
  <c r="G10" i="9"/>
  <c r="F10" i="9"/>
  <c r="E10" i="9"/>
  <c r="D10" i="9"/>
  <c r="C10" i="9"/>
  <c r="B10" i="9"/>
  <c r="A10" i="9"/>
  <c r="I9" i="9"/>
  <c r="H9" i="9"/>
  <c r="G9" i="9"/>
  <c r="F9" i="9"/>
  <c r="E9" i="9"/>
  <c r="D9" i="9"/>
  <c r="C9" i="9"/>
  <c r="B9" i="9"/>
  <c r="A9" i="9"/>
  <c r="J8" i="9"/>
  <c r="I8" i="9"/>
  <c r="H8" i="9"/>
  <c r="G8" i="9"/>
  <c r="F8" i="9"/>
  <c r="E8" i="9"/>
  <c r="D8" i="9"/>
  <c r="C8" i="9"/>
  <c r="B8" i="9"/>
  <c r="A8" i="9"/>
  <c r="AE82" i="8"/>
  <c r="AF82" i="8"/>
  <c r="AG82" i="8"/>
  <c r="AH82" i="8"/>
  <c r="AI82" i="8"/>
  <c r="AJ82" i="8"/>
  <c r="AK82" i="8"/>
  <c r="AL82" i="8"/>
  <c r="AM82" i="8"/>
  <c r="AE83" i="8"/>
  <c r="AF83" i="8"/>
  <c r="AG83" i="8"/>
  <c r="AH83" i="8"/>
  <c r="AI83" i="8"/>
  <c r="AJ83" i="8"/>
  <c r="AK83" i="8"/>
  <c r="AL83" i="8"/>
  <c r="AM83" i="8"/>
  <c r="AE84" i="8"/>
  <c r="AF84" i="8"/>
  <c r="AG84" i="8"/>
  <c r="AH84" i="8"/>
  <c r="AI84" i="8"/>
  <c r="AJ84" i="8"/>
  <c r="AK84" i="8"/>
  <c r="AL84" i="8"/>
  <c r="AM84" i="8"/>
  <c r="AE85" i="8"/>
  <c r="AF85" i="8"/>
  <c r="AG85" i="8"/>
  <c r="AH85" i="8"/>
  <c r="AI85" i="8"/>
  <c r="AJ85" i="8"/>
  <c r="AK85" i="8"/>
  <c r="AL85" i="8"/>
  <c r="AM85" i="8"/>
  <c r="AE86" i="8"/>
  <c r="AF86" i="8"/>
  <c r="AG86" i="8"/>
  <c r="AH86" i="8"/>
  <c r="AI86" i="8"/>
  <c r="AJ86" i="8"/>
  <c r="AK86" i="8"/>
  <c r="AL86" i="8"/>
  <c r="AM86" i="8"/>
  <c r="AE87" i="8"/>
  <c r="AF87" i="8"/>
  <c r="AG87" i="8"/>
  <c r="AH87" i="8"/>
  <c r="AI87" i="8"/>
  <c r="AJ87" i="8"/>
  <c r="AK87" i="8"/>
  <c r="AL87" i="8"/>
  <c r="AM87" i="8"/>
  <c r="AE88" i="8"/>
  <c r="AF88" i="8"/>
  <c r="AG88" i="8"/>
  <c r="AH88" i="8"/>
  <c r="AI88" i="8"/>
  <c r="AJ88" i="8"/>
  <c r="AK88" i="8"/>
  <c r="AL88" i="8"/>
  <c r="AM88" i="8"/>
  <c r="AE89" i="8"/>
  <c r="AF89" i="8"/>
  <c r="AG89" i="8"/>
  <c r="AH89" i="8"/>
  <c r="AI89" i="8"/>
  <c r="AJ89" i="8"/>
  <c r="AK89" i="8"/>
  <c r="AL89" i="8"/>
  <c r="AM89" i="8"/>
  <c r="AE90" i="8"/>
  <c r="AF90" i="8"/>
  <c r="AG90" i="8"/>
  <c r="AH90" i="8"/>
  <c r="AI90" i="8"/>
  <c r="AJ90" i="8"/>
  <c r="AK90" i="8"/>
  <c r="AL90" i="8"/>
  <c r="AM90" i="8"/>
  <c r="AE91" i="8"/>
  <c r="AF91" i="8"/>
  <c r="AG91" i="8"/>
  <c r="AH91" i="8"/>
  <c r="AI91" i="8"/>
  <c r="AJ91" i="8"/>
  <c r="AK91" i="8"/>
  <c r="AL91" i="8"/>
  <c r="AM91" i="8"/>
  <c r="AE92" i="8"/>
  <c r="AF92" i="8"/>
  <c r="AG92" i="8"/>
  <c r="AH92" i="8"/>
  <c r="AI92" i="8"/>
  <c r="AJ92" i="8"/>
  <c r="AK92" i="8"/>
  <c r="AL92" i="8"/>
  <c r="AM92" i="8"/>
  <c r="AE93" i="8"/>
  <c r="AF93" i="8"/>
  <c r="AG93" i="8"/>
  <c r="AH93" i="8"/>
  <c r="AI93" i="8"/>
  <c r="AJ93" i="8"/>
  <c r="AK93" i="8"/>
  <c r="AL93" i="8"/>
  <c r="AM93" i="8"/>
  <c r="AE94" i="8"/>
  <c r="AF94" i="8"/>
  <c r="AG94" i="8"/>
  <c r="AH94" i="8"/>
  <c r="AI94" i="8"/>
  <c r="AJ94" i="8"/>
  <c r="AK94" i="8"/>
  <c r="AL94" i="8"/>
  <c r="AM94" i="8"/>
  <c r="AE95" i="8"/>
  <c r="AF95" i="8"/>
  <c r="AG95" i="8"/>
  <c r="AH95" i="8"/>
  <c r="AI95" i="8"/>
  <c r="AJ95" i="8"/>
  <c r="AK95" i="8"/>
  <c r="AL95" i="8"/>
  <c r="AM95" i="8"/>
  <c r="AE96" i="8"/>
  <c r="AF96" i="8"/>
  <c r="AG96" i="8"/>
  <c r="AH96" i="8"/>
  <c r="AI96" i="8"/>
  <c r="AJ96" i="8"/>
  <c r="AK96" i="8"/>
  <c r="AL96" i="8"/>
  <c r="AM96" i="8"/>
  <c r="AE97" i="8"/>
  <c r="AF97" i="8"/>
  <c r="AG97" i="8"/>
  <c r="AH97" i="8"/>
  <c r="AI97" i="8"/>
  <c r="AJ97" i="8"/>
  <c r="AK97" i="8"/>
  <c r="AL97" i="8"/>
  <c r="AM97" i="8"/>
  <c r="AE98" i="8"/>
  <c r="AF98" i="8"/>
  <c r="AG98" i="8"/>
  <c r="AH98" i="8"/>
  <c r="AI98" i="8"/>
  <c r="AJ98" i="8"/>
  <c r="AK98" i="8"/>
  <c r="AL98" i="8"/>
  <c r="AM98" i="8"/>
  <c r="AE99" i="8"/>
  <c r="AF99" i="8"/>
  <c r="AG99" i="8"/>
  <c r="AH99" i="8"/>
  <c r="AI99" i="8"/>
  <c r="AJ99" i="8"/>
  <c r="AK99" i="8"/>
  <c r="AL99" i="8"/>
  <c r="AM99" i="8"/>
  <c r="AE100" i="8"/>
  <c r="AF100" i="8"/>
  <c r="AG100" i="8"/>
  <c r="AH100" i="8"/>
  <c r="AI100" i="8"/>
  <c r="AJ100" i="8"/>
  <c r="AK100" i="8"/>
  <c r="AL100" i="8"/>
  <c r="AM100" i="8"/>
  <c r="AE101" i="8"/>
  <c r="AF101" i="8"/>
  <c r="AG101" i="8"/>
  <c r="AH101" i="8"/>
  <c r="AI101" i="8"/>
  <c r="AJ101" i="8"/>
  <c r="AK101" i="8"/>
  <c r="AL101" i="8"/>
  <c r="AM101" i="8"/>
  <c r="AE102" i="8"/>
  <c r="AF102" i="8"/>
  <c r="AG102" i="8"/>
  <c r="AH102" i="8"/>
  <c r="AI102" i="8"/>
  <c r="AJ102" i="8"/>
  <c r="AK102" i="8"/>
  <c r="AL102" i="8"/>
  <c r="AM102" i="8"/>
  <c r="AE103" i="8"/>
  <c r="AF103" i="8"/>
  <c r="AG103" i="8"/>
  <c r="AH103" i="8"/>
  <c r="AI103" i="8"/>
  <c r="AJ103" i="8"/>
  <c r="AK103" i="8"/>
  <c r="AL103" i="8"/>
  <c r="AM103" i="8"/>
  <c r="AE104" i="8"/>
  <c r="AF104" i="8"/>
  <c r="AG104" i="8"/>
  <c r="AH104" i="8"/>
  <c r="AI104" i="8"/>
  <c r="AJ104" i="8"/>
  <c r="AK104" i="8"/>
  <c r="AL104" i="8"/>
  <c r="AM104" i="8"/>
  <c r="AE105" i="8"/>
  <c r="AF105" i="8"/>
  <c r="AG105" i="8"/>
  <c r="AH105" i="8"/>
  <c r="AI105" i="8"/>
  <c r="AJ105" i="8"/>
  <c r="AK105" i="8"/>
  <c r="AL105" i="8"/>
  <c r="AM105" i="8"/>
  <c r="AE106" i="8"/>
  <c r="AF106" i="8"/>
  <c r="AG106" i="8"/>
  <c r="AH106" i="8"/>
  <c r="AI106" i="8"/>
  <c r="AJ106" i="8"/>
  <c r="AK106" i="8"/>
  <c r="AL106" i="8"/>
  <c r="AM106" i="8"/>
  <c r="AE107" i="8"/>
  <c r="AF107" i="8"/>
  <c r="AG107" i="8"/>
  <c r="AH107" i="8"/>
  <c r="AI107" i="8"/>
  <c r="AJ107" i="8"/>
  <c r="AK107" i="8"/>
  <c r="AL107" i="8"/>
  <c r="AM107" i="8"/>
  <c r="AE108" i="8"/>
  <c r="AF108" i="8"/>
  <c r="AG108" i="8"/>
  <c r="AH108" i="8"/>
  <c r="AI108" i="8"/>
  <c r="AJ108" i="8"/>
  <c r="AK108" i="8"/>
  <c r="AL108" i="8"/>
  <c r="AM108" i="8"/>
  <c r="AE109" i="8"/>
  <c r="AF109" i="8"/>
  <c r="AG109" i="8"/>
  <c r="AH109" i="8"/>
  <c r="AI109" i="8"/>
  <c r="AJ109" i="8"/>
  <c r="AK109" i="8"/>
  <c r="AL109" i="8"/>
  <c r="AM109" i="8"/>
  <c r="AE110" i="8"/>
  <c r="AF110" i="8"/>
  <c r="AG110" i="8"/>
  <c r="AH110" i="8"/>
  <c r="AI110" i="8"/>
  <c r="AJ110" i="8"/>
  <c r="AK110" i="8"/>
  <c r="AL110" i="8"/>
  <c r="AM110" i="8"/>
  <c r="AE111" i="8"/>
  <c r="AF111" i="8"/>
  <c r="AG111" i="8"/>
  <c r="AH111" i="8"/>
  <c r="AI111" i="8"/>
  <c r="AJ111" i="8"/>
  <c r="AK111" i="8"/>
  <c r="AL111" i="8"/>
  <c r="AM111" i="8"/>
  <c r="AE112" i="8"/>
  <c r="AF112" i="8"/>
  <c r="AG112" i="8"/>
  <c r="AH112" i="8"/>
  <c r="AI112" i="8"/>
  <c r="AJ112" i="8"/>
  <c r="AK112" i="8"/>
  <c r="AL112" i="8"/>
  <c r="AM112" i="8"/>
  <c r="AE113" i="8"/>
  <c r="AF113" i="8"/>
  <c r="AG113" i="8"/>
  <c r="AH113" i="8"/>
  <c r="AI113" i="8"/>
  <c r="AJ113" i="8"/>
  <c r="AK113" i="8"/>
  <c r="AL113" i="8"/>
  <c r="AM113" i="8"/>
  <c r="AE114" i="8"/>
  <c r="AF114" i="8"/>
  <c r="AG114" i="8"/>
  <c r="AH114" i="8"/>
  <c r="AI114" i="8"/>
  <c r="AJ114" i="8"/>
  <c r="AK114" i="8"/>
  <c r="AL114" i="8"/>
  <c r="AM114" i="8"/>
  <c r="AE115" i="8"/>
  <c r="AF115" i="8"/>
  <c r="AG115" i="8"/>
  <c r="AH115" i="8"/>
  <c r="AI115" i="8"/>
  <c r="AJ115" i="8"/>
  <c r="AK115" i="8"/>
  <c r="AL115" i="8"/>
  <c r="AM115" i="8"/>
  <c r="AE116" i="8"/>
  <c r="AF116" i="8"/>
  <c r="AG116" i="8"/>
  <c r="AH116" i="8"/>
  <c r="AI116" i="8"/>
  <c r="AJ116" i="8"/>
  <c r="AK116" i="8"/>
  <c r="AL116" i="8"/>
  <c r="AM116" i="8"/>
  <c r="AE117" i="8"/>
  <c r="AF117" i="8"/>
  <c r="AG117" i="8"/>
  <c r="AH117" i="8"/>
  <c r="AI117" i="8"/>
  <c r="AJ117" i="8"/>
  <c r="AK117" i="8"/>
  <c r="AL117" i="8"/>
  <c r="AM117" i="8"/>
  <c r="AE118" i="8"/>
  <c r="AF118" i="8"/>
  <c r="AG118" i="8"/>
  <c r="AH118" i="8"/>
  <c r="AI118" i="8"/>
  <c r="AJ118" i="8"/>
  <c r="AK118" i="8"/>
  <c r="AL118" i="8"/>
  <c r="AM118" i="8"/>
  <c r="AE119" i="8"/>
  <c r="AF119" i="8"/>
  <c r="AG119" i="8"/>
  <c r="AH119" i="8"/>
  <c r="AI119" i="8"/>
  <c r="AJ119" i="8"/>
  <c r="AK119" i="8"/>
  <c r="AL119" i="8"/>
  <c r="AM119" i="8"/>
  <c r="AE120" i="8"/>
  <c r="AF120" i="8"/>
  <c r="AG120" i="8"/>
  <c r="AH120" i="8"/>
  <c r="AI120" i="8"/>
  <c r="AJ120" i="8"/>
  <c r="AK120" i="8"/>
  <c r="AL120" i="8"/>
  <c r="AM120" i="8"/>
  <c r="AE121" i="8"/>
  <c r="AF121" i="8"/>
  <c r="AG121" i="8"/>
  <c r="AH121" i="8"/>
  <c r="AI121" i="8"/>
  <c r="AJ121" i="8"/>
  <c r="AK121" i="8"/>
  <c r="AL121" i="8"/>
  <c r="AM121" i="8"/>
  <c r="AE122" i="8"/>
  <c r="AF122" i="8"/>
  <c r="AG122" i="8"/>
  <c r="AH122" i="8"/>
  <c r="AI122" i="8"/>
  <c r="AJ122" i="8"/>
  <c r="AK122" i="8"/>
  <c r="AL122" i="8"/>
  <c r="AM122" i="8"/>
  <c r="AE123" i="8"/>
  <c r="AF123" i="8"/>
  <c r="AG123" i="8"/>
  <c r="AH123" i="8"/>
  <c r="AI123" i="8"/>
  <c r="AJ123" i="8"/>
  <c r="AK123" i="8"/>
  <c r="AL123" i="8"/>
  <c r="AM123" i="8"/>
  <c r="AE124" i="8"/>
  <c r="AF124" i="8"/>
  <c r="AG124" i="8"/>
  <c r="AH124" i="8"/>
  <c r="AI124" i="8"/>
  <c r="AJ124" i="8"/>
  <c r="AK124" i="8"/>
  <c r="AL124" i="8"/>
  <c r="AM124" i="8"/>
  <c r="AE125" i="8"/>
  <c r="AF125" i="8"/>
  <c r="AG125" i="8"/>
  <c r="AH125" i="8"/>
  <c r="AI125" i="8"/>
  <c r="AJ125" i="8"/>
  <c r="AK125" i="8"/>
  <c r="AL125" i="8"/>
  <c r="AM125" i="8"/>
  <c r="AE126" i="8"/>
  <c r="AF126" i="8"/>
  <c r="AG126" i="8"/>
  <c r="AH126" i="8"/>
  <c r="AI126" i="8"/>
  <c r="AJ126" i="8"/>
  <c r="AK126" i="8"/>
  <c r="AL126" i="8"/>
  <c r="AM126" i="8"/>
  <c r="AE127" i="8"/>
  <c r="AF127" i="8"/>
  <c r="AG127" i="8"/>
  <c r="AH127" i="8"/>
  <c r="AI127" i="8"/>
  <c r="AJ127" i="8"/>
  <c r="AK127" i="8"/>
  <c r="AL127" i="8"/>
  <c r="AM127" i="8"/>
  <c r="AE128" i="8"/>
  <c r="AF128" i="8"/>
  <c r="AG128" i="8"/>
  <c r="AH128" i="8"/>
  <c r="AI128" i="8"/>
  <c r="AJ128" i="8"/>
  <c r="AK128" i="8"/>
  <c r="AL128" i="8"/>
  <c r="AM128" i="8"/>
  <c r="AE129" i="8"/>
  <c r="AF129" i="8"/>
  <c r="AG129" i="8"/>
  <c r="AH129" i="8"/>
  <c r="AI129" i="8"/>
  <c r="AJ129" i="8"/>
  <c r="AK129" i="8"/>
  <c r="AL129" i="8"/>
  <c r="AM129" i="8"/>
  <c r="AE130" i="8"/>
  <c r="AF130" i="8"/>
  <c r="AG130" i="8"/>
  <c r="AH130" i="8"/>
  <c r="AI130" i="8"/>
  <c r="AJ130" i="8"/>
  <c r="AK130" i="8"/>
  <c r="AL130" i="8"/>
  <c r="AM130" i="8"/>
  <c r="AE131" i="8"/>
  <c r="AF131" i="8"/>
  <c r="AG131" i="8"/>
  <c r="AH131" i="8"/>
  <c r="AI131" i="8"/>
  <c r="AJ131" i="8"/>
  <c r="AK131" i="8"/>
  <c r="AL131" i="8"/>
  <c r="AM131" i="8"/>
  <c r="AE132" i="8"/>
  <c r="AF132" i="8"/>
  <c r="AG132" i="8"/>
  <c r="AH132" i="8"/>
  <c r="AI132" i="8"/>
  <c r="AJ132" i="8"/>
  <c r="AK132" i="8"/>
  <c r="AL132" i="8"/>
  <c r="AM132" i="8"/>
  <c r="AM81" i="8"/>
  <c r="AL81" i="8"/>
  <c r="AK81" i="8"/>
  <c r="AJ81" i="8"/>
  <c r="AI81" i="8"/>
  <c r="AH81" i="8"/>
  <c r="AG81" i="8"/>
  <c r="AF81" i="8"/>
  <c r="AE81" i="8"/>
  <c r="AD152" i="8"/>
  <c r="AC152" i="8"/>
  <c r="AD151" i="8"/>
  <c r="AC151" i="8"/>
  <c r="AD150" i="8"/>
  <c r="AC150" i="8"/>
  <c r="AD149" i="8"/>
  <c r="AC149" i="8"/>
  <c r="AD148" i="8"/>
  <c r="AC148" i="8"/>
  <c r="AD147" i="8"/>
  <c r="AC147" i="8"/>
  <c r="AD146" i="8"/>
  <c r="AC146" i="8"/>
  <c r="AD145" i="8"/>
  <c r="AC145" i="8"/>
  <c r="AD144" i="8"/>
  <c r="AC144" i="8"/>
  <c r="AD143" i="8"/>
  <c r="AC143" i="8"/>
  <c r="AD142" i="8"/>
  <c r="AC142" i="8"/>
  <c r="AD141" i="8"/>
  <c r="AC141" i="8"/>
  <c r="AD140" i="8"/>
  <c r="AC140" i="8"/>
  <c r="AD139" i="8"/>
  <c r="AC139" i="8"/>
  <c r="AD138" i="8"/>
  <c r="AC138" i="8"/>
  <c r="AD137" i="8"/>
  <c r="AC137" i="8"/>
  <c r="D152" i="8"/>
  <c r="C152" i="8"/>
  <c r="B152" i="8"/>
  <c r="D151" i="8"/>
  <c r="C151" i="8"/>
  <c r="B151" i="8"/>
  <c r="D150" i="8"/>
  <c r="C150" i="8"/>
  <c r="B150" i="8"/>
  <c r="D149" i="8"/>
  <c r="C149" i="8"/>
  <c r="B149" i="8"/>
  <c r="D148" i="8"/>
  <c r="C148" i="8"/>
  <c r="D147" i="8"/>
  <c r="C147" i="8"/>
  <c r="B147" i="8"/>
  <c r="D146" i="8"/>
  <c r="C146" i="8"/>
  <c r="D145" i="8"/>
  <c r="C145" i="8"/>
  <c r="D144" i="8"/>
  <c r="C144" i="8"/>
  <c r="B144" i="8"/>
  <c r="D143" i="8"/>
  <c r="C143" i="8"/>
  <c r="B143" i="8"/>
  <c r="D142" i="8"/>
  <c r="C142" i="8"/>
  <c r="B142" i="8"/>
  <c r="D141" i="8"/>
  <c r="C141" i="8"/>
  <c r="D140" i="8"/>
  <c r="C140" i="8"/>
  <c r="B140" i="8"/>
  <c r="D139" i="8"/>
  <c r="C139" i="8"/>
  <c r="B139" i="8"/>
  <c r="D138" i="8"/>
  <c r="C138" i="8"/>
  <c r="C137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132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131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130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128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127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A126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125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124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123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121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119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118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116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115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113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111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110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A108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105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103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102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100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99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97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95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94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92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91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89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87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86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84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83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81" i="8"/>
  <c r="AA70" i="8"/>
  <c r="Z70" i="8"/>
  <c r="Y70" i="8"/>
  <c r="X70" i="8"/>
  <c r="W70" i="8"/>
  <c r="V70" i="8"/>
  <c r="U70" i="8"/>
  <c r="T70" i="8"/>
  <c r="S70" i="8"/>
  <c r="AA69" i="8"/>
  <c r="Z69" i="8"/>
  <c r="Y69" i="8"/>
  <c r="X69" i="8"/>
  <c r="W69" i="8"/>
  <c r="V69" i="8"/>
  <c r="U69" i="8"/>
  <c r="T69" i="8"/>
  <c r="S69" i="8"/>
  <c r="AA68" i="8"/>
  <c r="Z68" i="8"/>
  <c r="Y68" i="8"/>
  <c r="X68" i="8"/>
  <c r="W68" i="8"/>
  <c r="V68" i="8"/>
  <c r="U68" i="8"/>
  <c r="T68" i="8"/>
  <c r="S68" i="8"/>
  <c r="AA67" i="8"/>
  <c r="Z67" i="8"/>
  <c r="Y67" i="8"/>
  <c r="X67" i="8"/>
  <c r="W67" i="8"/>
  <c r="V67" i="8"/>
  <c r="U67" i="8"/>
  <c r="T67" i="8"/>
  <c r="S67" i="8"/>
  <c r="AA66" i="8"/>
  <c r="Z66" i="8"/>
  <c r="Y66" i="8"/>
  <c r="X66" i="8"/>
  <c r="W66" i="8"/>
  <c r="V66" i="8"/>
  <c r="U66" i="8"/>
  <c r="T66" i="8"/>
  <c r="S66" i="8"/>
  <c r="AA65" i="8"/>
  <c r="Z65" i="8"/>
  <c r="Y65" i="8"/>
  <c r="X65" i="8"/>
  <c r="W65" i="8"/>
  <c r="V65" i="8"/>
  <c r="U65" i="8"/>
  <c r="T65" i="8"/>
  <c r="S65" i="8"/>
  <c r="AA64" i="8"/>
  <c r="Z64" i="8"/>
  <c r="Y64" i="8"/>
  <c r="X64" i="8"/>
  <c r="W64" i="8"/>
  <c r="V64" i="8"/>
  <c r="U64" i="8"/>
  <c r="T64" i="8"/>
  <c r="S64" i="8"/>
  <c r="AA63" i="8"/>
  <c r="Z63" i="8"/>
  <c r="Y63" i="8"/>
  <c r="X63" i="8"/>
  <c r="W63" i="8"/>
  <c r="V63" i="8"/>
  <c r="U63" i="8"/>
  <c r="T63" i="8"/>
  <c r="S63" i="8"/>
  <c r="AA62" i="8"/>
  <c r="Z62" i="8"/>
  <c r="Y62" i="8"/>
  <c r="X62" i="8"/>
  <c r="W62" i="8"/>
  <c r="V62" i="8"/>
  <c r="U62" i="8"/>
  <c r="T62" i="8"/>
  <c r="S62" i="8"/>
  <c r="AA61" i="8"/>
  <c r="Z61" i="8"/>
  <c r="Y61" i="8"/>
  <c r="X61" i="8"/>
  <c r="W61" i="8"/>
  <c r="V61" i="8"/>
  <c r="U61" i="8"/>
  <c r="T61" i="8"/>
  <c r="S61" i="8"/>
  <c r="AA60" i="8"/>
  <c r="Z60" i="8"/>
  <c r="Y60" i="8"/>
  <c r="X60" i="8"/>
  <c r="W60" i="8"/>
  <c r="V60" i="8"/>
  <c r="U60" i="8"/>
  <c r="T60" i="8"/>
  <c r="S60" i="8"/>
  <c r="AA59" i="8"/>
  <c r="Z59" i="8"/>
  <c r="Y59" i="8"/>
  <c r="X59" i="8"/>
  <c r="W59" i="8"/>
  <c r="V59" i="8"/>
  <c r="U59" i="8"/>
  <c r="T59" i="8"/>
  <c r="S59" i="8"/>
  <c r="AA58" i="8"/>
  <c r="Z58" i="8"/>
  <c r="Y58" i="8"/>
  <c r="X58" i="8"/>
  <c r="W58" i="8"/>
  <c r="V58" i="8"/>
  <c r="U58" i="8"/>
  <c r="T58" i="8"/>
  <c r="S58" i="8"/>
  <c r="AA57" i="8"/>
  <c r="Z57" i="8"/>
  <c r="Y57" i="8"/>
  <c r="X57" i="8"/>
  <c r="W57" i="8"/>
  <c r="V57" i="8"/>
  <c r="U57" i="8"/>
  <c r="T57" i="8"/>
  <c r="S57" i="8"/>
  <c r="AA56" i="8"/>
  <c r="Z56" i="8"/>
  <c r="Y56" i="8"/>
  <c r="X56" i="8"/>
  <c r="W56" i="8"/>
  <c r="V56" i="8"/>
  <c r="U56" i="8"/>
  <c r="T56" i="8"/>
  <c r="S56" i="8"/>
  <c r="AA55" i="8"/>
  <c r="Z55" i="8"/>
  <c r="Y55" i="8"/>
  <c r="X55" i="8"/>
  <c r="W55" i="8"/>
  <c r="V55" i="8"/>
  <c r="U55" i="8"/>
  <c r="T55" i="8"/>
  <c r="S55" i="8"/>
  <c r="AA54" i="8"/>
  <c r="Z54" i="8"/>
  <c r="Y54" i="8"/>
  <c r="X54" i="8"/>
  <c r="W54" i="8"/>
  <c r="V54" i="8"/>
  <c r="U54" i="8"/>
  <c r="T54" i="8"/>
  <c r="S54" i="8"/>
  <c r="AA53" i="8"/>
  <c r="Z53" i="8"/>
  <c r="Y53" i="8"/>
  <c r="X53" i="8"/>
  <c r="W53" i="8"/>
  <c r="V53" i="8"/>
  <c r="U53" i="8"/>
  <c r="T53" i="8"/>
  <c r="S53" i="8"/>
  <c r="AA52" i="8"/>
  <c r="Z52" i="8"/>
  <c r="Y52" i="8"/>
  <c r="X52" i="8"/>
  <c r="W52" i="8"/>
  <c r="V52" i="8"/>
  <c r="U52" i="8"/>
  <c r="T52" i="8"/>
  <c r="S52" i="8"/>
  <c r="AA51" i="8"/>
  <c r="Z51" i="8"/>
  <c r="Y51" i="8"/>
  <c r="X51" i="8"/>
  <c r="W51" i="8"/>
  <c r="V51" i="8"/>
  <c r="U51" i="8"/>
  <c r="T51" i="8"/>
  <c r="S51" i="8"/>
  <c r="AA50" i="8"/>
  <c r="Z50" i="8"/>
  <c r="Y50" i="8"/>
  <c r="X50" i="8"/>
  <c r="W50" i="8"/>
  <c r="V50" i="8"/>
  <c r="U50" i="8"/>
  <c r="T50" i="8"/>
  <c r="S50" i="8"/>
  <c r="AA49" i="8"/>
  <c r="Z49" i="8"/>
  <c r="Y49" i="8"/>
  <c r="X49" i="8"/>
  <c r="W49" i="8"/>
  <c r="V49" i="8"/>
  <c r="U49" i="8"/>
  <c r="T49" i="8"/>
  <c r="S49" i="8"/>
  <c r="AA48" i="8"/>
  <c r="Z48" i="8"/>
  <c r="Y48" i="8"/>
  <c r="X48" i="8"/>
  <c r="W48" i="8"/>
  <c r="V48" i="8"/>
  <c r="U48" i="8"/>
  <c r="T48" i="8"/>
  <c r="S48" i="8"/>
  <c r="AA47" i="8"/>
  <c r="Z47" i="8"/>
  <c r="Y47" i="8"/>
  <c r="X47" i="8"/>
  <c r="W47" i="8"/>
  <c r="V47" i="8"/>
  <c r="U47" i="8"/>
  <c r="T47" i="8"/>
  <c r="S47" i="8"/>
  <c r="AA46" i="8"/>
  <c r="Z46" i="8"/>
  <c r="Y46" i="8"/>
  <c r="X46" i="8"/>
  <c r="W46" i="8"/>
  <c r="V46" i="8"/>
  <c r="U46" i="8"/>
  <c r="T46" i="8"/>
  <c r="S46" i="8"/>
  <c r="AA45" i="8"/>
  <c r="Z45" i="8"/>
  <c r="Y45" i="8"/>
  <c r="X45" i="8"/>
  <c r="W45" i="8"/>
  <c r="V45" i="8"/>
  <c r="U45" i="8"/>
  <c r="T45" i="8"/>
  <c r="S45" i="8"/>
  <c r="AA44" i="8"/>
  <c r="Z44" i="8"/>
  <c r="Y44" i="8"/>
  <c r="X44" i="8"/>
  <c r="W44" i="8"/>
  <c r="V44" i="8"/>
  <c r="U44" i="8"/>
  <c r="T44" i="8"/>
  <c r="S44" i="8"/>
  <c r="AA43" i="8"/>
  <c r="Z43" i="8"/>
  <c r="Y43" i="8"/>
  <c r="X43" i="8"/>
  <c r="W43" i="8"/>
  <c r="V43" i="8"/>
  <c r="U43" i="8"/>
  <c r="T43" i="8"/>
  <c r="S43" i="8"/>
  <c r="AA42" i="8"/>
  <c r="Z42" i="8"/>
  <c r="Y42" i="8"/>
  <c r="X42" i="8"/>
  <c r="W42" i="8"/>
  <c r="V42" i="8"/>
  <c r="U42" i="8"/>
  <c r="T42" i="8"/>
  <c r="S42" i="8"/>
  <c r="AA41" i="8"/>
  <c r="Z41" i="8"/>
  <c r="Y41" i="8"/>
  <c r="X41" i="8"/>
  <c r="W41" i="8"/>
  <c r="V41" i="8"/>
  <c r="U41" i="8"/>
  <c r="T41" i="8"/>
  <c r="S41" i="8"/>
  <c r="AA40" i="8"/>
  <c r="Z40" i="8"/>
  <c r="Y40" i="8"/>
  <c r="X40" i="8"/>
  <c r="W40" i="8"/>
  <c r="V40" i="8"/>
  <c r="U40" i="8"/>
  <c r="T40" i="8"/>
  <c r="S40" i="8"/>
  <c r="AA39" i="8"/>
  <c r="Z39" i="8"/>
  <c r="Y39" i="8"/>
  <c r="X39" i="8"/>
  <c r="W39" i="8"/>
  <c r="V39" i="8"/>
  <c r="U39" i="8"/>
  <c r="T39" i="8"/>
  <c r="S39" i="8"/>
  <c r="AA38" i="8"/>
  <c r="Z38" i="8"/>
  <c r="Y38" i="8"/>
  <c r="X38" i="8"/>
  <c r="W38" i="8"/>
  <c r="V38" i="8"/>
  <c r="U38" i="8"/>
  <c r="T38" i="8"/>
  <c r="S38" i="8"/>
  <c r="AA37" i="8"/>
  <c r="Z37" i="8"/>
  <c r="Y37" i="8"/>
  <c r="X37" i="8"/>
  <c r="W37" i="8"/>
  <c r="V37" i="8"/>
  <c r="U37" i="8"/>
  <c r="T37" i="8"/>
  <c r="S37" i="8"/>
  <c r="AA36" i="8"/>
  <c r="Z36" i="8"/>
  <c r="Y36" i="8"/>
  <c r="X36" i="8"/>
  <c r="W36" i="8"/>
  <c r="V36" i="8"/>
  <c r="U36" i="8"/>
  <c r="T36" i="8"/>
  <c r="S36" i="8"/>
  <c r="AA35" i="8"/>
  <c r="Z35" i="8"/>
  <c r="Y35" i="8"/>
  <c r="X35" i="8"/>
  <c r="W35" i="8"/>
  <c r="V35" i="8"/>
  <c r="U35" i="8"/>
  <c r="T35" i="8"/>
  <c r="S35" i="8"/>
  <c r="AA34" i="8"/>
  <c r="Z34" i="8"/>
  <c r="Y34" i="8"/>
  <c r="X34" i="8"/>
  <c r="W34" i="8"/>
  <c r="V34" i="8"/>
  <c r="U34" i="8"/>
  <c r="T34" i="8"/>
  <c r="S34" i="8"/>
  <c r="AA33" i="8"/>
  <c r="Z33" i="8"/>
  <c r="Y33" i="8"/>
  <c r="X33" i="8"/>
  <c r="W33" i="8"/>
  <c r="V33" i="8"/>
  <c r="U33" i="8"/>
  <c r="T33" i="8"/>
  <c r="S33" i="8"/>
  <c r="AA32" i="8"/>
  <c r="Z32" i="8"/>
  <c r="Y32" i="8"/>
  <c r="X32" i="8"/>
  <c r="W32" i="8"/>
  <c r="V32" i="8"/>
  <c r="U32" i="8"/>
  <c r="T32" i="8"/>
  <c r="S32" i="8"/>
  <c r="AA31" i="8"/>
  <c r="Z31" i="8"/>
  <c r="Y31" i="8"/>
  <c r="X31" i="8"/>
  <c r="W31" i="8"/>
  <c r="V31" i="8"/>
  <c r="U31" i="8"/>
  <c r="T31" i="8"/>
  <c r="S31" i="8"/>
  <c r="AA30" i="8"/>
  <c r="Z30" i="8"/>
  <c r="Y30" i="8"/>
  <c r="X30" i="8"/>
  <c r="W30" i="8"/>
  <c r="V30" i="8"/>
  <c r="U30" i="8"/>
  <c r="T30" i="8"/>
  <c r="S30" i="8"/>
  <c r="AA29" i="8"/>
  <c r="Z29" i="8"/>
  <c r="Y29" i="8"/>
  <c r="X29" i="8"/>
  <c r="W29" i="8"/>
  <c r="V29" i="8"/>
  <c r="U29" i="8"/>
  <c r="T29" i="8"/>
  <c r="S29" i="8"/>
  <c r="AA28" i="8"/>
  <c r="Z28" i="8"/>
  <c r="Y28" i="8"/>
  <c r="X28" i="8"/>
  <c r="W28" i="8"/>
  <c r="V28" i="8"/>
  <c r="U28" i="8"/>
  <c r="T28" i="8"/>
  <c r="S28" i="8"/>
  <c r="AA27" i="8"/>
  <c r="Z27" i="8"/>
  <c r="Y27" i="8"/>
  <c r="X27" i="8"/>
  <c r="W27" i="8"/>
  <c r="V27" i="8"/>
  <c r="U27" i="8"/>
  <c r="T27" i="8"/>
  <c r="S27" i="8"/>
  <c r="AA26" i="8"/>
  <c r="Z26" i="8"/>
  <c r="Y26" i="8"/>
  <c r="X26" i="8"/>
  <c r="W26" i="8"/>
  <c r="V26" i="8"/>
  <c r="U26" i="8"/>
  <c r="T26" i="8"/>
  <c r="S26" i="8"/>
  <c r="AA25" i="8"/>
  <c r="Z25" i="8"/>
  <c r="Y25" i="8"/>
  <c r="X25" i="8"/>
  <c r="W25" i="8"/>
  <c r="V25" i="8"/>
  <c r="U25" i="8"/>
  <c r="T25" i="8"/>
  <c r="S25" i="8"/>
  <c r="AA24" i="8"/>
  <c r="Z24" i="8"/>
  <c r="Y24" i="8"/>
  <c r="X24" i="8"/>
  <c r="W24" i="8"/>
  <c r="V24" i="8"/>
  <c r="U24" i="8"/>
  <c r="T24" i="8"/>
  <c r="S24" i="8"/>
  <c r="AA23" i="8"/>
  <c r="Z23" i="8"/>
  <c r="Y23" i="8"/>
  <c r="X23" i="8"/>
  <c r="W23" i="8"/>
  <c r="V23" i="8"/>
  <c r="U23" i="8"/>
  <c r="T23" i="8"/>
  <c r="S23" i="8"/>
  <c r="AA22" i="8"/>
  <c r="Z22" i="8"/>
  <c r="Y22" i="8"/>
  <c r="X22" i="8"/>
  <c r="W22" i="8"/>
  <c r="V22" i="8"/>
  <c r="U22" i="8"/>
  <c r="T22" i="8"/>
  <c r="S22" i="8"/>
  <c r="AA21" i="8"/>
  <c r="Z21" i="8"/>
  <c r="Y21" i="8"/>
  <c r="X21" i="8"/>
  <c r="W21" i="8"/>
  <c r="V21" i="8"/>
  <c r="U21" i="8"/>
  <c r="T21" i="8"/>
  <c r="S21" i="8"/>
  <c r="AA20" i="8"/>
  <c r="Z20" i="8"/>
  <c r="Y20" i="8"/>
  <c r="X20" i="8"/>
  <c r="W20" i="8"/>
  <c r="V20" i="8"/>
  <c r="U20" i="8"/>
  <c r="T20" i="8"/>
  <c r="S20" i="8"/>
  <c r="AA19" i="8"/>
  <c r="Z19" i="8"/>
  <c r="Y19" i="8"/>
  <c r="X19" i="8"/>
  <c r="W19" i="8"/>
  <c r="V19" i="8"/>
  <c r="U19" i="8"/>
  <c r="T19" i="8"/>
  <c r="S19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70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68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63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54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50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K14" i="8"/>
  <c r="I14" i="8"/>
  <c r="F14" i="8"/>
  <c r="E14" i="8"/>
  <c r="D14" i="8"/>
  <c r="K13" i="8"/>
  <c r="I13" i="8"/>
  <c r="F13" i="8"/>
  <c r="D13" i="8"/>
  <c r="K12" i="8"/>
  <c r="I12" i="8"/>
  <c r="F12" i="8"/>
  <c r="D12" i="8"/>
  <c r="K11" i="8"/>
  <c r="I11" i="8"/>
  <c r="F11" i="8"/>
  <c r="D11" i="8"/>
  <c r="K10" i="8"/>
  <c r="I10" i="8"/>
  <c r="F10" i="8"/>
  <c r="D10" i="8"/>
  <c r="K9" i="8"/>
  <c r="I9" i="8"/>
  <c r="F9" i="8"/>
  <c r="D9" i="8"/>
  <c r="K8" i="8"/>
  <c r="I8" i="8"/>
  <c r="F8" i="8"/>
  <c r="D8" i="8"/>
  <c r="K7" i="8"/>
  <c r="I7" i="8"/>
  <c r="F7" i="8"/>
  <c r="D7" i="8"/>
  <c r="J14" i="8"/>
  <c r="H14" i="8"/>
  <c r="G14" i="8"/>
  <c r="C14" i="8"/>
  <c r="B14" i="8"/>
  <c r="J13" i="8"/>
  <c r="H13" i="8"/>
  <c r="G13" i="8"/>
  <c r="E13" i="8"/>
  <c r="C13" i="8"/>
  <c r="B13" i="8"/>
  <c r="J12" i="8"/>
  <c r="H12" i="8"/>
  <c r="G12" i="8"/>
  <c r="E12" i="8"/>
  <c r="C12" i="8"/>
  <c r="B12" i="8"/>
  <c r="J11" i="8"/>
  <c r="H11" i="8"/>
  <c r="G11" i="8"/>
  <c r="E11" i="8"/>
  <c r="C11" i="8"/>
  <c r="B11" i="8"/>
  <c r="J10" i="8"/>
  <c r="H10" i="8"/>
  <c r="G10" i="8"/>
  <c r="E10" i="8"/>
  <c r="C10" i="8"/>
  <c r="B10" i="8"/>
  <c r="J9" i="8"/>
  <c r="H9" i="8"/>
  <c r="G9" i="8"/>
  <c r="E9" i="8"/>
  <c r="C9" i="8"/>
  <c r="B9" i="8"/>
  <c r="J8" i="8"/>
  <c r="H8" i="8"/>
  <c r="G8" i="8"/>
  <c r="E8" i="8"/>
  <c r="C8" i="8"/>
  <c r="B8" i="8"/>
  <c r="J7" i="8"/>
  <c r="H7" i="8"/>
  <c r="G7" i="8"/>
  <c r="E7" i="8"/>
  <c r="C7" i="8"/>
  <c r="B7" i="8"/>
  <c r="J45" i="9" l="1"/>
  <c r="J44" i="9"/>
  <c r="J54" i="9"/>
  <c r="J52" i="9"/>
  <c r="J51" i="9"/>
  <c r="J47" i="9"/>
  <c r="J39" i="9"/>
  <c r="J37" i="9"/>
  <c r="J48" i="9"/>
  <c r="J34" i="9"/>
  <c r="J49" i="9"/>
  <c r="J43" i="9"/>
  <c r="J36" i="9"/>
  <c r="J53" i="9"/>
  <c r="J46" i="9"/>
  <c r="J42" i="9"/>
  <c r="J41" i="9"/>
  <c r="J40" i="9"/>
  <c r="J38" i="9"/>
  <c r="J35" i="9"/>
  <c r="J9" i="9"/>
  <c r="J29" i="9"/>
  <c r="J25" i="9"/>
  <c r="J24" i="9"/>
  <c r="J22" i="9"/>
  <c r="J20" i="9"/>
  <c r="J17" i="9"/>
  <c r="J14" i="9"/>
  <c r="J26" i="9"/>
  <c r="J23" i="9"/>
  <c r="J19" i="9"/>
  <c r="J15" i="9"/>
  <c r="J21" i="9"/>
  <c r="J16" i="9"/>
  <c r="J12" i="9"/>
  <c r="J10" i="9"/>
  <c r="B148" i="8"/>
  <c r="B146" i="8"/>
  <c r="B145" i="8"/>
  <c r="B141" i="8"/>
  <c r="B138" i="8"/>
  <c r="D137" i="8"/>
  <c r="B13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" authorId="0" shapeId="0" xr:uid="{00000000-0006-0000-00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" authorId="0" shapeId="0" xr:uid="{00000000-0006-0000-00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" authorId="0" shapeId="0" xr:uid="{00000000-0006-0000-00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" authorId="0" shapeId="0" xr:uid="{00000000-0006-0000-00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" authorId="0" shapeId="0" xr:uid="{00000000-0006-0000-00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" authorId="0" shapeId="0" xr:uid="{00000000-0006-0000-00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" authorId="0" shapeId="0" xr:uid="{00000000-0006-0000-00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" authorId="0" shapeId="0" xr:uid="{00000000-0006-0000-00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" authorId="0" shapeId="0" xr:uid="{00000000-0006-0000-00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" authorId="0" shapeId="0" xr:uid="{00000000-0006-0000-00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" authorId="0" shapeId="0" xr:uid="{00000000-0006-0000-00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" authorId="0" shapeId="0" xr:uid="{00000000-0006-0000-00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" authorId="0" shapeId="0" xr:uid="{00000000-0006-0000-00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" authorId="0" shapeId="0" xr:uid="{00000000-0006-0000-00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" authorId="0" shapeId="0" xr:uid="{00000000-0006-0000-00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" authorId="0" shapeId="0" xr:uid="{00000000-0006-0000-00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" authorId="0" shapeId="0" xr:uid="{00000000-0006-0000-00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" authorId="0" shapeId="0" xr:uid="{00000000-0006-0000-00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" authorId="0" shapeId="0" xr:uid="{00000000-0006-0000-00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" authorId="0" shapeId="0" xr:uid="{00000000-0006-0000-00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" authorId="0" shapeId="0" xr:uid="{00000000-0006-0000-00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" authorId="0" shapeId="0" xr:uid="{00000000-0006-0000-00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" authorId="0" shapeId="0" xr:uid="{00000000-0006-0000-00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" authorId="0" shapeId="0" xr:uid="{00000000-0006-0000-00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" authorId="0" shapeId="0" xr:uid="{00000000-0006-0000-00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" authorId="0" shapeId="0" xr:uid="{00000000-0006-0000-00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" authorId="0" shapeId="0" xr:uid="{00000000-0006-0000-00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" authorId="0" shapeId="0" xr:uid="{00000000-0006-0000-00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" authorId="0" shapeId="0" xr:uid="{00000000-0006-0000-00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" authorId="0" shapeId="0" xr:uid="{00000000-0006-0000-00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" authorId="0" shapeId="0" xr:uid="{00000000-0006-0000-00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" authorId="0" shapeId="0" xr:uid="{00000000-0006-0000-00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" authorId="0" shapeId="0" xr:uid="{00000000-0006-0000-00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" authorId="0" shapeId="0" xr:uid="{00000000-0006-0000-00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" authorId="0" shapeId="0" xr:uid="{00000000-0006-0000-00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" authorId="0" shapeId="0" xr:uid="{00000000-0006-0000-00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" authorId="0" shapeId="0" xr:uid="{00000000-0006-0000-00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" authorId="0" shapeId="0" xr:uid="{00000000-0006-0000-00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" authorId="0" shapeId="0" xr:uid="{00000000-0006-0000-00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" authorId="0" shapeId="0" xr:uid="{00000000-0006-0000-00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" authorId="0" shapeId="0" xr:uid="{00000000-0006-0000-00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" authorId="0" shapeId="0" xr:uid="{00000000-0006-0000-00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" authorId="0" shapeId="0" xr:uid="{00000000-0006-0000-00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" authorId="0" shapeId="0" xr:uid="{00000000-0006-0000-00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" authorId="0" shapeId="0" xr:uid="{00000000-0006-0000-00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" authorId="0" shapeId="0" xr:uid="{00000000-0006-0000-00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" authorId="0" shapeId="0" xr:uid="{00000000-0006-0000-0000-00003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" authorId="0" shapeId="0" xr:uid="{00000000-0006-0000-0000-00003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" authorId="0" shapeId="0" xr:uid="{00000000-0006-0000-0000-00003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" authorId="0" shapeId="0" xr:uid="{00000000-0006-0000-0000-00003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" authorId="0" shapeId="0" xr:uid="{00000000-0006-0000-0000-00003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" authorId="0" shapeId="0" xr:uid="{00000000-0006-0000-0000-00003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" authorId="0" shapeId="0" xr:uid="{00000000-0006-0000-0000-00003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" authorId="0" shapeId="0" xr:uid="{00000000-0006-0000-0000-00004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" authorId="0" shapeId="0" xr:uid="{00000000-0006-0000-0000-00004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" authorId="0" shapeId="0" xr:uid="{00000000-0006-0000-0000-00004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" authorId="0" shapeId="0" xr:uid="{00000000-0006-0000-0000-00004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" authorId="0" shapeId="0" xr:uid="{00000000-0006-0000-0000-00004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" authorId="0" shapeId="0" xr:uid="{00000000-0006-0000-0000-00004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" authorId="0" shapeId="0" xr:uid="{00000000-0006-0000-0000-00004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" authorId="0" shapeId="0" xr:uid="{00000000-0006-0000-0000-00004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" authorId="0" shapeId="0" xr:uid="{00000000-0006-0000-0000-00004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" authorId="0" shapeId="0" xr:uid="{00000000-0006-0000-0000-00004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" authorId="0" shapeId="0" xr:uid="{00000000-0006-0000-0000-00004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" authorId="0" shapeId="0" xr:uid="{00000000-0006-0000-0000-00004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" authorId="0" shapeId="0" xr:uid="{00000000-0006-0000-0000-00004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" authorId="0" shapeId="0" xr:uid="{00000000-0006-0000-0000-00004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" authorId="0" shapeId="0" xr:uid="{00000000-0006-0000-0000-00004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" authorId="0" shapeId="0" xr:uid="{00000000-0006-0000-0000-00004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" authorId="0" shapeId="0" xr:uid="{00000000-0006-0000-0000-00005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" authorId="0" shapeId="0" xr:uid="{00000000-0006-0000-0000-00005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" authorId="0" shapeId="0" xr:uid="{00000000-0006-0000-0000-00005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" authorId="0" shapeId="0" xr:uid="{00000000-0006-0000-0000-00005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" authorId="0" shapeId="0" xr:uid="{00000000-0006-0000-0000-00005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" authorId="0" shapeId="0" xr:uid="{00000000-0006-0000-0000-00005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" authorId="0" shapeId="0" xr:uid="{00000000-0006-0000-0000-00005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" authorId="0" shapeId="0" xr:uid="{00000000-0006-0000-0000-00005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" authorId="0" shapeId="0" xr:uid="{00000000-0006-0000-0000-00005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" authorId="0" shapeId="0" xr:uid="{00000000-0006-0000-0000-00005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" authorId="0" shapeId="0" xr:uid="{00000000-0006-0000-0000-00005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" authorId="0" shapeId="0" xr:uid="{00000000-0006-0000-0000-00005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" authorId="0" shapeId="0" xr:uid="{00000000-0006-0000-0000-00005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" authorId="0" shapeId="0" xr:uid="{00000000-0006-0000-0000-00005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" authorId="0" shapeId="0" xr:uid="{00000000-0006-0000-0000-00005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" authorId="0" shapeId="0" xr:uid="{00000000-0006-0000-0000-00005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" authorId="0" shapeId="0" xr:uid="{00000000-0006-0000-0000-00006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7" authorId="0" shapeId="0" xr:uid="{00000000-0006-0000-0000-00006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8" authorId="0" shapeId="0" xr:uid="{00000000-0006-0000-0000-00006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9" authorId="0" shapeId="0" xr:uid="{00000000-0006-0000-0000-00006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0" authorId="0" shapeId="0" xr:uid="{00000000-0006-0000-0000-00006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1" authorId="0" shapeId="0" xr:uid="{00000000-0006-0000-0000-00006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2" authorId="0" shapeId="0" xr:uid="{00000000-0006-0000-0000-00006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3" authorId="0" shapeId="0" xr:uid="{00000000-0006-0000-0000-00006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4" authorId="0" shapeId="0" xr:uid="{00000000-0006-0000-0000-00006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5" authorId="0" shapeId="0" xr:uid="{00000000-0006-0000-0000-00006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6" authorId="0" shapeId="0" xr:uid="{00000000-0006-0000-0000-00006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7" authorId="0" shapeId="0" xr:uid="{00000000-0006-0000-0000-00006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8" authorId="0" shapeId="0" xr:uid="{00000000-0006-0000-0000-00006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19" authorId="0" shapeId="0" xr:uid="{00000000-0006-0000-0000-00006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0" authorId="0" shapeId="0" xr:uid="{00000000-0006-0000-0000-00006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1" authorId="0" shapeId="0" xr:uid="{00000000-0006-0000-0000-00006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2" authorId="0" shapeId="0" xr:uid="{00000000-0006-0000-0000-00007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3" authorId="0" shapeId="0" xr:uid="{00000000-0006-0000-0000-00007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4" authorId="0" shapeId="0" xr:uid="{00000000-0006-0000-0000-00007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5" authorId="0" shapeId="0" xr:uid="{00000000-0006-0000-0000-00007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6" authorId="0" shapeId="0" xr:uid="{00000000-0006-0000-0000-00007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7" authorId="0" shapeId="0" xr:uid="{00000000-0006-0000-0000-00007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8" authorId="0" shapeId="0" xr:uid="{00000000-0006-0000-0000-00007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29" authorId="0" shapeId="0" xr:uid="{00000000-0006-0000-0000-00007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0" authorId="0" shapeId="0" xr:uid="{00000000-0006-0000-0000-00007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1" authorId="0" shapeId="0" xr:uid="{00000000-0006-0000-0000-00007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2" authorId="0" shapeId="0" xr:uid="{00000000-0006-0000-0000-00007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3" authorId="0" shapeId="0" xr:uid="{00000000-0006-0000-0000-00007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4" authorId="0" shapeId="0" xr:uid="{00000000-0006-0000-0000-00007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5" authorId="0" shapeId="0" xr:uid="{00000000-0006-0000-0000-00007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6" authorId="0" shapeId="0" xr:uid="{00000000-0006-0000-0000-00007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7" authorId="0" shapeId="0" xr:uid="{00000000-0006-0000-0000-00007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8" authorId="0" shapeId="0" xr:uid="{00000000-0006-0000-0000-00008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9" authorId="0" shapeId="0" xr:uid="{00000000-0006-0000-0000-00008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0" authorId="0" shapeId="0" xr:uid="{00000000-0006-0000-0000-00008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1" authorId="0" shapeId="0" xr:uid="{00000000-0006-0000-0000-00008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2" authorId="0" shapeId="0" xr:uid="{00000000-0006-0000-0000-00008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3" authorId="0" shapeId="0" xr:uid="{00000000-0006-0000-0000-00008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4" authorId="0" shapeId="0" xr:uid="{00000000-0006-0000-0000-00008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5" authorId="0" shapeId="0" xr:uid="{00000000-0006-0000-0000-00008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6" authorId="0" shapeId="0" xr:uid="{00000000-0006-0000-0000-00008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7" authorId="0" shapeId="0" xr:uid="{00000000-0006-0000-0000-00008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8" authorId="0" shapeId="0" xr:uid="{00000000-0006-0000-0000-00008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9" authorId="0" shapeId="0" xr:uid="{00000000-0006-0000-0000-00008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0" authorId="0" shapeId="0" xr:uid="{00000000-0006-0000-0000-00008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1" authorId="0" shapeId="0" xr:uid="{00000000-0006-0000-0000-00008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2" authorId="0" shapeId="0" xr:uid="{00000000-0006-0000-0000-00008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3" authorId="0" shapeId="0" xr:uid="{00000000-0006-0000-0000-00008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4" authorId="0" shapeId="0" xr:uid="{00000000-0006-0000-0000-00009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5" authorId="0" shapeId="0" xr:uid="{00000000-0006-0000-0000-00009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6" authorId="0" shapeId="0" xr:uid="{00000000-0006-0000-0000-00009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7" authorId="0" shapeId="0" xr:uid="{00000000-0006-0000-0000-00009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8" authorId="0" shapeId="0" xr:uid="{00000000-0006-0000-0000-00009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9" authorId="0" shapeId="0" xr:uid="{00000000-0006-0000-0000-00009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0" authorId="0" shapeId="0" xr:uid="{00000000-0006-0000-0000-00009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1" authorId="0" shapeId="0" xr:uid="{00000000-0006-0000-0000-00009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2" authorId="0" shapeId="0" xr:uid="{00000000-0006-0000-0000-00009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3" authorId="0" shapeId="0" xr:uid="{00000000-0006-0000-0000-00009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4" authorId="0" shapeId="0" xr:uid="{00000000-0006-0000-0000-00009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5" authorId="0" shapeId="0" xr:uid="{00000000-0006-0000-0000-00009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6" authorId="0" shapeId="0" xr:uid="{00000000-0006-0000-0000-00009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7" authorId="0" shapeId="0" xr:uid="{00000000-0006-0000-0000-00009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8" authorId="0" shapeId="0" xr:uid="{00000000-0006-0000-0000-00009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9" authorId="0" shapeId="0" xr:uid="{00000000-0006-0000-0000-00009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0" authorId="0" shapeId="0" xr:uid="{00000000-0006-0000-0000-0000A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1" authorId="0" shapeId="0" xr:uid="{00000000-0006-0000-0000-0000A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2" authorId="0" shapeId="0" xr:uid="{00000000-0006-0000-0000-0000A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3" authorId="0" shapeId="0" xr:uid="{00000000-0006-0000-0000-0000A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4" authorId="0" shapeId="0" xr:uid="{00000000-0006-0000-0000-0000A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5" authorId="0" shapeId="0" xr:uid="{00000000-0006-0000-0000-0000A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6" authorId="0" shapeId="0" xr:uid="{00000000-0006-0000-0000-0000A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7" authorId="0" shapeId="0" xr:uid="{00000000-0006-0000-0000-0000A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8" authorId="0" shapeId="0" xr:uid="{00000000-0006-0000-0000-0000A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9" authorId="0" shapeId="0" xr:uid="{00000000-0006-0000-0000-0000A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0" authorId="0" shapeId="0" xr:uid="{00000000-0006-0000-0000-0000A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1" authorId="0" shapeId="0" xr:uid="{00000000-0006-0000-0000-0000A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2" authorId="0" shapeId="0" xr:uid="{00000000-0006-0000-0000-0000A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3" authorId="0" shapeId="0" xr:uid="{00000000-0006-0000-0000-0000A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4" authorId="0" shapeId="0" xr:uid="{00000000-0006-0000-0000-0000A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5" authorId="0" shapeId="0" xr:uid="{00000000-0006-0000-0000-0000A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6" authorId="0" shapeId="0" xr:uid="{00000000-0006-0000-0000-0000B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7" authorId="0" shapeId="0" xr:uid="{00000000-0006-0000-0000-0000B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8" authorId="0" shapeId="0" xr:uid="{00000000-0006-0000-0000-0000B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9" authorId="0" shapeId="0" xr:uid="{00000000-0006-0000-0000-0000B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0" authorId="0" shapeId="0" xr:uid="{00000000-0006-0000-0000-0000B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1" authorId="0" shapeId="0" xr:uid="{00000000-0006-0000-0000-0000B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2" authorId="0" shapeId="0" xr:uid="{00000000-0006-0000-0000-0000B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3" authorId="0" shapeId="0" xr:uid="{00000000-0006-0000-0000-0000B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4" authorId="0" shapeId="0" xr:uid="{00000000-0006-0000-0000-0000B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5" authorId="0" shapeId="0" xr:uid="{00000000-0006-0000-0000-0000B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6" authorId="0" shapeId="0" xr:uid="{00000000-0006-0000-0000-0000B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7" authorId="0" shapeId="0" xr:uid="{00000000-0006-0000-0000-0000B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8" authorId="0" shapeId="0" xr:uid="{00000000-0006-0000-0000-0000B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9" authorId="0" shapeId="0" xr:uid="{00000000-0006-0000-0000-0000B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0" authorId="0" shapeId="0" xr:uid="{00000000-0006-0000-0000-0000B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1" authorId="0" shapeId="0" xr:uid="{00000000-0006-0000-0000-0000B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2" authorId="0" shapeId="0" xr:uid="{00000000-0006-0000-0000-0000C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3" authorId="0" shapeId="0" xr:uid="{00000000-0006-0000-0000-0000C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4" authorId="0" shapeId="0" xr:uid="{00000000-0006-0000-0000-0000C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5" authorId="0" shapeId="0" xr:uid="{00000000-0006-0000-0000-0000C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6" authorId="0" shapeId="0" xr:uid="{00000000-0006-0000-0000-0000C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7" authorId="0" shapeId="0" xr:uid="{00000000-0006-0000-0000-0000C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8" authorId="0" shapeId="0" xr:uid="{00000000-0006-0000-0000-0000C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9" authorId="0" shapeId="0" xr:uid="{00000000-0006-0000-0000-0000C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0" authorId="0" shapeId="0" xr:uid="{00000000-0006-0000-0000-0000C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1" authorId="0" shapeId="0" xr:uid="{00000000-0006-0000-0000-0000C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2" authorId="0" shapeId="0" xr:uid="{00000000-0006-0000-0000-0000C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3" authorId="0" shapeId="0" xr:uid="{00000000-0006-0000-0000-0000C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4" authorId="0" shapeId="0" xr:uid="{00000000-0006-0000-0000-0000C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5" authorId="0" shapeId="0" xr:uid="{00000000-0006-0000-0000-0000C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6" authorId="0" shapeId="0" xr:uid="{00000000-0006-0000-0000-0000C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7" authorId="0" shapeId="0" xr:uid="{00000000-0006-0000-0000-0000C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8" authorId="0" shapeId="0" xr:uid="{00000000-0006-0000-0000-0000D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19" authorId="0" shapeId="0" xr:uid="{00000000-0006-0000-0000-0000D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0" authorId="0" shapeId="0" xr:uid="{00000000-0006-0000-0000-0000D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1" authorId="0" shapeId="0" xr:uid="{00000000-0006-0000-0000-0000D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2" authorId="0" shapeId="0" xr:uid="{00000000-0006-0000-0000-0000D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3" authorId="0" shapeId="0" xr:uid="{00000000-0006-0000-0000-0000D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4" authorId="0" shapeId="0" xr:uid="{00000000-0006-0000-0000-0000D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5" authorId="0" shapeId="0" xr:uid="{00000000-0006-0000-0000-0000D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6" authorId="0" shapeId="0" xr:uid="{00000000-0006-0000-0000-0000D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7" authorId="0" shapeId="0" xr:uid="{00000000-0006-0000-0000-0000D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8" authorId="0" shapeId="0" xr:uid="{00000000-0006-0000-0000-0000D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29" authorId="0" shapeId="0" xr:uid="{00000000-0006-0000-0000-0000D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0" authorId="0" shapeId="0" xr:uid="{00000000-0006-0000-0000-0000D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1" authorId="0" shapeId="0" xr:uid="{00000000-0006-0000-0000-0000D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2" authorId="0" shapeId="0" xr:uid="{00000000-0006-0000-0000-0000D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3" authorId="0" shapeId="0" xr:uid="{00000000-0006-0000-0000-0000D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4" authorId="0" shapeId="0" xr:uid="{00000000-0006-0000-0000-0000E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5" authorId="0" shapeId="0" xr:uid="{00000000-0006-0000-0000-0000E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6" authorId="0" shapeId="0" xr:uid="{00000000-0006-0000-0000-0000E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7" authorId="0" shapeId="0" xr:uid="{00000000-0006-0000-0000-0000E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8" authorId="0" shapeId="0" xr:uid="{00000000-0006-0000-0000-0000E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39" authorId="0" shapeId="0" xr:uid="{00000000-0006-0000-0000-0000E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0" authorId="0" shapeId="0" xr:uid="{00000000-0006-0000-0000-0000E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1" authorId="0" shapeId="0" xr:uid="{00000000-0006-0000-0000-0000E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2" authorId="0" shapeId="0" xr:uid="{00000000-0006-0000-0000-0000E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3" authorId="0" shapeId="0" xr:uid="{00000000-0006-0000-0000-0000E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4" authorId="0" shapeId="0" xr:uid="{00000000-0006-0000-0000-0000E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5" authorId="0" shapeId="0" xr:uid="{00000000-0006-0000-0000-0000E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6" authorId="0" shapeId="0" xr:uid="{00000000-0006-0000-0000-0000E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7" authorId="0" shapeId="0" xr:uid="{00000000-0006-0000-0000-0000E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8" authorId="0" shapeId="0" xr:uid="{00000000-0006-0000-0000-0000E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49" authorId="0" shapeId="0" xr:uid="{00000000-0006-0000-0000-0000E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0" authorId="0" shapeId="0" xr:uid="{00000000-0006-0000-0000-0000F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1" authorId="0" shapeId="0" xr:uid="{00000000-0006-0000-0000-0000F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2" authorId="0" shapeId="0" xr:uid="{00000000-0006-0000-0000-0000F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3" authorId="0" shapeId="0" xr:uid="{00000000-0006-0000-0000-0000F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4" authorId="0" shapeId="0" xr:uid="{00000000-0006-0000-0000-0000F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5" authorId="0" shapeId="0" xr:uid="{00000000-0006-0000-0000-0000F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6" authorId="0" shapeId="0" xr:uid="{00000000-0006-0000-0000-0000F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7" authorId="0" shapeId="0" xr:uid="{00000000-0006-0000-0000-0000F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8" authorId="0" shapeId="0" xr:uid="{00000000-0006-0000-0000-0000F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59" authorId="0" shapeId="0" xr:uid="{00000000-0006-0000-0000-0000F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0" authorId="0" shapeId="0" xr:uid="{00000000-0006-0000-0000-0000F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1" authorId="0" shapeId="0" xr:uid="{00000000-0006-0000-0000-0000F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2" authorId="0" shapeId="0" xr:uid="{00000000-0006-0000-0000-0000F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3" authorId="0" shapeId="0" xr:uid="{00000000-0006-0000-0000-0000F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4" authorId="0" shapeId="0" xr:uid="{00000000-0006-0000-0000-0000F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5" authorId="0" shapeId="0" xr:uid="{00000000-0006-0000-0000-0000F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6" authorId="0" shapeId="0" xr:uid="{00000000-0006-0000-0000-00000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7" authorId="0" shapeId="0" xr:uid="{00000000-0006-0000-0000-00000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8" authorId="0" shapeId="0" xr:uid="{00000000-0006-0000-0000-00000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69" authorId="0" shapeId="0" xr:uid="{00000000-0006-0000-0000-00000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0" authorId="0" shapeId="0" xr:uid="{00000000-0006-0000-0000-00000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1" authorId="0" shapeId="0" xr:uid="{00000000-0006-0000-0000-00000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2" authorId="0" shapeId="0" xr:uid="{00000000-0006-0000-0000-00000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3" authorId="0" shapeId="0" xr:uid="{00000000-0006-0000-0000-00000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4" authorId="0" shapeId="0" xr:uid="{00000000-0006-0000-0000-00000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5" authorId="0" shapeId="0" xr:uid="{00000000-0006-0000-0000-00000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6" authorId="0" shapeId="0" xr:uid="{00000000-0006-0000-0000-00000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7" authorId="0" shapeId="0" xr:uid="{00000000-0006-0000-0000-00000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8" authorId="0" shapeId="0" xr:uid="{00000000-0006-0000-0000-00000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79" authorId="0" shapeId="0" xr:uid="{00000000-0006-0000-0000-00000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0" authorId="0" shapeId="0" xr:uid="{00000000-0006-0000-0000-00000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1" authorId="0" shapeId="0" xr:uid="{00000000-0006-0000-0000-00000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2" authorId="0" shapeId="0" xr:uid="{00000000-0006-0000-0000-00001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3" authorId="0" shapeId="0" xr:uid="{00000000-0006-0000-0000-00001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4" authorId="0" shapeId="0" xr:uid="{00000000-0006-0000-0000-00001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5" authorId="0" shapeId="0" xr:uid="{00000000-0006-0000-0000-00001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6" authorId="0" shapeId="0" xr:uid="{00000000-0006-0000-0000-00001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7" authorId="0" shapeId="0" xr:uid="{00000000-0006-0000-0000-00001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8" authorId="0" shapeId="0" xr:uid="{00000000-0006-0000-0000-00001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89" authorId="0" shapeId="0" xr:uid="{00000000-0006-0000-0000-00001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0" authorId="0" shapeId="0" xr:uid="{00000000-0006-0000-0000-00001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1" authorId="0" shapeId="0" xr:uid="{00000000-0006-0000-0000-00001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2" authorId="0" shapeId="0" xr:uid="{00000000-0006-0000-0000-00001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3" authorId="0" shapeId="0" xr:uid="{00000000-0006-0000-0000-00001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4" authorId="0" shapeId="0" xr:uid="{00000000-0006-0000-0000-00001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5" authorId="0" shapeId="0" xr:uid="{00000000-0006-0000-0000-00001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6" authorId="0" shapeId="0" xr:uid="{00000000-0006-0000-0000-00001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7" authorId="0" shapeId="0" xr:uid="{00000000-0006-0000-0000-00001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8" authorId="0" shapeId="0" xr:uid="{00000000-0006-0000-0000-00002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99" authorId="0" shapeId="0" xr:uid="{00000000-0006-0000-0000-00002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0" authorId="0" shapeId="0" xr:uid="{00000000-0006-0000-0000-00002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1" authorId="0" shapeId="0" xr:uid="{00000000-0006-0000-0000-00002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2" authorId="0" shapeId="0" xr:uid="{00000000-0006-0000-0000-00002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3" authorId="0" shapeId="0" xr:uid="{00000000-0006-0000-0000-00002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4" authorId="0" shapeId="0" xr:uid="{00000000-0006-0000-0000-00002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5" authorId="0" shapeId="0" xr:uid="{00000000-0006-0000-0000-00002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6" authorId="0" shapeId="0" xr:uid="{00000000-0006-0000-0000-00002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7" authorId="0" shapeId="0" xr:uid="{00000000-0006-0000-0000-00002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8" authorId="0" shapeId="0" xr:uid="{00000000-0006-0000-0000-00002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09" authorId="0" shapeId="0" xr:uid="{00000000-0006-0000-0000-00002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0" authorId="0" shapeId="0" xr:uid="{00000000-0006-0000-0000-00002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1" authorId="0" shapeId="0" xr:uid="{00000000-0006-0000-0000-00002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2" authorId="0" shapeId="0" xr:uid="{00000000-0006-0000-0000-00002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3" authorId="0" shapeId="0" xr:uid="{00000000-0006-0000-0000-00002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4" authorId="0" shapeId="0" xr:uid="{00000000-0006-0000-0000-00003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5" authorId="0" shapeId="0" xr:uid="{00000000-0006-0000-0000-00003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6" authorId="0" shapeId="0" xr:uid="{00000000-0006-0000-0000-00003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7" authorId="0" shapeId="0" xr:uid="{00000000-0006-0000-0000-00003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8" authorId="0" shapeId="0" xr:uid="{00000000-0006-0000-0000-00003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19" authorId="0" shapeId="0" xr:uid="{00000000-0006-0000-0000-00003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0" authorId="0" shapeId="0" xr:uid="{00000000-0006-0000-0000-00003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1" authorId="0" shapeId="0" xr:uid="{00000000-0006-0000-0000-00003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2" authorId="0" shapeId="0" xr:uid="{00000000-0006-0000-0000-00003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3" authorId="0" shapeId="0" xr:uid="{00000000-0006-0000-0000-00003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4" authorId="0" shapeId="0" xr:uid="{00000000-0006-0000-0000-00003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5" authorId="0" shapeId="0" xr:uid="{00000000-0006-0000-0000-00003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6" authorId="0" shapeId="0" xr:uid="{00000000-0006-0000-0000-00003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7" authorId="0" shapeId="0" xr:uid="{00000000-0006-0000-0000-00003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8" authorId="0" shapeId="0" xr:uid="{00000000-0006-0000-0000-00003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29" authorId="0" shapeId="0" xr:uid="{00000000-0006-0000-0000-00003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0" authorId="0" shapeId="0" xr:uid="{00000000-0006-0000-0000-00004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1" authorId="0" shapeId="0" xr:uid="{00000000-0006-0000-0000-00004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2" authorId="0" shapeId="0" xr:uid="{00000000-0006-0000-0000-00004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3" authorId="0" shapeId="0" xr:uid="{00000000-0006-0000-0000-00004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4" authorId="0" shapeId="0" xr:uid="{00000000-0006-0000-0000-00004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5" authorId="0" shapeId="0" xr:uid="{00000000-0006-0000-0000-00004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6" authorId="0" shapeId="0" xr:uid="{00000000-0006-0000-0000-00004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7" authorId="0" shapeId="0" xr:uid="{00000000-0006-0000-0000-00004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8" authorId="0" shapeId="0" xr:uid="{00000000-0006-0000-0000-00004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39" authorId="0" shapeId="0" xr:uid="{00000000-0006-0000-0000-00004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0" authorId="0" shapeId="0" xr:uid="{00000000-0006-0000-0000-00004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1" authorId="0" shapeId="0" xr:uid="{00000000-0006-0000-0000-00004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2" authorId="0" shapeId="0" xr:uid="{00000000-0006-0000-0000-00004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3" authorId="0" shapeId="0" xr:uid="{00000000-0006-0000-0000-00004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4" authorId="0" shapeId="0" xr:uid="{00000000-0006-0000-0000-00004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5" authorId="0" shapeId="0" xr:uid="{00000000-0006-0000-0000-00004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6" authorId="0" shapeId="0" xr:uid="{00000000-0006-0000-0000-00005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7" authorId="0" shapeId="0" xr:uid="{00000000-0006-0000-0000-00005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8" authorId="0" shapeId="0" xr:uid="{00000000-0006-0000-0000-00005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49" authorId="0" shapeId="0" xr:uid="{00000000-0006-0000-0000-00005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0" authorId="0" shapeId="0" xr:uid="{00000000-0006-0000-0000-00005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1" authorId="0" shapeId="0" xr:uid="{00000000-0006-0000-0000-00005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2" authorId="0" shapeId="0" xr:uid="{00000000-0006-0000-0000-00005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3" authorId="0" shapeId="0" xr:uid="{00000000-0006-0000-0000-00005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4" authorId="0" shapeId="0" xr:uid="{00000000-0006-0000-0000-00005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5" authorId="0" shapeId="0" xr:uid="{00000000-0006-0000-0000-00005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6" authorId="0" shapeId="0" xr:uid="{00000000-0006-0000-0000-00005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7" authorId="0" shapeId="0" xr:uid="{00000000-0006-0000-0000-00005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8" authorId="0" shapeId="0" xr:uid="{00000000-0006-0000-0000-00005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59" authorId="0" shapeId="0" xr:uid="{00000000-0006-0000-0000-00005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0" authorId="0" shapeId="0" xr:uid="{00000000-0006-0000-0000-00005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1" authorId="0" shapeId="0" xr:uid="{00000000-0006-0000-0000-00005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2" authorId="0" shapeId="0" xr:uid="{00000000-0006-0000-0000-00006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3" authorId="0" shapeId="0" xr:uid="{00000000-0006-0000-0000-00006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4" authorId="0" shapeId="0" xr:uid="{00000000-0006-0000-0000-00006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5" authorId="0" shapeId="0" xr:uid="{00000000-0006-0000-0000-00006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6" authorId="0" shapeId="0" xr:uid="{00000000-0006-0000-0000-00006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7" authorId="0" shapeId="0" xr:uid="{00000000-0006-0000-0000-00006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8" authorId="0" shapeId="0" xr:uid="{00000000-0006-0000-0000-00006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69" authorId="0" shapeId="0" xr:uid="{00000000-0006-0000-0000-00006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0" authorId="0" shapeId="0" xr:uid="{00000000-0006-0000-0000-00006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1" authorId="0" shapeId="0" xr:uid="{00000000-0006-0000-0000-00006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2" authorId="0" shapeId="0" xr:uid="{00000000-0006-0000-0000-00006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3" authorId="0" shapeId="0" xr:uid="{00000000-0006-0000-0000-00006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4" authorId="0" shapeId="0" xr:uid="{00000000-0006-0000-0000-00006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5" authorId="0" shapeId="0" xr:uid="{00000000-0006-0000-0000-00006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6" authorId="0" shapeId="0" xr:uid="{00000000-0006-0000-0000-00006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7" authorId="0" shapeId="0" xr:uid="{00000000-0006-0000-0000-00006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8" authorId="0" shapeId="0" xr:uid="{00000000-0006-0000-0000-00007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79" authorId="0" shapeId="0" xr:uid="{00000000-0006-0000-0000-00007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0" authorId="0" shapeId="0" xr:uid="{00000000-0006-0000-0000-00007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1" authorId="0" shapeId="0" xr:uid="{00000000-0006-0000-0000-00007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2" authorId="0" shapeId="0" xr:uid="{00000000-0006-0000-0000-00007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3" authorId="0" shapeId="0" xr:uid="{00000000-0006-0000-0000-00007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4" authorId="0" shapeId="0" xr:uid="{00000000-0006-0000-0000-00007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5" authorId="0" shapeId="0" xr:uid="{00000000-0006-0000-0000-00007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6" authorId="0" shapeId="0" xr:uid="{00000000-0006-0000-0000-00007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7" authorId="0" shapeId="0" xr:uid="{00000000-0006-0000-0000-00007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8" authorId="0" shapeId="0" xr:uid="{00000000-0006-0000-0000-00007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89" authorId="0" shapeId="0" xr:uid="{00000000-0006-0000-0000-00007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0" authorId="0" shapeId="0" xr:uid="{00000000-0006-0000-0000-00007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1" authorId="0" shapeId="0" xr:uid="{00000000-0006-0000-0000-00007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2" authorId="0" shapeId="0" xr:uid="{00000000-0006-0000-0000-00007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3" authorId="0" shapeId="0" xr:uid="{00000000-0006-0000-0000-00007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4" authorId="0" shapeId="0" xr:uid="{00000000-0006-0000-0000-00008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5" authorId="0" shapeId="0" xr:uid="{00000000-0006-0000-0000-00008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6" authorId="0" shapeId="0" xr:uid="{00000000-0006-0000-0000-00008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7" authorId="0" shapeId="0" xr:uid="{00000000-0006-0000-0000-00008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8" authorId="0" shapeId="0" xr:uid="{00000000-0006-0000-0000-00008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399" authorId="0" shapeId="0" xr:uid="{00000000-0006-0000-0000-00008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0" authorId="0" shapeId="0" xr:uid="{00000000-0006-0000-0000-00008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1" authorId="0" shapeId="0" xr:uid="{00000000-0006-0000-0000-00008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2" authorId="0" shapeId="0" xr:uid="{00000000-0006-0000-0000-00008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3" authorId="0" shapeId="0" xr:uid="{00000000-0006-0000-0000-00008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4" authorId="0" shapeId="0" xr:uid="{00000000-0006-0000-0000-00008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5" authorId="0" shapeId="0" xr:uid="{00000000-0006-0000-0000-00008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6" authorId="0" shapeId="0" xr:uid="{00000000-0006-0000-0000-00008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7" authorId="0" shapeId="0" xr:uid="{00000000-0006-0000-0000-00008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8" authorId="0" shapeId="0" xr:uid="{00000000-0006-0000-0000-00008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09" authorId="0" shapeId="0" xr:uid="{00000000-0006-0000-0000-00008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0" authorId="0" shapeId="0" xr:uid="{00000000-0006-0000-0000-00009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1" authorId="0" shapeId="0" xr:uid="{00000000-0006-0000-0000-00009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2" authorId="0" shapeId="0" xr:uid="{00000000-0006-0000-0000-00009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3" authorId="0" shapeId="0" xr:uid="{00000000-0006-0000-0000-00009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4" authorId="0" shapeId="0" xr:uid="{00000000-0006-0000-0000-00009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5" authorId="0" shapeId="0" xr:uid="{00000000-0006-0000-0000-00009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6" authorId="0" shapeId="0" xr:uid="{00000000-0006-0000-0000-00009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7" authorId="0" shapeId="0" xr:uid="{00000000-0006-0000-0000-00009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8" authorId="0" shapeId="0" xr:uid="{00000000-0006-0000-0000-00009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19" authorId="0" shapeId="0" xr:uid="{00000000-0006-0000-0000-00009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0" authorId="0" shapeId="0" xr:uid="{00000000-0006-0000-0000-00009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1" authorId="0" shapeId="0" xr:uid="{00000000-0006-0000-0000-00009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2" authorId="0" shapeId="0" xr:uid="{00000000-0006-0000-0000-00009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3" authorId="0" shapeId="0" xr:uid="{00000000-0006-0000-0000-00009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4" authorId="0" shapeId="0" xr:uid="{00000000-0006-0000-0000-00009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5" authorId="0" shapeId="0" xr:uid="{00000000-0006-0000-0000-00009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6" authorId="0" shapeId="0" xr:uid="{00000000-0006-0000-0000-0000A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7" authorId="0" shapeId="0" xr:uid="{00000000-0006-0000-0000-0000A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8" authorId="0" shapeId="0" xr:uid="{00000000-0006-0000-0000-0000A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29" authorId="0" shapeId="0" xr:uid="{00000000-0006-0000-0000-0000A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0" authorId="0" shapeId="0" xr:uid="{00000000-0006-0000-0000-0000A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1" authorId="0" shapeId="0" xr:uid="{00000000-0006-0000-0000-0000A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2" authorId="0" shapeId="0" xr:uid="{00000000-0006-0000-0000-0000A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3" authorId="0" shapeId="0" xr:uid="{00000000-0006-0000-0000-0000A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4" authorId="0" shapeId="0" xr:uid="{00000000-0006-0000-0000-0000A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5" authorId="0" shapeId="0" xr:uid="{00000000-0006-0000-0000-0000A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6" authorId="0" shapeId="0" xr:uid="{00000000-0006-0000-0000-0000A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7" authorId="0" shapeId="0" xr:uid="{00000000-0006-0000-0000-0000A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8" authorId="0" shapeId="0" xr:uid="{00000000-0006-0000-0000-0000A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39" authorId="0" shapeId="0" xr:uid="{00000000-0006-0000-0000-0000A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0" authorId="0" shapeId="0" xr:uid="{00000000-0006-0000-0000-0000A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1" authorId="0" shapeId="0" xr:uid="{00000000-0006-0000-0000-0000A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2" authorId="0" shapeId="0" xr:uid="{00000000-0006-0000-0000-0000B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3" authorId="0" shapeId="0" xr:uid="{00000000-0006-0000-0000-0000B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4" authorId="0" shapeId="0" xr:uid="{00000000-0006-0000-0000-0000B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5" authorId="0" shapeId="0" xr:uid="{00000000-0006-0000-0000-0000B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6" authorId="0" shapeId="0" xr:uid="{00000000-0006-0000-0000-0000B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7" authorId="0" shapeId="0" xr:uid="{00000000-0006-0000-0000-0000B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8" authorId="0" shapeId="0" xr:uid="{00000000-0006-0000-0000-0000B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49" authorId="0" shapeId="0" xr:uid="{00000000-0006-0000-0000-0000B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0" authorId="0" shapeId="0" xr:uid="{00000000-0006-0000-0000-0000B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1" authorId="0" shapeId="0" xr:uid="{00000000-0006-0000-0000-0000B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2" authorId="0" shapeId="0" xr:uid="{00000000-0006-0000-0000-0000B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3" authorId="0" shapeId="0" xr:uid="{00000000-0006-0000-0000-0000B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4" authorId="0" shapeId="0" xr:uid="{00000000-0006-0000-0000-0000B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5" authorId="0" shapeId="0" xr:uid="{00000000-0006-0000-0000-0000B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6" authorId="0" shapeId="0" xr:uid="{00000000-0006-0000-0000-0000B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7" authorId="0" shapeId="0" xr:uid="{00000000-0006-0000-0000-0000B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8" authorId="0" shapeId="0" xr:uid="{00000000-0006-0000-0000-0000C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59" authorId="0" shapeId="0" xr:uid="{00000000-0006-0000-0000-0000C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0" authorId="0" shapeId="0" xr:uid="{00000000-0006-0000-0000-0000C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1" authorId="0" shapeId="0" xr:uid="{00000000-0006-0000-0000-0000C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2" authorId="0" shapeId="0" xr:uid="{00000000-0006-0000-0000-0000C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3" authorId="0" shapeId="0" xr:uid="{00000000-0006-0000-0000-0000C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4" authorId="0" shapeId="0" xr:uid="{00000000-0006-0000-0000-0000C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5" authorId="0" shapeId="0" xr:uid="{00000000-0006-0000-0000-0000C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6" authorId="0" shapeId="0" xr:uid="{00000000-0006-0000-0000-0000C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7" authorId="0" shapeId="0" xr:uid="{00000000-0006-0000-0000-0000C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8" authorId="0" shapeId="0" xr:uid="{00000000-0006-0000-0000-0000C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69" authorId="0" shapeId="0" xr:uid="{00000000-0006-0000-0000-0000C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0" authorId="0" shapeId="0" xr:uid="{00000000-0006-0000-0000-0000C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1" authorId="0" shapeId="0" xr:uid="{00000000-0006-0000-0000-0000C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2" authorId="0" shapeId="0" xr:uid="{00000000-0006-0000-0000-0000C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3" authorId="0" shapeId="0" xr:uid="{00000000-0006-0000-0000-0000C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4" authorId="0" shapeId="0" xr:uid="{00000000-0006-0000-0000-0000D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5" authorId="0" shapeId="0" xr:uid="{00000000-0006-0000-0000-0000D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6" authorId="0" shapeId="0" xr:uid="{00000000-0006-0000-0000-0000D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7" authorId="0" shapeId="0" xr:uid="{00000000-0006-0000-0000-0000D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8" authorId="0" shapeId="0" xr:uid="{00000000-0006-0000-0000-0000D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79" authorId="0" shapeId="0" xr:uid="{00000000-0006-0000-0000-0000D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0" authorId="0" shapeId="0" xr:uid="{00000000-0006-0000-0000-0000D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1" authorId="0" shapeId="0" xr:uid="{00000000-0006-0000-0000-0000D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2" authorId="0" shapeId="0" xr:uid="{00000000-0006-0000-0000-0000D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3" authorId="0" shapeId="0" xr:uid="{00000000-0006-0000-0000-0000D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4" authorId="0" shapeId="0" xr:uid="{00000000-0006-0000-0000-0000D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5" authorId="0" shapeId="0" xr:uid="{00000000-0006-0000-0000-0000D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6" authorId="0" shapeId="0" xr:uid="{00000000-0006-0000-0000-0000D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7" authorId="0" shapeId="0" xr:uid="{00000000-0006-0000-0000-0000D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8" authorId="0" shapeId="0" xr:uid="{00000000-0006-0000-0000-0000D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89" authorId="0" shapeId="0" xr:uid="{00000000-0006-0000-0000-0000D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0" authorId="0" shapeId="0" xr:uid="{00000000-0006-0000-0000-0000E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1" authorId="0" shapeId="0" xr:uid="{00000000-0006-0000-0000-0000E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2" authorId="0" shapeId="0" xr:uid="{00000000-0006-0000-0000-0000E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3" authorId="0" shapeId="0" xr:uid="{00000000-0006-0000-0000-0000E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4" authorId="0" shapeId="0" xr:uid="{00000000-0006-0000-0000-0000E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5" authorId="0" shapeId="0" xr:uid="{00000000-0006-0000-0000-0000E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6" authorId="0" shapeId="0" xr:uid="{00000000-0006-0000-0000-0000E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7" authorId="0" shapeId="0" xr:uid="{00000000-0006-0000-0000-0000E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8" authorId="0" shapeId="0" xr:uid="{00000000-0006-0000-0000-0000E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499" authorId="0" shapeId="0" xr:uid="{00000000-0006-0000-0000-0000E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0" authorId="0" shapeId="0" xr:uid="{00000000-0006-0000-0000-0000E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1" authorId="0" shapeId="0" xr:uid="{00000000-0006-0000-0000-0000E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2" authorId="0" shapeId="0" xr:uid="{00000000-0006-0000-0000-0000E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3" authorId="0" shapeId="0" xr:uid="{00000000-0006-0000-0000-0000E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4" authorId="0" shapeId="0" xr:uid="{00000000-0006-0000-0000-0000E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5" authorId="0" shapeId="0" xr:uid="{00000000-0006-0000-0000-0000E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6" authorId="0" shapeId="0" xr:uid="{00000000-0006-0000-0000-0000F0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7" authorId="0" shapeId="0" xr:uid="{00000000-0006-0000-0000-0000F1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8" authorId="0" shapeId="0" xr:uid="{00000000-0006-0000-0000-0000F2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09" authorId="0" shapeId="0" xr:uid="{00000000-0006-0000-0000-0000F3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0" authorId="0" shapeId="0" xr:uid="{00000000-0006-0000-0000-0000F4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1" authorId="0" shapeId="0" xr:uid="{00000000-0006-0000-0000-0000F5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2" authorId="0" shapeId="0" xr:uid="{00000000-0006-0000-0000-0000F6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3" authorId="0" shapeId="0" xr:uid="{00000000-0006-0000-0000-0000F7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4" authorId="0" shapeId="0" xr:uid="{00000000-0006-0000-0000-0000F8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5" authorId="0" shapeId="0" xr:uid="{00000000-0006-0000-0000-0000F9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6" authorId="0" shapeId="0" xr:uid="{00000000-0006-0000-0000-0000FA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7" authorId="0" shapeId="0" xr:uid="{00000000-0006-0000-0000-0000FB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8" authorId="0" shapeId="0" xr:uid="{00000000-0006-0000-0000-0000FC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19" authorId="0" shapeId="0" xr:uid="{00000000-0006-0000-0000-0000FD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0" authorId="0" shapeId="0" xr:uid="{00000000-0006-0000-0000-0000FE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1" authorId="0" shapeId="0" xr:uid="{00000000-0006-0000-0000-0000FF01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2" authorId="0" shapeId="0" xr:uid="{00000000-0006-0000-0000-00000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3" authorId="0" shapeId="0" xr:uid="{00000000-0006-0000-0000-00000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4" authorId="0" shapeId="0" xr:uid="{00000000-0006-0000-0000-00000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5" authorId="0" shapeId="0" xr:uid="{00000000-0006-0000-0000-00000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6" authorId="0" shapeId="0" xr:uid="{00000000-0006-0000-0000-00000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7" authorId="0" shapeId="0" xr:uid="{00000000-0006-0000-0000-00000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8" authorId="0" shapeId="0" xr:uid="{00000000-0006-0000-0000-00000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29" authorId="0" shapeId="0" xr:uid="{00000000-0006-0000-0000-00000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0" authorId="0" shapeId="0" xr:uid="{00000000-0006-0000-0000-00000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1" authorId="0" shapeId="0" xr:uid="{00000000-0006-0000-0000-00000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2" authorId="0" shapeId="0" xr:uid="{00000000-0006-0000-0000-00000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3" authorId="0" shapeId="0" xr:uid="{00000000-0006-0000-0000-00000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4" authorId="0" shapeId="0" xr:uid="{00000000-0006-0000-0000-00000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5" authorId="0" shapeId="0" xr:uid="{00000000-0006-0000-0000-00000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6" authorId="0" shapeId="0" xr:uid="{00000000-0006-0000-0000-00000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7" authorId="0" shapeId="0" xr:uid="{00000000-0006-0000-0000-00000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8" authorId="0" shapeId="0" xr:uid="{00000000-0006-0000-0000-00001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39" authorId="0" shapeId="0" xr:uid="{00000000-0006-0000-0000-00001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0" authorId="0" shapeId="0" xr:uid="{00000000-0006-0000-0000-00001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1" authorId="0" shapeId="0" xr:uid="{00000000-0006-0000-0000-00001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2" authorId="0" shapeId="0" xr:uid="{00000000-0006-0000-0000-00001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3" authorId="0" shapeId="0" xr:uid="{00000000-0006-0000-0000-00001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4" authorId="0" shapeId="0" xr:uid="{00000000-0006-0000-0000-00001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5" authorId="0" shapeId="0" xr:uid="{00000000-0006-0000-0000-00001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6" authorId="0" shapeId="0" xr:uid="{00000000-0006-0000-0000-00001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7" authorId="0" shapeId="0" xr:uid="{00000000-0006-0000-0000-00001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8" authorId="0" shapeId="0" xr:uid="{00000000-0006-0000-0000-00001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49" authorId="0" shapeId="0" xr:uid="{00000000-0006-0000-0000-00001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0" authorId="0" shapeId="0" xr:uid="{00000000-0006-0000-0000-00001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1" authorId="0" shapeId="0" xr:uid="{00000000-0006-0000-0000-00001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2" authorId="0" shapeId="0" xr:uid="{00000000-0006-0000-0000-00001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3" authorId="0" shapeId="0" xr:uid="{00000000-0006-0000-0000-00001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4" authorId="0" shapeId="0" xr:uid="{00000000-0006-0000-0000-00002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5" authorId="0" shapeId="0" xr:uid="{00000000-0006-0000-0000-00002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6" authorId="0" shapeId="0" xr:uid="{00000000-0006-0000-0000-00002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7" authorId="0" shapeId="0" xr:uid="{00000000-0006-0000-0000-00002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8" authorId="0" shapeId="0" xr:uid="{00000000-0006-0000-0000-00002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59" authorId="0" shapeId="0" xr:uid="{00000000-0006-0000-0000-00002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0" authorId="0" shapeId="0" xr:uid="{00000000-0006-0000-0000-00002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1" authorId="0" shapeId="0" xr:uid="{00000000-0006-0000-0000-00002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2" authorId="0" shapeId="0" xr:uid="{00000000-0006-0000-0000-00002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3" authorId="0" shapeId="0" xr:uid="{00000000-0006-0000-0000-00002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4" authorId="0" shapeId="0" xr:uid="{00000000-0006-0000-0000-00002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5" authorId="0" shapeId="0" xr:uid="{00000000-0006-0000-0000-00002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6" authorId="0" shapeId="0" xr:uid="{00000000-0006-0000-0000-00002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7" authorId="0" shapeId="0" xr:uid="{00000000-0006-0000-0000-00002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8" authorId="0" shapeId="0" xr:uid="{00000000-0006-0000-0000-00002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69" authorId="0" shapeId="0" xr:uid="{00000000-0006-0000-0000-00002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0" authorId="0" shapeId="0" xr:uid="{00000000-0006-0000-0000-00003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1" authorId="0" shapeId="0" xr:uid="{00000000-0006-0000-0000-00003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2" authorId="0" shapeId="0" xr:uid="{00000000-0006-0000-0000-00003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3" authorId="0" shapeId="0" xr:uid="{00000000-0006-0000-0000-00003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4" authorId="0" shapeId="0" xr:uid="{00000000-0006-0000-0000-00003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5" authorId="0" shapeId="0" xr:uid="{00000000-0006-0000-0000-00003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6" authorId="0" shapeId="0" xr:uid="{00000000-0006-0000-0000-00003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7" authorId="0" shapeId="0" xr:uid="{00000000-0006-0000-0000-00003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8" authorId="0" shapeId="0" xr:uid="{00000000-0006-0000-0000-00003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79" authorId="0" shapeId="0" xr:uid="{00000000-0006-0000-0000-00003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0" authorId="0" shapeId="0" xr:uid="{00000000-0006-0000-0000-00003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1" authorId="0" shapeId="0" xr:uid="{00000000-0006-0000-0000-00003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2" authorId="0" shapeId="0" xr:uid="{00000000-0006-0000-0000-00003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3" authorId="0" shapeId="0" xr:uid="{00000000-0006-0000-0000-00003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4" authorId="0" shapeId="0" xr:uid="{00000000-0006-0000-0000-00003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5" authorId="0" shapeId="0" xr:uid="{00000000-0006-0000-0000-00003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6" authorId="0" shapeId="0" xr:uid="{00000000-0006-0000-0000-00004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7" authorId="0" shapeId="0" xr:uid="{00000000-0006-0000-0000-00004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8" authorId="0" shapeId="0" xr:uid="{00000000-0006-0000-0000-00004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89" authorId="0" shapeId="0" xr:uid="{00000000-0006-0000-0000-00004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0" authorId="0" shapeId="0" xr:uid="{00000000-0006-0000-0000-00004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1" authorId="0" shapeId="0" xr:uid="{00000000-0006-0000-0000-00004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2" authorId="0" shapeId="0" xr:uid="{00000000-0006-0000-0000-00004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3" authorId="0" shapeId="0" xr:uid="{00000000-0006-0000-0000-00004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4" authorId="0" shapeId="0" xr:uid="{00000000-0006-0000-0000-00004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5" authorId="0" shapeId="0" xr:uid="{00000000-0006-0000-0000-00004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6" authorId="0" shapeId="0" xr:uid="{00000000-0006-0000-0000-00004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7" authorId="0" shapeId="0" xr:uid="{00000000-0006-0000-0000-00004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8" authorId="0" shapeId="0" xr:uid="{00000000-0006-0000-0000-00004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599" authorId="0" shapeId="0" xr:uid="{00000000-0006-0000-0000-00004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0" authorId="0" shapeId="0" xr:uid="{00000000-0006-0000-0000-00004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1" authorId="0" shapeId="0" xr:uid="{00000000-0006-0000-0000-00004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2" authorId="0" shapeId="0" xr:uid="{00000000-0006-0000-0000-00005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3" authorId="0" shapeId="0" xr:uid="{00000000-0006-0000-0000-00005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4" authorId="0" shapeId="0" xr:uid="{00000000-0006-0000-0000-00005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5" authorId="0" shapeId="0" xr:uid="{00000000-0006-0000-0000-00005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6" authorId="0" shapeId="0" xr:uid="{00000000-0006-0000-0000-00005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7" authorId="0" shapeId="0" xr:uid="{00000000-0006-0000-0000-00005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8" authorId="0" shapeId="0" xr:uid="{00000000-0006-0000-0000-00005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09" authorId="0" shapeId="0" xr:uid="{00000000-0006-0000-0000-00005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0" authorId="0" shapeId="0" xr:uid="{00000000-0006-0000-0000-00005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1" authorId="0" shapeId="0" xr:uid="{00000000-0006-0000-0000-00005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2" authorId="0" shapeId="0" xr:uid="{00000000-0006-0000-0000-00005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3" authorId="0" shapeId="0" xr:uid="{00000000-0006-0000-0000-00005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4" authorId="0" shapeId="0" xr:uid="{00000000-0006-0000-0000-00005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5" authorId="0" shapeId="0" xr:uid="{00000000-0006-0000-0000-00005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6" authorId="0" shapeId="0" xr:uid="{00000000-0006-0000-0000-00005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7" authorId="0" shapeId="0" xr:uid="{00000000-0006-0000-0000-00005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8" authorId="0" shapeId="0" xr:uid="{00000000-0006-0000-0000-00006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19" authorId="0" shapeId="0" xr:uid="{00000000-0006-0000-0000-00006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0" authorId="0" shapeId="0" xr:uid="{00000000-0006-0000-0000-00006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1" authorId="0" shapeId="0" xr:uid="{00000000-0006-0000-0000-00006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2" authorId="0" shapeId="0" xr:uid="{00000000-0006-0000-0000-00006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3" authorId="0" shapeId="0" xr:uid="{00000000-0006-0000-0000-00006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4" authorId="0" shapeId="0" xr:uid="{00000000-0006-0000-0000-00006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5" authorId="0" shapeId="0" xr:uid="{00000000-0006-0000-0000-00006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6" authorId="0" shapeId="0" xr:uid="{00000000-0006-0000-0000-00006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7" authorId="0" shapeId="0" xr:uid="{00000000-0006-0000-0000-00006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8" authorId="0" shapeId="0" xr:uid="{00000000-0006-0000-0000-00006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29" authorId="0" shapeId="0" xr:uid="{00000000-0006-0000-0000-00006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0" authorId="0" shapeId="0" xr:uid="{00000000-0006-0000-0000-00006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1" authorId="0" shapeId="0" xr:uid="{00000000-0006-0000-0000-00006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2" authorId="0" shapeId="0" xr:uid="{00000000-0006-0000-0000-00006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3" authorId="0" shapeId="0" xr:uid="{00000000-0006-0000-0000-00006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4" authorId="0" shapeId="0" xr:uid="{00000000-0006-0000-0000-00007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5" authorId="0" shapeId="0" xr:uid="{00000000-0006-0000-0000-00007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6" authorId="0" shapeId="0" xr:uid="{00000000-0006-0000-0000-00007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7" authorId="0" shapeId="0" xr:uid="{00000000-0006-0000-0000-00007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8" authorId="0" shapeId="0" xr:uid="{00000000-0006-0000-0000-00007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39" authorId="0" shapeId="0" xr:uid="{00000000-0006-0000-0000-00007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0" authorId="0" shapeId="0" xr:uid="{00000000-0006-0000-0000-00007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1" authorId="0" shapeId="0" xr:uid="{00000000-0006-0000-0000-00007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2" authorId="0" shapeId="0" xr:uid="{00000000-0006-0000-0000-00007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3" authorId="0" shapeId="0" xr:uid="{00000000-0006-0000-0000-00007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4" authorId="0" shapeId="0" xr:uid="{00000000-0006-0000-0000-00007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5" authorId="0" shapeId="0" xr:uid="{00000000-0006-0000-0000-00007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6" authorId="0" shapeId="0" xr:uid="{00000000-0006-0000-0000-00007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7" authorId="0" shapeId="0" xr:uid="{00000000-0006-0000-0000-00007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8" authorId="0" shapeId="0" xr:uid="{00000000-0006-0000-0000-00007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49" authorId="0" shapeId="0" xr:uid="{00000000-0006-0000-0000-00007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0" authorId="0" shapeId="0" xr:uid="{00000000-0006-0000-0000-00008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1" authorId="0" shapeId="0" xr:uid="{00000000-0006-0000-0000-00008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2" authorId="0" shapeId="0" xr:uid="{00000000-0006-0000-0000-00008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3" authorId="0" shapeId="0" xr:uid="{00000000-0006-0000-0000-00008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4" authorId="0" shapeId="0" xr:uid="{00000000-0006-0000-0000-00008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5" authorId="0" shapeId="0" xr:uid="{00000000-0006-0000-0000-00008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6" authorId="0" shapeId="0" xr:uid="{00000000-0006-0000-0000-00008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7" authorId="0" shapeId="0" xr:uid="{00000000-0006-0000-0000-00008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8" authorId="0" shapeId="0" xr:uid="{00000000-0006-0000-0000-00008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59" authorId="0" shapeId="0" xr:uid="{00000000-0006-0000-0000-00008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0" authorId="0" shapeId="0" xr:uid="{00000000-0006-0000-0000-00008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1" authorId="0" shapeId="0" xr:uid="{00000000-0006-0000-0000-00008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2" authorId="0" shapeId="0" xr:uid="{00000000-0006-0000-0000-00008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3" authorId="0" shapeId="0" xr:uid="{00000000-0006-0000-0000-00008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4" authorId="0" shapeId="0" xr:uid="{00000000-0006-0000-0000-00008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5" authorId="0" shapeId="0" xr:uid="{00000000-0006-0000-0000-00008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6" authorId="0" shapeId="0" xr:uid="{00000000-0006-0000-0000-00009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7" authorId="0" shapeId="0" xr:uid="{00000000-0006-0000-0000-00009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8" authorId="0" shapeId="0" xr:uid="{00000000-0006-0000-0000-00009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69" authorId="0" shapeId="0" xr:uid="{00000000-0006-0000-0000-00009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0" authorId="0" shapeId="0" xr:uid="{00000000-0006-0000-0000-00009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1" authorId="0" shapeId="0" xr:uid="{00000000-0006-0000-0000-00009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2" authorId="0" shapeId="0" xr:uid="{00000000-0006-0000-0000-00009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3" authorId="0" shapeId="0" xr:uid="{00000000-0006-0000-0000-00009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4" authorId="0" shapeId="0" xr:uid="{00000000-0006-0000-0000-00009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5" authorId="0" shapeId="0" xr:uid="{00000000-0006-0000-0000-00009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6" authorId="0" shapeId="0" xr:uid="{00000000-0006-0000-0000-00009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7" authorId="0" shapeId="0" xr:uid="{00000000-0006-0000-0000-00009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8" authorId="0" shapeId="0" xr:uid="{00000000-0006-0000-0000-00009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79" authorId="0" shapeId="0" xr:uid="{00000000-0006-0000-0000-00009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0" authorId="0" shapeId="0" xr:uid="{00000000-0006-0000-0000-00009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1" authorId="0" shapeId="0" xr:uid="{00000000-0006-0000-0000-00009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2" authorId="0" shapeId="0" xr:uid="{00000000-0006-0000-0000-0000A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3" authorId="0" shapeId="0" xr:uid="{00000000-0006-0000-0000-0000A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4" authorId="0" shapeId="0" xr:uid="{00000000-0006-0000-0000-0000A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5" authorId="0" shapeId="0" xr:uid="{00000000-0006-0000-0000-0000A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6" authorId="0" shapeId="0" xr:uid="{00000000-0006-0000-0000-0000A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7" authorId="0" shapeId="0" xr:uid="{00000000-0006-0000-0000-0000A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8" authorId="0" shapeId="0" xr:uid="{00000000-0006-0000-0000-0000A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89" authorId="0" shapeId="0" xr:uid="{00000000-0006-0000-0000-0000A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0" authorId="0" shapeId="0" xr:uid="{00000000-0006-0000-0000-0000A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1" authorId="0" shapeId="0" xr:uid="{00000000-0006-0000-0000-0000A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2" authorId="0" shapeId="0" xr:uid="{00000000-0006-0000-0000-0000A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3" authorId="0" shapeId="0" xr:uid="{00000000-0006-0000-0000-0000A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4" authorId="0" shapeId="0" xr:uid="{00000000-0006-0000-0000-0000A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5" authorId="0" shapeId="0" xr:uid="{00000000-0006-0000-0000-0000A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6" authorId="0" shapeId="0" xr:uid="{00000000-0006-0000-0000-0000A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7" authorId="0" shapeId="0" xr:uid="{00000000-0006-0000-0000-0000A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8" authorId="0" shapeId="0" xr:uid="{00000000-0006-0000-0000-0000B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99" authorId="0" shapeId="0" xr:uid="{00000000-0006-0000-0000-0000B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0" authorId="0" shapeId="0" xr:uid="{00000000-0006-0000-0000-0000B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1" authorId="0" shapeId="0" xr:uid="{00000000-0006-0000-0000-0000B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2" authorId="0" shapeId="0" xr:uid="{00000000-0006-0000-0000-0000B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3" authorId="0" shapeId="0" xr:uid="{00000000-0006-0000-0000-0000B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4" authorId="0" shapeId="0" xr:uid="{00000000-0006-0000-0000-0000B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5" authorId="0" shapeId="0" xr:uid="{00000000-0006-0000-0000-0000B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6" authorId="0" shapeId="0" xr:uid="{00000000-0006-0000-0000-0000B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7" authorId="0" shapeId="0" xr:uid="{00000000-0006-0000-0000-0000B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8" authorId="0" shapeId="0" xr:uid="{00000000-0006-0000-0000-0000B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09" authorId="0" shapeId="0" xr:uid="{00000000-0006-0000-0000-0000B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0" authorId="0" shapeId="0" xr:uid="{00000000-0006-0000-0000-0000B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1" authorId="0" shapeId="0" xr:uid="{00000000-0006-0000-0000-0000B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2" authorId="0" shapeId="0" xr:uid="{00000000-0006-0000-0000-0000B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3" authorId="0" shapeId="0" xr:uid="{00000000-0006-0000-0000-0000B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4" authorId="0" shapeId="0" xr:uid="{00000000-0006-0000-0000-0000C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5" authorId="0" shapeId="0" xr:uid="{00000000-0006-0000-0000-0000C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6" authorId="0" shapeId="0" xr:uid="{00000000-0006-0000-0000-0000C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7" authorId="0" shapeId="0" xr:uid="{00000000-0006-0000-0000-0000C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8" authorId="0" shapeId="0" xr:uid="{00000000-0006-0000-0000-0000C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19" authorId="0" shapeId="0" xr:uid="{00000000-0006-0000-0000-0000C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0" authorId="0" shapeId="0" xr:uid="{00000000-0006-0000-0000-0000C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1" authorId="0" shapeId="0" xr:uid="{00000000-0006-0000-0000-0000C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2" authorId="0" shapeId="0" xr:uid="{00000000-0006-0000-0000-0000C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3" authorId="0" shapeId="0" xr:uid="{00000000-0006-0000-0000-0000C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4" authorId="0" shapeId="0" xr:uid="{00000000-0006-0000-0000-0000C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5" authorId="0" shapeId="0" xr:uid="{00000000-0006-0000-0000-0000C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6" authorId="0" shapeId="0" xr:uid="{00000000-0006-0000-0000-0000C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7" authorId="0" shapeId="0" xr:uid="{00000000-0006-0000-0000-0000C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8" authorId="0" shapeId="0" xr:uid="{00000000-0006-0000-0000-0000C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29" authorId="0" shapeId="0" xr:uid="{00000000-0006-0000-0000-0000C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0" authorId="0" shapeId="0" xr:uid="{00000000-0006-0000-0000-0000D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1" authorId="0" shapeId="0" xr:uid="{00000000-0006-0000-0000-0000D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2" authorId="0" shapeId="0" xr:uid="{00000000-0006-0000-0000-0000D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3" authorId="0" shapeId="0" xr:uid="{00000000-0006-0000-0000-0000D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4" authorId="0" shapeId="0" xr:uid="{00000000-0006-0000-0000-0000D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5" authorId="0" shapeId="0" xr:uid="{00000000-0006-0000-0000-0000D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6" authorId="0" shapeId="0" xr:uid="{00000000-0006-0000-0000-0000D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7" authorId="0" shapeId="0" xr:uid="{00000000-0006-0000-0000-0000D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8" authorId="0" shapeId="0" xr:uid="{00000000-0006-0000-0000-0000D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39" authorId="0" shapeId="0" xr:uid="{00000000-0006-0000-0000-0000D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0" authorId="0" shapeId="0" xr:uid="{00000000-0006-0000-0000-0000D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1" authorId="0" shapeId="0" xr:uid="{00000000-0006-0000-0000-0000D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2" authorId="0" shapeId="0" xr:uid="{00000000-0006-0000-0000-0000D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3" authorId="0" shapeId="0" xr:uid="{00000000-0006-0000-0000-0000D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4" authorId="0" shapeId="0" xr:uid="{00000000-0006-0000-0000-0000D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5" authorId="0" shapeId="0" xr:uid="{00000000-0006-0000-0000-0000D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6" authorId="0" shapeId="0" xr:uid="{00000000-0006-0000-0000-0000E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7" authorId="0" shapeId="0" xr:uid="{00000000-0006-0000-0000-0000E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8" authorId="0" shapeId="0" xr:uid="{00000000-0006-0000-0000-0000E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49" authorId="0" shapeId="0" xr:uid="{00000000-0006-0000-0000-0000E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0" authorId="0" shapeId="0" xr:uid="{00000000-0006-0000-0000-0000E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1" authorId="0" shapeId="0" xr:uid="{00000000-0006-0000-0000-0000E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2" authorId="0" shapeId="0" xr:uid="{00000000-0006-0000-0000-0000E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3" authorId="0" shapeId="0" xr:uid="{00000000-0006-0000-0000-0000E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4" authorId="0" shapeId="0" xr:uid="{00000000-0006-0000-0000-0000E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5" authorId="0" shapeId="0" xr:uid="{00000000-0006-0000-0000-0000E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6" authorId="0" shapeId="0" xr:uid="{00000000-0006-0000-0000-0000E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7" authorId="0" shapeId="0" xr:uid="{00000000-0006-0000-0000-0000E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8" authorId="0" shapeId="0" xr:uid="{00000000-0006-0000-0000-0000E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59" authorId="0" shapeId="0" xr:uid="{00000000-0006-0000-0000-0000E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0" authorId="0" shapeId="0" xr:uid="{00000000-0006-0000-0000-0000E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1" authorId="0" shapeId="0" xr:uid="{00000000-0006-0000-0000-0000E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2" authorId="0" shapeId="0" xr:uid="{00000000-0006-0000-0000-0000F0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3" authorId="0" shapeId="0" xr:uid="{00000000-0006-0000-0000-0000F1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4" authorId="0" shapeId="0" xr:uid="{00000000-0006-0000-0000-0000F2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5" authorId="0" shapeId="0" xr:uid="{00000000-0006-0000-0000-0000F3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6" authorId="0" shapeId="0" xr:uid="{00000000-0006-0000-0000-0000F4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7" authorId="0" shapeId="0" xr:uid="{00000000-0006-0000-0000-0000F5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8" authorId="0" shapeId="0" xr:uid="{00000000-0006-0000-0000-0000F6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69" authorId="0" shapeId="0" xr:uid="{00000000-0006-0000-0000-0000F7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0" authorId="0" shapeId="0" xr:uid="{00000000-0006-0000-0000-0000F8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1" authorId="0" shapeId="0" xr:uid="{00000000-0006-0000-0000-0000F9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2" authorId="0" shapeId="0" xr:uid="{00000000-0006-0000-0000-0000FA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3" authorId="0" shapeId="0" xr:uid="{00000000-0006-0000-0000-0000FB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4" authorId="0" shapeId="0" xr:uid="{00000000-0006-0000-0000-0000FC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5" authorId="0" shapeId="0" xr:uid="{00000000-0006-0000-0000-0000FD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6" authorId="0" shapeId="0" xr:uid="{00000000-0006-0000-0000-0000FE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7" authorId="0" shapeId="0" xr:uid="{00000000-0006-0000-0000-0000FF02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8" authorId="0" shapeId="0" xr:uid="{00000000-0006-0000-0000-00000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79" authorId="0" shapeId="0" xr:uid="{00000000-0006-0000-0000-00000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0" authorId="0" shapeId="0" xr:uid="{00000000-0006-0000-0000-00000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1" authorId="0" shapeId="0" xr:uid="{00000000-0006-0000-0000-00000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2" authorId="0" shapeId="0" xr:uid="{00000000-0006-0000-0000-00000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3" authorId="0" shapeId="0" xr:uid="{00000000-0006-0000-0000-00000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4" authorId="0" shapeId="0" xr:uid="{00000000-0006-0000-0000-00000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5" authorId="0" shapeId="0" xr:uid="{00000000-0006-0000-0000-00000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6" authorId="0" shapeId="0" xr:uid="{00000000-0006-0000-0000-00000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7" authorId="0" shapeId="0" xr:uid="{00000000-0006-0000-0000-00000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8" authorId="0" shapeId="0" xr:uid="{00000000-0006-0000-0000-00000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89" authorId="0" shapeId="0" xr:uid="{00000000-0006-0000-0000-00000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0" authorId="0" shapeId="0" xr:uid="{00000000-0006-0000-0000-00000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1" authorId="0" shapeId="0" xr:uid="{00000000-0006-0000-0000-00000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2" authorId="0" shapeId="0" xr:uid="{00000000-0006-0000-0000-00000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3" authorId="0" shapeId="0" xr:uid="{00000000-0006-0000-0000-00000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4" authorId="0" shapeId="0" xr:uid="{00000000-0006-0000-0000-00001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5" authorId="0" shapeId="0" xr:uid="{00000000-0006-0000-0000-00001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6" authorId="0" shapeId="0" xr:uid="{00000000-0006-0000-0000-00001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7" authorId="0" shapeId="0" xr:uid="{00000000-0006-0000-0000-00001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8" authorId="0" shapeId="0" xr:uid="{00000000-0006-0000-0000-00001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799" authorId="0" shapeId="0" xr:uid="{00000000-0006-0000-0000-00001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0" authorId="0" shapeId="0" xr:uid="{00000000-0006-0000-0000-00001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1" authorId="0" shapeId="0" xr:uid="{00000000-0006-0000-0000-00001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2" authorId="0" shapeId="0" xr:uid="{00000000-0006-0000-0000-00001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3" authorId="0" shapeId="0" xr:uid="{00000000-0006-0000-0000-00001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4" authorId="0" shapeId="0" xr:uid="{00000000-0006-0000-0000-00001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5" authorId="0" shapeId="0" xr:uid="{00000000-0006-0000-0000-00001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6" authorId="0" shapeId="0" xr:uid="{00000000-0006-0000-0000-00001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7" authorId="0" shapeId="0" xr:uid="{00000000-0006-0000-0000-00001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8" authorId="0" shapeId="0" xr:uid="{00000000-0006-0000-0000-00001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09" authorId="0" shapeId="0" xr:uid="{00000000-0006-0000-0000-00001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0" authorId="0" shapeId="0" xr:uid="{00000000-0006-0000-0000-00002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1" authorId="0" shapeId="0" xr:uid="{00000000-0006-0000-0000-00002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2" authorId="0" shapeId="0" xr:uid="{00000000-0006-0000-0000-00002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3" authorId="0" shapeId="0" xr:uid="{00000000-0006-0000-0000-00002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4" authorId="0" shapeId="0" xr:uid="{00000000-0006-0000-0000-00002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5" authorId="0" shapeId="0" xr:uid="{00000000-0006-0000-0000-00002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6" authorId="0" shapeId="0" xr:uid="{00000000-0006-0000-0000-00002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7" authorId="0" shapeId="0" xr:uid="{00000000-0006-0000-0000-00002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8" authorId="0" shapeId="0" xr:uid="{00000000-0006-0000-0000-00002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19" authorId="0" shapeId="0" xr:uid="{00000000-0006-0000-0000-00002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0" authorId="0" shapeId="0" xr:uid="{00000000-0006-0000-0000-00002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1" authorId="0" shapeId="0" xr:uid="{00000000-0006-0000-0000-00002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2" authorId="0" shapeId="0" xr:uid="{00000000-0006-0000-0000-00002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3" authorId="0" shapeId="0" xr:uid="{00000000-0006-0000-0000-00002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4" authorId="0" shapeId="0" xr:uid="{00000000-0006-0000-0000-00002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5" authorId="0" shapeId="0" xr:uid="{00000000-0006-0000-0000-00002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6" authorId="0" shapeId="0" xr:uid="{00000000-0006-0000-0000-00003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7" authorId="0" shapeId="0" xr:uid="{00000000-0006-0000-0000-00003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8" authorId="0" shapeId="0" xr:uid="{00000000-0006-0000-0000-00003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29" authorId="0" shapeId="0" xr:uid="{00000000-0006-0000-0000-00003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0" authorId="0" shapeId="0" xr:uid="{00000000-0006-0000-0000-00003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1" authorId="0" shapeId="0" xr:uid="{00000000-0006-0000-0000-00003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2" authorId="0" shapeId="0" xr:uid="{00000000-0006-0000-0000-00003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3" authorId="0" shapeId="0" xr:uid="{00000000-0006-0000-0000-00003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4" authorId="0" shapeId="0" xr:uid="{00000000-0006-0000-0000-00003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5" authorId="0" shapeId="0" xr:uid="{00000000-0006-0000-0000-00003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6" authorId="0" shapeId="0" xr:uid="{00000000-0006-0000-0000-00003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7" authorId="0" shapeId="0" xr:uid="{00000000-0006-0000-0000-00003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8" authorId="0" shapeId="0" xr:uid="{00000000-0006-0000-0000-00003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39" authorId="0" shapeId="0" xr:uid="{00000000-0006-0000-0000-00003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0" authorId="0" shapeId="0" xr:uid="{00000000-0006-0000-0000-00003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1" authorId="0" shapeId="0" xr:uid="{00000000-0006-0000-0000-00003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2" authorId="0" shapeId="0" xr:uid="{00000000-0006-0000-0000-00004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3" authorId="0" shapeId="0" xr:uid="{00000000-0006-0000-0000-00004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4" authorId="0" shapeId="0" xr:uid="{00000000-0006-0000-0000-00004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5" authorId="0" shapeId="0" xr:uid="{00000000-0006-0000-0000-00004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6" authorId="0" shapeId="0" xr:uid="{00000000-0006-0000-0000-00004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7" authorId="0" shapeId="0" xr:uid="{00000000-0006-0000-0000-00004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8" authorId="0" shapeId="0" xr:uid="{00000000-0006-0000-0000-00004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49" authorId="0" shapeId="0" xr:uid="{00000000-0006-0000-0000-00004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0" authorId="0" shapeId="0" xr:uid="{00000000-0006-0000-0000-00004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1" authorId="0" shapeId="0" xr:uid="{00000000-0006-0000-0000-00004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2" authorId="0" shapeId="0" xr:uid="{00000000-0006-0000-0000-00004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3" authorId="0" shapeId="0" xr:uid="{00000000-0006-0000-0000-00004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4" authorId="0" shapeId="0" xr:uid="{00000000-0006-0000-0000-00004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5" authorId="0" shapeId="0" xr:uid="{00000000-0006-0000-0000-00004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6" authorId="0" shapeId="0" xr:uid="{00000000-0006-0000-0000-00004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7" authorId="0" shapeId="0" xr:uid="{00000000-0006-0000-0000-00004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8" authorId="0" shapeId="0" xr:uid="{00000000-0006-0000-0000-00005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59" authorId="0" shapeId="0" xr:uid="{00000000-0006-0000-0000-00005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0" authorId="0" shapeId="0" xr:uid="{00000000-0006-0000-0000-00005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1" authorId="0" shapeId="0" xr:uid="{00000000-0006-0000-0000-00005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2" authorId="0" shapeId="0" xr:uid="{00000000-0006-0000-0000-00005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3" authorId="0" shapeId="0" xr:uid="{00000000-0006-0000-0000-00005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4" authorId="0" shapeId="0" xr:uid="{00000000-0006-0000-0000-00005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5" authorId="0" shapeId="0" xr:uid="{00000000-0006-0000-0000-00005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6" authorId="0" shapeId="0" xr:uid="{00000000-0006-0000-0000-00005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7" authorId="0" shapeId="0" xr:uid="{00000000-0006-0000-0000-00005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8" authorId="0" shapeId="0" xr:uid="{00000000-0006-0000-0000-00005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69" authorId="0" shapeId="0" xr:uid="{00000000-0006-0000-0000-00005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0" authorId="0" shapeId="0" xr:uid="{00000000-0006-0000-0000-00005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1" authorId="0" shapeId="0" xr:uid="{00000000-0006-0000-0000-00005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2" authorId="0" shapeId="0" xr:uid="{00000000-0006-0000-0000-00005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3" authorId="0" shapeId="0" xr:uid="{00000000-0006-0000-0000-00005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4" authorId="0" shapeId="0" xr:uid="{00000000-0006-0000-0000-00006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5" authorId="0" shapeId="0" xr:uid="{00000000-0006-0000-0000-00006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6" authorId="0" shapeId="0" xr:uid="{00000000-0006-0000-0000-00006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7" authorId="0" shapeId="0" xr:uid="{00000000-0006-0000-0000-00006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8" authorId="0" shapeId="0" xr:uid="{00000000-0006-0000-0000-00006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79" authorId="0" shapeId="0" xr:uid="{00000000-0006-0000-0000-00006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0" authorId="0" shapeId="0" xr:uid="{00000000-0006-0000-0000-00006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1" authorId="0" shapeId="0" xr:uid="{00000000-0006-0000-0000-00006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2" authorId="0" shapeId="0" xr:uid="{00000000-0006-0000-0000-00006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3" authorId="0" shapeId="0" xr:uid="{00000000-0006-0000-0000-00006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4" authorId="0" shapeId="0" xr:uid="{00000000-0006-0000-0000-00006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5" authorId="0" shapeId="0" xr:uid="{00000000-0006-0000-0000-00006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6" authorId="0" shapeId="0" xr:uid="{00000000-0006-0000-0000-00006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7" authorId="0" shapeId="0" xr:uid="{00000000-0006-0000-0000-00006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8" authorId="0" shapeId="0" xr:uid="{00000000-0006-0000-0000-00006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89" authorId="0" shapeId="0" xr:uid="{00000000-0006-0000-0000-00006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0" authorId="0" shapeId="0" xr:uid="{00000000-0006-0000-0000-00007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1" authorId="0" shapeId="0" xr:uid="{00000000-0006-0000-0000-00007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2" authorId="0" shapeId="0" xr:uid="{00000000-0006-0000-0000-00007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3" authorId="0" shapeId="0" xr:uid="{00000000-0006-0000-0000-00007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4" authorId="0" shapeId="0" xr:uid="{00000000-0006-0000-0000-00007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5" authorId="0" shapeId="0" xr:uid="{00000000-0006-0000-0000-00007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6" authorId="0" shapeId="0" xr:uid="{00000000-0006-0000-0000-00007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7" authorId="0" shapeId="0" xr:uid="{00000000-0006-0000-0000-00007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8" authorId="0" shapeId="0" xr:uid="{00000000-0006-0000-0000-00007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899" authorId="0" shapeId="0" xr:uid="{00000000-0006-0000-0000-00007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0" authorId="0" shapeId="0" xr:uid="{00000000-0006-0000-0000-00007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1" authorId="0" shapeId="0" xr:uid="{00000000-0006-0000-0000-00007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2" authorId="0" shapeId="0" xr:uid="{00000000-0006-0000-0000-00007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3" authorId="0" shapeId="0" xr:uid="{00000000-0006-0000-0000-00007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4" authorId="0" shapeId="0" xr:uid="{00000000-0006-0000-0000-00007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5" authorId="0" shapeId="0" xr:uid="{00000000-0006-0000-0000-00007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6" authorId="0" shapeId="0" xr:uid="{00000000-0006-0000-0000-00008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7" authorId="0" shapeId="0" xr:uid="{00000000-0006-0000-0000-00008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8" authorId="0" shapeId="0" xr:uid="{00000000-0006-0000-0000-00008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09" authorId="0" shapeId="0" xr:uid="{00000000-0006-0000-0000-00008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0" authorId="0" shapeId="0" xr:uid="{00000000-0006-0000-0000-00008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1" authorId="0" shapeId="0" xr:uid="{00000000-0006-0000-0000-00008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2" authorId="0" shapeId="0" xr:uid="{00000000-0006-0000-0000-00008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3" authorId="0" shapeId="0" xr:uid="{00000000-0006-0000-0000-00008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4" authorId="0" shapeId="0" xr:uid="{00000000-0006-0000-0000-00008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5" authorId="0" shapeId="0" xr:uid="{00000000-0006-0000-0000-00008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6" authorId="0" shapeId="0" xr:uid="{00000000-0006-0000-0000-00008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7" authorId="0" shapeId="0" xr:uid="{00000000-0006-0000-0000-00008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8" authorId="0" shapeId="0" xr:uid="{00000000-0006-0000-0000-00008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19" authorId="0" shapeId="0" xr:uid="{00000000-0006-0000-0000-00008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0" authorId="0" shapeId="0" xr:uid="{00000000-0006-0000-0000-00008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1" authorId="0" shapeId="0" xr:uid="{00000000-0006-0000-0000-00008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2" authorId="0" shapeId="0" xr:uid="{00000000-0006-0000-0000-00009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3" authorId="0" shapeId="0" xr:uid="{00000000-0006-0000-0000-00009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4" authorId="0" shapeId="0" xr:uid="{00000000-0006-0000-0000-00009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5" authorId="0" shapeId="0" xr:uid="{00000000-0006-0000-0000-00009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6" authorId="0" shapeId="0" xr:uid="{00000000-0006-0000-0000-00009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7" authorId="0" shapeId="0" xr:uid="{00000000-0006-0000-0000-00009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8" authorId="0" shapeId="0" xr:uid="{00000000-0006-0000-0000-00009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29" authorId="0" shapeId="0" xr:uid="{00000000-0006-0000-0000-00009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0" authorId="0" shapeId="0" xr:uid="{00000000-0006-0000-0000-00009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1" authorId="0" shapeId="0" xr:uid="{00000000-0006-0000-0000-00009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2" authorId="0" shapeId="0" xr:uid="{00000000-0006-0000-0000-00009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3" authorId="0" shapeId="0" xr:uid="{00000000-0006-0000-0000-00009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4" authorId="0" shapeId="0" xr:uid="{00000000-0006-0000-0000-00009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5" authorId="0" shapeId="0" xr:uid="{00000000-0006-0000-0000-00009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6" authorId="0" shapeId="0" xr:uid="{00000000-0006-0000-0000-00009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7" authorId="0" shapeId="0" xr:uid="{00000000-0006-0000-0000-00009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8" authorId="0" shapeId="0" xr:uid="{00000000-0006-0000-0000-0000A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39" authorId="0" shapeId="0" xr:uid="{00000000-0006-0000-0000-0000A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0" authorId="0" shapeId="0" xr:uid="{00000000-0006-0000-0000-0000A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1" authorId="0" shapeId="0" xr:uid="{00000000-0006-0000-0000-0000A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2" authorId="0" shapeId="0" xr:uid="{00000000-0006-0000-0000-0000A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3" authorId="0" shapeId="0" xr:uid="{00000000-0006-0000-0000-0000A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4" authorId="0" shapeId="0" xr:uid="{00000000-0006-0000-0000-0000A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5" authorId="0" shapeId="0" xr:uid="{00000000-0006-0000-0000-0000A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6" authorId="0" shapeId="0" xr:uid="{00000000-0006-0000-0000-0000A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7" authorId="0" shapeId="0" xr:uid="{00000000-0006-0000-0000-0000A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8" authorId="0" shapeId="0" xr:uid="{00000000-0006-0000-0000-0000A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49" authorId="0" shapeId="0" xr:uid="{00000000-0006-0000-0000-0000A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0" authorId="0" shapeId="0" xr:uid="{00000000-0006-0000-0000-0000A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1" authorId="0" shapeId="0" xr:uid="{00000000-0006-0000-0000-0000A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2" authorId="0" shapeId="0" xr:uid="{00000000-0006-0000-0000-0000A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3" authorId="0" shapeId="0" xr:uid="{00000000-0006-0000-0000-0000A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4" authorId="0" shapeId="0" xr:uid="{00000000-0006-0000-0000-0000B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5" authorId="0" shapeId="0" xr:uid="{00000000-0006-0000-0000-0000B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6" authorId="0" shapeId="0" xr:uid="{00000000-0006-0000-0000-0000B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7" authorId="0" shapeId="0" xr:uid="{00000000-0006-0000-0000-0000B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8" authorId="0" shapeId="0" xr:uid="{00000000-0006-0000-0000-0000B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59" authorId="0" shapeId="0" xr:uid="{00000000-0006-0000-0000-0000B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0" authorId="0" shapeId="0" xr:uid="{00000000-0006-0000-0000-0000B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1" authorId="0" shapeId="0" xr:uid="{00000000-0006-0000-0000-0000B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2" authorId="0" shapeId="0" xr:uid="{00000000-0006-0000-0000-0000B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3" authorId="0" shapeId="0" xr:uid="{00000000-0006-0000-0000-0000B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4" authorId="0" shapeId="0" xr:uid="{00000000-0006-0000-0000-0000B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5" authorId="0" shapeId="0" xr:uid="{00000000-0006-0000-0000-0000B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6" authorId="0" shapeId="0" xr:uid="{00000000-0006-0000-0000-0000B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7" authorId="0" shapeId="0" xr:uid="{00000000-0006-0000-0000-0000B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8" authorId="0" shapeId="0" xr:uid="{00000000-0006-0000-0000-0000B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69" authorId="0" shapeId="0" xr:uid="{00000000-0006-0000-0000-0000B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0" authorId="0" shapeId="0" xr:uid="{00000000-0006-0000-0000-0000C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1" authorId="0" shapeId="0" xr:uid="{00000000-0006-0000-0000-0000C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2" authorId="0" shapeId="0" xr:uid="{00000000-0006-0000-0000-0000C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3" authorId="0" shapeId="0" xr:uid="{00000000-0006-0000-0000-0000C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4" authorId="0" shapeId="0" xr:uid="{00000000-0006-0000-0000-0000C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5" authorId="0" shapeId="0" xr:uid="{00000000-0006-0000-0000-0000C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6" authorId="0" shapeId="0" xr:uid="{00000000-0006-0000-0000-0000C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7" authorId="0" shapeId="0" xr:uid="{00000000-0006-0000-0000-0000C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8" authorId="0" shapeId="0" xr:uid="{00000000-0006-0000-0000-0000C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79" authorId="0" shapeId="0" xr:uid="{00000000-0006-0000-0000-0000C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0" authorId="0" shapeId="0" xr:uid="{00000000-0006-0000-0000-0000C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1" authorId="0" shapeId="0" xr:uid="{00000000-0006-0000-0000-0000C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2" authorId="0" shapeId="0" xr:uid="{00000000-0006-0000-0000-0000C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3" authorId="0" shapeId="0" xr:uid="{00000000-0006-0000-0000-0000C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4" authorId="0" shapeId="0" xr:uid="{00000000-0006-0000-0000-0000C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5" authorId="0" shapeId="0" xr:uid="{00000000-0006-0000-0000-0000C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6" authorId="0" shapeId="0" xr:uid="{00000000-0006-0000-0000-0000D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7" authorId="0" shapeId="0" xr:uid="{00000000-0006-0000-0000-0000D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8" authorId="0" shapeId="0" xr:uid="{00000000-0006-0000-0000-0000D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89" authorId="0" shapeId="0" xr:uid="{00000000-0006-0000-0000-0000D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0" authorId="0" shapeId="0" xr:uid="{00000000-0006-0000-0000-0000D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1" authorId="0" shapeId="0" xr:uid="{00000000-0006-0000-0000-0000D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2" authorId="0" shapeId="0" xr:uid="{00000000-0006-0000-0000-0000D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3" authorId="0" shapeId="0" xr:uid="{00000000-0006-0000-0000-0000D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4" authorId="0" shapeId="0" xr:uid="{00000000-0006-0000-0000-0000D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5" authorId="0" shapeId="0" xr:uid="{00000000-0006-0000-0000-0000D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6" authorId="0" shapeId="0" xr:uid="{00000000-0006-0000-0000-0000D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7" authorId="0" shapeId="0" xr:uid="{00000000-0006-0000-0000-0000D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8" authorId="0" shapeId="0" xr:uid="{00000000-0006-0000-0000-0000D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999" authorId="0" shapeId="0" xr:uid="{00000000-0006-0000-0000-0000D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0" authorId="0" shapeId="0" xr:uid="{00000000-0006-0000-0000-0000D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1" authorId="0" shapeId="0" xr:uid="{00000000-0006-0000-0000-0000D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2" authorId="0" shapeId="0" xr:uid="{00000000-0006-0000-0000-0000E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3" authorId="0" shapeId="0" xr:uid="{00000000-0006-0000-0000-0000E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4" authorId="0" shapeId="0" xr:uid="{00000000-0006-0000-0000-0000E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5" authorId="0" shapeId="0" xr:uid="{00000000-0006-0000-0000-0000E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6" authorId="0" shapeId="0" xr:uid="{00000000-0006-0000-0000-0000E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7" authorId="0" shapeId="0" xr:uid="{00000000-0006-0000-0000-0000E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8" authorId="0" shapeId="0" xr:uid="{00000000-0006-0000-0000-0000E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09" authorId="0" shapeId="0" xr:uid="{00000000-0006-0000-0000-0000E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0" authorId="0" shapeId="0" xr:uid="{00000000-0006-0000-0000-0000E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1" authorId="0" shapeId="0" xr:uid="{00000000-0006-0000-0000-0000E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2" authorId="0" shapeId="0" xr:uid="{00000000-0006-0000-0000-0000E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3" authorId="0" shapeId="0" xr:uid="{00000000-0006-0000-0000-0000E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4" authorId="0" shapeId="0" xr:uid="{00000000-0006-0000-0000-0000E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5" authorId="0" shapeId="0" xr:uid="{00000000-0006-0000-0000-0000E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6" authorId="0" shapeId="0" xr:uid="{00000000-0006-0000-0000-0000E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7" authorId="0" shapeId="0" xr:uid="{00000000-0006-0000-0000-0000E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8" authorId="0" shapeId="0" xr:uid="{00000000-0006-0000-0000-0000F0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19" authorId="0" shapeId="0" xr:uid="{00000000-0006-0000-0000-0000F1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0" authorId="0" shapeId="0" xr:uid="{00000000-0006-0000-0000-0000F2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1" authorId="0" shapeId="0" xr:uid="{00000000-0006-0000-0000-0000F3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2" authorId="0" shapeId="0" xr:uid="{00000000-0006-0000-0000-0000F4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3" authorId="0" shapeId="0" xr:uid="{00000000-0006-0000-0000-0000F5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4" authorId="0" shapeId="0" xr:uid="{00000000-0006-0000-0000-0000F6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5" authorId="0" shapeId="0" xr:uid="{00000000-0006-0000-0000-0000F7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6" authorId="0" shapeId="0" xr:uid="{00000000-0006-0000-0000-0000F8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7" authorId="0" shapeId="0" xr:uid="{00000000-0006-0000-0000-0000F9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8" authorId="0" shapeId="0" xr:uid="{00000000-0006-0000-0000-0000FA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29" authorId="0" shapeId="0" xr:uid="{00000000-0006-0000-0000-0000FB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0" authorId="0" shapeId="0" xr:uid="{00000000-0006-0000-0000-0000FC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1" authorId="0" shapeId="0" xr:uid="{00000000-0006-0000-0000-0000FD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2" authorId="0" shapeId="0" xr:uid="{00000000-0006-0000-0000-0000FE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3" authorId="0" shapeId="0" xr:uid="{00000000-0006-0000-0000-0000FF03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4" authorId="0" shapeId="0" xr:uid="{00000000-0006-0000-0000-000000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5" authorId="0" shapeId="0" xr:uid="{00000000-0006-0000-0000-000001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6" authorId="0" shapeId="0" xr:uid="{00000000-0006-0000-0000-000002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7" authorId="0" shapeId="0" xr:uid="{00000000-0006-0000-0000-000003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8" authorId="0" shapeId="0" xr:uid="{00000000-0006-0000-0000-000004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39" authorId="0" shapeId="0" xr:uid="{00000000-0006-0000-0000-000005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0" authorId="0" shapeId="0" xr:uid="{00000000-0006-0000-0000-000006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1" authorId="0" shapeId="0" xr:uid="{00000000-0006-0000-0000-000007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2" authorId="0" shapeId="0" xr:uid="{00000000-0006-0000-0000-000008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3" authorId="0" shapeId="0" xr:uid="{00000000-0006-0000-0000-000009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4" authorId="0" shapeId="0" xr:uid="{00000000-0006-0000-0000-00000A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5" authorId="0" shapeId="0" xr:uid="{00000000-0006-0000-0000-00000B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6" authorId="0" shapeId="0" xr:uid="{00000000-0006-0000-0000-00000C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7" authorId="0" shapeId="0" xr:uid="{00000000-0006-0000-0000-00000D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8" authorId="0" shapeId="0" xr:uid="{00000000-0006-0000-0000-00000E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49" authorId="0" shapeId="0" xr:uid="{00000000-0006-0000-0000-00000F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0" authorId="0" shapeId="0" xr:uid="{00000000-0006-0000-0000-000010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1" authorId="0" shapeId="0" xr:uid="{00000000-0006-0000-0000-000011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2" authorId="0" shapeId="0" xr:uid="{00000000-0006-0000-0000-000012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3" authorId="0" shapeId="0" xr:uid="{00000000-0006-0000-0000-000013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4" authorId="0" shapeId="0" xr:uid="{00000000-0006-0000-0000-000014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5" authorId="0" shapeId="0" xr:uid="{00000000-0006-0000-0000-000015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6" authorId="0" shapeId="0" xr:uid="{00000000-0006-0000-0000-000016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7" authorId="0" shapeId="0" xr:uid="{00000000-0006-0000-0000-000017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8" authorId="0" shapeId="0" xr:uid="{00000000-0006-0000-0000-000018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59" authorId="0" shapeId="0" xr:uid="{00000000-0006-0000-0000-000019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0" authorId="0" shapeId="0" xr:uid="{00000000-0006-0000-0000-00001A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1" authorId="0" shapeId="0" xr:uid="{00000000-0006-0000-0000-00001B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2" authorId="0" shapeId="0" xr:uid="{00000000-0006-0000-0000-00001C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3" authorId="0" shapeId="0" xr:uid="{00000000-0006-0000-0000-00001D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4" authorId="0" shapeId="0" xr:uid="{00000000-0006-0000-0000-00001E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5" authorId="0" shapeId="0" xr:uid="{00000000-0006-0000-0000-00001F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6" authorId="0" shapeId="0" xr:uid="{00000000-0006-0000-0000-000020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067" authorId="0" shapeId="0" xr:uid="{00000000-0006-0000-0000-00002104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K1" authorId="0" shapeId="0" xr:uid="{00000000-0006-0000-01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L1" authorId="0" shapeId="0" xr:uid="{00000000-0006-0000-01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M1" authorId="0" shapeId="0" xr:uid="{00000000-0006-0000-01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N1" authorId="0" shapeId="0" xr:uid="{00000000-0006-0000-01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O1" authorId="0" shapeId="0" xr:uid="{00000000-0006-0000-01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P1" authorId="0" shapeId="0" xr:uid="{00000000-0006-0000-01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Q1" authorId="0" shapeId="0" xr:uid="{00000000-0006-0000-01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R1" authorId="0" shapeId="0" xr:uid="{00000000-0006-0000-01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S1" authorId="0" shapeId="0" xr:uid="{00000000-0006-0000-01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T1" authorId="0" shapeId="0" xr:uid="{00000000-0006-0000-01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U1" authorId="0" shapeId="0" xr:uid="{00000000-0006-0000-01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V1" authorId="0" shapeId="0" xr:uid="{00000000-0006-0000-01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W1" authorId="0" shapeId="0" xr:uid="{00000000-0006-0000-01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X1" authorId="0" shapeId="0" xr:uid="{00000000-0006-0000-01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Y1" authorId="0" shapeId="0" xr:uid="{00000000-0006-0000-01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Z1" authorId="0" shapeId="0" xr:uid="{00000000-0006-0000-01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A1" authorId="0" shapeId="0" xr:uid="{00000000-0006-0000-01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B1" authorId="0" shapeId="0" xr:uid="{00000000-0006-0000-01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C1" authorId="0" shapeId="0" xr:uid="{00000000-0006-0000-01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D1" authorId="0" shapeId="0" xr:uid="{00000000-0006-0000-01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E1" authorId="0" shapeId="0" xr:uid="{00000000-0006-0000-01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F1" authorId="0" shapeId="0" xr:uid="{00000000-0006-0000-01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G1" authorId="0" shapeId="0" xr:uid="{00000000-0006-0000-01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H1" authorId="0" shapeId="0" xr:uid="{00000000-0006-0000-01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I1" authorId="0" shapeId="0" xr:uid="{00000000-0006-0000-01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J1" authorId="0" shapeId="0" xr:uid="{00000000-0006-0000-01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K1" authorId="0" shapeId="0" xr:uid="{00000000-0006-0000-01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L1" authorId="0" shapeId="0" xr:uid="{00000000-0006-0000-01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M1" authorId="0" shapeId="0" xr:uid="{00000000-0006-0000-01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N1" authorId="0" shapeId="0" xr:uid="{00000000-0006-0000-01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O1" authorId="0" shapeId="0" xr:uid="{00000000-0006-0000-01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P1" authorId="0" shapeId="0" xr:uid="{00000000-0006-0000-01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Q1" authorId="0" shapeId="0" xr:uid="{00000000-0006-0000-01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R1" authorId="0" shapeId="0" xr:uid="{00000000-0006-0000-01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S1" authorId="0" shapeId="0" xr:uid="{00000000-0006-0000-01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T1" authorId="0" shapeId="0" xr:uid="{00000000-0006-0000-01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U1" authorId="0" shapeId="0" xr:uid="{00000000-0006-0000-01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V1" authorId="0" shapeId="0" xr:uid="{00000000-0006-0000-01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W1" authorId="0" shapeId="0" xr:uid="{00000000-0006-0000-01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X1" authorId="0" shapeId="0" xr:uid="{00000000-0006-0000-01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Y1" authorId="0" shapeId="0" xr:uid="{00000000-0006-0000-01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Z1" authorId="0" shapeId="0" xr:uid="{00000000-0006-0000-01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A1" authorId="0" shapeId="0" xr:uid="{00000000-0006-0000-01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B1" authorId="0" shapeId="0" xr:uid="{00000000-0006-0000-01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C1" authorId="0" shapeId="0" xr:uid="{00000000-0006-0000-01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D1" authorId="0" shapeId="0" xr:uid="{00000000-0006-0000-01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E1" authorId="0" shapeId="0" xr:uid="{00000000-0006-0000-01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F1" authorId="0" shapeId="0" xr:uid="{00000000-0006-0000-0100-00003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G1" authorId="0" shapeId="0" xr:uid="{00000000-0006-0000-0100-00003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H1" authorId="0" shapeId="0" xr:uid="{00000000-0006-0000-0100-00003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I1" authorId="0" shapeId="0" xr:uid="{00000000-0006-0000-0100-00003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J1" authorId="0" shapeId="0" xr:uid="{00000000-0006-0000-0100-00003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K1" authorId="0" shapeId="0" xr:uid="{00000000-0006-0000-0100-00003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L1" authorId="0" shapeId="0" xr:uid="{00000000-0006-0000-0100-00003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M1" authorId="0" shapeId="0" xr:uid="{00000000-0006-0000-0100-00004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N1" authorId="0" shapeId="0" xr:uid="{00000000-0006-0000-0100-00004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O1" authorId="0" shapeId="0" xr:uid="{00000000-0006-0000-0100-00004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P1" authorId="0" shapeId="0" xr:uid="{00000000-0006-0000-0100-00004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Q1" authorId="0" shapeId="0" xr:uid="{00000000-0006-0000-0100-00004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R1" authorId="0" shapeId="0" xr:uid="{00000000-0006-0000-0100-00004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S1" authorId="0" shapeId="0" xr:uid="{00000000-0006-0000-0100-00004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T1" authorId="0" shapeId="0" xr:uid="{00000000-0006-0000-0100-00004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U1" authorId="0" shapeId="0" xr:uid="{00000000-0006-0000-0100-00004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V1" authorId="0" shapeId="0" xr:uid="{00000000-0006-0000-0100-00004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W1" authorId="0" shapeId="0" xr:uid="{00000000-0006-0000-0100-00004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X1" authorId="0" shapeId="0" xr:uid="{00000000-0006-0000-0100-00004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Y1" authorId="0" shapeId="0" xr:uid="{00000000-0006-0000-0100-00004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Z1" authorId="0" shapeId="0" xr:uid="{00000000-0006-0000-0100-00004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A1" authorId="0" shapeId="0" xr:uid="{00000000-0006-0000-0100-00004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B1" authorId="0" shapeId="0" xr:uid="{00000000-0006-0000-0100-00004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C1" authorId="0" shapeId="0" xr:uid="{00000000-0006-0000-0100-00005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D1" authorId="0" shapeId="0" xr:uid="{00000000-0006-0000-0100-00005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E1" authorId="0" shapeId="0" xr:uid="{00000000-0006-0000-0100-00005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F1" authorId="0" shapeId="0" xr:uid="{00000000-0006-0000-0100-00005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G1" authorId="0" shapeId="0" xr:uid="{00000000-0006-0000-0100-00005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H1" authorId="0" shapeId="0" xr:uid="{00000000-0006-0000-0100-00005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I1" authorId="0" shapeId="0" xr:uid="{00000000-0006-0000-0100-00005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J1" authorId="0" shapeId="0" xr:uid="{00000000-0006-0000-0100-00005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K1" authorId="0" shapeId="0" xr:uid="{00000000-0006-0000-0100-00005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L1" authorId="0" shapeId="0" xr:uid="{00000000-0006-0000-0100-00005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M1" authorId="0" shapeId="0" xr:uid="{00000000-0006-0000-0100-00005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N1" authorId="0" shapeId="0" xr:uid="{00000000-0006-0000-0100-00005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O1" authorId="0" shapeId="0" xr:uid="{00000000-0006-0000-0100-00005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P1" authorId="0" shapeId="0" xr:uid="{00000000-0006-0000-0100-00005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Q1" authorId="0" shapeId="0" xr:uid="{00000000-0006-0000-0100-00005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R1" authorId="0" shapeId="0" xr:uid="{00000000-0006-0000-0100-00005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S1" authorId="0" shapeId="0" xr:uid="{00000000-0006-0000-0100-00006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T1" authorId="0" shapeId="0" xr:uid="{00000000-0006-0000-0100-00006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U1" authorId="0" shapeId="0" xr:uid="{00000000-0006-0000-0100-00006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V1" authorId="0" shapeId="0" xr:uid="{00000000-0006-0000-0100-00006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W1" authorId="0" shapeId="0" xr:uid="{00000000-0006-0000-0100-00006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X1" authorId="0" shapeId="0" xr:uid="{00000000-0006-0000-0100-00006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Y1" authorId="0" shapeId="0" xr:uid="{00000000-0006-0000-0100-00006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Z1" authorId="0" shapeId="0" xr:uid="{00000000-0006-0000-0100-00006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A1" authorId="0" shapeId="0" xr:uid="{00000000-0006-0000-0100-00006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B1" authorId="0" shapeId="0" xr:uid="{00000000-0006-0000-0100-00006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C1" authorId="0" shapeId="0" xr:uid="{00000000-0006-0000-0100-00006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D1" authorId="0" shapeId="0" xr:uid="{00000000-0006-0000-0100-00006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E1" authorId="0" shapeId="0" xr:uid="{00000000-0006-0000-0100-00006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F1" authorId="0" shapeId="0" xr:uid="{00000000-0006-0000-0100-00006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G1" authorId="0" shapeId="0" xr:uid="{00000000-0006-0000-0100-00006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H1" authorId="0" shapeId="0" xr:uid="{00000000-0006-0000-0100-00006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I1" authorId="0" shapeId="0" xr:uid="{00000000-0006-0000-0100-00007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J1" authorId="0" shapeId="0" xr:uid="{00000000-0006-0000-0100-00007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K1" authorId="0" shapeId="0" xr:uid="{00000000-0006-0000-0100-00007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L1" authorId="0" shapeId="0" xr:uid="{00000000-0006-0000-0100-00007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M1" authorId="0" shapeId="0" xr:uid="{00000000-0006-0000-0100-00007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N1" authorId="0" shapeId="0" xr:uid="{00000000-0006-0000-0100-00007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O1" authorId="0" shapeId="0" xr:uid="{00000000-0006-0000-0100-00007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P1" authorId="0" shapeId="0" xr:uid="{00000000-0006-0000-0100-00007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Q1" authorId="0" shapeId="0" xr:uid="{00000000-0006-0000-0100-00007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R1" authorId="0" shapeId="0" xr:uid="{00000000-0006-0000-0100-00007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S1" authorId="0" shapeId="0" xr:uid="{00000000-0006-0000-0100-00007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T1" authorId="0" shapeId="0" xr:uid="{00000000-0006-0000-0100-00007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U1" authorId="0" shapeId="0" xr:uid="{00000000-0006-0000-0100-00007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V1" authorId="0" shapeId="0" xr:uid="{00000000-0006-0000-0100-00007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W1" authorId="0" shapeId="0" xr:uid="{00000000-0006-0000-0100-00007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X1" authorId="0" shapeId="0" xr:uid="{00000000-0006-0000-0100-00007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Y1" authorId="0" shapeId="0" xr:uid="{00000000-0006-0000-0100-00008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Z1" authorId="0" shapeId="0" xr:uid="{00000000-0006-0000-0100-00008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A1" authorId="0" shapeId="0" xr:uid="{00000000-0006-0000-0100-00008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B1" authorId="0" shapeId="0" xr:uid="{00000000-0006-0000-0100-00008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C1" authorId="0" shapeId="0" xr:uid="{00000000-0006-0000-0100-00008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D1" authorId="0" shapeId="0" xr:uid="{00000000-0006-0000-0100-00008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E1" authorId="0" shapeId="0" xr:uid="{00000000-0006-0000-0100-00008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F1" authorId="0" shapeId="0" xr:uid="{00000000-0006-0000-0100-00008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G1" authorId="0" shapeId="0" xr:uid="{00000000-0006-0000-0100-00008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H1" authorId="0" shapeId="0" xr:uid="{00000000-0006-0000-0100-00008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I1" authorId="0" shapeId="0" xr:uid="{00000000-0006-0000-0100-00008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J1" authorId="0" shapeId="0" xr:uid="{00000000-0006-0000-0100-00008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K1" authorId="0" shapeId="0" xr:uid="{00000000-0006-0000-0100-00008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L1" authorId="0" shapeId="0" xr:uid="{00000000-0006-0000-0100-00008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M1" authorId="0" shapeId="0" xr:uid="{00000000-0006-0000-0100-00008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N1" authorId="0" shapeId="0" xr:uid="{00000000-0006-0000-0100-00008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O1" authorId="0" shapeId="0" xr:uid="{00000000-0006-0000-0100-00009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P1" authorId="0" shapeId="0" xr:uid="{00000000-0006-0000-0100-00009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Q1" authorId="0" shapeId="0" xr:uid="{00000000-0006-0000-0100-00009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R1" authorId="0" shapeId="0" xr:uid="{00000000-0006-0000-0100-00009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S1" authorId="0" shapeId="0" xr:uid="{00000000-0006-0000-0100-00009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T1" authorId="0" shapeId="0" xr:uid="{00000000-0006-0000-0100-00009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U1" authorId="0" shapeId="0" xr:uid="{00000000-0006-0000-0100-00009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V1" authorId="0" shapeId="0" xr:uid="{00000000-0006-0000-0100-00009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W1" authorId="0" shapeId="0" xr:uid="{00000000-0006-0000-0100-00009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X1" authorId="0" shapeId="0" xr:uid="{00000000-0006-0000-0100-00009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Y1" authorId="0" shapeId="0" xr:uid="{00000000-0006-0000-0100-00009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Z1" authorId="0" shapeId="0" xr:uid="{00000000-0006-0000-0100-00009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A1" authorId="0" shapeId="0" xr:uid="{00000000-0006-0000-0100-00009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B1" authorId="0" shapeId="0" xr:uid="{00000000-0006-0000-0100-00009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C1" authorId="0" shapeId="0" xr:uid="{00000000-0006-0000-0100-00009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D1" authorId="0" shapeId="0" xr:uid="{00000000-0006-0000-0100-00009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E1" authorId="0" shapeId="0" xr:uid="{00000000-0006-0000-0100-0000A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F1" authorId="0" shapeId="0" xr:uid="{00000000-0006-0000-0100-0000A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G1" authorId="0" shapeId="0" xr:uid="{00000000-0006-0000-0100-0000A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H1" authorId="0" shapeId="0" xr:uid="{00000000-0006-0000-0100-0000A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I1" authorId="0" shapeId="0" xr:uid="{00000000-0006-0000-0100-0000A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J1" authorId="0" shapeId="0" xr:uid="{00000000-0006-0000-0100-0000A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K1" authorId="0" shapeId="0" xr:uid="{00000000-0006-0000-0100-0000A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L1" authorId="0" shapeId="0" xr:uid="{00000000-0006-0000-0100-0000A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M1" authorId="0" shapeId="0" xr:uid="{00000000-0006-0000-0100-0000A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N1" authorId="0" shapeId="0" xr:uid="{00000000-0006-0000-0100-0000A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O1" authorId="0" shapeId="0" xr:uid="{00000000-0006-0000-0100-0000A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P1" authorId="0" shapeId="0" xr:uid="{00000000-0006-0000-0100-0000A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Q1" authorId="0" shapeId="0" xr:uid="{00000000-0006-0000-0100-0000A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R1" authorId="0" shapeId="0" xr:uid="{00000000-0006-0000-0100-0000A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S1" authorId="0" shapeId="0" xr:uid="{00000000-0006-0000-0100-0000A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T1" authorId="0" shapeId="0" xr:uid="{00000000-0006-0000-0100-0000A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U1" authorId="0" shapeId="0" xr:uid="{00000000-0006-0000-0100-0000B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V1" authorId="0" shapeId="0" xr:uid="{00000000-0006-0000-0100-0000B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W1" authorId="0" shapeId="0" xr:uid="{00000000-0006-0000-0100-0000B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X1" authorId="0" shapeId="0" xr:uid="{00000000-0006-0000-0100-0000B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Y1" authorId="0" shapeId="0" xr:uid="{00000000-0006-0000-0100-0000B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Z1" authorId="0" shapeId="0" xr:uid="{00000000-0006-0000-0100-0000B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A1" authorId="0" shapeId="0" xr:uid="{00000000-0006-0000-0100-0000B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B1" authorId="0" shapeId="0" xr:uid="{00000000-0006-0000-0100-0000B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C1" authorId="0" shapeId="0" xr:uid="{00000000-0006-0000-0100-0000B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D1" authorId="0" shapeId="0" xr:uid="{00000000-0006-0000-0100-0000B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E1" authorId="0" shapeId="0" xr:uid="{00000000-0006-0000-0100-0000B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F1" authorId="0" shapeId="0" xr:uid="{00000000-0006-0000-0100-0000B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G1" authorId="0" shapeId="0" xr:uid="{00000000-0006-0000-0100-0000B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H1" authorId="0" shapeId="0" xr:uid="{00000000-0006-0000-0100-0000B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I1" authorId="0" shapeId="0" xr:uid="{00000000-0006-0000-0100-0000B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J1" authorId="0" shapeId="0" xr:uid="{00000000-0006-0000-0100-0000B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K1" authorId="0" shapeId="0" xr:uid="{00000000-0006-0000-0100-0000C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L1" authorId="0" shapeId="0" xr:uid="{00000000-0006-0000-0100-0000C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M1" authorId="0" shapeId="0" xr:uid="{00000000-0006-0000-0100-0000C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N1" authorId="0" shapeId="0" xr:uid="{00000000-0006-0000-0100-0000C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O1" authorId="0" shapeId="0" xr:uid="{00000000-0006-0000-0100-0000C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P1" authorId="0" shapeId="0" xr:uid="{00000000-0006-0000-0100-0000C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Q1" authorId="0" shapeId="0" xr:uid="{00000000-0006-0000-0100-0000C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R1" authorId="0" shapeId="0" xr:uid="{00000000-0006-0000-0100-0000C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S1" authorId="0" shapeId="0" xr:uid="{00000000-0006-0000-0100-0000C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T1" authorId="0" shapeId="0" xr:uid="{00000000-0006-0000-0100-0000C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U1" authorId="0" shapeId="0" xr:uid="{00000000-0006-0000-0100-0000C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V1" authorId="0" shapeId="0" xr:uid="{00000000-0006-0000-0100-0000C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W1" authorId="0" shapeId="0" xr:uid="{00000000-0006-0000-0100-0000C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X1" authorId="0" shapeId="0" xr:uid="{00000000-0006-0000-0100-0000C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Y1" authorId="0" shapeId="0" xr:uid="{00000000-0006-0000-0100-0000C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Z1" authorId="0" shapeId="0" xr:uid="{00000000-0006-0000-0100-0000C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A1" authorId="0" shapeId="0" xr:uid="{00000000-0006-0000-0100-0000D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B1" authorId="0" shapeId="0" xr:uid="{00000000-0006-0000-0100-0000D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C1" authorId="0" shapeId="0" xr:uid="{00000000-0006-0000-0100-0000D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D1" authorId="0" shapeId="0" xr:uid="{00000000-0006-0000-0100-0000D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E1" authorId="0" shapeId="0" xr:uid="{00000000-0006-0000-0100-0000D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F1" authorId="0" shapeId="0" xr:uid="{00000000-0006-0000-0100-0000D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G1" authorId="0" shapeId="0" xr:uid="{00000000-0006-0000-0100-0000D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H1" authorId="0" shapeId="0" xr:uid="{00000000-0006-0000-0100-0000D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I1" authorId="0" shapeId="0" xr:uid="{00000000-0006-0000-0100-0000D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J1" authorId="0" shapeId="0" xr:uid="{00000000-0006-0000-0100-0000D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K1" authorId="0" shapeId="0" xr:uid="{00000000-0006-0000-0100-0000D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L1" authorId="0" shapeId="0" xr:uid="{00000000-0006-0000-0100-0000D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M1" authorId="0" shapeId="0" xr:uid="{00000000-0006-0000-0100-0000D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N1" authorId="0" shapeId="0" xr:uid="{00000000-0006-0000-0100-0000D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O1" authorId="0" shapeId="0" xr:uid="{00000000-0006-0000-0100-0000D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P1" authorId="0" shapeId="0" xr:uid="{00000000-0006-0000-0100-0000D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Q1" authorId="0" shapeId="0" xr:uid="{00000000-0006-0000-0100-0000E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R1" authorId="0" shapeId="0" xr:uid="{00000000-0006-0000-0100-0000E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S1" authorId="0" shapeId="0" xr:uid="{00000000-0006-0000-0100-0000E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T1" authorId="0" shapeId="0" xr:uid="{00000000-0006-0000-0100-0000E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U1" authorId="0" shapeId="0" xr:uid="{00000000-0006-0000-0100-0000E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V1" authorId="0" shapeId="0" xr:uid="{00000000-0006-0000-0100-0000E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W1" authorId="0" shapeId="0" xr:uid="{00000000-0006-0000-0100-0000E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X1" authorId="0" shapeId="0" xr:uid="{00000000-0006-0000-0100-0000E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Y1" authorId="0" shapeId="0" xr:uid="{00000000-0006-0000-0100-0000E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Z1" authorId="0" shapeId="0" xr:uid="{00000000-0006-0000-0100-0000E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A1" authorId="0" shapeId="0" xr:uid="{00000000-0006-0000-0100-0000E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B1" authorId="0" shapeId="0" xr:uid="{00000000-0006-0000-0100-0000E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C1" authorId="0" shapeId="0" xr:uid="{00000000-0006-0000-0100-0000E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D1" authorId="0" shapeId="0" xr:uid="{00000000-0006-0000-0100-0000E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E1" authorId="0" shapeId="0" xr:uid="{00000000-0006-0000-0100-0000E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F1" authorId="0" shapeId="0" xr:uid="{00000000-0006-0000-0100-0000E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G1" authorId="0" shapeId="0" xr:uid="{00000000-0006-0000-0100-0000F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H1" authorId="0" shapeId="0" xr:uid="{00000000-0006-0000-0100-0000F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I1" authorId="0" shapeId="0" xr:uid="{00000000-0006-0000-0100-0000F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J1" authorId="0" shapeId="0" xr:uid="{00000000-0006-0000-0100-0000F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K1" authorId="0" shapeId="0" xr:uid="{00000000-0006-0000-0100-0000F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L1" authorId="0" shapeId="0" xr:uid="{00000000-0006-0000-0100-0000F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M1" authorId="0" shapeId="0" xr:uid="{00000000-0006-0000-0100-0000F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N1" authorId="0" shapeId="0" xr:uid="{00000000-0006-0000-0100-0000F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O1" authorId="0" shapeId="0" xr:uid="{00000000-0006-0000-0100-0000F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P1" authorId="0" shapeId="0" xr:uid="{00000000-0006-0000-0100-0000F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Q1" authorId="0" shapeId="0" xr:uid="{00000000-0006-0000-0100-0000F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" authorId="0" shapeId="0" xr:uid="{00000000-0006-0000-0100-0000FB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2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1" authorId="0" shapeId="0" xr:uid="{00000000-0006-0000-02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1" authorId="0" shapeId="0" xr:uid="{00000000-0006-0000-02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1" authorId="0" shapeId="0" xr:uid="{00000000-0006-0000-02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1" authorId="0" shapeId="0" xr:uid="{00000000-0006-0000-02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1" authorId="0" shapeId="0" xr:uid="{00000000-0006-0000-02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1" authorId="0" shapeId="0" xr:uid="{00000000-0006-0000-02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1" authorId="0" shapeId="0" xr:uid="{00000000-0006-0000-02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J1" authorId="0" shapeId="0" xr:uid="{00000000-0006-0000-02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K1" authorId="0" shapeId="0" xr:uid="{00000000-0006-0000-02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L1" authorId="0" shapeId="0" xr:uid="{00000000-0006-0000-02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M1" authorId="0" shapeId="0" xr:uid="{00000000-0006-0000-02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N1" authorId="0" shapeId="0" xr:uid="{00000000-0006-0000-02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O1" authorId="0" shapeId="0" xr:uid="{00000000-0006-0000-02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P1" authorId="0" shapeId="0" xr:uid="{00000000-0006-0000-02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Q1" authorId="0" shapeId="0" xr:uid="{00000000-0006-0000-02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R1" authorId="0" shapeId="0" xr:uid="{00000000-0006-0000-02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S1" authorId="0" shapeId="0" xr:uid="{00000000-0006-0000-02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T1" authorId="0" shapeId="0" xr:uid="{00000000-0006-0000-02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U1" authorId="0" shapeId="0" xr:uid="{00000000-0006-0000-02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V1" authorId="0" shapeId="0" xr:uid="{00000000-0006-0000-02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W1" authorId="0" shapeId="0" xr:uid="{00000000-0006-0000-02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X1" authorId="0" shapeId="0" xr:uid="{00000000-0006-0000-02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Y1" authorId="0" shapeId="0" xr:uid="{00000000-0006-0000-02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Z1" authorId="0" shapeId="0" xr:uid="{00000000-0006-0000-02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A1" authorId="0" shapeId="0" xr:uid="{00000000-0006-0000-02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B1" authorId="0" shapeId="0" xr:uid="{00000000-0006-0000-02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C1" authorId="0" shapeId="0" xr:uid="{00000000-0006-0000-02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D1" authorId="0" shapeId="0" xr:uid="{00000000-0006-0000-02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E1" authorId="0" shapeId="0" xr:uid="{00000000-0006-0000-02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F1" authorId="0" shapeId="0" xr:uid="{00000000-0006-0000-02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G1" authorId="0" shapeId="0" xr:uid="{00000000-0006-0000-02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H1" authorId="0" shapeId="0" xr:uid="{00000000-0006-0000-02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I1" authorId="0" shapeId="0" xr:uid="{00000000-0006-0000-02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J1" authorId="0" shapeId="0" xr:uid="{00000000-0006-0000-02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K1" authorId="0" shapeId="0" xr:uid="{00000000-0006-0000-02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L1" authorId="0" shapeId="0" xr:uid="{00000000-0006-0000-02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M1" authorId="0" shapeId="0" xr:uid="{00000000-0006-0000-02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N1" authorId="0" shapeId="0" xr:uid="{00000000-0006-0000-02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O1" authorId="0" shapeId="0" xr:uid="{00000000-0006-0000-02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P1" authorId="0" shapeId="0" xr:uid="{00000000-0006-0000-02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Q1" authorId="0" shapeId="0" xr:uid="{00000000-0006-0000-02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R1" authorId="0" shapeId="0" xr:uid="{00000000-0006-0000-02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S1" authorId="0" shapeId="0" xr:uid="{00000000-0006-0000-02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T1" authorId="0" shapeId="0" xr:uid="{00000000-0006-0000-02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U1" authorId="0" shapeId="0" xr:uid="{00000000-0006-0000-02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V1" authorId="0" shapeId="0" xr:uid="{00000000-0006-0000-02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W1" authorId="0" shapeId="0" xr:uid="{00000000-0006-0000-02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X1" authorId="0" shapeId="0" xr:uid="{00000000-0006-0000-02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Y1" authorId="0" shapeId="0" xr:uid="{00000000-0006-0000-02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Z1" authorId="0" shapeId="0" xr:uid="{00000000-0006-0000-02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A1" authorId="0" shapeId="0" xr:uid="{00000000-0006-0000-02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B1" authorId="0" shapeId="0" xr:uid="{00000000-0006-0000-02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C1" authorId="0" shapeId="0" xr:uid="{00000000-0006-0000-02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D1" authorId="0" shapeId="0" xr:uid="{00000000-0006-0000-02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E1" authorId="0" shapeId="0" xr:uid="{00000000-0006-0000-02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F1" authorId="0" shapeId="0" xr:uid="{00000000-0006-0000-0200-00003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G1" authorId="0" shapeId="0" xr:uid="{00000000-0006-0000-0200-00003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H1" authorId="0" shapeId="0" xr:uid="{00000000-0006-0000-0200-00003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I1" authorId="0" shapeId="0" xr:uid="{00000000-0006-0000-0200-00003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J1" authorId="0" shapeId="0" xr:uid="{00000000-0006-0000-0200-00003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K1" authorId="0" shapeId="0" xr:uid="{00000000-0006-0000-0200-00003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L1" authorId="0" shapeId="0" xr:uid="{00000000-0006-0000-0200-00003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M1" authorId="0" shapeId="0" xr:uid="{00000000-0006-0000-0200-00004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N1" authorId="0" shapeId="0" xr:uid="{00000000-0006-0000-0200-00004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O1" authorId="0" shapeId="0" xr:uid="{00000000-0006-0000-0200-00004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P1" authorId="0" shapeId="0" xr:uid="{00000000-0006-0000-0200-00004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Q1" authorId="0" shapeId="0" xr:uid="{00000000-0006-0000-0200-00004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R1" authorId="0" shapeId="0" xr:uid="{00000000-0006-0000-0200-00004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S1" authorId="0" shapeId="0" xr:uid="{00000000-0006-0000-0200-00004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T1" authorId="0" shapeId="0" xr:uid="{00000000-0006-0000-0200-00004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U1" authorId="0" shapeId="0" xr:uid="{00000000-0006-0000-0200-00004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V1" authorId="0" shapeId="0" xr:uid="{00000000-0006-0000-0200-00004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W1" authorId="0" shapeId="0" xr:uid="{00000000-0006-0000-0200-00004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X1" authorId="0" shapeId="0" xr:uid="{00000000-0006-0000-0200-00004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Y1" authorId="0" shapeId="0" xr:uid="{00000000-0006-0000-0200-00004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Z1" authorId="0" shapeId="0" xr:uid="{00000000-0006-0000-0200-00004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A1" authorId="0" shapeId="0" xr:uid="{00000000-0006-0000-0200-00004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B1" authorId="0" shapeId="0" xr:uid="{00000000-0006-0000-0200-00004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C1" authorId="0" shapeId="0" xr:uid="{00000000-0006-0000-0200-00005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D1" authorId="0" shapeId="0" xr:uid="{00000000-0006-0000-0200-00005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E1" authorId="0" shapeId="0" xr:uid="{00000000-0006-0000-0200-00005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F1" authorId="0" shapeId="0" xr:uid="{00000000-0006-0000-0200-00005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G1" authorId="0" shapeId="0" xr:uid="{00000000-0006-0000-0200-00005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H1" authorId="0" shapeId="0" xr:uid="{00000000-0006-0000-0200-00005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I1" authorId="0" shapeId="0" xr:uid="{00000000-0006-0000-0200-00005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J1" authorId="0" shapeId="0" xr:uid="{00000000-0006-0000-0200-00005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K1" authorId="0" shapeId="0" xr:uid="{00000000-0006-0000-0200-00005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L1" authorId="0" shapeId="0" xr:uid="{00000000-0006-0000-0200-00005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M1" authorId="0" shapeId="0" xr:uid="{00000000-0006-0000-0200-00005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N1" authorId="0" shapeId="0" xr:uid="{00000000-0006-0000-0200-00005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O1" authorId="0" shapeId="0" xr:uid="{00000000-0006-0000-0200-00005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P1" authorId="0" shapeId="0" xr:uid="{00000000-0006-0000-0200-00005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Q1" authorId="0" shapeId="0" xr:uid="{00000000-0006-0000-0200-00005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R1" authorId="0" shapeId="0" xr:uid="{00000000-0006-0000-0200-00005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S1" authorId="0" shapeId="0" xr:uid="{00000000-0006-0000-0200-00006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T1" authorId="0" shapeId="0" xr:uid="{00000000-0006-0000-0200-00006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U1" authorId="0" shapeId="0" xr:uid="{00000000-0006-0000-0200-00006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V1" authorId="0" shapeId="0" xr:uid="{00000000-0006-0000-0200-00006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W1" authorId="0" shapeId="0" xr:uid="{00000000-0006-0000-0200-00006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X1" authorId="0" shapeId="0" xr:uid="{00000000-0006-0000-0200-00006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Y1" authorId="0" shapeId="0" xr:uid="{00000000-0006-0000-0200-00006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Z1" authorId="0" shapeId="0" xr:uid="{00000000-0006-0000-0200-00006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A1" authorId="0" shapeId="0" xr:uid="{00000000-0006-0000-0200-00006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B1" authorId="0" shapeId="0" xr:uid="{00000000-0006-0000-0200-00006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C1" authorId="0" shapeId="0" xr:uid="{00000000-0006-0000-0200-00006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D1" authorId="0" shapeId="0" xr:uid="{00000000-0006-0000-0200-00006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E1" authorId="0" shapeId="0" xr:uid="{00000000-0006-0000-0200-00006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F1" authorId="0" shapeId="0" xr:uid="{00000000-0006-0000-0200-00006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G1" authorId="0" shapeId="0" xr:uid="{00000000-0006-0000-0200-00006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H1" authorId="0" shapeId="0" xr:uid="{00000000-0006-0000-0200-00006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I1" authorId="0" shapeId="0" xr:uid="{00000000-0006-0000-0200-00007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J1" authorId="0" shapeId="0" xr:uid="{00000000-0006-0000-0200-00007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K1" authorId="0" shapeId="0" xr:uid="{00000000-0006-0000-0200-00007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L1" authorId="0" shapeId="0" xr:uid="{00000000-0006-0000-0200-00007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M1" authorId="0" shapeId="0" xr:uid="{00000000-0006-0000-0200-00007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N1" authorId="0" shapeId="0" xr:uid="{00000000-0006-0000-0200-00007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O1" authorId="0" shapeId="0" xr:uid="{00000000-0006-0000-0200-00007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P1" authorId="0" shapeId="0" xr:uid="{00000000-0006-0000-0200-00007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Q1" authorId="0" shapeId="0" xr:uid="{00000000-0006-0000-0200-00007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R1" authorId="0" shapeId="0" xr:uid="{00000000-0006-0000-0200-00007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S1" authorId="0" shapeId="0" xr:uid="{00000000-0006-0000-0200-00007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T1" authorId="0" shapeId="0" xr:uid="{00000000-0006-0000-0200-00007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U1" authorId="0" shapeId="0" xr:uid="{00000000-0006-0000-0200-00007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V1" authorId="0" shapeId="0" xr:uid="{00000000-0006-0000-0200-00007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W1" authorId="0" shapeId="0" xr:uid="{00000000-0006-0000-0200-00007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X1" authorId="0" shapeId="0" xr:uid="{00000000-0006-0000-0200-00007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Y1" authorId="0" shapeId="0" xr:uid="{00000000-0006-0000-0200-00008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Z1" authorId="0" shapeId="0" xr:uid="{00000000-0006-0000-0200-00008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A1" authorId="0" shapeId="0" xr:uid="{00000000-0006-0000-0200-00008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B1" authorId="0" shapeId="0" xr:uid="{00000000-0006-0000-0200-00008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C1" authorId="0" shapeId="0" xr:uid="{00000000-0006-0000-0200-00008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D1" authorId="0" shapeId="0" xr:uid="{00000000-0006-0000-0200-00008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E1" authorId="0" shapeId="0" xr:uid="{00000000-0006-0000-0200-00008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F1" authorId="0" shapeId="0" xr:uid="{00000000-0006-0000-0200-00008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G1" authorId="0" shapeId="0" xr:uid="{00000000-0006-0000-0200-00008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H1" authorId="0" shapeId="0" xr:uid="{00000000-0006-0000-0200-00008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I1" authorId="0" shapeId="0" xr:uid="{00000000-0006-0000-0200-00008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J1" authorId="0" shapeId="0" xr:uid="{00000000-0006-0000-0200-00008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K1" authorId="0" shapeId="0" xr:uid="{00000000-0006-0000-0200-00008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L1" authorId="0" shapeId="0" xr:uid="{00000000-0006-0000-0200-00008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M1" authorId="0" shapeId="0" xr:uid="{00000000-0006-0000-0200-00008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N1" authorId="0" shapeId="0" xr:uid="{00000000-0006-0000-0200-00008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O1" authorId="0" shapeId="0" xr:uid="{00000000-0006-0000-0200-00009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P1" authorId="0" shapeId="0" xr:uid="{00000000-0006-0000-0200-00009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Q1" authorId="0" shapeId="0" xr:uid="{00000000-0006-0000-0200-00009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R1" authorId="0" shapeId="0" xr:uid="{00000000-0006-0000-0200-00009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S1" authorId="0" shapeId="0" xr:uid="{00000000-0006-0000-0200-00009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T1" authorId="0" shapeId="0" xr:uid="{00000000-0006-0000-0200-00009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U1" authorId="0" shapeId="0" xr:uid="{00000000-0006-0000-0200-00009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V1" authorId="0" shapeId="0" xr:uid="{00000000-0006-0000-0200-00009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W1" authorId="0" shapeId="0" xr:uid="{00000000-0006-0000-0200-00009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X1" authorId="0" shapeId="0" xr:uid="{00000000-0006-0000-0200-00009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Y1" authorId="0" shapeId="0" xr:uid="{00000000-0006-0000-0200-00009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Z1" authorId="0" shapeId="0" xr:uid="{00000000-0006-0000-0200-00009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A1" authorId="0" shapeId="0" xr:uid="{00000000-0006-0000-0200-00009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B1" authorId="0" shapeId="0" xr:uid="{00000000-0006-0000-0200-00009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C1" authorId="0" shapeId="0" xr:uid="{00000000-0006-0000-0200-00009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D1" authorId="0" shapeId="0" xr:uid="{00000000-0006-0000-0200-00009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E1" authorId="0" shapeId="0" xr:uid="{00000000-0006-0000-0200-0000A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F1" authorId="0" shapeId="0" xr:uid="{00000000-0006-0000-0200-0000A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G1" authorId="0" shapeId="0" xr:uid="{00000000-0006-0000-0200-0000A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H1" authorId="0" shapeId="0" xr:uid="{00000000-0006-0000-0200-0000A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I1" authorId="0" shapeId="0" xr:uid="{00000000-0006-0000-0200-0000A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J1" authorId="0" shapeId="0" xr:uid="{00000000-0006-0000-0200-0000A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K1" authorId="0" shapeId="0" xr:uid="{00000000-0006-0000-0200-0000A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L1" authorId="0" shapeId="0" xr:uid="{00000000-0006-0000-0200-0000A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M1" authorId="0" shapeId="0" xr:uid="{00000000-0006-0000-0200-0000A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N1" authorId="0" shapeId="0" xr:uid="{00000000-0006-0000-0200-0000A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O1" authorId="0" shapeId="0" xr:uid="{00000000-0006-0000-0200-0000A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P1" authorId="0" shapeId="0" xr:uid="{00000000-0006-0000-0200-0000A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Q1" authorId="0" shapeId="0" xr:uid="{00000000-0006-0000-0200-0000A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R1" authorId="0" shapeId="0" xr:uid="{00000000-0006-0000-0200-0000A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S1" authorId="0" shapeId="0" xr:uid="{00000000-0006-0000-0200-0000A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T1" authorId="0" shapeId="0" xr:uid="{00000000-0006-0000-0200-0000A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U1" authorId="0" shapeId="0" xr:uid="{00000000-0006-0000-0200-0000B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V1" authorId="0" shapeId="0" xr:uid="{00000000-0006-0000-0200-0000B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W1" authorId="0" shapeId="0" xr:uid="{00000000-0006-0000-0200-0000B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X1" authorId="0" shapeId="0" xr:uid="{00000000-0006-0000-0200-0000B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Y1" authorId="0" shapeId="0" xr:uid="{00000000-0006-0000-0200-0000B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Z1" authorId="0" shapeId="0" xr:uid="{00000000-0006-0000-0200-0000B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A1" authorId="0" shapeId="0" xr:uid="{00000000-0006-0000-0200-0000B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B1" authorId="0" shapeId="0" xr:uid="{00000000-0006-0000-0200-0000B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C1" authorId="0" shapeId="0" xr:uid="{00000000-0006-0000-0200-0000B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D1" authorId="0" shapeId="0" xr:uid="{00000000-0006-0000-0200-0000B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E1" authorId="0" shapeId="0" xr:uid="{00000000-0006-0000-0200-0000B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F1" authorId="0" shapeId="0" xr:uid="{00000000-0006-0000-0200-0000B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G1" authorId="0" shapeId="0" xr:uid="{00000000-0006-0000-0200-0000B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H1" authorId="0" shapeId="0" xr:uid="{00000000-0006-0000-0200-0000B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I1" authorId="0" shapeId="0" xr:uid="{00000000-0006-0000-0200-0000B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J1" authorId="0" shapeId="0" xr:uid="{00000000-0006-0000-0200-0000B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K1" authorId="0" shapeId="0" xr:uid="{00000000-0006-0000-0200-0000C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L1" authorId="0" shapeId="0" xr:uid="{00000000-0006-0000-0200-0000C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M1" authorId="0" shapeId="0" xr:uid="{00000000-0006-0000-0200-0000C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N1" authorId="0" shapeId="0" xr:uid="{00000000-0006-0000-0200-0000C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O1" authorId="0" shapeId="0" xr:uid="{00000000-0006-0000-0200-0000C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P1" authorId="0" shapeId="0" xr:uid="{00000000-0006-0000-0200-0000C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Q1" authorId="0" shapeId="0" xr:uid="{00000000-0006-0000-0200-0000C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R1" authorId="0" shapeId="0" xr:uid="{00000000-0006-0000-0200-0000C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S1" authorId="0" shapeId="0" xr:uid="{00000000-0006-0000-0200-0000C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T1" authorId="0" shapeId="0" xr:uid="{00000000-0006-0000-0200-0000C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U1" authorId="0" shapeId="0" xr:uid="{00000000-0006-0000-0200-0000C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V1" authorId="0" shapeId="0" xr:uid="{00000000-0006-0000-0200-0000C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W1" authorId="0" shapeId="0" xr:uid="{00000000-0006-0000-0200-0000C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X1" authorId="0" shapeId="0" xr:uid="{00000000-0006-0000-0200-0000C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Y1" authorId="0" shapeId="0" xr:uid="{00000000-0006-0000-0200-0000C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Z1" authorId="0" shapeId="0" xr:uid="{00000000-0006-0000-0200-0000C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A1" authorId="0" shapeId="0" xr:uid="{00000000-0006-0000-0200-0000D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B1" authorId="0" shapeId="0" xr:uid="{00000000-0006-0000-0200-0000D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C1" authorId="0" shapeId="0" xr:uid="{00000000-0006-0000-0200-0000D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D1" authorId="0" shapeId="0" xr:uid="{00000000-0006-0000-0200-0000D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E1" authorId="0" shapeId="0" xr:uid="{00000000-0006-0000-0200-0000D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F1" authorId="0" shapeId="0" xr:uid="{00000000-0006-0000-0200-0000D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G1" authorId="0" shapeId="0" xr:uid="{00000000-0006-0000-0200-0000D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H1" authorId="0" shapeId="0" xr:uid="{00000000-0006-0000-0200-0000D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I1" authorId="0" shapeId="0" xr:uid="{00000000-0006-0000-0200-0000D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J1" authorId="0" shapeId="0" xr:uid="{00000000-0006-0000-0200-0000D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K1" authorId="0" shapeId="0" xr:uid="{00000000-0006-0000-0200-0000D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L1" authorId="0" shapeId="0" xr:uid="{00000000-0006-0000-0200-0000D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M1" authorId="0" shapeId="0" xr:uid="{00000000-0006-0000-0200-0000D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N1" authorId="0" shapeId="0" xr:uid="{00000000-0006-0000-0200-0000D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O1" authorId="0" shapeId="0" xr:uid="{00000000-0006-0000-0200-0000D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P1" authorId="0" shapeId="0" xr:uid="{00000000-0006-0000-0200-0000D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Q1" authorId="0" shapeId="0" xr:uid="{00000000-0006-0000-0200-0000E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R1" authorId="0" shapeId="0" xr:uid="{00000000-0006-0000-0200-0000E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S1" authorId="0" shapeId="0" xr:uid="{00000000-0006-0000-0200-0000E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T1" authorId="0" shapeId="0" xr:uid="{00000000-0006-0000-0200-0000E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U1" authorId="0" shapeId="0" xr:uid="{00000000-0006-0000-0200-0000E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V1" authorId="0" shapeId="0" xr:uid="{00000000-0006-0000-0200-0000E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W1" authorId="0" shapeId="0" xr:uid="{00000000-0006-0000-0200-0000E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X1" authorId="0" shapeId="0" xr:uid="{00000000-0006-0000-0200-0000E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Y1" authorId="0" shapeId="0" xr:uid="{00000000-0006-0000-0200-0000E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Z1" authorId="0" shapeId="0" xr:uid="{00000000-0006-0000-0200-0000E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A1" authorId="0" shapeId="0" xr:uid="{00000000-0006-0000-0200-0000E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B1" authorId="0" shapeId="0" xr:uid="{00000000-0006-0000-0200-0000E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C1" authorId="0" shapeId="0" xr:uid="{00000000-0006-0000-0200-0000E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D1" authorId="0" shapeId="0" xr:uid="{00000000-0006-0000-0200-0000E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E1" authorId="0" shapeId="0" xr:uid="{00000000-0006-0000-0200-0000E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F1" authorId="0" shapeId="0" xr:uid="{00000000-0006-0000-0200-0000E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G1" authorId="0" shapeId="0" xr:uid="{00000000-0006-0000-0200-0000F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H1" authorId="0" shapeId="0" xr:uid="{00000000-0006-0000-0200-0000F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I1" authorId="0" shapeId="0" xr:uid="{00000000-0006-0000-0200-0000F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J1" authorId="0" shapeId="0" xr:uid="{00000000-0006-0000-0200-0000F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K1" authorId="0" shapeId="0" xr:uid="{00000000-0006-0000-0200-0000F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L1" authorId="0" shapeId="0" xr:uid="{00000000-0006-0000-0200-0000F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M1" authorId="0" shapeId="0" xr:uid="{00000000-0006-0000-0200-0000F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N1" authorId="0" shapeId="0" xr:uid="{00000000-0006-0000-0200-0000F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O1" authorId="0" shapeId="0" xr:uid="{00000000-0006-0000-0200-0000F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P1" authorId="0" shapeId="0" xr:uid="{00000000-0006-0000-0200-0000F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Q1" authorId="0" shapeId="0" xr:uid="{00000000-0006-0000-0200-0000F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" authorId="0" shapeId="0" xr:uid="{00000000-0006-0000-0200-0000FB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3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1" authorId="0" shapeId="0" xr:uid="{00000000-0006-0000-03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1" authorId="0" shapeId="0" xr:uid="{00000000-0006-0000-03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1" authorId="0" shapeId="0" xr:uid="{00000000-0006-0000-03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1" authorId="0" shapeId="0" xr:uid="{00000000-0006-0000-03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1" authorId="0" shapeId="0" xr:uid="{00000000-0006-0000-03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1" authorId="0" shapeId="0" xr:uid="{00000000-0006-0000-03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1" authorId="0" shapeId="0" xr:uid="{00000000-0006-0000-03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J1" authorId="0" shapeId="0" xr:uid="{00000000-0006-0000-03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K1" authorId="0" shapeId="0" xr:uid="{00000000-0006-0000-03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L1" authorId="0" shapeId="0" xr:uid="{00000000-0006-0000-03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M1" authorId="0" shapeId="0" xr:uid="{00000000-0006-0000-03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N1" authorId="0" shapeId="0" xr:uid="{00000000-0006-0000-03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O1" authorId="0" shapeId="0" xr:uid="{00000000-0006-0000-03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P1" authorId="0" shapeId="0" xr:uid="{00000000-0006-0000-03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Q1" authorId="0" shapeId="0" xr:uid="{00000000-0006-0000-03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R1" authorId="0" shapeId="0" xr:uid="{00000000-0006-0000-03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S1" authorId="0" shapeId="0" xr:uid="{00000000-0006-0000-03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T1" authorId="0" shapeId="0" xr:uid="{00000000-0006-0000-03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U1" authorId="0" shapeId="0" xr:uid="{00000000-0006-0000-03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V1" authorId="0" shapeId="0" xr:uid="{00000000-0006-0000-03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W1" authorId="0" shapeId="0" xr:uid="{00000000-0006-0000-03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X1" authorId="0" shapeId="0" xr:uid="{00000000-0006-0000-03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Y1" authorId="0" shapeId="0" xr:uid="{00000000-0006-0000-03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Z1" authorId="0" shapeId="0" xr:uid="{00000000-0006-0000-03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A1" authorId="0" shapeId="0" xr:uid="{00000000-0006-0000-03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B1" authorId="0" shapeId="0" xr:uid="{00000000-0006-0000-03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C1" authorId="0" shapeId="0" xr:uid="{00000000-0006-0000-03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D1" authorId="0" shapeId="0" xr:uid="{00000000-0006-0000-03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E1" authorId="0" shapeId="0" xr:uid="{00000000-0006-0000-03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F1" authorId="0" shapeId="0" xr:uid="{00000000-0006-0000-03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G1" authorId="0" shapeId="0" xr:uid="{00000000-0006-0000-03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H1" authorId="0" shapeId="0" xr:uid="{00000000-0006-0000-03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I1" authorId="0" shapeId="0" xr:uid="{00000000-0006-0000-03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J1" authorId="0" shapeId="0" xr:uid="{00000000-0006-0000-03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K1" authorId="0" shapeId="0" xr:uid="{00000000-0006-0000-03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L1" authorId="0" shapeId="0" xr:uid="{00000000-0006-0000-03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M1" authorId="0" shapeId="0" xr:uid="{00000000-0006-0000-03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N1" authorId="0" shapeId="0" xr:uid="{00000000-0006-0000-03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O1" authorId="0" shapeId="0" xr:uid="{00000000-0006-0000-03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P1" authorId="0" shapeId="0" xr:uid="{00000000-0006-0000-03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Q1" authorId="0" shapeId="0" xr:uid="{00000000-0006-0000-03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R1" authorId="0" shapeId="0" xr:uid="{00000000-0006-0000-03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S1" authorId="0" shapeId="0" xr:uid="{00000000-0006-0000-03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T1" authorId="0" shapeId="0" xr:uid="{00000000-0006-0000-03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U1" authorId="0" shapeId="0" xr:uid="{00000000-0006-0000-03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V1" authorId="0" shapeId="0" xr:uid="{00000000-0006-0000-03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W1" authorId="0" shapeId="0" xr:uid="{00000000-0006-0000-03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X1" authorId="0" shapeId="0" xr:uid="{00000000-0006-0000-03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Y1" authorId="0" shapeId="0" xr:uid="{00000000-0006-0000-03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Z1" authorId="0" shapeId="0" xr:uid="{00000000-0006-0000-03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A1" authorId="0" shapeId="0" xr:uid="{00000000-0006-0000-03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B1" authorId="0" shapeId="0" xr:uid="{00000000-0006-0000-03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C1" authorId="0" shapeId="0" xr:uid="{00000000-0006-0000-03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D1" authorId="0" shapeId="0" xr:uid="{00000000-0006-0000-03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E1" authorId="0" shapeId="0" xr:uid="{00000000-0006-0000-03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F1" authorId="0" shapeId="0" xr:uid="{00000000-0006-0000-0300-00003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G1" authorId="0" shapeId="0" xr:uid="{00000000-0006-0000-0300-00003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H1" authorId="0" shapeId="0" xr:uid="{00000000-0006-0000-0300-00003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I1" authorId="0" shapeId="0" xr:uid="{00000000-0006-0000-0300-00003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J1" authorId="0" shapeId="0" xr:uid="{00000000-0006-0000-0300-00003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K1" authorId="0" shapeId="0" xr:uid="{00000000-0006-0000-0300-00003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L1" authorId="0" shapeId="0" xr:uid="{00000000-0006-0000-0300-00003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M1" authorId="0" shapeId="0" xr:uid="{00000000-0006-0000-0300-00004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N1" authorId="0" shapeId="0" xr:uid="{00000000-0006-0000-0300-00004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O1" authorId="0" shapeId="0" xr:uid="{00000000-0006-0000-0300-00004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P1" authorId="0" shapeId="0" xr:uid="{00000000-0006-0000-0300-00004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Q1" authorId="0" shapeId="0" xr:uid="{00000000-0006-0000-0300-00004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R1" authorId="0" shapeId="0" xr:uid="{00000000-0006-0000-0300-00004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S1" authorId="0" shapeId="0" xr:uid="{00000000-0006-0000-0300-00004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T1" authorId="0" shapeId="0" xr:uid="{00000000-0006-0000-0300-00004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U1" authorId="0" shapeId="0" xr:uid="{00000000-0006-0000-0300-00004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V1" authorId="0" shapeId="0" xr:uid="{00000000-0006-0000-0300-00004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W1" authorId="0" shapeId="0" xr:uid="{00000000-0006-0000-0300-00004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X1" authorId="0" shapeId="0" xr:uid="{00000000-0006-0000-0300-00004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Y1" authorId="0" shapeId="0" xr:uid="{00000000-0006-0000-0300-00004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Z1" authorId="0" shapeId="0" xr:uid="{00000000-0006-0000-0300-00004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A1" authorId="0" shapeId="0" xr:uid="{00000000-0006-0000-0300-00004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B1" authorId="0" shapeId="0" xr:uid="{00000000-0006-0000-0300-00004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C1" authorId="0" shapeId="0" xr:uid="{00000000-0006-0000-0300-00005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D1" authorId="0" shapeId="0" xr:uid="{00000000-0006-0000-0300-00005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E1" authorId="0" shapeId="0" xr:uid="{00000000-0006-0000-0300-00005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F1" authorId="0" shapeId="0" xr:uid="{00000000-0006-0000-0300-00005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G1" authorId="0" shapeId="0" xr:uid="{00000000-0006-0000-0300-00005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H1" authorId="0" shapeId="0" xr:uid="{00000000-0006-0000-0300-00005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I1" authorId="0" shapeId="0" xr:uid="{00000000-0006-0000-0300-00005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J1" authorId="0" shapeId="0" xr:uid="{00000000-0006-0000-0300-00005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K1" authorId="0" shapeId="0" xr:uid="{00000000-0006-0000-0300-00005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L1" authorId="0" shapeId="0" xr:uid="{00000000-0006-0000-0300-00005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M1" authorId="0" shapeId="0" xr:uid="{00000000-0006-0000-0300-00005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N1" authorId="0" shapeId="0" xr:uid="{00000000-0006-0000-0300-00005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O1" authorId="0" shapeId="0" xr:uid="{00000000-0006-0000-0300-00005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P1" authorId="0" shapeId="0" xr:uid="{00000000-0006-0000-0300-00005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Q1" authorId="0" shapeId="0" xr:uid="{00000000-0006-0000-0300-00005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R1" authorId="0" shapeId="0" xr:uid="{00000000-0006-0000-0300-00005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S1" authorId="0" shapeId="0" xr:uid="{00000000-0006-0000-0300-00006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T1" authorId="0" shapeId="0" xr:uid="{00000000-0006-0000-0300-00006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U1" authorId="0" shapeId="0" xr:uid="{00000000-0006-0000-0300-00006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V1" authorId="0" shapeId="0" xr:uid="{00000000-0006-0000-0300-00006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W1" authorId="0" shapeId="0" xr:uid="{00000000-0006-0000-0300-00006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X1" authorId="0" shapeId="0" xr:uid="{00000000-0006-0000-0300-00006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Y1" authorId="0" shapeId="0" xr:uid="{00000000-0006-0000-0300-00006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Z1" authorId="0" shapeId="0" xr:uid="{00000000-0006-0000-0300-00006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A1" authorId="0" shapeId="0" xr:uid="{00000000-0006-0000-0300-00006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B1" authorId="0" shapeId="0" xr:uid="{00000000-0006-0000-0300-00006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C1" authorId="0" shapeId="0" xr:uid="{00000000-0006-0000-0300-00006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D1" authorId="0" shapeId="0" xr:uid="{00000000-0006-0000-0300-00006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E1" authorId="0" shapeId="0" xr:uid="{00000000-0006-0000-0300-00006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F1" authorId="0" shapeId="0" xr:uid="{00000000-0006-0000-0300-00006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G1" authorId="0" shapeId="0" xr:uid="{00000000-0006-0000-0300-00006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H1" authorId="0" shapeId="0" xr:uid="{00000000-0006-0000-0300-00006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I1" authorId="0" shapeId="0" xr:uid="{00000000-0006-0000-0300-00007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J1" authorId="0" shapeId="0" xr:uid="{00000000-0006-0000-0300-00007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K1" authorId="0" shapeId="0" xr:uid="{00000000-0006-0000-0300-00007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L1" authorId="0" shapeId="0" xr:uid="{00000000-0006-0000-0300-00007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M1" authorId="0" shapeId="0" xr:uid="{00000000-0006-0000-0300-00007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N1" authorId="0" shapeId="0" xr:uid="{00000000-0006-0000-0300-00007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O1" authorId="0" shapeId="0" xr:uid="{00000000-0006-0000-0300-00007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P1" authorId="0" shapeId="0" xr:uid="{00000000-0006-0000-0300-00007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Q1" authorId="0" shapeId="0" xr:uid="{00000000-0006-0000-0300-00007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R1" authorId="0" shapeId="0" xr:uid="{00000000-0006-0000-0300-00007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S1" authorId="0" shapeId="0" xr:uid="{00000000-0006-0000-0300-00007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T1" authorId="0" shapeId="0" xr:uid="{00000000-0006-0000-0300-00007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U1" authorId="0" shapeId="0" xr:uid="{00000000-0006-0000-0300-00007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V1" authorId="0" shapeId="0" xr:uid="{00000000-0006-0000-0300-00007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W1" authorId="0" shapeId="0" xr:uid="{00000000-0006-0000-0300-00007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X1" authorId="0" shapeId="0" xr:uid="{00000000-0006-0000-0300-00007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Y1" authorId="0" shapeId="0" xr:uid="{00000000-0006-0000-0300-00008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Z1" authorId="0" shapeId="0" xr:uid="{00000000-0006-0000-0300-00008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A1" authorId="0" shapeId="0" xr:uid="{00000000-0006-0000-0300-00008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B1" authorId="0" shapeId="0" xr:uid="{00000000-0006-0000-0300-00008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C1" authorId="0" shapeId="0" xr:uid="{00000000-0006-0000-0300-00008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D1" authorId="0" shapeId="0" xr:uid="{00000000-0006-0000-0300-00008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E1" authorId="0" shapeId="0" xr:uid="{00000000-0006-0000-0300-00008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F1" authorId="0" shapeId="0" xr:uid="{00000000-0006-0000-0300-00008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G1" authorId="0" shapeId="0" xr:uid="{00000000-0006-0000-0300-00008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H1" authorId="0" shapeId="0" xr:uid="{00000000-0006-0000-0300-00008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I1" authorId="0" shapeId="0" xr:uid="{00000000-0006-0000-0300-00008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J1" authorId="0" shapeId="0" xr:uid="{00000000-0006-0000-0300-00008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K1" authorId="0" shapeId="0" xr:uid="{00000000-0006-0000-0300-00008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L1" authorId="0" shapeId="0" xr:uid="{00000000-0006-0000-0300-00008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M1" authorId="0" shapeId="0" xr:uid="{00000000-0006-0000-0300-00008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N1" authorId="0" shapeId="0" xr:uid="{00000000-0006-0000-0300-00008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O1" authorId="0" shapeId="0" xr:uid="{00000000-0006-0000-0300-00009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P1" authorId="0" shapeId="0" xr:uid="{00000000-0006-0000-0300-00009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Q1" authorId="0" shapeId="0" xr:uid="{00000000-0006-0000-0300-00009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R1" authorId="0" shapeId="0" xr:uid="{00000000-0006-0000-0300-00009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S1" authorId="0" shapeId="0" xr:uid="{00000000-0006-0000-0300-00009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T1" authorId="0" shapeId="0" xr:uid="{00000000-0006-0000-0300-00009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U1" authorId="0" shapeId="0" xr:uid="{00000000-0006-0000-0300-00009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V1" authorId="0" shapeId="0" xr:uid="{00000000-0006-0000-0300-00009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W1" authorId="0" shapeId="0" xr:uid="{00000000-0006-0000-0300-00009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X1" authorId="0" shapeId="0" xr:uid="{00000000-0006-0000-0300-00009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Y1" authorId="0" shapeId="0" xr:uid="{00000000-0006-0000-0300-00009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Z1" authorId="0" shapeId="0" xr:uid="{00000000-0006-0000-0300-00009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A1" authorId="0" shapeId="0" xr:uid="{00000000-0006-0000-0300-00009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B1" authorId="0" shapeId="0" xr:uid="{00000000-0006-0000-0300-00009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C1" authorId="0" shapeId="0" xr:uid="{00000000-0006-0000-0300-00009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D1" authorId="0" shapeId="0" xr:uid="{00000000-0006-0000-0300-00009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E1" authorId="0" shapeId="0" xr:uid="{00000000-0006-0000-0300-0000A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F1" authorId="0" shapeId="0" xr:uid="{00000000-0006-0000-0300-0000A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G1" authorId="0" shapeId="0" xr:uid="{00000000-0006-0000-0300-0000A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H1" authorId="0" shapeId="0" xr:uid="{00000000-0006-0000-0300-0000A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I1" authorId="0" shapeId="0" xr:uid="{00000000-0006-0000-0300-0000A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J1" authorId="0" shapeId="0" xr:uid="{00000000-0006-0000-0300-0000A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K1" authorId="0" shapeId="0" xr:uid="{00000000-0006-0000-0300-0000A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L1" authorId="0" shapeId="0" xr:uid="{00000000-0006-0000-0300-0000A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M1" authorId="0" shapeId="0" xr:uid="{00000000-0006-0000-0300-0000A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N1" authorId="0" shapeId="0" xr:uid="{00000000-0006-0000-0300-0000A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O1" authorId="0" shapeId="0" xr:uid="{00000000-0006-0000-0300-0000A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P1" authorId="0" shapeId="0" xr:uid="{00000000-0006-0000-0300-0000A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Q1" authorId="0" shapeId="0" xr:uid="{00000000-0006-0000-0300-0000A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R1" authorId="0" shapeId="0" xr:uid="{00000000-0006-0000-0300-0000A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S1" authorId="0" shapeId="0" xr:uid="{00000000-0006-0000-0300-0000A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T1" authorId="0" shapeId="0" xr:uid="{00000000-0006-0000-0300-0000A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U1" authorId="0" shapeId="0" xr:uid="{00000000-0006-0000-0300-0000B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V1" authorId="0" shapeId="0" xr:uid="{00000000-0006-0000-0300-0000B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W1" authorId="0" shapeId="0" xr:uid="{00000000-0006-0000-0300-0000B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X1" authorId="0" shapeId="0" xr:uid="{00000000-0006-0000-0300-0000B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Y1" authorId="0" shapeId="0" xr:uid="{00000000-0006-0000-0300-0000B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Z1" authorId="0" shapeId="0" xr:uid="{00000000-0006-0000-0300-0000B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A1" authorId="0" shapeId="0" xr:uid="{00000000-0006-0000-0300-0000B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B1" authorId="0" shapeId="0" xr:uid="{00000000-0006-0000-0300-0000B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C1" authorId="0" shapeId="0" xr:uid="{00000000-0006-0000-0300-0000B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D1" authorId="0" shapeId="0" xr:uid="{00000000-0006-0000-0300-0000B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E1" authorId="0" shapeId="0" xr:uid="{00000000-0006-0000-0300-0000B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F1" authorId="0" shapeId="0" xr:uid="{00000000-0006-0000-0300-0000B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G1" authorId="0" shapeId="0" xr:uid="{00000000-0006-0000-0300-0000B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H1" authorId="0" shapeId="0" xr:uid="{00000000-0006-0000-0300-0000B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I1" authorId="0" shapeId="0" xr:uid="{00000000-0006-0000-0300-0000B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J1" authorId="0" shapeId="0" xr:uid="{00000000-0006-0000-0300-0000B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K1" authorId="0" shapeId="0" xr:uid="{00000000-0006-0000-0300-0000C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L1" authorId="0" shapeId="0" xr:uid="{00000000-0006-0000-0300-0000C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M1" authorId="0" shapeId="0" xr:uid="{00000000-0006-0000-0300-0000C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N1" authorId="0" shapeId="0" xr:uid="{00000000-0006-0000-0300-0000C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O1" authorId="0" shapeId="0" xr:uid="{00000000-0006-0000-0300-0000C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P1" authorId="0" shapeId="0" xr:uid="{00000000-0006-0000-0300-0000C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Q1" authorId="0" shapeId="0" xr:uid="{00000000-0006-0000-0300-0000C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R1" authorId="0" shapeId="0" xr:uid="{00000000-0006-0000-0300-0000C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S1" authorId="0" shapeId="0" xr:uid="{00000000-0006-0000-0300-0000C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T1" authorId="0" shapeId="0" xr:uid="{00000000-0006-0000-0300-0000C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U1" authorId="0" shapeId="0" xr:uid="{00000000-0006-0000-0300-0000C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V1" authorId="0" shapeId="0" xr:uid="{00000000-0006-0000-0300-0000C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W1" authorId="0" shapeId="0" xr:uid="{00000000-0006-0000-0300-0000C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X1" authorId="0" shapeId="0" xr:uid="{00000000-0006-0000-0300-0000C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Y1" authorId="0" shapeId="0" xr:uid="{00000000-0006-0000-0300-0000C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Z1" authorId="0" shapeId="0" xr:uid="{00000000-0006-0000-0300-0000C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A1" authorId="0" shapeId="0" xr:uid="{00000000-0006-0000-0300-0000D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B1" authorId="0" shapeId="0" xr:uid="{00000000-0006-0000-0300-0000D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C1" authorId="0" shapeId="0" xr:uid="{00000000-0006-0000-0300-0000D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D1" authorId="0" shapeId="0" xr:uid="{00000000-0006-0000-0300-0000D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E1" authorId="0" shapeId="0" xr:uid="{00000000-0006-0000-0300-0000D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F1" authorId="0" shapeId="0" xr:uid="{00000000-0006-0000-0300-0000D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G1" authorId="0" shapeId="0" xr:uid="{00000000-0006-0000-0300-0000D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H1" authorId="0" shapeId="0" xr:uid="{00000000-0006-0000-0300-0000D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I1" authorId="0" shapeId="0" xr:uid="{00000000-0006-0000-0300-0000D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J1" authorId="0" shapeId="0" xr:uid="{00000000-0006-0000-0300-0000D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K1" authorId="0" shapeId="0" xr:uid="{00000000-0006-0000-0300-0000D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L1" authorId="0" shapeId="0" xr:uid="{00000000-0006-0000-0300-0000D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M1" authorId="0" shapeId="0" xr:uid="{00000000-0006-0000-0300-0000D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N1" authorId="0" shapeId="0" xr:uid="{00000000-0006-0000-0300-0000D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O1" authorId="0" shapeId="0" xr:uid="{00000000-0006-0000-0300-0000D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P1" authorId="0" shapeId="0" xr:uid="{00000000-0006-0000-0300-0000D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Q1" authorId="0" shapeId="0" xr:uid="{00000000-0006-0000-0300-0000E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R1" authorId="0" shapeId="0" xr:uid="{00000000-0006-0000-0300-0000E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S1" authorId="0" shapeId="0" xr:uid="{00000000-0006-0000-0300-0000E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T1" authorId="0" shapeId="0" xr:uid="{00000000-0006-0000-0300-0000E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U1" authorId="0" shapeId="0" xr:uid="{00000000-0006-0000-0300-0000E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V1" authorId="0" shapeId="0" xr:uid="{00000000-0006-0000-0300-0000E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W1" authorId="0" shapeId="0" xr:uid="{00000000-0006-0000-0300-0000E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X1" authorId="0" shapeId="0" xr:uid="{00000000-0006-0000-0300-0000E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Y1" authorId="0" shapeId="0" xr:uid="{00000000-0006-0000-0300-0000E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Z1" authorId="0" shapeId="0" xr:uid="{00000000-0006-0000-0300-0000E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A1" authorId="0" shapeId="0" xr:uid="{00000000-0006-0000-0300-0000E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B1" authorId="0" shapeId="0" xr:uid="{00000000-0006-0000-0300-0000E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C1" authorId="0" shapeId="0" xr:uid="{00000000-0006-0000-0300-0000E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D1" authorId="0" shapeId="0" xr:uid="{00000000-0006-0000-0300-0000E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E1" authorId="0" shapeId="0" xr:uid="{00000000-0006-0000-0300-0000E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F1" authorId="0" shapeId="0" xr:uid="{00000000-0006-0000-0300-0000E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G1" authorId="0" shapeId="0" xr:uid="{00000000-0006-0000-0300-0000F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H1" authorId="0" shapeId="0" xr:uid="{00000000-0006-0000-0300-0000F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I1" authorId="0" shapeId="0" xr:uid="{00000000-0006-0000-0300-0000F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J1" authorId="0" shapeId="0" xr:uid="{00000000-0006-0000-0300-0000F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K1" authorId="0" shapeId="0" xr:uid="{00000000-0006-0000-0300-0000F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L1" authorId="0" shapeId="0" xr:uid="{00000000-0006-0000-0300-0000F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M1" authorId="0" shapeId="0" xr:uid="{00000000-0006-0000-0300-0000F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N1" authorId="0" shapeId="0" xr:uid="{00000000-0006-0000-0300-0000F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O1" authorId="0" shapeId="0" xr:uid="{00000000-0006-0000-0300-0000F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P1" authorId="0" shapeId="0" xr:uid="{00000000-0006-0000-0300-0000F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Q1" authorId="0" shapeId="0" xr:uid="{00000000-0006-0000-0300-0000F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" authorId="0" shapeId="0" xr:uid="{00000000-0006-0000-0300-0000FB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4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1" authorId="0" shapeId="0" xr:uid="{00000000-0006-0000-04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1" authorId="0" shapeId="0" xr:uid="{00000000-0006-0000-04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1" authorId="0" shapeId="0" xr:uid="{00000000-0006-0000-04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1" authorId="0" shapeId="0" xr:uid="{00000000-0006-0000-04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1" authorId="0" shapeId="0" xr:uid="{00000000-0006-0000-04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1" authorId="0" shapeId="0" xr:uid="{00000000-0006-0000-04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1" authorId="0" shapeId="0" xr:uid="{00000000-0006-0000-04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J1" authorId="0" shapeId="0" xr:uid="{00000000-0006-0000-04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K1" authorId="0" shapeId="0" xr:uid="{00000000-0006-0000-04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L1" authorId="0" shapeId="0" xr:uid="{00000000-0006-0000-04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M1" authorId="0" shapeId="0" xr:uid="{00000000-0006-0000-04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N1" authorId="0" shapeId="0" xr:uid="{00000000-0006-0000-04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O1" authorId="0" shapeId="0" xr:uid="{00000000-0006-0000-04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P1" authorId="0" shapeId="0" xr:uid="{00000000-0006-0000-04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Q1" authorId="0" shapeId="0" xr:uid="{00000000-0006-0000-04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R1" authorId="0" shapeId="0" xr:uid="{00000000-0006-0000-04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S1" authorId="0" shapeId="0" xr:uid="{00000000-0006-0000-04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T1" authorId="0" shapeId="0" xr:uid="{00000000-0006-0000-04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U1" authorId="0" shapeId="0" xr:uid="{00000000-0006-0000-04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V1" authorId="0" shapeId="0" xr:uid="{00000000-0006-0000-04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W1" authorId="0" shapeId="0" xr:uid="{00000000-0006-0000-04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X1" authorId="0" shapeId="0" xr:uid="{00000000-0006-0000-04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Y1" authorId="0" shapeId="0" xr:uid="{00000000-0006-0000-04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Z1" authorId="0" shapeId="0" xr:uid="{00000000-0006-0000-04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A1" authorId="0" shapeId="0" xr:uid="{00000000-0006-0000-04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B1" authorId="0" shapeId="0" xr:uid="{00000000-0006-0000-04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C1" authorId="0" shapeId="0" xr:uid="{00000000-0006-0000-04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D1" authorId="0" shapeId="0" xr:uid="{00000000-0006-0000-04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E1" authorId="0" shapeId="0" xr:uid="{00000000-0006-0000-04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F1" authorId="0" shapeId="0" xr:uid="{00000000-0006-0000-04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G1" authorId="0" shapeId="0" xr:uid="{00000000-0006-0000-04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H1" authorId="0" shapeId="0" xr:uid="{00000000-0006-0000-04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I1" authorId="0" shapeId="0" xr:uid="{00000000-0006-0000-04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J1" authorId="0" shapeId="0" xr:uid="{00000000-0006-0000-04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K1" authorId="0" shapeId="0" xr:uid="{00000000-0006-0000-04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L1" authorId="0" shapeId="0" xr:uid="{00000000-0006-0000-04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M1" authorId="0" shapeId="0" xr:uid="{00000000-0006-0000-04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N1" authorId="0" shapeId="0" xr:uid="{00000000-0006-0000-04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O1" authorId="0" shapeId="0" xr:uid="{00000000-0006-0000-04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P1" authorId="0" shapeId="0" xr:uid="{00000000-0006-0000-04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Q1" authorId="0" shapeId="0" xr:uid="{00000000-0006-0000-04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R1" authorId="0" shapeId="0" xr:uid="{00000000-0006-0000-04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S1" authorId="0" shapeId="0" xr:uid="{00000000-0006-0000-04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T1" authorId="0" shapeId="0" xr:uid="{00000000-0006-0000-04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U1" authorId="0" shapeId="0" xr:uid="{00000000-0006-0000-04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V1" authorId="0" shapeId="0" xr:uid="{00000000-0006-0000-04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W1" authorId="0" shapeId="0" xr:uid="{00000000-0006-0000-04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X1" authorId="0" shapeId="0" xr:uid="{00000000-0006-0000-04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Y1" authorId="0" shapeId="0" xr:uid="{00000000-0006-0000-04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Z1" authorId="0" shapeId="0" xr:uid="{00000000-0006-0000-04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A1" authorId="0" shapeId="0" xr:uid="{00000000-0006-0000-04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B1" authorId="0" shapeId="0" xr:uid="{00000000-0006-0000-04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C1" authorId="0" shapeId="0" xr:uid="{00000000-0006-0000-04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D1" authorId="0" shapeId="0" xr:uid="{00000000-0006-0000-04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E1" authorId="0" shapeId="0" xr:uid="{00000000-0006-0000-04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F1" authorId="0" shapeId="0" xr:uid="{00000000-0006-0000-0400-00003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G1" authorId="0" shapeId="0" xr:uid="{00000000-0006-0000-0400-00003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H1" authorId="0" shapeId="0" xr:uid="{00000000-0006-0000-0400-00003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I1" authorId="0" shapeId="0" xr:uid="{00000000-0006-0000-0400-00003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J1" authorId="0" shapeId="0" xr:uid="{00000000-0006-0000-0400-00003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K1" authorId="0" shapeId="0" xr:uid="{00000000-0006-0000-0400-00003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L1" authorId="0" shapeId="0" xr:uid="{00000000-0006-0000-0400-00003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M1" authorId="0" shapeId="0" xr:uid="{00000000-0006-0000-0400-00004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N1" authorId="0" shapeId="0" xr:uid="{00000000-0006-0000-0400-00004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O1" authorId="0" shapeId="0" xr:uid="{00000000-0006-0000-0400-00004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P1" authorId="0" shapeId="0" xr:uid="{00000000-0006-0000-0400-00004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Q1" authorId="0" shapeId="0" xr:uid="{00000000-0006-0000-0400-00004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R1" authorId="0" shapeId="0" xr:uid="{00000000-0006-0000-0400-00004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S1" authorId="0" shapeId="0" xr:uid="{00000000-0006-0000-0400-00004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T1" authorId="0" shapeId="0" xr:uid="{00000000-0006-0000-0400-00004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U1" authorId="0" shapeId="0" xr:uid="{00000000-0006-0000-0400-00004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V1" authorId="0" shapeId="0" xr:uid="{00000000-0006-0000-0400-00004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W1" authorId="0" shapeId="0" xr:uid="{00000000-0006-0000-0400-00004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X1" authorId="0" shapeId="0" xr:uid="{00000000-0006-0000-0400-00004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Y1" authorId="0" shapeId="0" xr:uid="{00000000-0006-0000-0400-00004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Z1" authorId="0" shapeId="0" xr:uid="{00000000-0006-0000-0400-00004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A1" authorId="0" shapeId="0" xr:uid="{00000000-0006-0000-0400-00004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B1" authorId="0" shapeId="0" xr:uid="{00000000-0006-0000-0400-00004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C1" authorId="0" shapeId="0" xr:uid="{00000000-0006-0000-0400-00005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D1" authorId="0" shapeId="0" xr:uid="{00000000-0006-0000-0400-00005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E1" authorId="0" shapeId="0" xr:uid="{00000000-0006-0000-0400-00005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F1" authorId="0" shapeId="0" xr:uid="{00000000-0006-0000-0400-00005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G1" authorId="0" shapeId="0" xr:uid="{00000000-0006-0000-0400-00005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H1" authorId="0" shapeId="0" xr:uid="{00000000-0006-0000-0400-00005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I1" authorId="0" shapeId="0" xr:uid="{00000000-0006-0000-0400-00005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J1" authorId="0" shapeId="0" xr:uid="{00000000-0006-0000-0400-00005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K1" authorId="0" shapeId="0" xr:uid="{00000000-0006-0000-0400-00005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L1" authorId="0" shapeId="0" xr:uid="{00000000-0006-0000-0400-00005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M1" authorId="0" shapeId="0" xr:uid="{00000000-0006-0000-0400-00005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N1" authorId="0" shapeId="0" xr:uid="{00000000-0006-0000-0400-00005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O1" authorId="0" shapeId="0" xr:uid="{00000000-0006-0000-0400-00005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P1" authorId="0" shapeId="0" xr:uid="{00000000-0006-0000-0400-00005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Q1" authorId="0" shapeId="0" xr:uid="{00000000-0006-0000-0400-00005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R1" authorId="0" shapeId="0" xr:uid="{00000000-0006-0000-0400-00005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S1" authorId="0" shapeId="0" xr:uid="{00000000-0006-0000-0400-00006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T1" authorId="0" shapeId="0" xr:uid="{00000000-0006-0000-0400-00006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U1" authorId="0" shapeId="0" xr:uid="{00000000-0006-0000-0400-00006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V1" authorId="0" shapeId="0" xr:uid="{00000000-0006-0000-0400-00006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W1" authorId="0" shapeId="0" xr:uid="{00000000-0006-0000-0400-00006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X1" authorId="0" shapeId="0" xr:uid="{00000000-0006-0000-0400-00006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Y1" authorId="0" shapeId="0" xr:uid="{00000000-0006-0000-0400-00006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Z1" authorId="0" shapeId="0" xr:uid="{00000000-0006-0000-0400-00006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A1" authorId="0" shapeId="0" xr:uid="{00000000-0006-0000-0400-00006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B1" authorId="0" shapeId="0" xr:uid="{00000000-0006-0000-0400-00006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C1" authorId="0" shapeId="0" xr:uid="{00000000-0006-0000-0400-00006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D1" authorId="0" shapeId="0" xr:uid="{00000000-0006-0000-0400-00006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E1" authorId="0" shapeId="0" xr:uid="{00000000-0006-0000-0400-00006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F1" authorId="0" shapeId="0" xr:uid="{00000000-0006-0000-0400-00006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G1" authorId="0" shapeId="0" xr:uid="{00000000-0006-0000-0400-00006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H1" authorId="0" shapeId="0" xr:uid="{00000000-0006-0000-0400-00006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I1" authorId="0" shapeId="0" xr:uid="{00000000-0006-0000-0400-00007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J1" authorId="0" shapeId="0" xr:uid="{00000000-0006-0000-0400-00007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K1" authorId="0" shapeId="0" xr:uid="{00000000-0006-0000-0400-00007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L1" authorId="0" shapeId="0" xr:uid="{00000000-0006-0000-0400-00007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M1" authorId="0" shapeId="0" xr:uid="{00000000-0006-0000-0400-00007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N1" authorId="0" shapeId="0" xr:uid="{00000000-0006-0000-0400-00007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O1" authorId="0" shapeId="0" xr:uid="{00000000-0006-0000-0400-00007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P1" authorId="0" shapeId="0" xr:uid="{00000000-0006-0000-0400-00007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Q1" authorId="0" shapeId="0" xr:uid="{00000000-0006-0000-0400-00007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R1" authorId="0" shapeId="0" xr:uid="{00000000-0006-0000-0400-00007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S1" authorId="0" shapeId="0" xr:uid="{00000000-0006-0000-0400-00007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T1" authorId="0" shapeId="0" xr:uid="{00000000-0006-0000-0400-00007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U1" authorId="0" shapeId="0" xr:uid="{00000000-0006-0000-0400-00007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V1" authorId="0" shapeId="0" xr:uid="{00000000-0006-0000-0400-00007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W1" authorId="0" shapeId="0" xr:uid="{00000000-0006-0000-0400-00007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X1" authorId="0" shapeId="0" xr:uid="{00000000-0006-0000-0400-00007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Y1" authorId="0" shapeId="0" xr:uid="{00000000-0006-0000-0400-00008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Z1" authorId="0" shapeId="0" xr:uid="{00000000-0006-0000-0400-00008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A1" authorId="0" shapeId="0" xr:uid="{00000000-0006-0000-0400-00008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B1" authorId="0" shapeId="0" xr:uid="{00000000-0006-0000-0400-00008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C1" authorId="0" shapeId="0" xr:uid="{00000000-0006-0000-0400-00008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D1" authorId="0" shapeId="0" xr:uid="{00000000-0006-0000-0400-00008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E1" authorId="0" shapeId="0" xr:uid="{00000000-0006-0000-0400-00008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F1" authorId="0" shapeId="0" xr:uid="{00000000-0006-0000-0400-00008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G1" authorId="0" shapeId="0" xr:uid="{00000000-0006-0000-0400-00008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H1" authorId="0" shapeId="0" xr:uid="{00000000-0006-0000-0400-00008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I1" authorId="0" shapeId="0" xr:uid="{00000000-0006-0000-0400-00008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J1" authorId="0" shapeId="0" xr:uid="{00000000-0006-0000-0400-00008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K1" authorId="0" shapeId="0" xr:uid="{00000000-0006-0000-0400-00008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L1" authorId="0" shapeId="0" xr:uid="{00000000-0006-0000-0400-00008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M1" authorId="0" shapeId="0" xr:uid="{00000000-0006-0000-0400-00008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N1" authorId="0" shapeId="0" xr:uid="{00000000-0006-0000-0400-00008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O1" authorId="0" shapeId="0" xr:uid="{00000000-0006-0000-0400-00009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P1" authorId="0" shapeId="0" xr:uid="{00000000-0006-0000-0400-00009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Q1" authorId="0" shapeId="0" xr:uid="{00000000-0006-0000-0400-00009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R1" authorId="0" shapeId="0" xr:uid="{00000000-0006-0000-0400-00009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S1" authorId="0" shapeId="0" xr:uid="{00000000-0006-0000-0400-00009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T1" authorId="0" shapeId="0" xr:uid="{00000000-0006-0000-0400-00009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U1" authorId="0" shapeId="0" xr:uid="{00000000-0006-0000-0400-00009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V1" authorId="0" shapeId="0" xr:uid="{00000000-0006-0000-0400-00009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W1" authorId="0" shapeId="0" xr:uid="{00000000-0006-0000-0400-00009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X1" authorId="0" shapeId="0" xr:uid="{00000000-0006-0000-0400-00009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Y1" authorId="0" shapeId="0" xr:uid="{00000000-0006-0000-0400-00009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Z1" authorId="0" shapeId="0" xr:uid="{00000000-0006-0000-0400-00009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A1" authorId="0" shapeId="0" xr:uid="{00000000-0006-0000-0400-00009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B1" authorId="0" shapeId="0" xr:uid="{00000000-0006-0000-0400-00009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C1" authorId="0" shapeId="0" xr:uid="{00000000-0006-0000-0400-00009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D1" authorId="0" shapeId="0" xr:uid="{00000000-0006-0000-0400-00009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E1" authorId="0" shapeId="0" xr:uid="{00000000-0006-0000-0400-0000A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F1" authorId="0" shapeId="0" xr:uid="{00000000-0006-0000-0400-0000A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G1" authorId="0" shapeId="0" xr:uid="{00000000-0006-0000-0400-0000A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H1" authorId="0" shapeId="0" xr:uid="{00000000-0006-0000-0400-0000A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I1" authorId="0" shapeId="0" xr:uid="{00000000-0006-0000-0400-0000A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J1" authorId="0" shapeId="0" xr:uid="{00000000-0006-0000-0400-0000A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K1" authorId="0" shapeId="0" xr:uid="{00000000-0006-0000-0400-0000A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L1" authorId="0" shapeId="0" xr:uid="{00000000-0006-0000-0400-0000A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M1" authorId="0" shapeId="0" xr:uid="{00000000-0006-0000-0400-0000A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N1" authorId="0" shapeId="0" xr:uid="{00000000-0006-0000-0400-0000A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O1" authorId="0" shapeId="0" xr:uid="{00000000-0006-0000-0400-0000A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P1" authorId="0" shapeId="0" xr:uid="{00000000-0006-0000-0400-0000A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Q1" authorId="0" shapeId="0" xr:uid="{00000000-0006-0000-0400-0000A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R1" authorId="0" shapeId="0" xr:uid="{00000000-0006-0000-0400-0000A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S1" authorId="0" shapeId="0" xr:uid="{00000000-0006-0000-0400-0000A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T1" authorId="0" shapeId="0" xr:uid="{00000000-0006-0000-0400-0000A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U1" authorId="0" shapeId="0" xr:uid="{00000000-0006-0000-0400-0000B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V1" authorId="0" shapeId="0" xr:uid="{00000000-0006-0000-0400-0000B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W1" authorId="0" shapeId="0" xr:uid="{00000000-0006-0000-0400-0000B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X1" authorId="0" shapeId="0" xr:uid="{00000000-0006-0000-0400-0000B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Y1" authorId="0" shapeId="0" xr:uid="{00000000-0006-0000-0400-0000B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Z1" authorId="0" shapeId="0" xr:uid="{00000000-0006-0000-0400-0000B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A1" authorId="0" shapeId="0" xr:uid="{00000000-0006-0000-0400-0000B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B1" authorId="0" shapeId="0" xr:uid="{00000000-0006-0000-0400-0000B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C1" authorId="0" shapeId="0" xr:uid="{00000000-0006-0000-0400-0000B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D1" authorId="0" shapeId="0" xr:uid="{00000000-0006-0000-0400-0000B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E1" authorId="0" shapeId="0" xr:uid="{00000000-0006-0000-0400-0000B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F1" authorId="0" shapeId="0" xr:uid="{00000000-0006-0000-0400-0000B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G1" authorId="0" shapeId="0" xr:uid="{00000000-0006-0000-0400-0000B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H1" authorId="0" shapeId="0" xr:uid="{00000000-0006-0000-0400-0000B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I1" authorId="0" shapeId="0" xr:uid="{00000000-0006-0000-0400-0000B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J1" authorId="0" shapeId="0" xr:uid="{00000000-0006-0000-0400-0000B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K1" authorId="0" shapeId="0" xr:uid="{00000000-0006-0000-0400-0000C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L1" authorId="0" shapeId="0" xr:uid="{00000000-0006-0000-0400-0000C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M1" authorId="0" shapeId="0" xr:uid="{00000000-0006-0000-0400-0000C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N1" authorId="0" shapeId="0" xr:uid="{00000000-0006-0000-0400-0000C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O1" authorId="0" shapeId="0" xr:uid="{00000000-0006-0000-0400-0000C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P1" authorId="0" shapeId="0" xr:uid="{00000000-0006-0000-0400-0000C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Q1" authorId="0" shapeId="0" xr:uid="{00000000-0006-0000-0400-0000C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R1" authorId="0" shapeId="0" xr:uid="{00000000-0006-0000-0400-0000C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S1" authorId="0" shapeId="0" xr:uid="{00000000-0006-0000-0400-0000C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T1" authorId="0" shapeId="0" xr:uid="{00000000-0006-0000-0400-0000C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U1" authorId="0" shapeId="0" xr:uid="{00000000-0006-0000-0400-0000C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V1" authorId="0" shapeId="0" xr:uid="{00000000-0006-0000-0400-0000C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W1" authorId="0" shapeId="0" xr:uid="{00000000-0006-0000-0400-0000C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X1" authorId="0" shapeId="0" xr:uid="{00000000-0006-0000-0400-0000C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Y1" authorId="0" shapeId="0" xr:uid="{00000000-0006-0000-0400-0000C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Z1" authorId="0" shapeId="0" xr:uid="{00000000-0006-0000-0400-0000C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A1" authorId="0" shapeId="0" xr:uid="{00000000-0006-0000-0400-0000D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B1" authorId="0" shapeId="0" xr:uid="{00000000-0006-0000-0400-0000D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C1" authorId="0" shapeId="0" xr:uid="{00000000-0006-0000-0400-0000D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D1" authorId="0" shapeId="0" xr:uid="{00000000-0006-0000-0400-0000D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E1" authorId="0" shapeId="0" xr:uid="{00000000-0006-0000-0400-0000D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F1" authorId="0" shapeId="0" xr:uid="{00000000-0006-0000-0400-0000D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G1" authorId="0" shapeId="0" xr:uid="{00000000-0006-0000-0400-0000D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H1" authorId="0" shapeId="0" xr:uid="{00000000-0006-0000-0400-0000D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I1" authorId="0" shapeId="0" xr:uid="{00000000-0006-0000-0400-0000D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J1" authorId="0" shapeId="0" xr:uid="{00000000-0006-0000-0400-0000D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K1" authorId="0" shapeId="0" xr:uid="{00000000-0006-0000-0400-0000D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L1" authorId="0" shapeId="0" xr:uid="{00000000-0006-0000-0400-0000D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M1" authorId="0" shapeId="0" xr:uid="{00000000-0006-0000-0400-0000D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N1" authorId="0" shapeId="0" xr:uid="{00000000-0006-0000-0400-0000D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O1" authorId="0" shapeId="0" xr:uid="{00000000-0006-0000-0400-0000D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P1" authorId="0" shapeId="0" xr:uid="{00000000-0006-0000-0400-0000D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Q1" authorId="0" shapeId="0" xr:uid="{00000000-0006-0000-0400-0000E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R1" authorId="0" shapeId="0" xr:uid="{00000000-0006-0000-0400-0000E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S1" authorId="0" shapeId="0" xr:uid="{00000000-0006-0000-0400-0000E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T1" authorId="0" shapeId="0" xr:uid="{00000000-0006-0000-0400-0000E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U1" authorId="0" shapeId="0" xr:uid="{00000000-0006-0000-0400-0000E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V1" authorId="0" shapeId="0" xr:uid="{00000000-0006-0000-0400-0000E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W1" authorId="0" shapeId="0" xr:uid="{00000000-0006-0000-0400-0000E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X1" authorId="0" shapeId="0" xr:uid="{00000000-0006-0000-0400-0000E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Y1" authorId="0" shapeId="0" xr:uid="{00000000-0006-0000-0400-0000E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Z1" authorId="0" shapeId="0" xr:uid="{00000000-0006-0000-0400-0000E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A1" authorId="0" shapeId="0" xr:uid="{00000000-0006-0000-0400-0000E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B1" authorId="0" shapeId="0" xr:uid="{00000000-0006-0000-0400-0000E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C1" authorId="0" shapeId="0" xr:uid="{00000000-0006-0000-0400-0000E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D1" authorId="0" shapeId="0" xr:uid="{00000000-0006-0000-0400-0000E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E1" authorId="0" shapeId="0" xr:uid="{00000000-0006-0000-0400-0000E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F1" authorId="0" shapeId="0" xr:uid="{00000000-0006-0000-0400-0000E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G1" authorId="0" shapeId="0" xr:uid="{00000000-0006-0000-0400-0000F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H1" authorId="0" shapeId="0" xr:uid="{00000000-0006-0000-0400-0000F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I1" authorId="0" shapeId="0" xr:uid="{00000000-0006-0000-0400-0000F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J1" authorId="0" shapeId="0" xr:uid="{00000000-0006-0000-0400-0000F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K1" authorId="0" shapeId="0" xr:uid="{00000000-0006-0000-0400-0000F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L1" authorId="0" shapeId="0" xr:uid="{00000000-0006-0000-0400-0000F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M1" authorId="0" shapeId="0" xr:uid="{00000000-0006-0000-0400-0000F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N1" authorId="0" shapeId="0" xr:uid="{00000000-0006-0000-0400-0000F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O1" authorId="0" shapeId="0" xr:uid="{00000000-0006-0000-0400-0000F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P1" authorId="0" shapeId="0" xr:uid="{00000000-0006-0000-0400-0000F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Q1" authorId="0" shapeId="0" xr:uid="{00000000-0006-0000-0400-0000F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" authorId="0" shapeId="0" xr:uid="{00000000-0006-0000-0400-0000FB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5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1" authorId="0" shapeId="0" xr:uid="{00000000-0006-0000-05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1" authorId="0" shapeId="0" xr:uid="{00000000-0006-0000-05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1" authorId="0" shapeId="0" xr:uid="{00000000-0006-0000-05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1" authorId="0" shapeId="0" xr:uid="{00000000-0006-0000-05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1" authorId="0" shapeId="0" xr:uid="{00000000-0006-0000-05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1" authorId="0" shapeId="0" xr:uid="{00000000-0006-0000-05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1" authorId="0" shapeId="0" xr:uid="{00000000-0006-0000-05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J1" authorId="0" shapeId="0" xr:uid="{00000000-0006-0000-05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K1" authorId="0" shapeId="0" xr:uid="{00000000-0006-0000-05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L1" authorId="0" shapeId="0" xr:uid="{00000000-0006-0000-0500-00000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M1" authorId="0" shapeId="0" xr:uid="{00000000-0006-0000-0500-00000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N1" authorId="0" shapeId="0" xr:uid="{00000000-0006-0000-0500-00000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O1" authorId="0" shapeId="0" xr:uid="{00000000-0006-0000-0500-00000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P1" authorId="0" shapeId="0" xr:uid="{00000000-0006-0000-0500-00000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Q1" authorId="0" shapeId="0" xr:uid="{00000000-0006-0000-0500-00001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R1" authorId="0" shapeId="0" xr:uid="{00000000-0006-0000-0500-00001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S1" authorId="0" shapeId="0" xr:uid="{00000000-0006-0000-0500-00001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T1" authorId="0" shapeId="0" xr:uid="{00000000-0006-0000-0500-00001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U1" authorId="0" shapeId="0" xr:uid="{00000000-0006-0000-0500-00001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V1" authorId="0" shapeId="0" xr:uid="{00000000-0006-0000-0500-00001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W1" authorId="0" shapeId="0" xr:uid="{00000000-0006-0000-0500-00001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X1" authorId="0" shapeId="0" xr:uid="{00000000-0006-0000-0500-00001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Y1" authorId="0" shapeId="0" xr:uid="{00000000-0006-0000-0500-00001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Z1" authorId="0" shapeId="0" xr:uid="{00000000-0006-0000-0500-00001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A1" authorId="0" shapeId="0" xr:uid="{00000000-0006-0000-0500-00001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B1" authorId="0" shapeId="0" xr:uid="{00000000-0006-0000-0500-00001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C1" authorId="0" shapeId="0" xr:uid="{00000000-0006-0000-0500-00001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D1" authorId="0" shapeId="0" xr:uid="{00000000-0006-0000-0500-00001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E1" authorId="0" shapeId="0" xr:uid="{00000000-0006-0000-0500-00001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F1" authorId="0" shapeId="0" xr:uid="{00000000-0006-0000-0500-00001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G1" authorId="0" shapeId="0" xr:uid="{00000000-0006-0000-0500-00002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H1" authorId="0" shapeId="0" xr:uid="{00000000-0006-0000-0500-00002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I1" authorId="0" shapeId="0" xr:uid="{00000000-0006-0000-0500-00002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J1" authorId="0" shapeId="0" xr:uid="{00000000-0006-0000-0500-00002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K1" authorId="0" shapeId="0" xr:uid="{00000000-0006-0000-0500-00002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L1" authorId="0" shapeId="0" xr:uid="{00000000-0006-0000-0500-00002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M1" authorId="0" shapeId="0" xr:uid="{00000000-0006-0000-0500-00002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N1" authorId="0" shapeId="0" xr:uid="{00000000-0006-0000-0500-00002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O1" authorId="0" shapeId="0" xr:uid="{00000000-0006-0000-0500-00002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P1" authorId="0" shapeId="0" xr:uid="{00000000-0006-0000-0500-00002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Q1" authorId="0" shapeId="0" xr:uid="{00000000-0006-0000-0500-00002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R1" authorId="0" shapeId="0" xr:uid="{00000000-0006-0000-0500-00002B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S1" authorId="0" shapeId="0" xr:uid="{00000000-0006-0000-0500-00002C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T1" authorId="0" shapeId="0" xr:uid="{00000000-0006-0000-0500-00002D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U1" authorId="0" shapeId="0" xr:uid="{00000000-0006-0000-0500-00002E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V1" authorId="0" shapeId="0" xr:uid="{00000000-0006-0000-0500-00002F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W1" authorId="0" shapeId="0" xr:uid="{00000000-0006-0000-0500-000030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X1" authorId="0" shapeId="0" xr:uid="{00000000-0006-0000-0500-00003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Y1" authorId="0" shapeId="0" xr:uid="{00000000-0006-0000-0500-00003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Z1" authorId="0" shapeId="0" xr:uid="{00000000-0006-0000-0500-00003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A1" authorId="0" shapeId="0" xr:uid="{00000000-0006-0000-0500-00003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B1" authorId="0" shapeId="0" xr:uid="{00000000-0006-0000-0500-00003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C1" authorId="0" shapeId="0" xr:uid="{00000000-0006-0000-0500-00003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D1" authorId="0" shapeId="0" xr:uid="{00000000-0006-0000-0500-00003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BE1" authorId="0" shapeId="0" xr:uid="{00000000-0006-0000-0500-00003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" authorId="0" shapeId="0" xr:uid="{00000000-0006-0000-0500-000039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<sst xmlns="http://schemas.openxmlformats.org/spreadsheetml/2006/main" count="12882" uniqueCount="2141">
  <si>
    <t>Index Numbers ;  All groups CPI ;  Sydney ;</t>
  </si>
  <si>
    <t>Index Numbers ;  Food and non-alcoholic beverages ;  Sydney ;</t>
  </si>
  <si>
    <t>Index Numbers ;  Bread and cereal products ;  Sydney ;</t>
  </si>
  <si>
    <t>Index Numbers ;  Bread ;  Sydney ;</t>
  </si>
  <si>
    <t>Index Numbers ;  Cakes and biscuits ;  Sydney ;</t>
  </si>
  <si>
    <t>Index Numbers ;  Breakfast cereals ;  Sydney ;</t>
  </si>
  <si>
    <t>Index Numbers ;  Other cereal products ;  Sydney ;</t>
  </si>
  <si>
    <t>Index Numbers ;  Meat and seafoods ;  Sydney ;</t>
  </si>
  <si>
    <t>Index Numbers ;  Beef and veal ;  Sydney ;</t>
  </si>
  <si>
    <t>Index Numbers ;  Pork ;  Sydney ;</t>
  </si>
  <si>
    <t>Index Numbers ;  Lamb and goat ;  Sydney ;</t>
  </si>
  <si>
    <t>Index Numbers ;  Poultry ;  Sydney ;</t>
  </si>
  <si>
    <t>Index Numbers ;  Other meats ;  Sydney ;</t>
  </si>
  <si>
    <t>Index Numbers ;  Fish and other seafood ;  Sydney ;</t>
  </si>
  <si>
    <t>Index Numbers ;  Dairy and related products ;  Sydney ;</t>
  </si>
  <si>
    <t>Index Numbers ;  Milk ;  Sydney ;</t>
  </si>
  <si>
    <t>Index Numbers ;  Cheese ;  Sydney ;</t>
  </si>
  <si>
    <t>Index Numbers ;  Ice cream and other dairy products ;  Sydney ;</t>
  </si>
  <si>
    <t>Index Numbers ;  Fruit and vegetables ;  Sydney ;</t>
  </si>
  <si>
    <t>Index Numbers ;  Fruit ;  Sydney ;</t>
  </si>
  <si>
    <t>Index Numbers ;  Vegetables ;  Sydney ;</t>
  </si>
  <si>
    <t>Index Numbers ;  Food products n.e.c. ;  Sydney ;</t>
  </si>
  <si>
    <t>Index Numbers ;  Eggs ;  Sydney ;</t>
  </si>
  <si>
    <t>Index Numbers ;  Jams, honey and spreads ;  Sydney ;</t>
  </si>
  <si>
    <t>Index Numbers ;  Food additives and condiments ;  Sydney ;</t>
  </si>
  <si>
    <t>Index Numbers ;  Oils and fats ;  Sydney ;</t>
  </si>
  <si>
    <t>Index Numbers ;  Snacks and confectionery ;  Sydney ;</t>
  </si>
  <si>
    <t>Index Numbers ;  Other food products n.e.c. ;  Sydney ;</t>
  </si>
  <si>
    <t>Index Numbers ;  Non-alcoholic beverages ;  Sydney ;</t>
  </si>
  <si>
    <t>Index Numbers ;  Coffee, tea and cocoa ;  Sydney ;</t>
  </si>
  <si>
    <t>Index Numbers ;  Waters, soft drinks and juices ;  Sydney ;</t>
  </si>
  <si>
    <t>Index Numbers ;  Meals out and take away foods ;  Sydney ;</t>
  </si>
  <si>
    <t>Index Numbers ;  Restaurant meals ;  Sydney ;</t>
  </si>
  <si>
    <t>Index Numbers ;  Take away and fast foods ;  Sydney ;</t>
  </si>
  <si>
    <t>Index Numbers ;  Alcohol and tobacco ;  Sydney ;</t>
  </si>
  <si>
    <t>Index Numbers ;  Alcoholic beverages ;  Sydney ;</t>
  </si>
  <si>
    <t>Index Numbers ;  Spirits ;  Sydney ;</t>
  </si>
  <si>
    <t>Index Numbers ;  Wine ;  Sydney ;</t>
  </si>
  <si>
    <t>Index Numbers ;  Beer ;  Sydney ;</t>
  </si>
  <si>
    <t>Index Numbers ;  Tobacco ;  Sydney ;</t>
  </si>
  <si>
    <t>Index Numbers ;  Clothing and footwear ;  Sydney ;</t>
  </si>
  <si>
    <t>Index Numbers ;  Garments ;  Sydney ;</t>
  </si>
  <si>
    <t>Index Numbers ;  Garments for men ;  Sydney ;</t>
  </si>
  <si>
    <t>Index Numbers ;  Garments for women ;  Sydney ;</t>
  </si>
  <si>
    <t>Index Numbers ;  Garments for infants and children ;  Sydney ;</t>
  </si>
  <si>
    <t>Index Numbers ;  Footwear ;  Sydney ;</t>
  </si>
  <si>
    <t>Index Numbers ;  Footwear for men ;  Sydney ;</t>
  </si>
  <si>
    <t>Index Numbers ;  Footwear for women ;  Sydney ;</t>
  </si>
  <si>
    <t>Index Numbers ;  Footwear for infants and children ;  Sydney ;</t>
  </si>
  <si>
    <t>Index Numbers ;  Accessories and clothing services ;  Sydney ;</t>
  </si>
  <si>
    <t>Index Numbers ;  Accessories ;  Sydney ;</t>
  </si>
  <si>
    <t>Index Numbers ;  Cleaning, repair and hire of clothing and footwear ;  Sydney ;</t>
  </si>
  <si>
    <t>Index Numbers ;  Housing ;  Sydney ;</t>
  </si>
  <si>
    <t>Index Numbers ;  Rents ;  Sydney ;</t>
  </si>
  <si>
    <t>Index Numbers ;  New dwelling purchase by owner-occupiers ;  Sydney ;</t>
  </si>
  <si>
    <t>Index Numbers ;  Other housing ;  Sydney ;</t>
  </si>
  <si>
    <t>Index Numbers ;  Maintenance and repair of the dwelling ;  Sydney ;</t>
  </si>
  <si>
    <t>Index Numbers ;  Property rates and charges ;  Sydney ;</t>
  </si>
  <si>
    <t>Index Numbers ;  Utilities ;  Sydney ;</t>
  </si>
  <si>
    <t>Index Numbers ;  Water and sewerage ;  Sydney ;</t>
  </si>
  <si>
    <t>Index Numbers ;  Electricity ;  Sydney ;</t>
  </si>
  <si>
    <t>Index Numbers ;  Gas and other household fuels ;  Sydney ;</t>
  </si>
  <si>
    <t>Index Numbers ;  Furnishings, household equipment and services ;  Sydney ;</t>
  </si>
  <si>
    <t>Index Numbers ;  Furniture and furnishings ;  Sydney ;</t>
  </si>
  <si>
    <t>Index Numbers ;  Furniture ;  Sydney ;</t>
  </si>
  <si>
    <t>Index Numbers ;  Carpets and other floor coverings ;  Sydney ;</t>
  </si>
  <si>
    <t>Index Numbers ;  Household textiles ;  Sydney ;</t>
  </si>
  <si>
    <t>Index Numbers ;  Household appliances, utensils and tools ;  Sydney ;</t>
  </si>
  <si>
    <t>Index Numbers ;  Major household appliances ;  Sydney ;</t>
  </si>
  <si>
    <t>Index Numbers ;  Small electric household appliances ;  Sydney ;</t>
  </si>
  <si>
    <t>Index Numbers ;  Glassware, tableware and household utensils ;  Sydney ;</t>
  </si>
  <si>
    <t>Index Numbers ;  Tools and equipment for house and garden ;  Sydney ;</t>
  </si>
  <si>
    <t>Index Numbers ;  Non-durable household products ;  Sydney ;</t>
  </si>
  <si>
    <t>Index Numbers ;  Cleaning and maintenance products ;  Sydney ;</t>
  </si>
  <si>
    <t>Index Numbers ;  Personal care products ;  Sydney ;</t>
  </si>
  <si>
    <t>Index Numbers ;  Other non-durable household products ;  Sydney ;</t>
  </si>
  <si>
    <t>Index Numbers ;  Domestic and household services ;  Sydney ;</t>
  </si>
  <si>
    <t>Index Numbers ;  Child care ;  Sydney ;</t>
  </si>
  <si>
    <t>Index Numbers ;  Hairdressing and personal grooming services ;  Sydney ;</t>
  </si>
  <si>
    <t>Index Numbers ;  Other household services ;  Sydney ;</t>
  </si>
  <si>
    <t>Index Numbers ;  Health ;  Sydney ;</t>
  </si>
  <si>
    <t>Index Numbers ;  Medical products, appliances and equipment ;  Sydney ;</t>
  </si>
  <si>
    <t>Index Numbers ;  Pharmaceutical products ;  Sydney ;</t>
  </si>
  <si>
    <t>Index Numbers ;  Therapeutic appliances and equipment ;  Sydney ;</t>
  </si>
  <si>
    <t>Index Numbers ;  Medical, dental and hospital services ;  Sydney ;</t>
  </si>
  <si>
    <t>Index Numbers ;  Medical and hospital services ;  Sydney ;</t>
  </si>
  <si>
    <t>Index Numbers ;  Dental services ;  Sydney ;</t>
  </si>
  <si>
    <t>Index Numbers ;  Transport ;  Sydney ;</t>
  </si>
  <si>
    <t>Index Numbers ;  Private motoring ;  Sydney ;</t>
  </si>
  <si>
    <t>Index Numbers ;  Motor vehicles ;  Sydney ;</t>
  </si>
  <si>
    <t>Index Numbers ;  Spare parts and accessories for motor vehicles ;  Sydney ;</t>
  </si>
  <si>
    <t>Index Numbers ;  Automotive fuel ;  Sydney ;</t>
  </si>
  <si>
    <t>Index Numbers ;  Maintenance and repair of motor vehicles ;  Sydney ;</t>
  </si>
  <si>
    <t>Index Numbers ;  Other services in respect of motor vehicles ;  Sydney ;</t>
  </si>
  <si>
    <t>Index Numbers ;  Urban transport fares ;  Sydney ;</t>
  </si>
  <si>
    <t>Index Numbers ;  Communication ;  Sydney ;</t>
  </si>
  <si>
    <t>Index Numbers ;  Postal services ;  Sydney ;</t>
  </si>
  <si>
    <t>Index Numbers ;  Telecommunication equipment and services ;  Sydney ;</t>
  </si>
  <si>
    <t>Index Numbers ;  Recreation and culture ;  Sydney ;</t>
  </si>
  <si>
    <t>Index Numbers ;  Audio, visual and computing equipment and services ;  Sydney ;</t>
  </si>
  <si>
    <t>Index Numbers ;  Audio, visual and computing equipment ;  Sydney ;</t>
  </si>
  <si>
    <t>Index Numbers ;  Audio, visual and computing media and services ;  Sydney ;</t>
  </si>
  <si>
    <t>Index Numbers ;  Newspapers, books and stationery ;  Sydney ;</t>
  </si>
  <si>
    <t>Index Numbers ;  Books ;  Sydney ;</t>
  </si>
  <si>
    <t>Index Numbers ;  Newspapers, magazines and stationery ;  Sydney ;</t>
  </si>
  <si>
    <t>Index Numbers ;  Holiday travel and accommodation ;  Sydney ;</t>
  </si>
  <si>
    <t>Index Numbers ;  Domestic holiday travel and accommodation ;  Sydney ;</t>
  </si>
  <si>
    <t>Index Numbers ;  International holiday travel and accommodation ;  Sydney ;</t>
  </si>
  <si>
    <t>Index Numbers ;  Other recreation, sport and culture ;  Sydney ;</t>
  </si>
  <si>
    <t>Index Numbers ;  Equipment for sports, camping and open-air recreation ;  Sydney ;</t>
  </si>
  <si>
    <t>Index Numbers ;  Games, toys and hobbies ;  Sydney ;</t>
  </si>
  <si>
    <t>Index Numbers ;  Pets and related products ;  Sydney ;</t>
  </si>
  <si>
    <t>Index Numbers ;  Veterinary and other services for pets ;  Sydney ;</t>
  </si>
  <si>
    <t>Index Numbers ;  Sports participation ;  Sydney ;</t>
  </si>
  <si>
    <t>Index Numbers ;  Other recreational, sporting and cultural services ;  Sydney ;</t>
  </si>
  <si>
    <t>Index Numbers ;  Education ;  Sydney ;</t>
  </si>
  <si>
    <t>Index Numbers ;  Preschool and primary education ;  Sydney ;</t>
  </si>
  <si>
    <t>Index Numbers ;  Secondary education ;  Sydney ;</t>
  </si>
  <si>
    <t>Index Numbers ;  Tertiary education ;  Sydney ;</t>
  </si>
  <si>
    <t>Index Numbers ;  Insurance and financial services ;  Sydney ;</t>
  </si>
  <si>
    <t>Index Numbers ;  Insurance ;  Sydney ;</t>
  </si>
  <si>
    <t>Index Numbers ;  Financial services ;  Sydney ;</t>
  </si>
  <si>
    <t>Index Numbers ;  Deposit and loan facilities (direct charges) ;  Sydney ;</t>
  </si>
  <si>
    <t>Index Numbers ;  Other financial services ;  Sydney ;</t>
  </si>
  <si>
    <t>Index Numbers ;  All groups CPI ;  Melbourne ;</t>
  </si>
  <si>
    <t>Index Numbers ;  Food and non-alcoholic beverages ;  Melbourne ;</t>
  </si>
  <si>
    <t>Index Numbers ;  Bread and cereal products ;  Melbourne ;</t>
  </si>
  <si>
    <t>Index Numbers ;  Bread ;  Melbourne ;</t>
  </si>
  <si>
    <t>Index Numbers ;  Cakes and biscuits ;  Melbourne ;</t>
  </si>
  <si>
    <t>Index Numbers ;  Breakfast cereals ;  Melbourne ;</t>
  </si>
  <si>
    <t>Index Numbers ;  Other cereal products ;  Melbourne ;</t>
  </si>
  <si>
    <t>Index Numbers ;  Meat and seafoods ;  Melbourne ;</t>
  </si>
  <si>
    <t>Index Numbers ;  Beef and veal ;  Melbourne ;</t>
  </si>
  <si>
    <t>Index Numbers ;  Pork ;  Melbourne ;</t>
  </si>
  <si>
    <t>Index Numbers ;  Lamb and goat ;  Melbourne ;</t>
  </si>
  <si>
    <t>Index Numbers ;  Poultry ;  Melbourne ;</t>
  </si>
  <si>
    <t>Index Numbers ;  Other meats ;  Melbourne ;</t>
  </si>
  <si>
    <t>Index Numbers ;  Fish and other seafood ;  Melbourne ;</t>
  </si>
  <si>
    <t>Index Numbers ;  Dairy and related products ;  Melbourne ;</t>
  </si>
  <si>
    <t>Index Numbers ;  Milk ;  Melbourne ;</t>
  </si>
  <si>
    <t>Index Numbers ;  Cheese ;  Melbourne ;</t>
  </si>
  <si>
    <t>Index Numbers ;  Ice cream and other dairy products ;  Melbourne ;</t>
  </si>
  <si>
    <t>Index Numbers ;  Fruit and vegetables ;  Melbourne ;</t>
  </si>
  <si>
    <t>Index Numbers ;  Fruit ;  Melbourne ;</t>
  </si>
  <si>
    <t>Index Numbers ;  Vegetables ;  Melbourne ;</t>
  </si>
  <si>
    <t>Index Numbers ;  Food products n.e.c. ;  Melbourne ;</t>
  </si>
  <si>
    <t>Index Numbers ;  Eggs ;  Melbourne ;</t>
  </si>
  <si>
    <t>Index Numbers ;  Jams, honey and spreads ;  Melbourne ;</t>
  </si>
  <si>
    <t>Index Numbers ;  Food additives and condiments ;  Melbourne ;</t>
  </si>
  <si>
    <t>Index Numbers ;  Oils and fats ;  Melbourne ;</t>
  </si>
  <si>
    <t>Index Numbers ;  Snacks and confectionery ;  Melbourne ;</t>
  </si>
  <si>
    <t>Index Numbers ;  Other food products n.e.c. ;  Melbourne ;</t>
  </si>
  <si>
    <t>Index Numbers ;  Non-alcoholic beverages ;  Melbourne ;</t>
  </si>
  <si>
    <t>Index Numbers ;  Coffee, tea and cocoa ;  Melbourne ;</t>
  </si>
  <si>
    <t>Index Numbers ;  Waters, soft drinks and juices ;  Melbourne ;</t>
  </si>
  <si>
    <t>Index Numbers ;  Meals out and take away foods ;  Melbourne ;</t>
  </si>
  <si>
    <t>Index Numbers ;  Restaurant meals ;  Melbourne ;</t>
  </si>
  <si>
    <t>Index Numbers ;  Take away and fast foods ;  Melbourne ;</t>
  </si>
  <si>
    <t>Index Numbers ;  Alcohol and tobacco ;  Melbourne ;</t>
  </si>
  <si>
    <t>Index Numbers ;  Alcoholic beverages ;  Melbourne ;</t>
  </si>
  <si>
    <t>Index Numbers ;  Spirits ;  Melbourne ;</t>
  </si>
  <si>
    <t>Index Numbers ;  Wine ;  Melbourne ;</t>
  </si>
  <si>
    <t>Index Numbers ;  Beer ;  Melbourne ;</t>
  </si>
  <si>
    <t>Index Numbers ;  Tobacco ;  Melbourne ;</t>
  </si>
  <si>
    <t>Index Numbers ;  Clothing and footwear ;  Melbourne ;</t>
  </si>
  <si>
    <t>Index Numbers ;  Garments ;  Melbourne ;</t>
  </si>
  <si>
    <t>Index Numbers ;  Garments for men ;  Melbourne ;</t>
  </si>
  <si>
    <t>Index Numbers ;  Garments for women ;  Melbourne ;</t>
  </si>
  <si>
    <t>Index Numbers ;  Garments for infants and children ;  Melbourne ;</t>
  </si>
  <si>
    <t>Index Numbers ;  Footwear ;  Melbourne ;</t>
  </si>
  <si>
    <t>Index Numbers ;  Footwear for men ;  Melbourne ;</t>
  </si>
  <si>
    <t>Index Numbers ;  Footwear for women ;  Melbourne ;</t>
  </si>
  <si>
    <t>Index Numbers ;  Footwear for infants and children ;  Melbourne ;</t>
  </si>
  <si>
    <t>Index Numbers ;  Accessories and clothing services ;  Melbourne ;</t>
  </si>
  <si>
    <t>Index Numbers ;  Accessories ;  Melbourne ;</t>
  </si>
  <si>
    <t>Index Numbers ;  Cleaning, repair and hire of clothing and footwear ;  Melbourne ;</t>
  </si>
  <si>
    <t>Index Numbers ;  Housing ;  Melbourne ;</t>
  </si>
  <si>
    <t>Index Numbers ;  Rents ;  Melbourne ;</t>
  </si>
  <si>
    <t>Index Numbers ;  New dwelling purchase by owner-occupiers ;  Melbourne ;</t>
  </si>
  <si>
    <t>Index Numbers ;  Other housing ;  Melbourne ;</t>
  </si>
  <si>
    <t>Index Numbers ;  Maintenance and repair of the dwelling ;  Melbourne ;</t>
  </si>
  <si>
    <t>Index Numbers ;  Property rates and charges ;  Melbourne ;</t>
  </si>
  <si>
    <t>Index Numbers ;  Utilities ;  Melbourne ;</t>
  </si>
  <si>
    <t>Index Numbers ;  Water and sewerage ;  Melbourne ;</t>
  </si>
  <si>
    <t>Index Numbers ;  Electricity ;  Melbourne ;</t>
  </si>
  <si>
    <t>Index Numbers ;  Gas and other household fuels ;  Melbourne ;</t>
  </si>
  <si>
    <t>Index Numbers ;  Furnishings, household equipment and services ;  Melbourne ;</t>
  </si>
  <si>
    <t>Index Numbers ;  Furniture and furnishings ;  Melbourne ;</t>
  </si>
  <si>
    <t>Index Numbers ;  Furniture ;  Melbourne ;</t>
  </si>
  <si>
    <t>Index Numbers ;  Carpets and other floor coverings ;  Melbourne ;</t>
  </si>
  <si>
    <t>Index Numbers ;  Household textiles ;  Melbourne ;</t>
  </si>
  <si>
    <t>Index Numbers ;  Household appliances, utensils and tools ;  Melbourne ;</t>
  </si>
  <si>
    <t>Index Numbers ;  Major household appliances ;  Melbourne ;</t>
  </si>
  <si>
    <t>Index Numbers ;  Small electric household appliances ;  Melbourne ;</t>
  </si>
  <si>
    <t>Index Numbers ;  Glassware, tableware and household utensils ;  Melbourne ;</t>
  </si>
  <si>
    <t>Index Numbers ;  Tools and equipment for house and garden ;  Melbourne ;</t>
  </si>
  <si>
    <t>Index Numbers ;  Non-durable household products ;  Melbourne ;</t>
  </si>
  <si>
    <t>Index Numbers ;  Cleaning and maintenance products ;  Melbourne ;</t>
  </si>
  <si>
    <t>Index Numbers ;  Personal care products ;  Melbourne ;</t>
  </si>
  <si>
    <t>Index Numbers ;  Other non-durable household products ;  Melbourne ;</t>
  </si>
  <si>
    <t>Index Numbers ;  Domestic and household services ;  Melbourne ;</t>
  </si>
  <si>
    <t>Index Numbers ;  Child care ;  Melbourne ;</t>
  </si>
  <si>
    <t>Index Numbers ;  Hairdressing and personal grooming services ;  Melbourne ;</t>
  </si>
  <si>
    <t>Index Numbers ;  Other household services ;  Melbourne ;</t>
  </si>
  <si>
    <t>Index Numbers ;  Health ;  Melbourne ;</t>
  </si>
  <si>
    <t>Index Numbers ;  Medical products, appliances and equipment ;  Melbourne ;</t>
  </si>
  <si>
    <t>Index Numbers ;  Pharmaceutical products ;  Melbourne ;</t>
  </si>
  <si>
    <t>Index Numbers ;  Therapeutic appliances and equipment ;  Melbourne ;</t>
  </si>
  <si>
    <t>Index Numbers ;  Medical, dental and hospital services ;  Melbourne ;</t>
  </si>
  <si>
    <t>Index Numbers ;  Medical and hospital services ;  Melbourne ;</t>
  </si>
  <si>
    <t>Index Numbers ;  Dental services ;  Melbourne ;</t>
  </si>
  <si>
    <t>Index Numbers ;  Transport ;  Melbourne ;</t>
  </si>
  <si>
    <t>Index Numbers ;  Private motoring ;  Melbourne ;</t>
  </si>
  <si>
    <t>Index Numbers ;  Motor vehicles ;  Melbourne ;</t>
  </si>
  <si>
    <t>Index Numbers ;  Spare parts and accessories for motor vehicles ;  Melbourne ;</t>
  </si>
  <si>
    <t>Index Numbers ;  Automotive fuel ;  Melbourne ;</t>
  </si>
  <si>
    <t>Index Numbers ;  Maintenance and repair of motor vehicles ;  Melbourne ;</t>
  </si>
  <si>
    <t>Index Numbers ;  Other services in respect of motor vehicles ;  Melbourne ;</t>
  </si>
  <si>
    <t>Index Numbers ;  Urban transport fares ;  Melbourne ;</t>
  </si>
  <si>
    <t>Index Numbers ;  Communication ;  Melbourne ;</t>
  </si>
  <si>
    <t>Index Numbers ;  Postal services ;  Melbourne ;</t>
  </si>
  <si>
    <t>Index Numbers ;  Telecommunication equipment and services ;  Melbourne ;</t>
  </si>
  <si>
    <t>Index Numbers ;  Recreation and culture ;  Melbourne ;</t>
  </si>
  <si>
    <t>Index Numbers ;  Audio, visual and computing equipment and services ;  Melbourne ;</t>
  </si>
  <si>
    <t>Index Numbers ;  Audio, visual and computing equipment ;  Melbourne ;</t>
  </si>
  <si>
    <t>Index Numbers ;  Audio, visual and computing media and services ;  Melbourne ;</t>
  </si>
  <si>
    <t>Index Numbers ;  Newspapers, books and stationery ;  Melbourne ;</t>
  </si>
  <si>
    <t>Index Numbers ;  Books ;  Melbourne ;</t>
  </si>
  <si>
    <t>Index Numbers ;  Newspapers, magazines and stationery ;  Melbourne ;</t>
  </si>
  <si>
    <t>Index Numbers ;  Holiday travel and accommodation ;  Melbourne ;</t>
  </si>
  <si>
    <t>Index Numbers ;  Domestic holiday travel and accommodation ;  Melbourne ;</t>
  </si>
  <si>
    <t>Index Numbers ;  International holiday travel and accommodation ;  Melbourne ;</t>
  </si>
  <si>
    <t>Index Numbers ;  Other recreation, sport and culture ;  Melbourne ;</t>
  </si>
  <si>
    <t>Index Numbers ;  Equipment for sports, camping and open-air recreation ;  Melbourne ;</t>
  </si>
  <si>
    <t>Index Numbers ;  Games, toys and hobbies ;  Melbourne ;</t>
  </si>
  <si>
    <t>Index Numbers ;  Pets and related products ;  Melbourne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</si>
  <si>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</si>
  <si>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</si>
  <si>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</si>
  <si>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</si>
  <si>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</si>
  <si>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</si>
  <si>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</si>
  <si>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</si>
  <si>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</si>
  <si>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</si>
  <si>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</si>
  <si>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</si>
  <si>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Month</t>
  </si>
  <si>
    <t>A130397375X</t>
  </si>
  <si>
    <t>A130392957J</t>
  </si>
  <si>
    <t>A130394343A</t>
  </si>
  <si>
    <t>A130398033T</t>
  </si>
  <si>
    <t>A130394448W</t>
  </si>
  <si>
    <t>A130399331J</t>
  </si>
  <si>
    <t>A130399352V</t>
  </si>
  <si>
    <t>A130393055R</t>
  </si>
  <si>
    <t>A130394462T</t>
  </si>
  <si>
    <t>A130391473V</t>
  </si>
  <si>
    <t>A130396863T</t>
  </si>
  <si>
    <t>A130398096A</t>
  </si>
  <si>
    <t>A130390577V</t>
  </si>
  <si>
    <t>A130396898T</t>
  </si>
  <si>
    <t>A130399226F</t>
  </si>
  <si>
    <t>A130396807X</t>
  </si>
  <si>
    <t>A130395603C</t>
  </si>
  <si>
    <t>A130398026V</t>
  </si>
  <si>
    <t>A130398687C</t>
  </si>
  <si>
    <t>A130398701L</t>
  </si>
  <si>
    <t>A130389961R</t>
  </si>
  <si>
    <t>A130396450V</t>
  </si>
  <si>
    <t>A130398152J</t>
  </si>
  <si>
    <t>A130399422R</t>
  </si>
  <si>
    <t>A130399688X</t>
  </si>
  <si>
    <t>A130391004C</t>
  </si>
  <si>
    <t>A130391347F</t>
  </si>
  <si>
    <t>A130398180T</t>
  </si>
  <si>
    <t>A130390220C</t>
  </si>
  <si>
    <t>A130391970J</t>
  </si>
  <si>
    <t>A130397620T</t>
  </si>
  <si>
    <t>A130397956W</t>
  </si>
  <si>
    <t>A130399401C</t>
  </si>
  <si>
    <t>A130390605T</t>
  </si>
  <si>
    <t>A130396695T</t>
  </si>
  <si>
    <t>A130391802W</t>
  </si>
  <si>
    <t>A130397101R</t>
  </si>
  <si>
    <t>A130399590A</t>
  </si>
  <si>
    <t>A130395897W</t>
  </si>
  <si>
    <t>A130394420V</t>
  </si>
  <si>
    <t>A130394721X</t>
  </si>
  <si>
    <t>A130392964F</t>
  </si>
  <si>
    <t>A130398967W</t>
  </si>
  <si>
    <t>A130398460K</t>
  </si>
  <si>
    <t>A130395995A</t>
  </si>
  <si>
    <t>A130394847F</t>
  </si>
  <si>
    <t>A130391746R</t>
  </si>
  <si>
    <t>A130390661K</t>
  </si>
  <si>
    <t>A130393293W</t>
  </si>
  <si>
    <t>A130390682W</t>
  </si>
  <si>
    <t>A130394854C</t>
  </si>
  <si>
    <t>A130392257V</t>
  </si>
  <si>
    <t>A130390710V</t>
  </si>
  <si>
    <t>A130394280C</t>
  </si>
  <si>
    <t>A130392586J</t>
  </si>
  <si>
    <t>A130390458C</t>
  </si>
  <si>
    <t>A130394154R</t>
  </si>
  <si>
    <t>A130392278F</t>
  </si>
  <si>
    <t>A130392838T</t>
  </si>
  <si>
    <t>A130394581J</t>
  </si>
  <si>
    <t>A130398488L</t>
  </si>
  <si>
    <t>A130390472X</t>
  </si>
  <si>
    <t>A130391053X</t>
  </si>
  <si>
    <t>A130390724J</t>
  </si>
  <si>
    <t>A130396282V</t>
  </si>
  <si>
    <t>A130392999F</t>
  </si>
  <si>
    <t>A130394133C</t>
  </si>
  <si>
    <t>A130398215F</t>
  </si>
  <si>
    <t>A130397809W</t>
  </si>
  <si>
    <t>A130391501T</t>
  </si>
  <si>
    <t>A130394119J</t>
  </si>
  <si>
    <t>A130393643K</t>
  </si>
  <si>
    <t>A130399499L</t>
  </si>
  <si>
    <t>A130393797A</t>
  </si>
  <si>
    <t>A130396191L</t>
  </si>
  <si>
    <t>A130398236T</t>
  </si>
  <si>
    <t>A130398530F</t>
  </si>
  <si>
    <t>A130394623V</t>
  </si>
  <si>
    <t>A130392173K</t>
  </si>
  <si>
    <t>A130398544V</t>
  </si>
  <si>
    <t>A130396037R</t>
  </si>
  <si>
    <t>A130392558X</t>
  </si>
  <si>
    <t>A130390955T</t>
  </si>
  <si>
    <t>A130392565W</t>
  </si>
  <si>
    <t>A130391270V</t>
  </si>
  <si>
    <t>A130394161L</t>
  </si>
  <si>
    <t>A130393503J</t>
  </si>
  <si>
    <t>A130399625R</t>
  </si>
  <si>
    <t>A130399030C</t>
  </si>
  <si>
    <t>A130398383T</t>
  </si>
  <si>
    <t>A130390934F</t>
  </si>
  <si>
    <t>A130391683T</t>
  </si>
  <si>
    <t>A130399275A</t>
  </si>
  <si>
    <t>A130393370R</t>
  </si>
  <si>
    <t>A130390857L</t>
  </si>
  <si>
    <t>A130397059W</t>
  </si>
  <si>
    <t>A130398355J</t>
  </si>
  <si>
    <t>A130395862W</t>
  </si>
  <si>
    <t>A130396772K</t>
  </si>
  <si>
    <t>A130392124R</t>
  </si>
  <si>
    <t>A130391277K</t>
  </si>
  <si>
    <t>A130391781W</t>
  </si>
  <si>
    <t>A130390815R</t>
  </si>
  <si>
    <t>A130398278R</t>
  </si>
  <si>
    <t>A130393825X</t>
  </si>
  <si>
    <t>A130399065C</t>
  </si>
  <si>
    <t>A130394770V</t>
  </si>
  <si>
    <t>A130390290K</t>
  </si>
  <si>
    <t>A130391599A</t>
  </si>
  <si>
    <t>A130399800L</t>
  </si>
  <si>
    <t>A130392873X</t>
  </si>
  <si>
    <t>A130398019W</t>
  </si>
  <si>
    <t>A130397199X</t>
  </si>
  <si>
    <t>A130394791F</t>
  </si>
  <si>
    <t>A130392523X</t>
  </si>
  <si>
    <t>A130397353K</t>
  </si>
  <si>
    <t>A130394966W</t>
  </si>
  <si>
    <t>A130398257C</t>
  </si>
  <si>
    <t>A130392040F</t>
  </si>
  <si>
    <t>A130391137J</t>
  </si>
  <si>
    <t>A130394980T</t>
  </si>
  <si>
    <t>A130396219C</t>
  </si>
  <si>
    <t>A130393559V</t>
  </si>
  <si>
    <t>A130393853J</t>
  </si>
  <si>
    <t>A130393860F</t>
  </si>
  <si>
    <t>A130395176W</t>
  </si>
  <si>
    <t>A130398932W</t>
  </si>
  <si>
    <t>A130392621C</t>
  </si>
  <si>
    <t>A130392628V</t>
  </si>
  <si>
    <t>A130391620J</t>
  </si>
  <si>
    <t>A130394231J</t>
  </si>
  <si>
    <t>A130396170A</t>
  </si>
  <si>
    <t>A130396086K</t>
  </si>
  <si>
    <t>A130399170F</t>
  </si>
  <si>
    <t>A130396709V</t>
  </si>
  <si>
    <t>A130398040R</t>
  </si>
  <si>
    <t>A130394455V</t>
  </si>
  <si>
    <t>A130391886T</t>
  </si>
  <si>
    <t>A130391900A</t>
  </si>
  <si>
    <t>A130390430A</t>
  </si>
  <si>
    <t>A130396842F</t>
  </si>
  <si>
    <t>A130397767K</t>
  </si>
  <si>
    <t>A130391914R</t>
  </si>
  <si>
    <t>A130399380C</t>
  </si>
  <si>
    <t>A130399387V</t>
  </si>
  <si>
    <t>A130398124X</t>
  </si>
  <si>
    <t>A130399233C</t>
  </si>
  <si>
    <t>A130396814W</t>
  </si>
  <si>
    <t>A130393174F</t>
  </si>
  <si>
    <t>A130391858J</t>
  </si>
  <si>
    <t>A130396156F</t>
  </si>
  <si>
    <t>A130389940C</t>
  </si>
  <si>
    <t>A130398708C</t>
  </si>
  <si>
    <t>A130396457K</t>
  </si>
  <si>
    <t>A130391956L</t>
  </si>
  <si>
    <t>A130394518T</t>
  </si>
  <si>
    <t>A130397234V</t>
  </si>
  <si>
    <t>A130397248J</t>
  </si>
  <si>
    <t>A130391354C</t>
  </si>
  <si>
    <t>A130396940K</t>
  </si>
  <si>
    <t>A130396471F</t>
  </si>
  <si>
    <t>A130399436C</t>
  </si>
  <si>
    <t>A130396268X</t>
  </si>
  <si>
    <t>A130394371K</t>
  </si>
  <si>
    <t>A130398131W</t>
  </si>
  <si>
    <t>A130398138L</t>
  </si>
  <si>
    <t>A130390409J</t>
  </si>
  <si>
    <t>A130397991C</t>
  </si>
  <si>
    <t>A130395911F</t>
  </si>
  <si>
    <t>A130399597T</t>
  </si>
  <si>
    <t>A130398369W</t>
  </si>
  <si>
    <t>A130391816K</t>
  </si>
  <si>
    <t>A130395925V</t>
  </si>
  <si>
    <t>A130396660T</t>
  </si>
  <si>
    <t>A130396478W</t>
  </si>
  <si>
    <t>A130393594A</t>
  </si>
  <si>
    <t>A130396002R</t>
  </si>
  <si>
    <t>A130391011A</t>
  </si>
  <si>
    <t>A130395512W</t>
  </si>
  <si>
    <t>A130391984W</t>
  </si>
  <si>
    <t>A130399457R</t>
  </si>
  <si>
    <t>A130396975K</t>
  </si>
  <si>
    <t>A130391025R</t>
  </si>
  <si>
    <t>A130392264T</t>
  </si>
  <si>
    <t>A130391998K</t>
  </si>
  <si>
    <t>A130392985T</t>
  </si>
  <si>
    <t>A130397627J</t>
  </si>
  <si>
    <t>A130390465A</t>
  </si>
  <si>
    <t>A130391529V</t>
  </si>
  <si>
    <t>A130397297C</t>
  </si>
  <si>
    <t>A130398995F</t>
  </si>
  <si>
    <t>A130396989X</t>
  </si>
  <si>
    <t>A130398495K</t>
  </si>
  <si>
    <t>A130391767A</t>
  </si>
  <si>
    <t>A130394875R</t>
  </si>
  <si>
    <t>A130395785C</t>
  </si>
  <si>
    <t>A130396289K</t>
  </si>
  <si>
    <t>A130393006V</t>
  </si>
  <si>
    <t>A130390276R</t>
  </si>
  <si>
    <t>A130390752T</t>
  </si>
  <si>
    <t>A130391522C</t>
  </si>
  <si>
    <t>A130392810R</t>
  </si>
  <si>
    <t>A130390269T</t>
  </si>
  <si>
    <t>A130397311L</t>
  </si>
  <si>
    <t>A130393307X</t>
  </si>
  <si>
    <t>A130396184R</t>
  </si>
  <si>
    <t>A130395106R</t>
  </si>
  <si>
    <t>A130394616W</t>
  </si>
  <si>
    <t>A130397318C</t>
  </si>
  <si>
    <t>A130397017X</t>
  </si>
  <si>
    <t>A130398411R</t>
  </si>
  <si>
    <t>A130392299T</t>
  </si>
  <si>
    <t>A130394931W</t>
  </si>
  <si>
    <t>A130395190T</t>
  </si>
  <si>
    <t>A130392187X</t>
  </si>
  <si>
    <t>A130390066T</t>
  </si>
  <si>
    <t>A130397522L</t>
  </si>
  <si>
    <t>A130391557C</t>
  </si>
  <si>
    <t>A130398404T</t>
  </si>
  <si>
    <t>A130398390R</t>
  </si>
  <si>
    <t>A130399037V</t>
  </si>
  <si>
    <t>A130397122A</t>
  </si>
  <si>
    <t>A130394742K</t>
  </si>
  <si>
    <t>A130390402T</t>
  </si>
  <si>
    <t>A130395554V</t>
  </si>
  <si>
    <t>A130390829C</t>
  </si>
  <si>
    <t>A130390864K</t>
  </si>
  <si>
    <t>A130399562T</t>
  </si>
  <si>
    <t>A130392096T</t>
  </si>
  <si>
    <t>A130390843X</t>
  </si>
  <si>
    <t>A130396779A</t>
  </si>
  <si>
    <t>A130394700L</t>
  </si>
  <si>
    <t>A130391284J</t>
  </si>
  <si>
    <t>A130393104X</t>
  </si>
  <si>
    <t>A130399541F</t>
  </si>
  <si>
    <t>A130394651C</t>
  </si>
  <si>
    <t>A130397543X</t>
  </si>
  <si>
    <t>A130394217L</t>
  </si>
  <si>
    <t>A130397178L</t>
  </si>
  <si>
    <t>A130396555R</t>
  </si>
  <si>
    <t>A130394182X</t>
  </si>
  <si>
    <t>A130398572C</t>
  </si>
  <si>
    <t>A130391606L</t>
  </si>
  <si>
    <t>A130390514K</t>
  </si>
  <si>
    <t>A130398432A</t>
  </si>
  <si>
    <t>A130390976C</t>
  </si>
  <si>
    <t>A130390017W</t>
  </si>
  <si>
    <t>A130398593R</t>
  </si>
  <si>
    <t>A130392327R</t>
  </si>
  <si>
    <t>A130398264A</t>
  </si>
  <si>
    <t>Index Numbers ;  Veterinary and other services for pets ;  Melbourne ;</t>
  </si>
  <si>
    <t>Index Numbers ;  Sports participation ;  Melbourne ;</t>
  </si>
  <si>
    <t>Index Numbers ;  Other recreational, sporting and cultural services ;  Melbourne ;</t>
  </si>
  <si>
    <t>Index Numbers ;  Education ;  Melbourne ;</t>
  </si>
  <si>
    <t>Index Numbers ;  Preschool and primary education ;  Melbourne ;</t>
  </si>
  <si>
    <t>Index Numbers ;  Secondary education ;  Melbourne ;</t>
  </si>
  <si>
    <t>Index Numbers ;  Tertiary education ;  Melbourne ;</t>
  </si>
  <si>
    <t>Index Numbers ;  Insurance and financial services ;  Melbourne ;</t>
  </si>
  <si>
    <t>Index Numbers ;  Insurance ;  Melbourne ;</t>
  </si>
  <si>
    <t>Index Numbers ;  Financial services ;  Melbourne ;</t>
  </si>
  <si>
    <t>Index Numbers ;  Deposit and loan facilities (direct charges) ;  Melbourne ;</t>
  </si>
  <si>
    <t>Index Numbers ;  Other financial services ;  Melbourne ;</t>
  </si>
  <si>
    <t>Index Numbers ;  All groups CPI ;  Brisbane ;</t>
  </si>
  <si>
    <t>Index Numbers ;  Food and non-alcoholic beverages ;  Brisbane ;</t>
  </si>
  <si>
    <t>Index Numbers ;  Bread and cereal products ;  Brisbane ;</t>
  </si>
  <si>
    <t>Index Numbers ;  Bread ;  Brisbane ;</t>
  </si>
  <si>
    <t>Index Numbers ;  Cakes and biscuits ;  Brisbane ;</t>
  </si>
  <si>
    <t>Index Numbers ;  Breakfast cereals ;  Brisbane ;</t>
  </si>
  <si>
    <t>Index Numbers ;  Other cereal products ;  Brisbane ;</t>
  </si>
  <si>
    <t>Index Numbers ;  Meat and seafoods ;  Brisbane ;</t>
  </si>
  <si>
    <t>Index Numbers ;  Beef and veal ;  Brisbane ;</t>
  </si>
  <si>
    <t>Index Numbers ;  Pork ;  Brisbane ;</t>
  </si>
  <si>
    <t>Index Numbers ;  Lamb and goat ;  Brisbane ;</t>
  </si>
  <si>
    <t>Index Numbers ;  Poultry ;  Brisbane ;</t>
  </si>
  <si>
    <t>Index Numbers ;  Other meats ;  Brisbane ;</t>
  </si>
  <si>
    <t>Index Numbers ;  Fish and other seafood ;  Brisbane ;</t>
  </si>
  <si>
    <t>Index Numbers ;  Dairy and related products ;  Brisbane ;</t>
  </si>
  <si>
    <t>Index Numbers ;  Milk ;  Brisbane ;</t>
  </si>
  <si>
    <t>Index Numbers ;  Cheese ;  Brisbane ;</t>
  </si>
  <si>
    <t>Index Numbers ;  Ice cream and other dairy products ;  Brisbane ;</t>
  </si>
  <si>
    <t>Index Numbers ;  Fruit and vegetables ;  Brisbane ;</t>
  </si>
  <si>
    <t>Index Numbers ;  Fruit ;  Brisbane ;</t>
  </si>
  <si>
    <t>Index Numbers ;  Vegetables ;  Brisbane ;</t>
  </si>
  <si>
    <t>Index Numbers ;  Food products n.e.c. ;  Brisbane ;</t>
  </si>
  <si>
    <t>Index Numbers ;  Eggs ;  Brisbane ;</t>
  </si>
  <si>
    <t>Index Numbers ;  Jams, honey and spreads ;  Brisbane ;</t>
  </si>
  <si>
    <t>Index Numbers ;  Food additives and condiments ;  Brisbane ;</t>
  </si>
  <si>
    <t>Index Numbers ;  Oils and fats ;  Brisbane ;</t>
  </si>
  <si>
    <t>Index Numbers ;  Snacks and confectionery ;  Brisbane ;</t>
  </si>
  <si>
    <t>Index Numbers ;  Other food products n.e.c. ;  Brisbane ;</t>
  </si>
  <si>
    <t>Index Numbers ;  Non-alcoholic beverages ;  Brisbane ;</t>
  </si>
  <si>
    <t>Index Numbers ;  Coffee, tea and cocoa ;  Brisbane ;</t>
  </si>
  <si>
    <t>Index Numbers ;  Waters, soft drinks and juices ;  Brisbane ;</t>
  </si>
  <si>
    <t>Index Numbers ;  Meals out and take away foods ;  Brisbane ;</t>
  </si>
  <si>
    <t>Index Numbers ;  Restaurant meals ;  Brisbane ;</t>
  </si>
  <si>
    <t>Index Numbers ;  Take away and fast foods ;  Brisbane ;</t>
  </si>
  <si>
    <t>Index Numbers ;  Alcohol and tobacco ;  Brisbane ;</t>
  </si>
  <si>
    <t>Index Numbers ;  Alcoholic beverages ;  Brisbane ;</t>
  </si>
  <si>
    <t>Index Numbers ;  Spirits ;  Brisbane ;</t>
  </si>
  <si>
    <t>Index Numbers ;  Wine ;  Brisbane ;</t>
  </si>
  <si>
    <t>Index Numbers ;  Beer ;  Brisbane ;</t>
  </si>
  <si>
    <t>Index Numbers ;  Tobacco ;  Brisbane ;</t>
  </si>
  <si>
    <t>Index Numbers ;  Clothing and footwear ;  Brisbane ;</t>
  </si>
  <si>
    <t>Index Numbers ;  Garments ;  Brisbane ;</t>
  </si>
  <si>
    <t>Index Numbers ;  Garments for men ;  Brisbane ;</t>
  </si>
  <si>
    <t>Index Numbers ;  Garments for women ;  Brisbane ;</t>
  </si>
  <si>
    <t>Index Numbers ;  Garments for infants and children ;  Brisbane ;</t>
  </si>
  <si>
    <t>Index Numbers ;  Footwear ;  Brisbane ;</t>
  </si>
  <si>
    <t>Index Numbers ;  Footwear for men ;  Brisbane ;</t>
  </si>
  <si>
    <t>Index Numbers ;  Footwear for women ;  Brisbane ;</t>
  </si>
  <si>
    <t>Index Numbers ;  Footwear for infants and children ;  Brisbane ;</t>
  </si>
  <si>
    <t>Index Numbers ;  Accessories and clothing services ;  Brisbane ;</t>
  </si>
  <si>
    <t>Index Numbers ;  Accessories ;  Brisbane ;</t>
  </si>
  <si>
    <t>Index Numbers ;  Cleaning, repair and hire of clothing and footwear ;  Brisbane ;</t>
  </si>
  <si>
    <t>Index Numbers ;  Housing ;  Brisbane ;</t>
  </si>
  <si>
    <t>Index Numbers ;  Rents ;  Brisbane ;</t>
  </si>
  <si>
    <t>Index Numbers ;  New dwelling purchase by owner-occupiers ;  Brisbane ;</t>
  </si>
  <si>
    <t>Index Numbers ;  Other housing ;  Brisbane ;</t>
  </si>
  <si>
    <t>Index Numbers ;  Maintenance and repair of the dwelling ;  Brisbane ;</t>
  </si>
  <si>
    <t>Index Numbers ;  Property rates and charges ;  Brisbane ;</t>
  </si>
  <si>
    <t>Index Numbers ;  Utilities ;  Brisbane ;</t>
  </si>
  <si>
    <t>Index Numbers ;  Water and sewerage ;  Brisbane ;</t>
  </si>
  <si>
    <t>Index Numbers ;  Electricity ;  Brisbane ;</t>
  </si>
  <si>
    <t>Index Numbers ;  Gas and other household fuels ;  Brisbane ;</t>
  </si>
  <si>
    <t>Index Numbers ;  Furnishings, household equipment and services ;  Brisbane ;</t>
  </si>
  <si>
    <t>Index Numbers ;  Furniture and furnishings ;  Brisbane ;</t>
  </si>
  <si>
    <t>Index Numbers ;  Furniture ;  Brisbane ;</t>
  </si>
  <si>
    <t>Index Numbers ;  Carpets and other floor coverings ;  Brisbane ;</t>
  </si>
  <si>
    <t>Index Numbers ;  Household textiles ;  Brisbane ;</t>
  </si>
  <si>
    <t>Index Numbers ;  Household appliances, utensils and tools ;  Brisbane ;</t>
  </si>
  <si>
    <t>Index Numbers ;  Major household appliances ;  Brisbane ;</t>
  </si>
  <si>
    <t>Index Numbers ;  Small electric household appliances ;  Brisbane ;</t>
  </si>
  <si>
    <t>Index Numbers ;  Glassware, tableware and household utensils ;  Brisbane ;</t>
  </si>
  <si>
    <t>Index Numbers ;  Tools and equipment for house and garden ;  Brisbane ;</t>
  </si>
  <si>
    <t>Index Numbers ;  Non-durable household products ;  Brisbane ;</t>
  </si>
  <si>
    <t>Index Numbers ;  Cleaning and maintenance products ;  Brisbane ;</t>
  </si>
  <si>
    <t>Index Numbers ;  Personal care products ;  Brisbane ;</t>
  </si>
  <si>
    <t>Index Numbers ;  Other non-durable household products ;  Brisbane ;</t>
  </si>
  <si>
    <t>Index Numbers ;  Domestic and household services ;  Brisbane ;</t>
  </si>
  <si>
    <t>Index Numbers ;  Child care ;  Brisbane ;</t>
  </si>
  <si>
    <t>Index Numbers ;  Hairdressing and personal grooming services ;  Brisbane ;</t>
  </si>
  <si>
    <t>Index Numbers ;  Other household services ;  Brisbane ;</t>
  </si>
  <si>
    <t>Index Numbers ;  Health ;  Brisbane ;</t>
  </si>
  <si>
    <t>Index Numbers ;  Medical products, appliances and equipment ;  Brisbane ;</t>
  </si>
  <si>
    <t>Index Numbers ;  Pharmaceutical products ;  Brisbane ;</t>
  </si>
  <si>
    <t>Index Numbers ;  Therapeutic appliances and equipment ;  Brisbane ;</t>
  </si>
  <si>
    <t>Index Numbers ;  Medical, dental and hospital services ;  Brisbane ;</t>
  </si>
  <si>
    <t>Index Numbers ;  Medical and hospital services ;  Brisbane ;</t>
  </si>
  <si>
    <t>Index Numbers ;  Dental services ;  Brisbane ;</t>
  </si>
  <si>
    <t>Index Numbers ;  Transport ;  Brisbane ;</t>
  </si>
  <si>
    <t>Index Numbers ;  Private motoring ;  Brisbane ;</t>
  </si>
  <si>
    <t>Index Numbers ;  Motor vehicles ;  Brisbane ;</t>
  </si>
  <si>
    <t>Index Numbers ;  Spare parts and accessories for motor vehicles ;  Brisbane ;</t>
  </si>
  <si>
    <t>Index Numbers ;  Automotive fuel ;  Brisbane ;</t>
  </si>
  <si>
    <t>Index Numbers ;  Maintenance and repair of motor vehicles ;  Brisbane ;</t>
  </si>
  <si>
    <t>Index Numbers ;  Other services in respect of motor vehicles ;  Brisbane ;</t>
  </si>
  <si>
    <t>Index Numbers ;  Urban transport fares ;  Brisbane ;</t>
  </si>
  <si>
    <t>Index Numbers ;  Communication ;  Brisbane ;</t>
  </si>
  <si>
    <t>Index Numbers ;  Postal services ;  Brisbane ;</t>
  </si>
  <si>
    <t>Index Numbers ;  Telecommunication equipment and services ;  Brisbane ;</t>
  </si>
  <si>
    <t>Index Numbers ;  Recreation and culture ;  Brisbane ;</t>
  </si>
  <si>
    <t>Index Numbers ;  Audio, visual and computing equipment and services ;  Brisbane ;</t>
  </si>
  <si>
    <t>Index Numbers ;  Audio, visual and computing equipment ;  Brisbane ;</t>
  </si>
  <si>
    <t>Index Numbers ;  Audio, visual and computing media and services ;  Brisbane ;</t>
  </si>
  <si>
    <t>Index Numbers ;  Newspapers, books and stationery ;  Brisbane ;</t>
  </si>
  <si>
    <t>Index Numbers ;  Books ;  Brisbane ;</t>
  </si>
  <si>
    <t>Index Numbers ;  Newspapers, magazines and stationery ;  Brisbane ;</t>
  </si>
  <si>
    <t>Index Numbers ;  Holiday travel and accommodation ;  Brisbane ;</t>
  </si>
  <si>
    <t>Index Numbers ;  Domestic holiday travel and accommodation ;  Brisbane ;</t>
  </si>
  <si>
    <t>Index Numbers ;  International holiday travel and accommodation ;  Brisbane ;</t>
  </si>
  <si>
    <t>Index Numbers ;  Other recreation, sport and culture ;  Brisbane ;</t>
  </si>
  <si>
    <t>Index Numbers ;  Equipment for sports, camping and open-air recreation ;  Brisbane ;</t>
  </si>
  <si>
    <t>Index Numbers ;  Games, toys and hobbies ;  Brisbane ;</t>
  </si>
  <si>
    <t>Index Numbers ;  Pets and related products ;  Brisbane ;</t>
  </si>
  <si>
    <t>Index Numbers ;  Veterinary and other services for pets ;  Brisbane ;</t>
  </si>
  <si>
    <t>Index Numbers ;  Sports participation ;  Brisbane ;</t>
  </si>
  <si>
    <t>Index Numbers ;  Other recreational, sporting and cultural services ;  Brisbane ;</t>
  </si>
  <si>
    <t>Index Numbers ;  Education ;  Brisbane ;</t>
  </si>
  <si>
    <t>Index Numbers ;  Preschool and primary education ;  Brisbane ;</t>
  </si>
  <si>
    <t>Index Numbers ;  Secondary education ;  Brisbane ;</t>
  </si>
  <si>
    <t>Index Numbers ;  Tertiary education ;  Brisbane ;</t>
  </si>
  <si>
    <t>Index Numbers ;  Insurance and financial services ;  Brisbane ;</t>
  </si>
  <si>
    <t>Index Numbers ;  Insurance ;  Brisbane ;</t>
  </si>
  <si>
    <t>Index Numbers ;  Financial services ;  Brisbane ;</t>
  </si>
  <si>
    <t>Index Numbers ;  Deposit and loan facilities (direct charges) ;  Brisbane ;</t>
  </si>
  <si>
    <t>Index Numbers ;  Other financial services ;  Brisbane ;</t>
  </si>
  <si>
    <t>Index Numbers ;  All groups CPI ;  Adelaide ;</t>
  </si>
  <si>
    <t>Index Numbers ;  Food and non-alcoholic beverages ;  Adelaide ;</t>
  </si>
  <si>
    <t>Index Numbers ;  Bread and cereal products ;  Adelaide ;</t>
  </si>
  <si>
    <t>Index Numbers ;  Bread ;  Adelaide ;</t>
  </si>
  <si>
    <t>Index Numbers ;  Cakes and biscuits ;  Adelaide ;</t>
  </si>
  <si>
    <t>Index Numbers ;  Breakfast cereals ;  Adelaide ;</t>
  </si>
  <si>
    <t>Index Numbers ;  Other cereal products ;  Adelaide ;</t>
  </si>
  <si>
    <t>Index Numbers ;  Meat and seafoods ;  Adelaide ;</t>
  </si>
  <si>
    <t>Index Numbers ;  Beef and veal ;  Adelaide ;</t>
  </si>
  <si>
    <t>Index Numbers ;  Pork ;  Adelaide ;</t>
  </si>
  <si>
    <t>Index Numbers ;  Lamb and goat ;  Adelaide ;</t>
  </si>
  <si>
    <t>Index Numbers ;  Poultry ;  Adelaide ;</t>
  </si>
  <si>
    <t>Index Numbers ;  Other meats ;  Adelaide ;</t>
  </si>
  <si>
    <t>Index Numbers ;  Fish and other seafood ;  Adelaide ;</t>
  </si>
  <si>
    <t>Index Numbers ;  Dairy and related products ;  Adelaide ;</t>
  </si>
  <si>
    <t>Index Numbers ;  Milk ;  Adelaide ;</t>
  </si>
  <si>
    <t>Index Numbers ;  Cheese ;  Adelaide ;</t>
  </si>
  <si>
    <t>Index Numbers ;  Ice cream and other dairy products ;  Adelaide ;</t>
  </si>
  <si>
    <t>Index Numbers ;  Fruit and vegetables ;  Adelaide ;</t>
  </si>
  <si>
    <t>Index Numbers ;  Fruit ;  Adelaide ;</t>
  </si>
  <si>
    <t>Index Numbers ;  Vegetables ;  Adelaide ;</t>
  </si>
  <si>
    <t>Index Numbers ;  Food products n.e.c. ;  Adelaide ;</t>
  </si>
  <si>
    <t>Index Numbers ;  Eggs ;  Adelaide ;</t>
  </si>
  <si>
    <t>Index Numbers ;  Jams, honey and spreads ;  Adelaide ;</t>
  </si>
  <si>
    <t>Index Numbers ;  Food additives and condiments ;  Adelaide ;</t>
  </si>
  <si>
    <t>Index Numbers ;  Oils and fats ;  Adelaide ;</t>
  </si>
  <si>
    <t>Index Numbers ;  Snacks and confectionery ;  Adelaide ;</t>
  </si>
  <si>
    <t>Index Numbers ;  Other food products n.e.c. ;  Adelaide ;</t>
  </si>
  <si>
    <t>Index Numbers ;  Non-alcoholic beverages ;  Adelaide ;</t>
  </si>
  <si>
    <t>Index Numbers ;  Coffee, tea and cocoa ;  Adelaide ;</t>
  </si>
  <si>
    <t>Index Numbers ;  Waters, soft drinks and juices ;  Adelaide ;</t>
  </si>
  <si>
    <t>Index Numbers ;  Meals out and take away foods ;  Adelaide ;</t>
  </si>
  <si>
    <t>Index Numbers ;  Restaurant meals ;  Adelaide ;</t>
  </si>
  <si>
    <t>Index Numbers ;  Take away and fast foods ;  Adelaide ;</t>
  </si>
  <si>
    <t>Index Numbers ;  Alcohol and tobacco ;  Adelaide ;</t>
  </si>
  <si>
    <t>Index Numbers ;  Alcoholic beverages ;  Adelaide ;</t>
  </si>
  <si>
    <t>Index Numbers ;  Spirits ;  Adelaide ;</t>
  </si>
  <si>
    <t>Index Numbers ;  Wine ;  Adelaide ;</t>
  </si>
  <si>
    <t>Index Numbers ;  Beer ;  Adelaide ;</t>
  </si>
  <si>
    <t>Index Numbers ;  Tobacco ;  Adelaide ;</t>
  </si>
  <si>
    <t>Index Numbers ;  Clothing and footwear ;  Adelaide ;</t>
  </si>
  <si>
    <t>Index Numbers ;  Garments ;  Adelaide ;</t>
  </si>
  <si>
    <t>Index Numbers ;  Garments for men ;  Adelaide ;</t>
  </si>
  <si>
    <t>Index Numbers ;  Garments for women ;  Adelaide ;</t>
  </si>
  <si>
    <t>Index Numbers ;  Garments for infants and children ;  Adelaide ;</t>
  </si>
  <si>
    <t>Index Numbers ;  Footwear ;  Adelaide ;</t>
  </si>
  <si>
    <t>Index Numbers ;  Footwear for men ;  Adelaide ;</t>
  </si>
  <si>
    <t>Index Numbers ;  Footwear for women ;  Adelaide ;</t>
  </si>
  <si>
    <t>Index Numbers ;  Footwear for infants and children ;  Adelaide ;</t>
  </si>
  <si>
    <t>Index Numbers ;  Accessories and clothing services ;  Adelaide ;</t>
  </si>
  <si>
    <t>Index Numbers ;  Accessories ;  Adelaide ;</t>
  </si>
  <si>
    <t>Index Numbers ;  Cleaning, repair and hire of clothing and footwear ;  Adelaide ;</t>
  </si>
  <si>
    <t>Index Numbers ;  Housing ;  Adelaide ;</t>
  </si>
  <si>
    <t>Index Numbers ;  Rents ;  Adelaide ;</t>
  </si>
  <si>
    <t>Index Numbers ;  New dwelling purchase by owner-occupiers ;  Adelaide ;</t>
  </si>
  <si>
    <t>Index Numbers ;  Other housing ;  Adelaide ;</t>
  </si>
  <si>
    <t>Index Numbers ;  Maintenance and repair of the dwelling ;  Adelaide ;</t>
  </si>
  <si>
    <t>Index Numbers ;  Property rates and charges ;  Adelaide ;</t>
  </si>
  <si>
    <t>Index Numbers ;  Utilities ;  Adelaide ;</t>
  </si>
  <si>
    <t>Index Numbers ;  Water and sewerage ;  Adelaide ;</t>
  </si>
  <si>
    <t>Index Numbers ;  Electricity ;  Adelaide ;</t>
  </si>
  <si>
    <t>Index Numbers ;  Gas and other household fuels ;  Adelaide ;</t>
  </si>
  <si>
    <t>Index Numbers ;  Furnishings, household equipment and services ;  Adelaide ;</t>
  </si>
  <si>
    <t>Index Numbers ;  Furniture and furnishings ;  Adelaide ;</t>
  </si>
  <si>
    <t>Index Numbers ;  Furniture ;  Adelaide ;</t>
  </si>
  <si>
    <t>Index Numbers ;  Carpets and other floor coverings ;  Adelaide ;</t>
  </si>
  <si>
    <t>Index Numbers ;  Household textiles ;  Adelaide ;</t>
  </si>
  <si>
    <t>Index Numbers ;  Household appliances, utensils and tools ;  Adelaide ;</t>
  </si>
  <si>
    <t>Index Numbers ;  Major household appliances ;  Adelaide ;</t>
  </si>
  <si>
    <t>Index Numbers ;  Small electric household appliances ;  Adelaide ;</t>
  </si>
  <si>
    <t>Index Numbers ;  Glassware, tableware and household utensils ;  Adelaide ;</t>
  </si>
  <si>
    <t>Index Numbers ;  Tools and equipment for house and garden ;  Adelaide ;</t>
  </si>
  <si>
    <t>Index Numbers ;  Non-durable household products ;  Adelaide ;</t>
  </si>
  <si>
    <t>Index Numbers ;  Cleaning and maintenance products ;  Adelaide ;</t>
  </si>
  <si>
    <t>Index Numbers ;  Personal care products ;  Adelaide ;</t>
  </si>
  <si>
    <t>Index Numbers ;  Other non-durable household products ;  Adelaide ;</t>
  </si>
  <si>
    <t>Index Numbers ;  Domestic and household services ;  Adelaide ;</t>
  </si>
  <si>
    <t>Index Numbers ;  Child care ;  Adelaide ;</t>
  </si>
  <si>
    <t>Index Numbers ;  Hairdressing and personal grooming services ;  Adelaide ;</t>
  </si>
  <si>
    <t>Index Numbers ;  Other household services ;  Adelaide ;</t>
  </si>
  <si>
    <t>Index Numbers ;  Health ;  Adelaide ;</t>
  </si>
  <si>
    <t>Index Numbers ;  Medical products, appliances and equipment ;  Adelaide ;</t>
  </si>
  <si>
    <t>Index Numbers ;  Pharmaceutical products ;  Adelaide ;</t>
  </si>
  <si>
    <t>Index Numbers ;  Therapeutic appliances and equipment ;  Adelaide ;</t>
  </si>
  <si>
    <t>Index Numbers ;  Medical, dental and hospital services ;  Adelaide ;</t>
  </si>
  <si>
    <t>Index Numbers ;  Medical and hospital services ;  Adelaide ;</t>
  </si>
  <si>
    <t>Index Numbers ;  Dental services ;  Adelaide ;</t>
  </si>
  <si>
    <t>Index Numbers ;  Transport ;  Adelaide ;</t>
  </si>
  <si>
    <t>Index Numbers ;  Private motoring ;  Adelaide ;</t>
  </si>
  <si>
    <t>Index Numbers ;  Motor vehicles ;  Adelaide ;</t>
  </si>
  <si>
    <t>Index Numbers ;  Spare parts and accessories for motor vehicles ;  Adelaide ;</t>
  </si>
  <si>
    <t>Index Numbers ;  Automotive fuel ;  Adelaide ;</t>
  </si>
  <si>
    <t>Index Numbers ;  Maintenance and repair of motor vehicles ;  Adelaide ;</t>
  </si>
  <si>
    <t>Index Numbers ;  Other services in respect of motor vehicles ;  Adelaide ;</t>
  </si>
  <si>
    <t>Index Numbers ;  Urban transport fares ;  Adelaide ;</t>
  </si>
  <si>
    <t>Index Numbers ;  Communication ;  Adelaide ;</t>
  </si>
  <si>
    <t>Index Numbers ;  Postal services ;  Adelaide ;</t>
  </si>
  <si>
    <t>Index Numbers ;  Telecommunication equipment and services ;  Adelaide ;</t>
  </si>
  <si>
    <t>A130392047W</t>
  </si>
  <si>
    <t>A130396072W</t>
  </si>
  <si>
    <t>A130398628C</t>
  </si>
  <si>
    <t>A130393846K</t>
  </si>
  <si>
    <t>A130390990X</t>
  </si>
  <si>
    <t>A130397578X</t>
  </si>
  <si>
    <t>A130391319W</t>
  </si>
  <si>
    <t>A130393874V</t>
  </si>
  <si>
    <t>A130396422K</t>
  </si>
  <si>
    <t>A130396317J</t>
  </si>
  <si>
    <t>A130393958C</t>
  </si>
  <si>
    <t>A130396604X</t>
  </si>
  <si>
    <t>A130395428F</t>
  </si>
  <si>
    <t>A130396177T</t>
  </si>
  <si>
    <t>A130397382W</t>
  </si>
  <si>
    <t>A130390353J</t>
  </si>
  <si>
    <t>A130399240A</t>
  </si>
  <si>
    <t>A130395631L</t>
  </si>
  <si>
    <t>A130398047F</t>
  </si>
  <si>
    <t>A130399338X</t>
  </si>
  <si>
    <t>A130393230L</t>
  </si>
  <si>
    <t>A130394357R</t>
  </si>
  <si>
    <t>A130399366J</t>
  </si>
  <si>
    <t>A130398946K</t>
  </si>
  <si>
    <t>A130395666L</t>
  </si>
  <si>
    <t>A130398103L</t>
  </si>
  <si>
    <t>A130394476F</t>
  </si>
  <si>
    <t>A130390584T</t>
  </si>
  <si>
    <t>A130395498L</t>
  </si>
  <si>
    <t>A130399289R</t>
  </si>
  <si>
    <t>A130393181C</t>
  </si>
  <si>
    <t>A130391865F</t>
  </si>
  <si>
    <t>A130392418W</t>
  </si>
  <si>
    <t>A130392432T</t>
  </si>
  <si>
    <t>A130397480A</t>
  </si>
  <si>
    <t>A130396464J</t>
  </si>
  <si>
    <t>A130398159X</t>
  </si>
  <si>
    <t>A130394525R</t>
  </si>
  <si>
    <t>A130395974R</t>
  </si>
  <si>
    <t>A130395981L</t>
  </si>
  <si>
    <t>A130393923C</t>
  </si>
  <si>
    <t>A130399450X</t>
  </si>
  <si>
    <t>A130392782T</t>
  </si>
  <si>
    <t>A130398173V</t>
  </si>
  <si>
    <t>A130393937T</t>
  </si>
  <si>
    <t>A130391732A</t>
  </si>
  <si>
    <t>A130394497T</t>
  </si>
  <si>
    <t>A130395715W</t>
  </si>
  <si>
    <t>A130399212T</t>
  </si>
  <si>
    <t>A130397998V</t>
  </si>
  <si>
    <t>A130395918W</t>
  </si>
  <si>
    <t>A130398376V</t>
  </si>
  <si>
    <t>A130399569J</t>
  </si>
  <si>
    <t>A130395582C</t>
  </si>
  <si>
    <t>A130390906W</t>
  </si>
  <si>
    <t>A130399177W</t>
  </si>
  <si>
    <t>A130390241R</t>
  </si>
  <si>
    <t>A130395988C</t>
  </si>
  <si>
    <t>A130397276T</t>
  </si>
  <si>
    <t>A130396009F</t>
  </si>
  <si>
    <t>A130394378A</t>
  </si>
  <si>
    <t>A130390668A</t>
  </si>
  <si>
    <t>A130390675X</t>
  </si>
  <si>
    <t>A130390689L</t>
  </si>
  <si>
    <t>A130399744F</t>
  </si>
  <si>
    <t>A130391039C</t>
  </si>
  <si>
    <t>A130392005X</t>
  </si>
  <si>
    <t>A130395484X</t>
  </si>
  <si>
    <t>A130398799W</t>
  </si>
  <si>
    <t>A130399254R</t>
  </si>
  <si>
    <t>A130396520R</t>
  </si>
  <si>
    <t>A130391074K</t>
  </si>
  <si>
    <t>A130399002V</t>
  </si>
  <si>
    <t>A130390717K</t>
  </si>
  <si>
    <t>A130394896A</t>
  </si>
  <si>
    <t>A130393083X</t>
  </si>
  <si>
    <t>A130393629R</t>
  </si>
  <si>
    <t>A130396996W</t>
  </si>
  <si>
    <t>A130395225F</t>
  </si>
  <si>
    <t>A130396681C</t>
  </si>
  <si>
    <t>A130395386V</t>
  </si>
  <si>
    <t>A130397003K</t>
  </si>
  <si>
    <t>A130394147T</t>
  </si>
  <si>
    <t>A130390255C</t>
  </si>
  <si>
    <t>A130392817F</t>
  </si>
  <si>
    <t>A130392292A</t>
  </si>
  <si>
    <t>A130394609X</t>
  </si>
  <si>
    <t>A130391235L</t>
  </si>
  <si>
    <t>A130393818A</t>
  </si>
  <si>
    <t>A130397010J</t>
  </si>
  <si>
    <t>A130397325A</t>
  </si>
  <si>
    <t>A130393328K</t>
  </si>
  <si>
    <t>A130390948V</t>
  </si>
  <si>
    <t>A130392306C</t>
  </si>
  <si>
    <t>A130398558J</t>
  </si>
  <si>
    <t>A130393895F</t>
  </si>
  <si>
    <t>A130393538J</t>
  </si>
  <si>
    <t>A130390073R</t>
  </si>
  <si>
    <t>A130395127A</t>
  </si>
  <si>
    <t>A130399016J</t>
  </si>
  <si>
    <t>A130392166L</t>
  </si>
  <si>
    <t>A130399632L</t>
  </si>
  <si>
    <t>A130391571X</t>
  </si>
  <si>
    <t>A130399611A</t>
  </si>
  <si>
    <t>A130399646A</t>
  </si>
  <si>
    <t>A130397942J</t>
  </si>
  <si>
    <t>A130395561T</t>
  </si>
  <si>
    <t>A130399555V</t>
  </si>
  <si>
    <t>A130390871J</t>
  </si>
  <si>
    <t>A130395848A</t>
  </si>
  <si>
    <t>A130393398T</t>
  </si>
  <si>
    <t>A130392082C</t>
  </si>
  <si>
    <t>A130391795K</t>
  </si>
  <si>
    <t>A130395883J</t>
  </si>
  <si>
    <t>A130396205R</t>
  </si>
  <si>
    <t>A130395533J</t>
  </si>
  <si>
    <t>A130397045J</t>
  </si>
  <si>
    <t>A130393363T</t>
  </si>
  <si>
    <t>A130396212L</t>
  </si>
  <si>
    <t>A130392894K</t>
  </si>
  <si>
    <t>A130394777K</t>
  </si>
  <si>
    <t>A130396562L</t>
  </si>
  <si>
    <t>A130392859C</t>
  </si>
  <si>
    <t>A130398579V</t>
  </si>
  <si>
    <t>A130399058F</t>
  </si>
  <si>
    <t>A130393153V</t>
  </si>
  <si>
    <t>A130394784J</t>
  </si>
  <si>
    <t>A130399667L</t>
  </si>
  <si>
    <t>A130397557L</t>
  </si>
  <si>
    <t>A130392313A</t>
  </si>
  <si>
    <t>A130396051K</t>
  </si>
  <si>
    <t>A130398271X</t>
  </si>
  <si>
    <t>A130398250L</t>
  </si>
  <si>
    <t>A130398621L</t>
  </si>
  <si>
    <t>A130394987J</t>
  </si>
  <si>
    <t>A130391298W</t>
  </si>
  <si>
    <t>A130390997R</t>
  </si>
  <si>
    <t>A130391305J</t>
  </si>
  <si>
    <t>A130390038J</t>
  </si>
  <si>
    <t>A130397585W</t>
  </si>
  <si>
    <t>A130390171V</t>
  </si>
  <si>
    <t>A130398813F</t>
  </si>
  <si>
    <t>A130398834T</t>
  </si>
  <si>
    <t>A130396611W</t>
  </si>
  <si>
    <t>A130397879C</t>
  </si>
  <si>
    <t>A130397501A</t>
  </si>
  <si>
    <t>A130395001V</t>
  </si>
  <si>
    <t>A130395470K</t>
  </si>
  <si>
    <t>A130394350X</t>
  </si>
  <si>
    <t>A130391879V</t>
  </si>
  <si>
    <t>A130395638C</t>
  </si>
  <si>
    <t>A130399345W</t>
  </si>
  <si>
    <t>A130396828K</t>
  </si>
  <si>
    <t>A130391718F</t>
  </si>
  <si>
    <t>A130394469J</t>
  </si>
  <si>
    <t>A130396436X</t>
  </si>
  <si>
    <t>A130396870R</t>
  </si>
  <si>
    <t>A130396877F</t>
  </si>
  <si>
    <t>A130395680J</t>
  </si>
  <si>
    <t>A130399394T</t>
  </si>
  <si>
    <t>A130394329F</t>
  </si>
  <si>
    <t>A130394427K</t>
  </si>
  <si>
    <t>A130396821V</t>
  </si>
  <si>
    <t>A130393188V</t>
  </si>
  <si>
    <t>A130392425V</t>
  </si>
  <si>
    <t>A130392439J</t>
  </si>
  <si>
    <t>A130389968F</t>
  </si>
  <si>
    <t>A130395351V</t>
  </si>
  <si>
    <t>A130396905C</t>
  </si>
  <si>
    <t>A130390626C</t>
  </si>
  <si>
    <t>A130392208X</t>
  </si>
  <si>
    <t>A130392222V</t>
  </si>
  <si>
    <t>A130396247L</t>
  </si>
  <si>
    <t>A130395736J</t>
  </si>
  <si>
    <t>A130398960F</t>
  </si>
  <si>
    <t>A130394532L</t>
  </si>
  <si>
    <t>A130398785J</t>
  </si>
  <si>
    <t>A130397963V</t>
  </si>
  <si>
    <t>A130394504C</t>
  </si>
  <si>
    <t>A130399415T</t>
  </si>
  <si>
    <t>A130393020R</t>
  </si>
  <si>
    <t>A130393132J</t>
  </si>
  <si>
    <t>A130390899K</t>
  </si>
  <si>
    <t>A130397094C</t>
  </si>
  <si>
    <t>A130399576F</t>
  </si>
  <si>
    <t>A130395589V</t>
  </si>
  <si>
    <t>A130394728R</t>
  </si>
  <si>
    <t>A130392971C</t>
  </si>
  <si>
    <t>A130391494F</t>
  </si>
  <si>
    <t>A130394833T</t>
  </si>
  <si>
    <t>A130397283R</t>
  </si>
  <si>
    <t>A130392243F</t>
  </si>
  <si>
    <t>A130393076A</t>
  </si>
  <si>
    <t>A130394560W</t>
  </si>
  <si>
    <t>A130398187J</t>
  </si>
  <si>
    <t>A130398194F</t>
  </si>
  <si>
    <t>A130391032L</t>
  </si>
  <si>
    <t>A130391046A</t>
  </si>
  <si>
    <t>A130395757V</t>
  </si>
  <si>
    <t>A130394287V</t>
  </si>
  <si>
    <t>A130398806J</t>
  </si>
  <si>
    <t>A130399261L</t>
  </si>
  <si>
    <t>A130392824C</t>
  </si>
  <si>
    <t>A130392285C</t>
  </si>
  <si>
    <t>A130397837F</t>
  </si>
  <si>
    <t>A130395771R</t>
  </si>
  <si>
    <t>A130391088X</t>
  </si>
  <si>
    <t>A130391774X</t>
  </si>
  <si>
    <t>A130394882L</t>
  </si>
  <si>
    <t>A130395792A</t>
  </si>
  <si>
    <t>A130396296J</t>
  </si>
  <si>
    <t>A130394294T</t>
  </si>
  <si>
    <t>A130391515F</t>
  </si>
  <si>
    <t>A130395799T</t>
  </si>
  <si>
    <t>A130396513T</t>
  </si>
  <si>
    <t>A130397781F</t>
  </si>
  <si>
    <t>A130394126F</t>
  </si>
  <si>
    <t>A130398509L</t>
  </si>
  <si>
    <t>A130398229V</t>
  </si>
  <si>
    <t>A130393804L</t>
  </si>
  <si>
    <t>A130391256X</t>
  </si>
  <si>
    <t>A130392026K</t>
  </si>
  <si>
    <t>A130394910K</t>
  </si>
  <si>
    <t>A130390794R</t>
  </si>
  <si>
    <t>A130394756X</t>
  </si>
  <si>
    <t>A130397332X</t>
  </si>
  <si>
    <t>A130399793A</t>
  </si>
  <si>
    <t>A130393902T</t>
  </si>
  <si>
    <t>A130390962R</t>
  </si>
  <si>
    <t>A130397599K</t>
  </si>
  <si>
    <t>A130392495A</t>
  </si>
  <si>
    <t>A130396541A</t>
  </si>
  <si>
    <t>A130394749A</t>
  </si>
  <si>
    <t>A130399639C</t>
  </si>
  <si>
    <t>A130392852L</t>
  </si>
  <si>
    <t>A130394735L</t>
  </si>
  <si>
    <t>A130393489X</t>
  </si>
  <si>
    <t>A130397949X</t>
  </si>
  <si>
    <t>A130396744A</t>
  </si>
  <si>
    <t>A130394672R</t>
  </si>
  <si>
    <t>A130393384C</t>
  </si>
  <si>
    <t>A130394679F</t>
  </si>
  <si>
    <t>A130392103C</t>
  </si>
  <si>
    <t>A130398327X</t>
  </si>
  <si>
    <t>A130396786X</t>
  </si>
  <si>
    <t>A130392131L</t>
  </si>
  <si>
    <t>A130392502L</t>
  </si>
  <si>
    <t>A130395540F</t>
  </si>
  <si>
    <t>A130395820X</t>
  </si>
  <si>
    <t>A130395827R</t>
  </si>
  <si>
    <t>Index Numbers ;  Recreation and culture ;  Adelaide ;</t>
  </si>
  <si>
    <t>Index Numbers ;  Audio, visual and computing equipment and services ;  Adelaide ;</t>
  </si>
  <si>
    <t>Index Numbers ;  Audio, visual and computing equipment ;  Adelaide ;</t>
  </si>
  <si>
    <t>Index Numbers ;  Audio, visual and computing media and services ;  Adelaide ;</t>
  </si>
  <si>
    <t>Index Numbers ;  Newspapers, books and stationery ;  Adelaide ;</t>
  </si>
  <si>
    <t>Index Numbers ;  Books ;  Adelaide ;</t>
  </si>
  <si>
    <t>Index Numbers ;  Newspapers, magazines and stationery ;  Adelaide ;</t>
  </si>
  <si>
    <t>Index Numbers ;  Holiday travel and accommodation ;  Adelaide ;</t>
  </si>
  <si>
    <t>Index Numbers ;  Domestic holiday travel and accommodation ;  Adelaide ;</t>
  </si>
  <si>
    <t>Index Numbers ;  International holiday travel and accommodation ;  Adelaide ;</t>
  </si>
  <si>
    <t>Index Numbers ;  Other recreation, sport and culture ;  Adelaide ;</t>
  </si>
  <si>
    <t>Index Numbers ;  Equipment for sports, camping and open-air recreation ;  Adelaide ;</t>
  </si>
  <si>
    <t>Index Numbers ;  Games, toys and hobbies ;  Adelaide ;</t>
  </si>
  <si>
    <t>Index Numbers ;  Pets and related products ;  Adelaide ;</t>
  </si>
  <si>
    <t>Index Numbers ;  Veterinary and other services for pets ;  Adelaide ;</t>
  </si>
  <si>
    <t>Index Numbers ;  Sports participation ;  Adelaide ;</t>
  </si>
  <si>
    <t>Index Numbers ;  Other recreational, sporting and cultural services ;  Adelaide ;</t>
  </si>
  <si>
    <t>Index Numbers ;  Education ;  Adelaide ;</t>
  </si>
  <si>
    <t>Index Numbers ;  Preschool and primary education ;  Adelaide ;</t>
  </si>
  <si>
    <t>Index Numbers ;  Secondary education ;  Adelaide ;</t>
  </si>
  <si>
    <t>Index Numbers ;  Tertiary education ;  Adelaide ;</t>
  </si>
  <si>
    <t>Index Numbers ;  Insurance and financial services ;  Adelaide ;</t>
  </si>
  <si>
    <t>Index Numbers ;  Insurance ;  Adelaide ;</t>
  </si>
  <si>
    <t>Index Numbers ;  Financial services ;  Adelaide ;</t>
  </si>
  <si>
    <t>Index Numbers ;  Deposit and loan facilities (direct charges) ;  Adelaide ;</t>
  </si>
  <si>
    <t>Index Numbers ;  Other financial services ;  Adelaide ;</t>
  </si>
  <si>
    <t>Index Numbers ;  All groups CPI ;  Perth ;</t>
  </si>
  <si>
    <t>Index Numbers ;  Food and non-alcoholic beverages ;  Perth ;</t>
  </si>
  <si>
    <t>Index Numbers ;  Bread and cereal products ;  Perth ;</t>
  </si>
  <si>
    <t>Index Numbers ;  Bread ;  Perth ;</t>
  </si>
  <si>
    <t>Index Numbers ;  Cakes and biscuits ;  Perth ;</t>
  </si>
  <si>
    <t>Index Numbers ;  Breakfast cereals ;  Perth ;</t>
  </si>
  <si>
    <t>Index Numbers ;  Other cereal products ;  Perth ;</t>
  </si>
  <si>
    <t>Index Numbers ;  Meat and seafoods ;  Perth ;</t>
  </si>
  <si>
    <t>Index Numbers ;  Beef and veal ;  Perth ;</t>
  </si>
  <si>
    <t>Index Numbers ;  Pork ;  Perth ;</t>
  </si>
  <si>
    <t>Index Numbers ;  Lamb and goat ;  Perth ;</t>
  </si>
  <si>
    <t>Index Numbers ;  Poultry ;  Perth ;</t>
  </si>
  <si>
    <t>Index Numbers ;  Other meats ;  Perth ;</t>
  </si>
  <si>
    <t>Index Numbers ;  Fish and other seafood ;  Perth ;</t>
  </si>
  <si>
    <t>Index Numbers ;  Dairy and related products ;  Perth ;</t>
  </si>
  <si>
    <t>Index Numbers ;  Milk ;  Perth ;</t>
  </si>
  <si>
    <t>Index Numbers ;  Cheese ;  Perth ;</t>
  </si>
  <si>
    <t>Index Numbers ;  Ice cream and other dairy products ;  Perth ;</t>
  </si>
  <si>
    <t>Index Numbers ;  Fruit and vegetables ;  Perth ;</t>
  </si>
  <si>
    <t>Index Numbers ;  Fruit ;  Perth ;</t>
  </si>
  <si>
    <t>Index Numbers ;  Vegetables ;  Perth ;</t>
  </si>
  <si>
    <t>Index Numbers ;  Food products n.e.c. ;  Perth ;</t>
  </si>
  <si>
    <t>Index Numbers ;  Eggs ;  Perth ;</t>
  </si>
  <si>
    <t>Index Numbers ;  Jams, honey and spreads ;  Perth ;</t>
  </si>
  <si>
    <t>Index Numbers ;  Food additives and condiments ;  Perth ;</t>
  </si>
  <si>
    <t>Index Numbers ;  Oils and fats ;  Perth ;</t>
  </si>
  <si>
    <t>Index Numbers ;  Snacks and confectionery ;  Perth ;</t>
  </si>
  <si>
    <t>Index Numbers ;  Other food products n.e.c. ;  Perth ;</t>
  </si>
  <si>
    <t>Index Numbers ;  Non-alcoholic beverages ;  Perth ;</t>
  </si>
  <si>
    <t>Index Numbers ;  Coffee, tea and cocoa ;  Perth ;</t>
  </si>
  <si>
    <t>Index Numbers ;  Waters, soft drinks and juices ;  Perth ;</t>
  </si>
  <si>
    <t>Index Numbers ;  Meals out and take away foods ;  Perth ;</t>
  </si>
  <si>
    <t>Index Numbers ;  Restaurant meals ;  Perth ;</t>
  </si>
  <si>
    <t>Index Numbers ;  Take away and fast foods ;  Perth ;</t>
  </si>
  <si>
    <t>Index Numbers ;  Alcohol and tobacco ;  Perth ;</t>
  </si>
  <si>
    <t>Index Numbers ;  Alcoholic beverages ;  Perth ;</t>
  </si>
  <si>
    <t>Index Numbers ;  Spirits ;  Perth ;</t>
  </si>
  <si>
    <t>Index Numbers ;  Wine ;  Perth ;</t>
  </si>
  <si>
    <t>Index Numbers ;  Beer ;  Perth ;</t>
  </si>
  <si>
    <t>Index Numbers ;  Tobacco ;  Perth ;</t>
  </si>
  <si>
    <t>Index Numbers ;  Clothing and footwear ;  Perth ;</t>
  </si>
  <si>
    <t>Index Numbers ;  Garments ;  Perth ;</t>
  </si>
  <si>
    <t>Index Numbers ;  Garments for men ;  Perth ;</t>
  </si>
  <si>
    <t>Index Numbers ;  Garments for women ;  Perth ;</t>
  </si>
  <si>
    <t>Index Numbers ;  Garments for infants and children ;  Perth ;</t>
  </si>
  <si>
    <t>Index Numbers ;  Footwear ;  Perth ;</t>
  </si>
  <si>
    <t>Index Numbers ;  Footwear for men ;  Perth ;</t>
  </si>
  <si>
    <t>Index Numbers ;  Footwear for women ;  Perth ;</t>
  </si>
  <si>
    <t>Index Numbers ;  Footwear for infants and children ;  Perth ;</t>
  </si>
  <si>
    <t>Index Numbers ;  Accessories and clothing services ;  Perth ;</t>
  </si>
  <si>
    <t>Index Numbers ;  Accessories ;  Perth ;</t>
  </si>
  <si>
    <t>Index Numbers ;  Cleaning, repair and hire of clothing and footwear ;  Perth ;</t>
  </si>
  <si>
    <t>Index Numbers ;  Housing ;  Perth ;</t>
  </si>
  <si>
    <t>Index Numbers ;  Rents ;  Perth ;</t>
  </si>
  <si>
    <t>Index Numbers ;  New dwelling purchase by owner-occupiers ;  Perth ;</t>
  </si>
  <si>
    <t>Index Numbers ;  Other housing ;  Perth ;</t>
  </si>
  <si>
    <t>Index Numbers ;  Maintenance and repair of the dwelling ;  Perth ;</t>
  </si>
  <si>
    <t>Index Numbers ;  Property rates and charges ;  Perth ;</t>
  </si>
  <si>
    <t>Index Numbers ;  Utilities ;  Perth ;</t>
  </si>
  <si>
    <t>Index Numbers ;  Water and sewerage ;  Perth ;</t>
  </si>
  <si>
    <t>Index Numbers ;  Electricity ;  Perth ;</t>
  </si>
  <si>
    <t>Index Numbers ;  Gas and other household fuels ;  Perth ;</t>
  </si>
  <si>
    <t>Index Numbers ;  Furnishings, household equipment and services ;  Perth ;</t>
  </si>
  <si>
    <t>Index Numbers ;  Furniture and furnishings ;  Perth ;</t>
  </si>
  <si>
    <t>Index Numbers ;  Furniture ;  Perth ;</t>
  </si>
  <si>
    <t>Index Numbers ;  Carpets and other floor coverings ;  Perth ;</t>
  </si>
  <si>
    <t>Index Numbers ;  Household textiles ;  Perth ;</t>
  </si>
  <si>
    <t>Index Numbers ;  Household appliances, utensils and tools ;  Perth ;</t>
  </si>
  <si>
    <t>Index Numbers ;  Major household appliances ;  Perth ;</t>
  </si>
  <si>
    <t>Index Numbers ;  Small electric household appliances ;  Perth ;</t>
  </si>
  <si>
    <t>Index Numbers ;  Glassware, tableware and household utensils ;  Perth ;</t>
  </si>
  <si>
    <t>Index Numbers ;  Tools and equipment for house and garden ;  Perth ;</t>
  </si>
  <si>
    <t>Index Numbers ;  Non-durable household products ;  Perth ;</t>
  </si>
  <si>
    <t>Index Numbers ;  Cleaning and maintenance products ;  Perth ;</t>
  </si>
  <si>
    <t>Index Numbers ;  Personal care products ;  Perth ;</t>
  </si>
  <si>
    <t>Index Numbers ;  Other non-durable household products ;  Perth ;</t>
  </si>
  <si>
    <t>Index Numbers ;  Domestic and household services ;  Perth ;</t>
  </si>
  <si>
    <t>Index Numbers ;  Child care ;  Perth ;</t>
  </si>
  <si>
    <t>Index Numbers ;  Hairdressing and personal grooming services ;  Perth ;</t>
  </si>
  <si>
    <t>Index Numbers ;  Other household services ;  Perth ;</t>
  </si>
  <si>
    <t>Index Numbers ;  Health ;  Perth ;</t>
  </si>
  <si>
    <t>Index Numbers ;  Medical products, appliances and equipment ;  Perth ;</t>
  </si>
  <si>
    <t>Index Numbers ;  Pharmaceutical products ;  Perth ;</t>
  </si>
  <si>
    <t>Index Numbers ;  Therapeutic appliances and equipment ;  Perth ;</t>
  </si>
  <si>
    <t>Index Numbers ;  Medical, dental and hospital services ;  Perth ;</t>
  </si>
  <si>
    <t>Index Numbers ;  Medical and hospital services ;  Perth ;</t>
  </si>
  <si>
    <t>Index Numbers ;  Dental services ;  Perth ;</t>
  </si>
  <si>
    <t>Index Numbers ;  Transport ;  Perth ;</t>
  </si>
  <si>
    <t>Index Numbers ;  Private motoring ;  Perth ;</t>
  </si>
  <si>
    <t>Index Numbers ;  Motor vehicles ;  Perth ;</t>
  </si>
  <si>
    <t>Index Numbers ;  Spare parts and accessories for motor vehicles ;  Perth ;</t>
  </si>
  <si>
    <t>Index Numbers ;  Automotive fuel ;  Perth ;</t>
  </si>
  <si>
    <t>Index Numbers ;  Maintenance and repair of motor vehicles ;  Perth ;</t>
  </si>
  <si>
    <t>Index Numbers ;  Other services in respect of motor vehicles ;  Perth ;</t>
  </si>
  <si>
    <t>Index Numbers ;  Urban transport fares ;  Perth ;</t>
  </si>
  <si>
    <t>Index Numbers ;  Communication ;  Perth ;</t>
  </si>
  <si>
    <t>Index Numbers ;  Postal services ;  Perth ;</t>
  </si>
  <si>
    <t>Index Numbers ;  Telecommunication equipment and services ;  Perth ;</t>
  </si>
  <si>
    <t>Index Numbers ;  Recreation and culture ;  Perth ;</t>
  </si>
  <si>
    <t>Index Numbers ;  Audio, visual and computing equipment and services ;  Perth ;</t>
  </si>
  <si>
    <t>Index Numbers ;  Audio, visual and computing equipment ;  Perth ;</t>
  </si>
  <si>
    <t>Index Numbers ;  Audio, visual and computing media and services ;  Perth ;</t>
  </si>
  <si>
    <t>Index Numbers ;  Newspapers, books and stationery ;  Perth ;</t>
  </si>
  <si>
    <t>Index Numbers ;  Books ;  Perth ;</t>
  </si>
  <si>
    <t>Index Numbers ;  Newspapers, magazines and stationery ;  Perth ;</t>
  </si>
  <si>
    <t>Index Numbers ;  Holiday travel and accommodation ;  Perth ;</t>
  </si>
  <si>
    <t>Index Numbers ;  Domestic holiday travel and accommodation ;  Perth ;</t>
  </si>
  <si>
    <t>Index Numbers ;  International holiday travel and accommodation ;  Perth ;</t>
  </si>
  <si>
    <t>Index Numbers ;  Other recreation, sport and culture ;  Perth ;</t>
  </si>
  <si>
    <t>Index Numbers ;  Equipment for sports, camping and open-air recreation ;  Perth ;</t>
  </si>
  <si>
    <t>Index Numbers ;  Games, toys and hobbies ;  Perth ;</t>
  </si>
  <si>
    <t>Index Numbers ;  Pets and related products ;  Perth ;</t>
  </si>
  <si>
    <t>Index Numbers ;  Veterinary and other services for pets ;  Perth ;</t>
  </si>
  <si>
    <t>Index Numbers ;  Sports participation ;  Perth ;</t>
  </si>
  <si>
    <t>Index Numbers ;  Other recreational, sporting and cultural services ;  Perth ;</t>
  </si>
  <si>
    <t>Index Numbers ;  Education ;  Perth ;</t>
  </si>
  <si>
    <t>Index Numbers ;  Preschool and primary education ;  Perth ;</t>
  </si>
  <si>
    <t>Index Numbers ;  Secondary education ;  Perth ;</t>
  </si>
  <si>
    <t>Index Numbers ;  Tertiary education ;  Perth ;</t>
  </si>
  <si>
    <t>Index Numbers ;  Insurance and financial services ;  Perth ;</t>
  </si>
  <si>
    <t>Index Numbers ;  Insurance ;  Perth ;</t>
  </si>
  <si>
    <t>Index Numbers ;  Financial services ;  Perth ;</t>
  </si>
  <si>
    <t>Index Numbers ;  Deposit and loan facilities (direct charges) ;  Perth ;</t>
  </si>
  <si>
    <t>Index Numbers ;  Other financial services ;  Perth ;</t>
  </si>
  <si>
    <t>Index Numbers ;  All groups CPI ;  Hobart ;</t>
  </si>
  <si>
    <t>Index Numbers ;  Food and non-alcoholic beverages ;  Hobart ;</t>
  </si>
  <si>
    <t>Index Numbers ;  Bread and cereal products ;  Hobart ;</t>
  </si>
  <si>
    <t>Index Numbers ;  Bread ;  Hobart ;</t>
  </si>
  <si>
    <t>Index Numbers ;  Cakes and biscuits ;  Hobart ;</t>
  </si>
  <si>
    <t>Index Numbers ;  Breakfast cereals ;  Hobart ;</t>
  </si>
  <si>
    <t>Index Numbers ;  Other cereal products ;  Hobart ;</t>
  </si>
  <si>
    <t>Index Numbers ;  Meat and seafoods ;  Hobart ;</t>
  </si>
  <si>
    <t>Index Numbers ;  Beef and veal ;  Hobart ;</t>
  </si>
  <si>
    <t>Index Numbers ;  Pork ;  Hobart ;</t>
  </si>
  <si>
    <t>Index Numbers ;  Lamb and goat ;  Hobart ;</t>
  </si>
  <si>
    <t>Index Numbers ;  Poultry ;  Hobart ;</t>
  </si>
  <si>
    <t>Index Numbers ;  Other meats ;  Hobart ;</t>
  </si>
  <si>
    <t>Index Numbers ;  Fish and other seafood ;  Hobart ;</t>
  </si>
  <si>
    <t>Index Numbers ;  Dairy and related products ;  Hobart ;</t>
  </si>
  <si>
    <t>Index Numbers ;  Milk ;  Hobart ;</t>
  </si>
  <si>
    <t>Index Numbers ;  Cheese ;  Hobart ;</t>
  </si>
  <si>
    <t>Index Numbers ;  Ice cream and other dairy products ;  Hobart ;</t>
  </si>
  <si>
    <t>Index Numbers ;  Fruit and vegetables ;  Hobart ;</t>
  </si>
  <si>
    <t>Index Numbers ;  Fruit ;  Hobart ;</t>
  </si>
  <si>
    <t>Index Numbers ;  Vegetables ;  Hobart ;</t>
  </si>
  <si>
    <t>Index Numbers ;  Food products n.e.c. ;  Hobart ;</t>
  </si>
  <si>
    <t>Index Numbers ;  Eggs ;  Hobart ;</t>
  </si>
  <si>
    <t>Index Numbers ;  Jams, honey and spreads ;  Hobart ;</t>
  </si>
  <si>
    <t>Index Numbers ;  Food additives and condiments ;  Hobart ;</t>
  </si>
  <si>
    <t>Index Numbers ;  Oils and fats ;  Hobart ;</t>
  </si>
  <si>
    <t>Index Numbers ;  Snacks and confectionery ;  Hobart ;</t>
  </si>
  <si>
    <t>Index Numbers ;  Other food products n.e.c. ;  Hobart ;</t>
  </si>
  <si>
    <t>Index Numbers ;  Non-alcoholic beverages ;  Hobart ;</t>
  </si>
  <si>
    <t>Index Numbers ;  Coffee, tea and cocoa ;  Hobart ;</t>
  </si>
  <si>
    <t>Index Numbers ;  Waters, soft drinks and juices ;  Hobart ;</t>
  </si>
  <si>
    <t>Index Numbers ;  Meals out and take away foods ;  Hobart ;</t>
  </si>
  <si>
    <t>Index Numbers ;  Restaurant meals ;  Hobart ;</t>
  </si>
  <si>
    <t>Index Numbers ;  Take away and fast foods ;  Hobart ;</t>
  </si>
  <si>
    <t>Index Numbers ;  Alcohol and tobacco ;  Hobart ;</t>
  </si>
  <si>
    <t>Index Numbers ;  Alcoholic beverages ;  Hobart ;</t>
  </si>
  <si>
    <t>Index Numbers ;  Spirits ;  Hobart ;</t>
  </si>
  <si>
    <t>Index Numbers ;  Wine ;  Hobart ;</t>
  </si>
  <si>
    <t>Index Numbers ;  Beer ;  Hobart ;</t>
  </si>
  <si>
    <t>Index Numbers ;  Tobacco ;  Hobart ;</t>
  </si>
  <si>
    <t>Index Numbers ;  Clothing and footwear ;  Hobart ;</t>
  </si>
  <si>
    <t>Index Numbers ;  Garments ;  Hobart ;</t>
  </si>
  <si>
    <t>Index Numbers ;  Garments for men ;  Hobart ;</t>
  </si>
  <si>
    <t>Index Numbers ;  Garments for women ;  Hobart ;</t>
  </si>
  <si>
    <t>Index Numbers ;  Garments for infants and children ;  Hobart ;</t>
  </si>
  <si>
    <t>Index Numbers ;  Footwear ;  Hobart ;</t>
  </si>
  <si>
    <t>Index Numbers ;  Footwear for men ;  Hobart ;</t>
  </si>
  <si>
    <t>Index Numbers ;  Footwear for women ;  Hobart ;</t>
  </si>
  <si>
    <t>Index Numbers ;  Footwear for infants and children ;  Hobart ;</t>
  </si>
  <si>
    <t>Index Numbers ;  Accessories and clothing services ;  Hobart ;</t>
  </si>
  <si>
    <t>Index Numbers ;  Accessories ;  Hobart ;</t>
  </si>
  <si>
    <t>Index Numbers ;  Cleaning, repair and hire of clothing and footwear ;  Hobart ;</t>
  </si>
  <si>
    <t>Index Numbers ;  Housing ;  Hobart ;</t>
  </si>
  <si>
    <t>Index Numbers ;  Rents ;  Hobart ;</t>
  </si>
  <si>
    <t>Index Numbers ;  New dwelling purchase by owner-occupiers ;  Hobart ;</t>
  </si>
  <si>
    <t>Index Numbers ;  Other housing ;  Hobart ;</t>
  </si>
  <si>
    <t>Index Numbers ;  Maintenance and repair of the dwelling ;  Hobart ;</t>
  </si>
  <si>
    <t>Index Numbers ;  Property rates and charges ;  Hobart ;</t>
  </si>
  <si>
    <t>Index Numbers ;  Utilities ;  Hobart ;</t>
  </si>
  <si>
    <t>Index Numbers ;  Water and sewerage ;  Hobart ;</t>
  </si>
  <si>
    <t>Index Numbers ;  Electricity ;  Hobart ;</t>
  </si>
  <si>
    <t>Index Numbers ;  Gas and other household fuels ;  Hobart ;</t>
  </si>
  <si>
    <t>Index Numbers ;  Furnishings, household equipment and services ;  Hobart ;</t>
  </si>
  <si>
    <t>Index Numbers ;  Furniture and furnishings ;  Hobart ;</t>
  </si>
  <si>
    <t>Index Numbers ;  Furniture ;  Hobart ;</t>
  </si>
  <si>
    <t>Index Numbers ;  Carpets and other floor coverings ;  Hobart ;</t>
  </si>
  <si>
    <t>Index Numbers ;  Household textiles ;  Hobart ;</t>
  </si>
  <si>
    <t>Index Numbers ;  Household appliances, utensils and tools ;  Hobart ;</t>
  </si>
  <si>
    <t>Index Numbers ;  Major household appliances ;  Hobart ;</t>
  </si>
  <si>
    <t>Index Numbers ;  Small electric household appliances ;  Hobart ;</t>
  </si>
  <si>
    <t>Index Numbers ;  Glassware, tableware and household utensils ;  Hobart ;</t>
  </si>
  <si>
    <t>Index Numbers ;  Tools and equipment for house and garden ;  Hobart ;</t>
  </si>
  <si>
    <t>Index Numbers ;  Non-durable household products ;  Hobart ;</t>
  </si>
  <si>
    <t>Index Numbers ;  Cleaning and maintenance products ;  Hobart ;</t>
  </si>
  <si>
    <t>Index Numbers ;  Personal care products ;  Hobart ;</t>
  </si>
  <si>
    <t>Index Numbers ;  Other non-durable household products ;  Hobart ;</t>
  </si>
  <si>
    <t>Index Numbers ;  Domestic and household services ;  Hobart ;</t>
  </si>
  <si>
    <t>Index Numbers ;  Child care ;  Hobart ;</t>
  </si>
  <si>
    <t>Index Numbers ;  Hairdressing and personal grooming services ;  Hobart ;</t>
  </si>
  <si>
    <t>Index Numbers ;  Other household services ;  Hobart ;</t>
  </si>
  <si>
    <t>Index Numbers ;  Health ;  Hobart ;</t>
  </si>
  <si>
    <t>Index Numbers ;  Medical products, appliances and equipment ;  Hobart ;</t>
  </si>
  <si>
    <t>Index Numbers ;  Pharmaceutical products ;  Hobart ;</t>
  </si>
  <si>
    <t>Index Numbers ;  Therapeutic appliances and equipment ;  Hobart ;</t>
  </si>
  <si>
    <t>Index Numbers ;  Medical, dental and hospital services ;  Hobart ;</t>
  </si>
  <si>
    <t>Index Numbers ;  Medical and hospital services ;  Hobart ;</t>
  </si>
  <si>
    <t>A130392516A</t>
  </si>
  <si>
    <t>A130399072A</t>
  </si>
  <si>
    <t>A130395960A</t>
  </si>
  <si>
    <t>A130399044T</t>
  </si>
  <si>
    <t>A130394189R</t>
  </si>
  <si>
    <t>A130394945K</t>
  </si>
  <si>
    <t>A130394203X</t>
  </si>
  <si>
    <t>A130393160T</t>
  </si>
  <si>
    <t>A130397206K</t>
  </si>
  <si>
    <t>A130397220F</t>
  </si>
  <si>
    <t>A130395141W</t>
  </si>
  <si>
    <t>A130394959X</t>
  </si>
  <si>
    <t>A130396058A</t>
  </si>
  <si>
    <t>A130392068J</t>
  </si>
  <si>
    <t>A130390801A</t>
  </si>
  <si>
    <t>A130393699W</t>
  </si>
  <si>
    <t>A130394994F</t>
  </si>
  <si>
    <t>A130395155K</t>
  </si>
  <si>
    <t>A130393566T</t>
  </si>
  <si>
    <t>A130396233X</t>
  </si>
  <si>
    <t>A130390045F</t>
  </si>
  <si>
    <t>A130393881T</t>
  </si>
  <si>
    <t>A130392754J</t>
  </si>
  <si>
    <t>A130398820C</t>
  </si>
  <si>
    <t>A130391368T</t>
  </si>
  <si>
    <t>A130399107R</t>
  </si>
  <si>
    <t>A130399093L</t>
  </si>
  <si>
    <t>A130397508T</t>
  </si>
  <si>
    <t>A130393713F</t>
  </si>
  <si>
    <t>A130394273F</t>
  </si>
  <si>
    <t>A130390423C</t>
  </si>
  <si>
    <t>A130394441F</t>
  </si>
  <si>
    <t>A130399317L</t>
  </si>
  <si>
    <t>A130395652X</t>
  </si>
  <si>
    <t>A130393237C</t>
  </si>
  <si>
    <t>A130393062L</t>
  </si>
  <si>
    <t>A130398075R</t>
  </si>
  <si>
    <t>A130395330J</t>
  </si>
  <si>
    <t>A130398082L</t>
  </si>
  <si>
    <t>A130390570C</t>
  </si>
  <si>
    <t>A130396891A</t>
  </si>
  <si>
    <t>A130390591R</t>
  </si>
  <si>
    <t>A130394336C</t>
  </si>
  <si>
    <t>A130390521J</t>
  </si>
  <si>
    <t>A130390528X</t>
  </si>
  <si>
    <t>A130399303X</t>
  </si>
  <si>
    <t>A130391214A</t>
  </si>
  <si>
    <t>A130389947V</t>
  </si>
  <si>
    <t>A130392460A</t>
  </si>
  <si>
    <t>A130398953J</t>
  </si>
  <si>
    <t>A130394511A</t>
  </si>
  <si>
    <t>A130396933L</t>
  </si>
  <si>
    <t>A130399695W</t>
  </si>
  <si>
    <t>A130399702J</t>
  </si>
  <si>
    <t>A130392572V</t>
  </si>
  <si>
    <t>A130394553X</t>
  </si>
  <si>
    <t>A130395358K</t>
  </si>
  <si>
    <t>A130391977X</t>
  </si>
  <si>
    <t>A130390080L</t>
  </si>
  <si>
    <t>A130396723R</t>
  </si>
  <si>
    <t>A130395708X</t>
  </si>
  <si>
    <t>A130393258R</t>
  </si>
  <si>
    <t>A130399219J</t>
  </si>
  <si>
    <t>A130390500W</t>
  </si>
  <si>
    <t>A130397108F</t>
  </si>
  <si>
    <t>A130393419T</t>
  </si>
  <si>
    <t>A130399583C</t>
  </si>
  <si>
    <t>A130393139X</t>
  </si>
  <si>
    <t>A130390913V</t>
  </si>
  <si>
    <t>A130392978V</t>
  </si>
  <si>
    <t>A130392796F</t>
  </si>
  <si>
    <t>A130394840R</t>
  </si>
  <si>
    <t>A130392229K</t>
  </si>
  <si>
    <t>A130399723V</t>
  </si>
  <si>
    <t>A130391753L</t>
  </si>
  <si>
    <t>A130393272K</t>
  </si>
  <si>
    <t>A130394567L</t>
  </si>
  <si>
    <t>A130390696K</t>
  </si>
  <si>
    <t>A130399751C</t>
  </si>
  <si>
    <t>A130398474X</t>
  </si>
  <si>
    <t>A130396982J</t>
  </si>
  <si>
    <t>A130396674F</t>
  </si>
  <si>
    <t>A130392593F</t>
  </si>
  <si>
    <t>A130395526K</t>
  </si>
  <si>
    <t>A130396527F</t>
  </si>
  <si>
    <t>A130391081J</t>
  </si>
  <si>
    <t>A130392845R</t>
  </si>
  <si>
    <t>A130398201T</t>
  </si>
  <si>
    <t>A130398502W</t>
  </si>
  <si>
    <t>A130394399L</t>
  </si>
  <si>
    <t>A130393636L</t>
  </si>
  <si>
    <t>A130392019L</t>
  </si>
  <si>
    <t>A130392607J</t>
  </si>
  <si>
    <t>A130390388J</t>
  </si>
  <si>
    <t>A130394140A</t>
  </si>
  <si>
    <t>A130395806C</t>
  </si>
  <si>
    <t>A130397816V</t>
  </si>
  <si>
    <t>A130396485V</t>
  </si>
  <si>
    <t>A130391508J</t>
  </si>
  <si>
    <t>A130393650J</t>
  </si>
  <si>
    <t>A130393314W</t>
  </si>
  <si>
    <t>A130391242K</t>
  </si>
  <si>
    <t>A130398722X</t>
  </si>
  <si>
    <t>A130393321V</t>
  </si>
  <si>
    <t>A130398537W</t>
  </si>
  <si>
    <t>A130398243R</t>
  </si>
  <si>
    <t>A130393524V</t>
  </si>
  <si>
    <t>A130393671V</t>
  </si>
  <si>
    <t>A130398565F</t>
  </si>
  <si>
    <t>A130391326V</t>
  </si>
  <si>
    <t>A130397157A</t>
  </si>
  <si>
    <t>A130397606W</t>
  </si>
  <si>
    <t>A130389982A</t>
  </si>
  <si>
    <t>A130395407V</t>
  </si>
  <si>
    <t>A130393510F</t>
  </si>
  <si>
    <t>A130392152X</t>
  </si>
  <si>
    <t>A130394168C</t>
  </si>
  <si>
    <t>A130399618T</t>
  </si>
  <si>
    <t>A130392159R</t>
  </si>
  <si>
    <t>A130399205V</t>
  </si>
  <si>
    <t>A130396751X</t>
  </si>
  <si>
    <t>A130398306L</t>
  </si>
  <si>
    <t>A130392089V</t>
  </si>
  <si>
    <t>A130398313K</t>
  </si>
  <si>
    <t>A130394693A</t>
  </si>
  <si>
    <t>A130393377F</t>
  </si>
  <si>
    <t>A130395568J</t>
  </si>
  <si>
    <t>A130390878X</t>
  </si>
  <si>
    <t>A130392509C</t>
  </si>
  <si>
    <t>A130393111W</t>
  </si>
  <si>
    <t>A130390822L</t>
  </si>
  <si>
    <t>A130398285L</t>
  </si>
  <si>
    <t>A130395134X</t>
  </si>
  <si>
    <t>A130394224K</t>
  </si>
  <si>
    <t>A130399653X</t>
  </si>
  <si>
    <t>A130391578R</t>
  </si>
  <si>
    <t>A130399051R</t>
  </si>
  <si>
    <t>A130391123V</t>
  </si>
  <si>
    <t>A130396576A</t>
  </si>
  <si>
    <t>A130396793W</t>
  </si>
  <si>
    <t>A130398439T</t>
  </si>
  <si>
    <t>A130397227W</t>
  </si>
  <si>
    <t>A130398743K</t>
  </si>
  <si>
    <t>A130398600A</t>
  </si>
  <si>
    <t>A130398607T</t>
  </si>
  <si>
    <t>A130394630T</t>
  </si>
  <si>
    <t>A130393335J</t>
  </si>
  <si>
    <t>A130393706J</t>
  </si>
  <si>
    <t>A130391144F</t>
  </si>
  <si>
    <t>A130398750J</t>
  </si>
  <si>
    <t>A130399674K</t>
  </si>
  <si>
    <t>A130390031T</t>
  </si>
  <si>
    <t>A130398771V</t>
  </si>
  <si>
    <t>A130392544K</t>
  </si>
  <si>
    <t>A130390178K</t>
  </si>
  <si>
    <t>A130391361A</t>
  </si>
  <si>
    <t>A130391375R</t>
  </si>
  <si>
    <t>A130396618L</t>
  </si>
  <si>
    <t>A130396583X</t>
  </si>
  <si>
    <t>A130393790K</t>
  </si>
  <si>
    <t>A130392355X</t>
  </si>
  <si>
    <t>A130390360F</t>
  </si>
  <si>
    <t>A130395505X</t>
  </si>
  <si>
    <t>A130399310W</t>
  </si>
  <si>
    <t>A130395645A</t>
  </si>
  <si>
    <t>A130395659R</t>
  </si>
  <si>
    <t>A130399359K</t>
  </si>
  <si>
    <t>A130396716T</t>
  </si>
  <si>
    <t>A130396849W</t>
  </si>
  <si>
    <t>A130390206J</t>
  </si>
  <si>
    <t>A130398089C</t>
  </si>
  <si>
    <t>A130398110K</t>
  </si>
  <si>
    <t>A130395687X</t>
  </si>
  <si>
    <t>A130391935A</t>
  </si>
  <si>
    <t>A130396702C</t>
  </si>
  <si>
    <t>A130394434J</t>
  </si>
  <si>
    <t>A130391851T</t>
  </si>
  <si>
    <t>A130395617T</t>
  </si>
  <si>
    <t>A130398694A</t>
  </si>
  <si>
    <t>A130392453C</t>
  </si>
  <si>
    <t>A130392467T</t>
  </si>
  <si>
    <t>A130390213F</t>
  </si>
  <si>
    <t>A130396912A</t>
  </si>
  <si>
    <t>A130390633A</t>
  </si>
  <si>
    <t>A130394812F</t>
  </si>
  <si>
    <t>A130397255F</t>
  </si>
  <si>
    <t>A130393930A</t>
  </si>
  <si>
    <t>A130393265L</t>
  </si>
  <si>
    <t>A130390234T</t>
  </si>
  <si>
    <t>A130394539C</t>
  </si>
  <si>
    <t>A130392579K</t>
  </si>
  <si>
    <t>A130390444R</t>
  </si>
  <si>
    <t>A130399408V</t>
  </si>
  <si>
    <t>A130395722V</t>
  </si>
  <si>
    <t>A130395491W</t>
  </si>
  <si>
    <t>A130391809L</t>
  </si>
  <si>
    <t>A130394714A</t>
  </si>
  <si>
    <t>A130393426R</t>
  </si>
  <si>
    <t>A130397087F</t>
  </si>
  <si>
    <t>A130393146W</t>
  </si>
  <si>
    <t>A130393461W</t>
  </si>
  <si>
    <t>A130396667J</t>
  </si>
  <si>
    <t>A130395365J</t>
  </si>
  <si>
    <t>A130393601L</t>
  </si>
  <si>
    <t>A130392236J</t>
  </si>
  <si>
    <t>A130399730T</t>
  </si>
  <si>
    <t>A130395519L</t>
  </si>
  <si>
    <t>A130393286X</t>
  </si>
  <si>
    <t>A130393300J</t>
  </si>
  <si>
    <t>A130399471K</t>
  </si>
  <si>
    <t>A130394861A</t>
  </si>
  <si>
    <t>A130393622X</t>
  </si>
  <si>
    <t>A130399485X</t>
  </si>
  <si>
    <t>A130399191T</t>
  </si>
  <si>
    <t>A130396275W</t>
  </si>
  <si>
    <t>A130394385X</t>
  </si>
  <si>
    <t>A130392831A</t>
  </si>
  <si>
    <t>A130396030X</t>
  </si>
  <si>
    <t>A130391543R</t>
  </si>
  <si>
    <t>A130395778F</t>
  </si>
  <si>
    <t>A130397304R</t>
  </si>
  <si>
    <t>A130393097L</t>
  </si>
  <si>
    <t>A130399765T</t>
  </si>
  <si>
    <t>A130390738W</t>
  </si>
  <si>
    <t>A130396303V</t>
  </si>
  <si>
    <t>A130394301C</t>
  </si>
  <si>
    <t>A130397802F</t>
  </si>
  <si>
    <t>A130394602J</t>
  </si>
  <si>
    <t>A130397830R</t>
  </si>
  <si>
    <t>A130394112T</t>
  </si>
  <si>
    <t>A130397788W</t>
  </si>
  <si>
    <t>A130393657X</t>
  </si>
  <si>
    <t>A130390766F</t>
  </si>
  <si>
    <t>A130389975C</t>
  </si>
  <si>
    <t>A130395113L</t>
  </si>
  <si>
    <t>A130390787T</t>
  </si>
  <si>
    <t>A130391109X</t>
  </si>
  <si>
    <t>A130399527K</t>
  </si>
  <si>
    <t>A130392180J</t>
  </si>
  <si>
    <t>A130393678K</t>
  </si>
  <si>
    <t>A130394938L</t>
  </si>
  <si>
    <t>A130393909J</t>
  </si>
  <si>
    <t>A130397164X</t>
  </si>
  <si>
    <t>A130391340R</t>
  </si>
  <si>
    <t>A130396198C</t>
  </si>
  <si>
    <t>A130396548T</t>
  </si>
  <si>
    <t>A130397136R</t>
  </si>
  <si>
    <t>A130395939J</t>
  </si>
  <si>
    <t>A130395414T</t>
  </si>
  <si>
    <t>A130397129T</t>
  </si>
  <si>
    <t>Index Numbers ;  Dental services ;  Hobart ;</t>
  </si>
  <si>
    <t>Index Numbers ;  Transport ;  Hobart ;</t>
  </si>
  <si>
    <t>Index Numbers ;  Private motoring ;  Hobart ;</t>
  </si>
  <si>
    <t>Index Numbers ;  Motor vehicles ;  Hobart ;</t>
  </si>
  <si>
    <t>Index Numbers ;  Spare parts and accessories for motor vehicles ;  Hobart ;</t>
  </si>
  <si>
    <t>Index Numbers ;  Automotive fuel ;  Hobart ;</t>
  </si>
  <si>
    <t>Index Numbers ;  Maintenance and repair of motor vehicles ;  Hobart ;</t>
  </si>
  <si>
    <t>Index Numbers ;  Other services in respect of motor vehicles ;  Hobart ;</t>
  </si>
  <si>
    <t>Index Numbers ;  Urban transport fares ;  Hobart ;</t>
  </si>
  <si>
    <t>Index Numbers ;  Communication ;  Hobart ;</t>
  </si>
  <si>
    <t>Index Numbers ;  Postal services ;  Hobart ;</t>
  </si>
  <si>
    <t>Index Numbers ;  Telecommunication equipment and services ;  Hobart ;</t>
  </si>
  <si>
    <t>Index Numbers ;  Recreation and culture ;  Hobart ;</t>
  </si>
  <si>
    <t>Index Numbers ;  Audio, visual and computing equipment and services ;  Hobart ;</t>
  </si>
  <si>
    <t>Index Numbers ;  Audio, visual and computing equipment ;  Hobart ;</t>
  </si>
  <si>
    <t>Index Numbers ;  Audio, visual and computing media and services ;  Hobart ;</t>
  </si>
  <si>
    <t>Index Numbers ;  Newspapers, books and stationery ;  Hobart ;</t>
  </si>
  <si>
    <t>Index Numbers ;  Books ;  Hobart ;</t>
  </si>
  <si>
    <t>Index Numbers ;  Newspapers, magazines and stationery ;  Hobart ;</t>
  </si>
  <si>
    <t>Index Numbers ;  Holiday travel and accommodation ;  Hobart ;</t>
  </si>
  <si>
    <t>Index Numbers ;  Domestic holiday travel and accommodation ;  Hobart ;</t>
  </si>
  <si>
    <t>Index Numbers ;  International holiday travel and accommodation ;  Hobart ;</t>
  </si>
  <si>
    <t>Index Numbers ;  Other recreation, sport and culture ;  Hobart ;</t>
  </si>
  <si>
    <t>Index Numbers ;  Equipment for sports, camping and open-air recreation ;  Hobart ;</t>
  </si>
  <si>
    <t>Index Numbers ;  Games, toys and hobbies ;  Hobart ;</t>
  </si>
  <si>
    <t>Index Numbers ;  Pets and related products ;  Hobart ;</t>
  </si>
  <si>
    <t>Index Numbers ;  Veterinary and other services for pets ;  Hobart ;</t>
  </si>
  <si>
    <t>Index Numbers ;  Sports participation ;  Hobart ;</t>
  </si>
  <si>
    <t>Index Numbers ;  Other recreational, sporting and cultural services ;  Hobart ;</t>
  </si>
  <si>
    <t>Index Numbers ;  Education ;  Hobart ;</t>
  </si>
  <si>
    <t>Index Numbers ;  Preschool and primary education ;  Hobart ;</t>
  </si>
  <si>
    <t>Index Numbers ;  Secondary education ;  Hobart ;</t>
  </si>
  <si>
    <t>Index Numbers ;  Tertiary education ;  Hobart ;</t>
  </si>
  <si>
    <t>Index Numbers ;  Insurance and financial services ;  Hobart ;</t>
  </si>
  <si>
    <t>Index Numbers ;  Insurance ;  Hobart ;</t>
  </si>
  <si>
    <t>Index Numbers ;  Financial services ;  Hobart ;</t>
  </si>
  <si>
    <t>Index Numbers ;  Deposit and loan facilities (direct charges) ;  Hobart ;</t>
  </si>
  <si>
    <t>Index Numbers ;  Other financial services ;  Hobart ;</t>
  </si>
  <si>
    <t>Index Numbers ;  All groups CPI ;  Darwin ;</t>
  </si>
  <si>
    <t>Index Numbers ;  Food and non-alcoholic beverages ;  Darwin ;</t>
  </si>
  <si>
    <t>Index Numbers ;  Bread and cereal products ;  Darwin ;</t>
  </si>
  <si>
    <t>Index Numbers ;  Bread ;  Darwin ;</t>
  </si>
  <si>
    <t>Index Numbers ;  Cakes and biscuits ;  Darwin ;</t>
  </si>
  <si>
    <t>Index Numbers ;  Breakfast cereals ;  Darwin ;</t>
  </si>
  <si>
    <t>Index Numbers ;  Other cereal products ;  Darwin ;</t>
  </si>
  <si>
    <t>Index Numbers ;  Meat and seafoods ;  Darwin ;</t>
  </si>
  <si>
    <t>Index Numbers ;  Beef and veal ;  Darwin ;</t>
  </si>
  <si>
    <t>Index Numbers ;  Pork ;  Darwin ;</t>
  </si>
  <si>
    <t>Index Numbers ;  Lamb and goat ;  Darwin ;</t>
  </si>
  <si>
    <t>Index Numbers ;  Poultry ;  Darwin ;</t>
  </si>
  <si>
    <t>Index Numbers ;  Other meats ;  Darwin ;</t>
  </si>
  <si>
    <t>Index Numbers ;  Fish and other seafood ;  Darwin ;</t>
  </si>
  <si>
    <t>Index Numbers ;  Dairy and related products ;  Darwin ;</t>
  </si>
  <si>
    <t>Index Numbers ;  Milk ;  Darwin ;</t>
  </si>
  <si>
    <t>Index Numbers ;  Cheese ;  Darwin ;</t>
  </si>
  <si>
    <t>Index Numbers ;  Ice cream and other dairy products ;  Darwin ;</t>
  </si>
  <si>
    <t>Index Numbers ;  Fruit and vegetables ;  Darwin ;</t>
  </si>
  <si>
    <t>Index Numbers ;  Fruit ;  Darwin ;</t>
  </si>
  <si>
    <t>Index Numbers ;  Vegetables ;  Darwin ;</t>
  </si>
  <si>
    <t>Index Numbers ;  Food products n.e.c. ;  Darwin ;</t>
  </si>
  <si>
    <t>Index Numbers ;  Eggs ;  Darwin ;</t>
  </si>
  <si>
    <t>Index Numbers ;  Jams, honey and spreads ;  Darwin ;</t>
  </si>
  <si>
    <t>Index Numbers ;  Food additives and condiments ;  Darwin ;</t>
  </si>
  <si>
    <t>Index Numbers ;  Oils and fats ;  Darwin ;</t>
  </si>
  <si>
    <t>Index Numbers ;  Snacks and confectionery ;  Darwin ;</t>
  </si>
  <si>
    <t>Index Numbers ;  Other food products n.e.c. ;  Darwin ;</t>
  </si>
  <si>
    <t>Index Numbers ;  Non-alcoholic beverages ;  Darwin ;</t>
  </si>
  <si>
    <t>Index Numbers ;  Coffee, tea and cocoa ;  Darwin ;</t>
  </si>
  <si>
    <t>Index Numbers ;  Waters, soft drinks and juices ;  Darwin ;</t>
  </si>
  <si>
    <t>Index Numbers ;  Meals out and take away foods ;  Darwin ;</t>
  </si>
  <si>
    <t>Index Numbers ;  Restaurant meals ;  Darwin ;</t>
  </si>
  <si>
    <t>Index Numbers ;  Take away and fast foods ;  Darwin ;</t>
  </si>
  <si>
    <t>Index Numbers ;  Alcohol and tobacco ;  Darwin ;</t>
  </si>
  <si>
    <t>Index Numbers ;  Alcoholic beverages ;  Darwin ;</t>
  </si>
  <si>
    <t>Index Numbers ;  Spirits ;  Darwin ;</t>
  </si>
  <si>
    <t>Index Numbers ;  Wine ;  Darwin ;</t>
  </si>
  <si>
    <t>Index Numbers ;  Beer ;  Darwin ;</t>
  </si>
  <si>
    <t>Index Numbers ;  Tobacco ;  Darwin ;</t>
  </si>
  <si>
    <t>Index Numbers ;  Clothing and footwear ;  Darwin ;</t>
  </si>
  <si>
    <t>Index Numbers ;  Garments ;  Darwin ;</t>
  </si>
  <si>
    <t>Index Numbers ;  Garments for men ;  Darwin ;</t>
  </si>
  <si>
    <t>Index Numbers ;  Garments for women ;  Darwin ;</t>
  </si>
  <si>
    <t>Index Numbers ;  Garments for infants and children ;  Darwin ;</t>
  </si>
  <si>
    <t>Index Numbers ;  Footwear ;  Darwin ;</t>
  </si>
  <si>
    <t>Index Numbers ;  Footwear for men ;  Darwin ;</t>
  </si>
  <si>
    <t>Index Numbers ;  Footwear for women ;  Darwin ;</t>
  </si>
  <si>
    <t>Index Numbers ;  Footwear for infants and children ;  Darwin ;</t>
  </si>
  <si>
    <t>Index Numbers ;  Accessories and clothing services ;  Darwin ;</t>
  </si>
  <si>
    <t>Index Numbers ;  Accessories ;  Darwin ;</t>
  </si>
  <si>
    <t>Index Numbers ;  Cleaning, repair and hire of clothing and footwear ;  Darwin ;</t>
  </si>
  <si>
    <t>Index Numbers ;  Housing ;  Darwin ;</t>
  </si>
  <si>
    <t>Index Numbers ;  Rents ;  Darwin ;</t>
  </si>
  <si>
    <t>Index Numbers ;  New dwelling purchase by owner-occupiers ;  Darwin ;</t>
  </si>
  <si>
    <t>Index Numbers ;  Other housing ;  Darwin ;</t>
  </si>
  <si>
    <t>Index Numbers ;  Maintenance and repair of the dwelling ;  Darwin ;</t>
  </si>
  <si>
    <t>Index Numbers ;  Property rates and charges ;  Darwin ;</t>
  </si>
  <si>
    <t>Index Numbers ;  Utilities ;  Darwin ;</t>
  </si>
  <si>
    <t>Index Numbers ;  Water and sewerage ;  Darwin ;</t>
  </si>
  <si>
    <t>Index Numbers ;  Electricity ;  Darwin ;</t>
  </si>
  <si>
    <t>Index Numbers ;  Gas and other household fuels ;  Darwin ;</t>
  </si>
  <si>
    <t>Index Numbers ;  Furnishings, household equipment and services ;  Darwin ;</t>
  </si>
  <si>
    <t>Index Numbers ;  Furniture and furnishings ;  Darwin ;</t>
  </si>
  <si>
    <t>Index Numbers ;  Furniture ;  Darwin ;</t>
  </si>
  <si>
    <t>Index Numbers ;  Carpets and other floor coverings ;  Darwin ;</t>
  </si>
  <si>
    <t>Index Numbers ;  Household textiles ;  Darwin ;</t>
  </si>
  <si>
    <t>Index Numbers ;  Household appliances, utensils and tools ;  Darwin ;</t>
  </si>
  <si>
    <t>Index Numbers ;  Major household appliances ;  Darwin ;</t>
  </si>
  <si>
    <t>Index Numbers ;  Small electric household appliances ;  Darwin ;</t>
  </si>
  <si>
    <t>Index Numbers ;  Glassware, tableware and household utensils ;  Darwin ;</t>
  </si>
  <si>
    <t>Index Numbers ;  Tools and equipment for house and garden ;  Darwin ;</t>
  </si>
  <si>
    <t>Index Numbers ;  Non-durable household products ;  Darwin ;</t>
  </si>
  <si>
    <t>Index Numbers ;  Cleaning and maintenance products ;  Darwin ;</t>
  </si>
  <si>
    <t>Index Numbers ;  Personal care products ;  Darwin ;</t>
  </si>
  <si>
    <t>Index Numbers ;  Other non-durable household products ;  Darwin ;</t>
  </si>
  <si>
    <t>Index Numbers ;  Domestic and household services ;  Darwin ;</t>
  </si>
  <si>
    <t>Index Numbers ;  Child care ;  Darwin ;</t>
  </si>
  <si>
    <t>Index Numbers ;  Hairdressing and personal grooming services ;  Darwin ;</t>
  </si>
  <si>
    <t>Index Numbers ;  Other household services ;  Darwin ;</t>
  </si>
  <si>
    <t>Index Numbers ;  Health ;  Darwin ;</t>
  </si>
  <si>
    <t>Index Numbers ;  Medical products, appliances and equipment ;  Darwin ;</t>
  </si>
  <si>
    <t>Index Numbers ;  Pharmaceutical products ;  Darwin ;</t>
  </si>
  <si>
    <t>Index Numbers ;  Therapeutic appliances and equipment ;  Darwin ;</t>
  </si>
  <si>
    <t>Index Numbers ;  Medical, dental and hospital services ;  Darwin ;</t>
  </si>
  <si>
    <t>Index Numbers ;  Medical and hospital services ;  Darwin ;</t>
  </si>
  <si>
    <t>Index Numbers ;  Dental services ;  Darwin ;</t>
  </si>
  <si>
    <t>Index Numbers ;  Transport ;  Darwin ;</t>
  </si>
  <si>
    <t>Index Numbers ;  Private motoring ;  Darwin ;</t>
  </si>
  <si>
    <t>Index Numbers ;  Motor vehicles ;  Darwin ;</t>
  </si>
  <si>
    <t>Index Numbers ;  Spare parts and accessories for motor vehicles ;  Darwin ;</t>
  </si>
  <si>
    <t>Index Numbers ;  Automotive fuel ;  Darwin ;</t>
  </si>
  <si>
    <t>Index Numbers ;  Maintenance and repair of motor vehicles ;  Darwin ;</t>
  </si>
  <si>
    <t>Index Numbers ;  Other services in respect of motor vehicles ;  Darwin ;</t>
  </si>
  <si>
    <t>Index Numbers ;  Urban transport fares ;  Darwin ;</t>
  </si>
  <si>
    <t>Index Numbers ;  Communication ;  Darwin ;</t>
  </si>
  <si>
    <t>Index Numbers ;  Postal services ;  Darwin ;</t>
  </si>
  <si>
    <t>Index Numbers ;  Telecommunication equipment and services ;  Darwin ;</t>
  </si>
  <si>
    <t>Index Numbers ;  Recreation and culture ;  Darwin ;</t>
  </si>
  <si>
    <t>Index Numbers ;  Audio, visual and computing equipment and services ;  Darwin ;</t>
  </si>
  <si>
    <t>Index Numbers ;  Audio, visual and computing equipment ;  Darwin ;</t>
  </si>
  <si>
    <t>Index Numbers ;  Audio, visual and computing media and services ;  Darwin ;</t>
  </si>
  <si>
    <t>Index Numbers ;  Newspapers, books and stationery ;  Darwin ;</t>
  </si>
  <si>
    <t>Index Numbers ;  Books ;  Darwin ;</t>
  </si>
  <si>
    <t>Index Numbers ;  Newspapers, magazines and stationery ;  Darwin ;</t>
  </si>
  <si>
    <t>Index Numbers ;  Holiday travel and accommodation ;  Darwin ;</t>
  </si>
  <si>
    <t>Index Numbers ;  Domestic holiday travel and accommodation ;  Darwin ;</t>
  </si>
  <si>
    <t>Index Numbers ;  International holiday travel and accommodation ;  Darwin ;</t>
  </si>
  <si>
    <t>Index Numbers ;  Other recreation, sport and culture ;  Darwin ;</t>
  </si>
  <si>
    <t>Index Numbers ;  Equipment for sports, camping and open-air recreation ;  Darwin ;</t>
  </si>
  <si>
    <t>Index Numbers ;  Games, toys and hobbies ;  Darwin ;</t>
  </si>
  <si>
    <t>Index Numbers ;  Pets and related products ;  Darwin ;</t>
  </si>
  <si>
    <t>Index Numbers ;  Veterinary and other services for pets ;  Darwin ;</t>
  </si>
  <si>
    <t>Index Numbers ;  Sports participation ;  Darwin ;</t>
  </si>
  <si>
    <t>Index Numbers ;  Other recreational, sporting and cultural services ;  Darwin ;</t>
  </si>
  <si>
    <t>Index Numbers ;  Education ;  Darwin ;</t>
  </si>
  <si>
    <t>Index Numbers ;  Preschool and primary education ;  Darwin ;</t>
  </si>
  <si>
    <t>Index Numbers ;  Secondary education ;  Darwin ;</t>
  </si>
  <si>
    <t>Index Numbers ;  Tertiary education ;  Darwin ;</t>
  </si>
  <si>
    <t>Index Numbers ;  Insurance and financial services ;  Darwin ;</t>
  </si>
  <si>
    <t>Index Numbers ;  Insurance ;  Darwin ;</t>
  </si>
  <si>
    <t>Index Numbers ;  Financial services ;  Darwin ;</t>
  </si>
  <si>
    <t>Index Numbers ;  Deposit and loan facilities (direct charges) ;  Darwin ;</t>
  </si>
  <si>
    <t>Index Numbers ;  Other financial services ;  Darwin ;</t>
  </si>
  <si>
    <t>Index Numbers ;  All groups CPI ;  Canberra ;</t>
  </si>
  <si>
    <t>Index Numbers ;  Food and non-alcoholic beverages ;  Canberra ;</t>
  </si>
  <si>
    <t>Index Numbers ;  Bread and cereal products ;  Canberra ;</t>
  </si>
  <si>
    <t>Index Numbers ;  Bread ;  Canberra ;</t>
  </si>
  <si>
    <t>Index Numbers ;  Cakes and biscuits ;  Canberra ;</t>
  </si>
  <si>
    <t>Index Numbers ;  Breakfast cereals ;  Canberra ;</t>
  </si>
  <si>
    <t>Index Numbers ;  Other cereal products ;  Canberra ;</t>
  </si>
  <si>
    <t>Index Numbers ;  Meat and seafoods ;  Canberra ;</t>
  </si>
  <si>
    <t>Index Numbers ;  Beef and veal ;  Canberra ;</t>
  </si>
  <si>
    <t>Index Numbers ;  Pork ;  Canberra ;</t>
  </si>
  <si>
    <t>Index Numbers ;  Lamb and goat ;  Canberra ;</t>
  </si>
  <si>
    <t>Index Numbers ;  Poultry ;  Canberra ;</t>
  </si>
  <si>
    <t>Index Numbers ;  Other meats ;  Canberra ;</t>
  </si>
  <si>
    <t>Index Numbers ;  Fish and other seafood ;  Canberra ;</t>
  </si>
  <si>
    <t>Index Numbers ;  Dairy and related products ;  Canberra ;</t>
  </si>
  <si>
    <t>Index Numbers ;  Milk ;  Canberra ;</t>
  </si>
  <si>
    <t>Index Numbers ;  Cheese ;  Canberra ;</t>
  </si>
  <si>
    <t>Index Numbers ;  Ice cream and other dairy products ;  Canberra ;</t>
  </si>
  <si>
    <t>Index Numbers ;  Fruit and vegetables ;  Canberra ;</t>
  </si>
  <si>
    <t>Index Numbers ;  Fruit ;  Canberra ;</t>
  </si>
  <si>
    <t>Index Numbers ;  Vegetables ;  Canberra ;</t>
  </si>
  <si>
    <t>Index Numbers ;  Food products n.e.c. ;  Canberra ;</t>
  </si>
  <si>
    <t>Index Numbers ;  Eggs ;  Canberra ;</t>
  </si>
  <si>
    <t>Index Numbers ;  Jams, honey and spreads ;  Canberra ;</t>
  </si>
  <si>
    <t>Index Numbers ;  Food additives and condiments ;  Canberra ;</t>
  </si>
  <si>
    <t>Index Numbers ;  Oils and fats ;  Canberra ;</t>
  </si>
  <si>
    <t>Index Numbers ;  Snacks and confectionery ;  Canberra ;</t>
  </si>
  <si>
    <t>Index Numbers ;  Other food products n.e.c. ;  Canberra ;</t>
  </si>
  <si>
    <t>Index Numbers ;  Non-alcoholic beverages ;  Canberra ;</t>
  </si>
  <si>
    <t>Index Numbers ;  Coffee, tea and cocoa ;  Canberra ;</t>
  </si>
  <si>
    <t>Index Numbers ;  Waters, soft drinks and juices ;  Canberra ;</t>
  </si>
  <si>
    <t>Index Numbers ;  Meals out and take away foods ;  Canberra ;</t>
  </si>
  <si>
    <t>Index Numbers ;  Restaurant meals ;  Canberra ;</t>
  </si>
  <si>
    <t>Index Numbers ;  Take away and fast foods ;  Canberra ;</t>
  </si>
  <si>
    <t>Index Numbers ;  Alcohol and tobacco ;  Canberra ;</t>
  </si>
  <si>
    <t>Index Numbers ;  Alcoholic beverages ;  Canberra ;</t>
  </si>
  <si>
    <t>Index Numbers ;  Spirits ;  Canberra ;</t>
  </si>
  <si>
    <t>Index Numbers ;  Wine ;  Canberra ;</t>
  </si>
  <si>
    <t>Index Numbers ;  Beer ;  Canberra ;</t>
  </si>
  <si>
    <t>Index Numbers ;  Tobacco ;  Canberra ;</t>
  </si>
  <si>
    <t>Index Numbers ;  Clothing and footwear ;  Canberra ;</t>
  </si>
  <si>
    <t>Index Numbers ;  Garments ;  Canberra ;</t>
  </si>
  <si>
    <t>Index Numbers ;  Garments for men ;  Canberra ;</t>
  </si>
  <si>
    <t>Index Numbers ;  Garments for women ;  Canberra ;</t>
  </si>
  <si>
    <t>Index Numbers ;  Garments for infants and children ;  Canberra ;</t>
  </si>
  <si>
    <t>Index Numbers ;  Footwear ;  Canberra ;</t>
  </si>
  <si>
    <t>Index Numbers ;  Footwear for men ;  Canberra ;</t>
  </si>
  <si>
    <t>Index Numbers ;  Footwear for women ;  Canberra ;</t>
  </si>
  <si>
    <t>Index Numbers ;  Footwear for infants and children ;  Canberra ;</t>
  </si>
  <si>
    <t>Index Numbers ;  Accessories and clothing services ;  Canberra ;</t>
  </si>
  <si>
    <t>Index Numbers ;  Accessories ;  Canberra ;</t>
  </si>
  <si>
    <t>Index Numbers ;  Cleaning, repair and hire of clothing and footwear ;  Canberra ;</t>
  </si>
  <si>
    <t>Index Numbers ;  Housing ;  Canberra ;</t>
  </si>
  <si>
    <t>Index Numbers ;  Rents ;  Canberra ;</t>
  </si>
  <si>
    <t>Index Numbers ;  New dwelling purchase by owner-occupiers ;  Canberra ;</t>
  </si>
  <si>
    <t>Index Numbers ;  Other housing ;  Canberra ;</t>
  </si>
  <si>
    <t>Index Numbers ;  Maintenance and repair of the dwelling ;  Canberra ;</t>
  </si>
  <si>
    <t>Index Numbers ;  Property rates and charges ;  Canberra ;</t>
  </si>
  <si>
    <t>Index Numbers ;  Utilities ;  Canberra ;</t>
  </si>
  <si>
    <t>Index Numbers ;  Water and sewerage ;  Canberra ;</t>
  </si>
  <si>
    <t>Index Numbers ;  Electricity ;  Canberra ;</t>
  </si>
  <si>
    <t>Index Numbers ;  Gas and other household fuels ;  Canberra ;</t>
  </si>
  <si>
    <t>Index Numbers ;  Furnishings, household equipment and services ;  Canberra ;</t>
  </si>
  <si>
    <t>Index Numbers ;  Furniture and furnishings ;  Canberra ;</t>
  </si>
  <si>
    <t>Index Numbers ;  Furniture ;  Canberra ;</t>
  </si>
  <si>
    <t>Index Numbers ;  Carpets and other floor coverings ;  Canberra ;</t>
  </si>
  <si>
    <t>Index Numbers ;  Household textiles ;  Canberra ;</t>
  </si>
  <si>
    <t>Index Numbers ;  Household appliances, utensils and tools ;  Canberra ;</t>
  </si>
  <si>
    <t>Index Numbers ;  Major household appliances ;  Canberra ;</t>
  </si>
  <si>
    <t>Index Numbers ;  Small electric household appliances ;  Canberra ;</t>
  </si>
  <si>
    <t>Index Numbers ;  Glassware, tableware and household utensils ;  Canberra ;</t>
  </si>
  <si>
    <t>Index Numbers ;  Tools and equipment for house and garden ;  Canberra ;</t>
  </si>
  <si>
    <t>A130395953C</t>
  </si>
  <si>
    <t>A130394308V</t>
  </si>
  <si>
    <t>A130399282X</t>
  </si>
  <si>
    <t>A130395841K</t>
  </si>
  <si>
    <t>A130397073T</t>
  </si>
  <si>
    <t>A130395855X</t>
  </si>
  <si>
    <t>A130393405C</t>
  </si>
  <si>
    <t>A130398334W</t>
  </si>
  <si>
    <t>A130390493K</t>
  </si>
  <si>
    <t>A130395890F</t>
  </si>
  <si>
    <t>A130390003J</t>
  </si>
  <si>
    <t>A130399268C</t>
  </si>
  <si>
    <t>A130394637J</t>
  </si>
  <si>
    <t>A130394658V</t>
  </si>
  <si>
    <t>A130397550W</t>
  </si>
  <si>
    <t>A130395421R</t>
  </si>
  <si>
    <t>A130399660W</t>
  </si>
  <si>
    <t>A130391585L</t>
  </si>
  <si>
    <t>A130397872L</t>
  </si>
  <si>
    <t>A130398586T</t>
  </si>
  <si>
    <t>A130394210W</t>
  </si>
  <si>
    <t>A130393167J</t>
  </si>
  <si>
    <t>A130397213J</t>
  </si>
  <si>
    <t>A130390983A</t>
  </si>
  <si>
    <t>A130393839L</t>
  </si>
  <si>
    <t>A130399814A</t>
  </si>
  <si>
    <t>A130396065X</t>
  </si>
  <si>
    <t>A130397038K</t>
  </si>
  <si>
    <t>A130392061T</t>
  </si>
  <si>
    <t>A130394973V</t>
  </si>
  <si>
    <t>A130399828R</t>
  </si>
  <si>
    <t>A130397571J</t>
  </si>
  <si>
    <t>A130393580L</t>
  </si>
  <si>
    <t>A130398764W</t>
  </si>
  <si>
    <t>A130395169X</t>
  </si>
  <si>
    <t>A130392551J</t>
  </si>
  <si>
    <t>A130391459X</t>
  </si>
  <si>
    <t>A130393951L</t>
  </si>
  <si>
    <t>A130398841R</t>
  </si>
  <si>
    <t>A130397886A</t>
  </si>
  <si>
    <t>A130396590W</t>
  </si>
  <si>
    <t>A130392481L</t>
  </si>
  <si>
    <t>A130395008K</t>
  </si>
  <si>
    <t>A130390367W</t>
  </si>
  <si>
    <t>A130393048T</t>
  </si>
  <si>
    <t>A130393209V</t>
  </si>
  <si>
    <t>A130398054C</t>
  </si>
  <si>
    <t>A130391893R</t>
  </si>
  <si>
    <t>A130398068T</t>
  </si>
  <si>
    <t>A130391725C</t>
  </si>
  <si>
    <t>A130396856V</t>
  </si>
  <si>
    <t>A130396443W</t>
  </si>
  <si>
    <t>A130390563F</t>
  </si>
  <si>
    <t>A130396884C</t>
  </si>
  <si>
    <t>A130394483C</t>
  </si>
  <si>
    <t>A130395701J</t>
  </si>
  <si>
    <t>A130393041A</t>
  </si>
  <si>
    <t>A130399296L</t>
  </si>
  <si>
    <t>A130395610A</t>
  </si>
  <si>
    <t>A130391872C</t>
  </si>
  <si>
    <t>A130391221X</t>
  </si>
  <si>
    <t>A130389954T</t>
  </si>
  <si>
    <t>A130397494R</t>
  </si>
  <si>
    <t>A130394098J</t>
  </si>
  <si>
    <t>A130396919T</t>
  </si>
  <si>
    <t>A130399429F</t>
  </si>
  <si>
    <t>A130397241T</t>
  </si>
  <si>
    <t>A130398453L</t>
  </si>
  <si>
    <t>A130397613V</t>
  </si>
  <si>
    <t>A130390654L</t>
  </si>
  <si>
    <t>A130392789J</t>
  </si>
  <si>
    <t>A130399443A</t>
  </si>
  <si>
    <t>A130398792F</t>
  </si>
  <si>
    <t>A130390451L</t>
  </si>
  <si>
    <t>A130391949R</t>
  </si>
  <si>
    <t>A130395729K</t>
  </si>
  <si>
    <t>A130394322R</t>
  </si>
  <si>
    <t>A130398005J</t>
  </si>
  <si>
    <t>A130393447A</t>
  </si>
  <si>
    <t>A130393433L</t>
  </si>
  <si>
    <t>A130392138C</t>
  </si>
  <si>
    <t>A130390507L</t>
  </si>
  <si>
    <t>A130399604C</t>
  </si>
  <si>
    <t>A130390381T</t>
  </si>
  <si>
    <t>A130392803T</t>
  </si>
  <si>
    <t>A130397262C</t>
  </si>
  <si>
    <t>A130399716W</t>
  </si>
  <si>
    <t>A130399737J</t>
  </si>
  <si>
    <t>A130396730L</t>
  </si>
  <si>
    <t>A130396954X</t>
  </si>
  <si>
    <t>A130399464L</t>
  </si>
  <si>
    <t>A130395750C</t>
  </si>
  <si>
    <t>A130392250C</t>
  </si>
  <si>
    <t>A130399758V</t>
  </si>
  <si>
    <t>A130394574K</t>
  </si>
  <si>
    <t>A130392992R</t>
  </si>
  <si>
    <t>A130392600T</t>
  </si>
  <si>
    <t>A130397977J</t>
  </si>
  <si>
    <t>A130396534C</t>
  </si>
  <si>
    <t>A130394889C</t>
  </si>
  <si>
    <t>A130399009K</t>
  </si>
  <si>
    <t>A130392012W</t>
  </si>
  <si>
    <t>A130391095W</t>
  </si>
  <si>
    <t>A130396737C</t>
  </si>
  <si>
    <t>A130396023A</t>
  </si>
  <si>
    <t>A130390745V</t>
  </si>
  <si>
    <t>A130397634F</t>
  </si>
  <si>
    <t>A130390395F</t>
  </si>
  <si>
    <t>A130395393T</t>
  </si>
  <si>
    <t>A130390759J</t>
  </si>
  <si>
    <t>A130398974V</t>
  </si>
  <si>
    <t>A130390262A</t>
  </si>
  <si>
    <t>A130396499J</t>
  </si>
  <si>
    <t>A130398523J</t>
  </si>
  <si>
    <t>A130390773C</t>
  </si>
  <si>
    <t>A130393811K</t>
  </si>
  <si>
    <t>A130395120K</t>
  </si>
  <si>
    <t>A130395813A</t>
  </si>
  <si>
    <t>A130393664W</t>
  </si>
  <si>
    <t>A130397024W</t>
  </si>
  <si>
    <t>A130394763W</t>
  </si>
  <si>
    <t>A130398551T</t>
  </si>
  <si>
    <t>A130397346L</t>
  </si>
  <si>
    <t>A130391333T</t>
  </si>
  <si>
    <t>A130390969F</t>
  </si>
  <si>
    <t>A130393916F</t>
  </si>
  <si>
    <t>A130389996R</t>
  </si>
  <si>
    <t>A130399023F</t>
  </si>
  <si>
    <t>A130397143L</t>
  </si>
  <si>
    <t>A130395946F</t>
  </si>
  <si>
    <t>A130394175A</t>
  </si>
  <si>
    <t>A130393475K</t>
  </si>
  <si>
    <t>A130398397F</t>
  </si>
  <si>
    <t>A130394315T</t>
  </si>
  <si>
    <t>A130396758R</t>
  </si>
  <si>
    <t>A130392075F</t>
  </si>
  <si>
    <t>A130395869L</t>
  </si>
  <si>
    <t>A130394686C</t>
  </si>
  <si>
    <t>A130397080R</t>
  </si>
  <si>
    <t>A130398341V</t>
  </si>
  <si>
    <t>A130393125K</t>
  </si>
  <si>
    <t>A130390885W</t>
  </si>
  <si>
    <t>A130390010F</t>
  </si>
  <si>
    <t>A130390486L</t>
  </si>
  <si>
    <t>A130394644F</t>
  </si>
  <si>
    <t>A130394665T</t>
  </si>
  <si>
    <t>A130398729R</t>
  </si>
  <si>
    <t>A130391613K</t>
  </si>
  <si>
    <t>A130397192J</t>
  </si>
  <si>
    <t>A130390297A</t>
  </si>
  <si>
    <t>A130396569C</t>
  </si>
  <si>
    <t>A130393692F</t>
  </si>
  <si>
    <t>A130392887L</t>
  </si>
  <si>
    <t>A130396800J</t>
  </si>
  <si>
    <t>A130395967T</t>
  </si>
  <si>
    <t>A130393552C</t>
  </si>
  <si>
    <t>A130397564K</t>
  </si>
  <si>
    <t>A130396044L</t>
  </si>
  <si>
    <t>A130391130T</t>
  </si>
  <si>
    <t>A130393349W</t>
  </si>
  <si>
    <t>A130399534J</t>
  </si>
  <si>
    <t>A130392341K</t>
  </si>
  <si>
    <t>A130392348A</t>
  </si>
  <si>
    <t>A130396226A</t>
  </si>
  <si>
    <t>A130399681J</t>
  </si>
  <si>
    <t>A130392537L</t>
  </si>
  <si>
    <t>A130393867W</t>
  </si>
  <si>
    <t>A130393888J</t>
  </si>
  <si>
    <t>A130391466W</t>
  </si>
  <si>
    <t>A130398827V</t>
  </si>
  <si>
    <t>A130395232C</t>
  </si>
  <si>
    <t>A130399121K</t>
  </si>
  <si>
    <t>A130396597L</t>
  </si>
  <si>
    <t>A130398715A</t>
  </si>
  <si>
    <t>A130393727V</t>
  </si>
  <si>
    <t>A130390374V</t>
  </si>
  <si>
    <t>A130391711R</t>
  </si>
  <si>
    <t>A130390549K</t>
  </si>
  <si>
    <t>A130393216T</t>
  </si>
  <si>
    <t>A130390556J</t>
  </si>
  <si>
    <t>A130396835J</t>
  </si>
  <si>
    <t>A130393069C</t>
  </si>
  <si>
    <t>A130391907T</t>
  </si>
  <si>
    <t>A130395344W</t>
  </si>
  <si>
    <t>A130395673K</t>
  </si>
  <si>
    <t>A130398117A</t>
  </si>
  <si>
    <t>A130395694W</t>
  </si>
  <si>
    <t>A130394490A</t>
  </si>
  <si>
    <t>A130390416F</t>
  </si>
  <si>
    <t>A130395596T</t>
  </si>
  <si>
    <t>A130390542V</t>
  </si>
  <si>
    <t>A130395624R</t>
  </si>
  <si>
    <t>A130391228R</t>
  </si>
  <si>
    <t>A130393783L</t>
  </si>
  <si>
    <t>A130396163C</t>
  </si>
  <si>
    <t>A130391487J</t>
  </si>
  <si>
    <t>A130396926R</t>
  </si>
  <si>
    <t>A130398166W</t>
  </si>
  <si>
    <t>A130393587C</t>
  </si>
  <si>
    <t>A130394826V</t>
  </si>
  <si>
    <t>A130396261J</t>
  </si>
  <si>
    <t>A130396947A</t>
  </si>
  <si>
    <t>A130397774J</t>
  </si>
  <si>
    <t>A130394546A</t>
  </si>
  <si>
    <t>A130390087C</t>
  </si>
  <si>
    <t>A130391739T</t>
  </si>
  <si>
    <t>A130393251X</t>
  </si>
  <si>
    <t>A130398145K</t>
  </si>
  <si>
    <t>A130391697F</t>
  </si>
  <si>
    <t>A130395575F</t>
  </si>
  <si>
    <t>A130393454X</t>
  </si>
  <si>
    <t>A130395904J</t>
  </si>
  <si>
    <t>A130392145A</t>
  </si>
  <si>
    <t>A130391823J</t>
  </si>
  <si>
    <t>A130393468L</t>
  </si>
  <si>
    <t>A130397935K</t>
  </si>
  <si>
    <t>A130390248F</t>
  </si>
  <si>
    <t>A130397269V</t>
  </si>
  <si>
    <t>A130393608C</t>
  </si>
  <si>
    <t>A130393615A</t>
  </si>
  <si>
    <t>A130399247T</t>
  </si>
  <si>
    <t>A130396961W</t>
  </si>
  <si>
    <t>A130396968L</t>
  </si>
  <si>
    <t>A130390703W</t>
  </si>
  <si>
    <t>A130394868T</t>
  </si>
  <si>
    <t>A130392271R</t>
  </si>
  <si>
    <t>A130395764T</t>
  </si>
  <si>
    <t>A130391676V</t>
  </si>
  <si>
    <t>A130395218J</t>
  </si>
  <si>
    <t>A130394392W</t>
  </si>
  <si>
    <t>A130398988J</t>
  </si>
  <si>
    <t>A130398481W</t>
  </si>
  <si>
    <t>A130391550L</t>
  </si>
  <si>
    <t>A130398208J</t>
  </si>
  <si>
    <t>A130394903L</t>
  </si>
  <si>
    <t>A130394406X</t>
  </si>
  <si>
    <t>A130391067L</t>
  </si>
  <si>
    <t>A130399492W</t>
  </si>
  <si>
    <t>A130396310T</t>
  </si>
  <si>
    <t>A130393013T</t>
  </si>
  <si>
    <t>A130395400C</t>
  </si>
  <si>
    <t>A130398222C</t>
  </si>
  <si>
    <t>A130398981T</t>
  </si>
  <si>
    <t>A130395372F</t>
  </si>
  <si>
    <t>A130396506V</t>
  </si>
  <si>
    <t>A130391102J</t>
  </si>
  <si>
    <t>A130390780A</t>
  </si>
  <si>
    <t>A130395099C</t>
  </si>
  <si>
    <t>A130397515R</t>
  </si>
  <si>
    <t>A130399513W</t>
  </si>
  <si>
    <t>Index Numbers ;  Non-durable household products ;  Canberra ;</t>
  </si>
  <si>
    <t>Index Numbers ;  Cleaning and maintenance products ;  Canberra ;</t>
  </si>
  <si>
    <t>Index Numbers ;  Personal care products ;  Canberra ;</t>
  </si>
  <si>
    <t>Index Numbers ;  Other non-durable household products ;  Canberra ;</t>
  </si>
  <si>
    <t>Index Numbers ;  Domestic and household services ;  Canberra ;</t>
  </si>
  <si>
    <t>Index Numbers ;  Child care ;  Canberra ;</t>
  </si>
  <si>
    <t>Index Numbers ;  Hairdressing and personal grooming services ;  Canberra ;</t>
  </si>
  <si>
    <t>Index Numbers ;  Other household services ;  Canberra ;</t>
  </si>
  <si>
    <t>Index Numbers ;  Health ;  Canberra ;</t>
  </si>
  <si>
    <t>Index Numbers ;  Medical products, appliances and equipment ;  Canberra ;</t>
  </si>
  <si>
    <t>Index Numbers ;  Pharmaceutical products ;  Canberra ;</t>
  </si>
  <si>
    <t>Index Numbers ;  Therapeutic appliances and equipment ;  Canberra ;</t>
  </si>
  <si>
    <t>Index Numbers ;  Medical, dental and hospital services ;  Canberra ;</t>
  </si>
  <si>
    <t>Index Numbers ;  Medical and hospital services ;  Canberra ;</t>
  </si>
  <si>
    <t>Index Numbers ;  Dental services ;  Canberra ;</t>
  </si>
  <si>
    <t>Index Numbers ;  Transport ;  Canberra ;</t>
  </si>
  <si>
    <t>Index Numbers ;  Private motoring ;  Canberra ;</t>
  </si>
  <si>
    <t>Index Numbers ;  Motor vehicles ;  Canberra ;</t>
  </si>
  <si>
    <t>Index Numbers ;  Spare parts and accessories for motor vehicles ;  Canberra ;</t>
  </si>
  <si>
    <t>Index Numbers ;  Automotive fuel ;  Canberra ;</t>
  </si>
  <si>
    <t>Index Numbers ;  Maintenance and repair of motor vehicles ;  Canberra ;</t>
  </si>
  <si>
    <t>Index Numbers ;  Other services in respect of motor vehicles ;  Canberra ;</t>
  </si>
  <si>
    <t>Index Numbers ;  Urban transport fares ;  Canberra ;</t>
  </si>
  <si>
    <t>Index Numbers ;  Communication ;  Canberra ;</t>
  </si>
  <si>
    <t>Index Numbers ;  Postal services ;  Canberra ;</t>
  </si>
  <si>
    <t>Index Numbers ;  Telecommunication equipment and services ;  Canberra ;</t>
  </si>
  <si>
    <t>Index Numbers ;  Recreation and culture ;  Canberra ;</t>
  </si>
  <si>
    <t>Index Numbers ;  Audio, visual and computing equipment and services ;  Canberra ;</t>
  </si>
  <si>
    <t>Index Numbers ;  Audio, visual and computing equipment ;  Canberra ;</t>
  </si>
  <si>
    <t>Index Numbers ;  Audio, visual and computing media and services ;  Canberra ;</t>
  </si>
  <si>
    <t>Index Numbers ;  Newspapers, books and stationery ;  Canberra ;</t>
  </si>
  <si>
    <t>Index Numbers ;  Books ;  Canberra ;</t>
  </si>
  <si>
    <t>Index Numbers ;  Newspapers, magazines and stationery ;  Canberra ;</t>
  </si>
  <si>
    <t>Index Numbers ;  Holiday travel and accommodation ;  Canberra ;</t>
  </si>
  <si>
    <t>Index Numbers ;  Domestic holiday travel and accommodation ;  Canberra ;</t>
  </si>
  <si>
    <t>Index Numbers ;  International holiday travel and accommodation ;  Canberra ;</t>
  </si>
  <si>
    <t>Index Numbers ;  Other recreation, sport and culture ;  Canberra ;</t>
  </si>
  <si>
    <t>Index Numbers ;  Equipment for sports, camping and open-air recreation ;  Canberra ;</t>
  </si>
  <si>
    <t>Index Numbers ;  Games, toys and hobbies ;  Canberra ;</t>
  </si>
  <si>
    <t>Index Numbers ;  Pets and related products ;  Canberra ;</t>
  </si>
  <si>
    <t>Index Numbers ;  Veterinary and other services for pets ;  Canberra ;</t>
  </si>
  <si>
    <t>Index Numbers ;  Sports participation ;  Canberra ;</t>
  </si>
  <si>
    <t>Index Numbers ;  Other recreational, sporting and cultural services ;  Canberra ;</t>
  </si>
  <si>
    <t>Index Numbers ;  Education ;  Canberra ;</t>
  </si>
  <si>
    <t>Index Numbers ;  Preschool and primary education ;  Canberra ;</t>
  </si>
  <si>
    <t>Index Numbers ;  Secondary education ;  Canberra ;</t>
  </si>
  <si>
    <t>Index Numbers ;  Tertiary education ;  Canberra ;</t>
  </si>
  <si>
    <t>Index Numbers ;  Insurance and financial services ;  Canberra ;</t>
  </si>
  <si>
    <t>Index Numbers ;  Insurance ;  Canberra ;</t>
  </si>
  <si>
    <t>Index Numbers ;  Financial services ;  Canberra ;</t>
  </si>
  <si>
    <t>Index Numbers ;  Deposit and loan facilities (direct charges) ;  Canberra ;</t>
  </si>
  <si>
    <t>Index Numbers ;  Other financial services ;  Canberra ;</t>
  </si>
  <si>
    <t>A130394924X</t>
  </si>
  <si>
    <t>A130397031V</t>
  </si>
  <si>
    <t>A130398418F</t>
  </si>
  <si>
    <t>A130399786C</t>
  </si>
  <si>
    <t>A130393685J</t>
  </si>
  <si>
    <t>A130397592V</t>
  </si>
  <si>
    <t>A130397171W</t>
  </si>
  <si>
    <t>A130395204V</t>
  </si>
  <si>
    <t>A130397529C</t>
  </si>
  <si>
    <t>A130391564A</t>
  </si>
  <si>
    <t>A130397150K</t>
  </si>
  <si>
    <t>A130390927J</t>
  </si>
  <si>
    <t>A130397858T</t>
  </si>
  <si>
    <t>A130395932T</t>
  </si>
  <si>
    <t>A130390941C</t>
  </si>
  <si>
    <t>A130391690R</t>
  </si>
  <si>
    <t>A130396765L</t>
  </si>
  <si>
    <t>A130390836A</t>
  </si>
  <si>
    <t>A130395876K</t>
  </si>
  <si>
    <t>A130397066V</t>
  </si>
  <si>
    <t>A130392117T</t>
  </si>
  <si>
    <t>A130398348K</t>
  </si>
  <si>
    <t>A130397984F</t>
  </si>
  <si>
    <t>A130394707C</t>
  </si>
  <si>
    <t>A130397536A</t>
  </si>
  <si>
    <t>A130395547W</t>
  </si>
  <si>
    <t>A130397052F</t>
  </si>
  <si>
    <t>A130398299A</t>
  </si>
  <si>
    <t>A130398736L</t>
  </si>
  <si>
    <t>A130399086R</t>
  </si>
  <si>
    <t>A130398425C</t>
  </si>
  <si>
    <t>A130391592K</t>
  </si>
  <si>
    <t>A130392866A</t>
  </si>
  <si>
    <t>A130399807C</t>
  </si>
  <si>
    <t>A130390304L</t>
  </si>
  <si>
    <t>A130391837W</t>
  </si>
  <si>
    <t>A130398446R</t>
  </si>
  <si>
    <t>A130392201J</t>
  </si>
  <si>
    <t>A130392530W</t>
  </si>
  <si>
    <t>A130392320X</t>
  </si>
  <si>
    <t>A130398614R</t>
  </si>
  <si>
    <t>A130393356V</t>
  </si>
  <si>
    <t>A130393342F</t>
  </si>
  <si>
    <t>A130397367X</t>
  </si>
  <si>
    <t>A130396079L</t>
  </si>
  <si>
    <t>A130395162J</t>
  </si>
  <si>
    <t>A130394805J</t>
  </si>
  <si>
    <t>A130391312F</t>
  </si>
  <si>
    <t>A130398778K</t>
  </si>
  <si>
    <t>A130395183V</t>
  </si>
  <si>
    <t>A130395288R</t>
  </si>
  <si>
    <t>A130390101L</t>
  </si>
  <si>
    <t>A130397641C</t>
  </si>
  <si>
    <t>A130399128A</t>
  </si>
  <si>
    <t>A130394238X</t>
  </si>
  <si>
    <t>A130392488C</t>
  </si>
  <si>
    <t>Time Series Workbook</t>
  </si>
  <si>
    <t>6401.0 Consumer Price Index, Australia</t>
  </si>
  <si>
    <t>TABLE 10. CPI: Group, Sub-group and Expenditure Class, Index Numbers by Capital City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</si>
  <si>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</si>
  <si>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</si>
  <si>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</si>
  <si>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</si>
  <si>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</si>
  <si>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</si>
  <si>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</si>
  <si>
    <t>Energy Prices by Capital City — CPI Index</t>
  </si>
  <si>
    <t>Source: ABS 6401.0 Consumer Price Index, Table 10. Reference period: September 2025 = 100.00. Series Type: Original.</t>
  </si>
  <si>
    <t>Summary Table — Index Levels &amp; % Change</t>
  </si>
  <si>
    <t>City</t>
  </si>
  <si>
    <t>Electricity — Latest</t>
  </si>
  <si>
    <t>Elec — 1Y ago</t>
  </si>
  <si>
    <t>Elec — 1Y %Δ</t>
  </si>
  <si>
    <t>Gas — Latest</t>
  </si>
  <si>
    <t>Gas — 1Y ago</t>
  </si>
  <si>
    <t>Gas — 1Y %Δ</t>
  </si>
  <si>
    <t>Sydney</t>
  </si>
  <si>
    <t>Melbourne</t>
  </si>
  <si>
    <t>Brisbane</t>
  </si>
  <si>
    <t>Adelaide</t>
  </si>
  <si>
    <t>Perth</t>
  </si>
  <si>
    <t>Hobart</t>
  </si>
  <si>
    <t>Darwin</t>
  </si>
  <si>
    <t>Canberra</t>
  </si>
  <si>
    <t>Elec — 3Y ago</t>
  </si>
  <si>
    <t>Elec — 3Y %Δ</t>
  </si>
  <si>
    <t>Gas — 3Y ago</t>
  </si>
  <si>
    <t>Gas — 3Y %Δ</t>
  </si>
  <si>
    <t>Time Series — Electricity &amp; Gas Index by City (Sep 2021 – Sep 2025)</t>
  </si>
  <si>
    <t>Date</t>
  </si>
  <si>
    <t>Sydney — Elec</t>
  </si>
  <si>
    <t>Melbourne — Elec</t>
  </si>
  <si>
    <t>Brisbane — Elec</t>
  </si>
  <si>
    <t>Adelaide — Elec</t>
  </si>
  <si>
    <t>Perth — Elec</t>
  </si>
  <si>
    <t>Hobart — Elec</t>
  </si>
  <si>
    <t>Darwin — Elec</t>
  </si>
  <si>
    <t>Canberra — Elec</t>
  </si>
  <si>
    <t>Sydney — Gas</t>
  </si>
  <si>
    <t>Melbourne — Gas</t>
  </si>
  <si>
    <t>Brisbane — Gas</t>
  </si>
  <si>
    <t>Adelaide — Gas</t>
  </si>
  <si>
    <t>Perth — Gas</t>
  </si>
  <si>
    <t>Hobart — Gas</t>
  </si>
  <si>
    <t>Darwin — Gas</t>
  </si>
  <si>
    <t>Canberra — Gas</t>
  </si>
  <si>
    <t>Notes:</t>
  </si>
  <si>
    <t>• Index reference: Sep 2025 = 100.00. Index Numbers are CPI sub-group indices, not nominal $ prices.</t>
  </si>
  <si>
    <t>• "Electricity" and "Gas and other household fuels" series for each capital city, ABS 6401.0 Table 10 (Original).</t>
  </si>
  <si>
    <t>• Large 1Y movements in Electricity (esp. Perth, Brisbane, Sydney) reflect timing of Commonwealth/State energy bill rebates, which reduced the index sharply in 2024 then unwound as rebates expired.</t>
  </si>
  <si>
    <t>• Time series starts Sep 2021 (earliest period with data for all 8 capitals on this reference base).</t>
  </si>
  <si>
    <t>Rebased Time Series — Sep 2021 = 1.00</t>
  </si>
  <si>
    <t>Each series divided by its Sep 2021 value. Values &gt;1 mean prices rose vs baseline; &lt;1 mean prices fell.</t>
  </si>
  <si>
    <t>Ranking by Cumulative Price Growth (Sep 2021 → Sep 2025)</t>
  </si>
  <si>
    <t>Rank</t>
  </si>
  <si>
    <t>City — Fuel</t>
  </si>
  <si>
    <t>Rebased Index (Sep 2025)</t>
  </si>
  <si>
    <t>Cumulative %Δ</t>
  </si>
  <si>
    <t>Telecommunications &amp; Communication Prices — ABS CPI (Sydney + 7 capitals)</t>
  </si>
  <si>
    <t>Source: ABS 6401.0 Consumer Price Index, Table 10. Index reference period: September 2025 = 100.00. All series Original (not seasonally adjusted).</t>
  </si>
  <si>
    <t>8-Capital Avg</t>
  </si>
  <si>
    <t>Note: ABS rebased these series with September 2025 = 100; only 22 months of data are available (Dec 2023 – Sep 2025). Two related series are shown: 'Telecommunication equipment and services' and the broader 'Communication' group.</t>
  </si>
  <si>
    <t>A. Telecommunication Equipment and Services — Monthly Index, Dec 2023 – Sep 2025 (Sep 2025 = 100)</t>
  </si>
  <si>
    <t>B. Communication (CPI sub-group, broader) — Monthly Index, Dec 2023 – Sep 2025 (Sep 2025 = 100)</t>
  </si>
  <si>
    <t>Summary Statistics</t>
  </si>
  <si>
    <t>First (Dec-23)</t>
  </si>
  <si>
    <t>Latest (Sep-25)</t>
  </si>
  <si>
    <t>Min</t>
  </si>
  <si>
    <t>Max</t>
  </si>
  <si>
    <t>Mean</t>
  </si>
  <si>
    <t>Std Dev</t>
  </si>
  <si>
    <t>% Change (Dec-23 → Sep-25)</t>
  </si>
  <si>
    <t>YoY % (Sep-25 vs Sep-24)</t>
  </si>
  <si>
    <t>MoM % (latest)</t>
  </si>
  <si>
    <t>Telecommunication Equipment &amp; Services</t>
  </si>
  <si>
    <t>Communication (broader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</si>
</sst>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yyyy"/>
    <numFmt numFmtId="165" formatCode="0.00;\-0.00;0.00;@"/>
    <numFmt numFmtId="166" formatCode="0.0%;\(0.0%\);\-"/>
    <numFmt numFmtId="167" formatCode="0.000"/>
    <numFmt numFmtId="168" formatCode="0.0%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9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rgb="FFD9D9D9"/>
      </bottom>
      <diagonal/>
    </border>
    <border>
      <left/>
      <right/>
      <top style="thin">
        <color auto="1"/>
      </top>
      <bottom style="thin">
        <color rgb="FFD9D9D9"/>
      </bottom>
      <diagonal/>
    </border>
    <border>
      <left/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 style="thin">
        <color rgb="FFD9D9D9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0" xfId="0" applyFont="1" applyFill="1"/>
    <xf numFmtId="0" fontId="14" fillId="3" borderId="0" xfId="0" applyFont="1" applyFill="1" applyAlignment="1">
      <alignment horizontal="center"/>
    </xf>
    <xf numFmtId="2" fontId="0" fillId="0" borderId="0" xfId="0" applyNumberFormat="1"/>
    <xf numFmtId="0" fontId="14" fillId="3" borderId="2" xfId="0" applyFont="1" applyFill="1" applyBorder="1" applyAlignment="1">
      <alignment horizontal="left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5" fillId="0" borderId="5" xfId="0" applyFont="1" applyBorder="1" applyAlignment="1">
      <alignment horizontal="left"/>
    </xf>
    <xf numFmtId="2" fontId="0" fillId="0" borderId="6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166" fontId="0" fillId="0" borderId="7" xfId="0" applyNumberFormat="1" applyBorder="1" applyAlignment="1">
      <alignment horizontal="right"/>
    </xf>
    <xf numFmtId="0" fontId="15" fillId="4" borderId="5" xfId="0" applyFont="1" applyFill="1" applyBorder="1" applyAlignment="1">
      <alignment horizontal="left"/>
    </xf>
    <xf numFmtId="2" fontId="0" fillId="4" borderId="6" xfId="0" applyNumberFormat="1" applyFill="1" applyBorder="1" applyAlignment="1">
      <alignment horizontal="right"/>
    </xf>
    <xf numFmtId="166" fontId="0" fillId="4" borderId="6" xfId="0" applyNumberFormat="1" applyFill="1" applyBorder="1" applyAlignment="1">
      <alignment horizontal="right"/>
    </xf>
    <xf numFmtId="166" fontId="0" fillId="4" borderId="7" xfId="0" applyNumberFormat="1" applyFill="1" applyBorder="1" applyAlignment="1">
      <alignment horizontal="right"/>
    </xf>
    <xf numFmtId="0" fontId="15" fillId="4" borderId="8" xfId="0" applyFont="1" applyFill="1" applyBorder="1" applyAlignment="1">
      <alignment horizontal="left"/>
    </xf>
    <xf numFmtId="2" fontId="0" fillId="4" borderId="9" xfId="0" applyNumberFormat="1" applyFill="1" applyBorder="1" applyAlignment="1">
      <alignment horizontal="right"/>
    </xf>
    <xf numFmtId="166" fontId="0" fillId="4" borderId="9" xfId="0" applyNumberFormat="1" applyFill="1" applyBorder="1" applyAlignment="1">
      <alignment horizontal="right"/>
    </xf>
    <xf numFmtId="166" fontId="0" fillId="4" borderId="10" xfId="0" applyNumberFormat="1" applyFill="1" applyBorder="1" applyAlignment="1">
      <alignment horizontal="right"/>
    </xf>
    <xf numFmtId="0" fontId="14" fillId="5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7" fontId="0" fillId="0" borderId="0" xfId="0" applyNumberFormat="1"/>
    <xf numFmtId="0" fontId="16" fillId="0" borderId="0" xfId="0" applyFont="1"/>
    <xf numFmtId="167" fontId="0" fillId="0" borderId="0" xfId="0" applyNumberFormat="1"/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left"/>
    </xf>
    <xf numFmtId="1" fontId="0" fillId="0" borderId="5" xfId="0" applyNumberFormat="1" applyBorder="1" applyAlignment="1">
      <alignment horizontal="center"/>
    </xf>
    <xf numFmtId="0" fontId="15" fillId="0" borderId="6" xfId="0" applyFont="1" applyBorder="1" applyAlignment="1">
      <alignment horizontal="left"/>
    </xf>
    <xf numFmtId="167" fontId="0" fillId="0" borderId="6" xfId="0" applyNumberFormat="1" applyBorder="1" applyAlignment="1">
      <alignment horizontal="right"/>
    </xf>
    <xf numFmtId="1" fontId="0" fillId="4" borderId="5" xfId="0" applyNumberForma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167" fontId="0" fillId="4" borderId="6" xfId="0" applyNumberFormat="1" applyFill="1" applyBorder="1" applyAlignment="1">
      <alignment horizontal="right"/>
    </xf>
    <xf numFmtId="1" fontId="0" fillId="4" borderId="8" xfId="0" applyNumberFormat="1" applyFill="1" applyBorder="1" applyAlignment="1">
      <alignment horizontal="center"/>
    </xf>
    <xf numFmtId="0" fontId="15" fillId="4" borderId="9" xfId="0" applyFont="1" applyFill="1" applyBorder="1" applyAlignment="1">
      <alignment horizontal="left"/>
    </xf>
    <xf numFmtId="167" fontId="0" fillId="4" borderId="9" xfId="0" applyNumberFormat="1" applyFill="1" applyBorder="1" applyAlignment="1">
      <alignment horizontal="right"/>
    </xf>
    <xf numFmtId="168" fontId="0" fillId="0" borderId="0" xfId="0" applyNumberFormat="1"/>
    <xf numFmtId="0" fontId="14" fillId="6" borderId="0" xfId="0" applyFont="1" applyFill="1"/>
    <xf numFmtId="0" fontId="6" fillId="0" borderId="0" xfId="0" applyFont="1" applyAlignment="1">
      <alignment horizontal="left" vertical="top" wrapText="1"/>
    </xf>
    <xf numFmtId="0" fontId="17" fillId="0" borderId="0" xfId="0" applyFont="1"/>
    <xf numFmtId="0" fontId="18" fillId="0" borderId="0" xfId="0" applyFont="1"/>
    <xf numFmtId="0" fontId="19" fillId="7" borderId="0" xfId="0" applyFont="1" applyFill="1"/>
    <xf numFmtId="0" fontId="15" fillId="8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164" fontId="0" fillId="0" borderId="0" xfId="0" applyNumberFormat="1"/>
    <xf numFmtId="2" fontId="15" fillId="0" borderId="0" xfId="0" applyNumberFormat="1" applyFont="1"/>
    <xf numFmtId="0" fontId="20" fillId="10" borderId="0" xfId="0" applyFont="1" applyFill="1"/>
    <xf numFmtId="0" fontId="15" fillId="9" borderId="0" xfId="0" applyFont="1" applyFill="1"/>
    <xf numFmtId="166" fontId="0" fillId="0" borderId="0" xfId="0" applyNumberFormat="1"/>
    <xf numFmtId="2" fontId="15" fillId="9" borderId="0" xfId="0" applyNumberFormat="1" applyFont="1" applyFill="1"/>
    <xf numFmtId="166" fontId="15" fillId="9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 Price Index by Capital City (Sep 2025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Summary'!$B$18</c:f>
              <c:strCache>
                <c:ptCount val="1"/>
                <c:pt idx="0">
                  <c:v>Sydney — Elec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Summary'!$B$19:$B$70</c:f>
              <c:numCache>
                <c:formatCode>0.00</c:formatCode>
                <c:ptCount val="52"/>
                <c:pt idx="0">
                  <c:v>72.41</c:v>
                </c:pt>
                <c:pt idx="1">
                  <c:v>73.849999999999994</c:v>
                </c:pt>
                <c:pt idx="2">
                  <c:v>74.599999999999994</c:v>
                </c:pt>
                <c:pt idx="3">
                  <c:v>74.45</c:v>
                </c:pt>
                <c:pt idx="4">
                  <c:v>74.45</c:v>
                </c:pt>
                <c:pt idx="5">
                  <c:v>74.31</c:v>
                </c:pt>
                <c:pt idx="6">
                  <c:v>73.010000000000005</c:v>
                </c:pt>
                <c:pt idx="7">
                  <c:v>73.44</c:v>
                </c:pt>
                <c:pt idx="8">
                  <c:v>77.73</c:v>
                </c:pt>
                <c:pt idx="9">
                  <c:v>92.38</c:v>
                </c:pt>
                <c:pt idx="10">
                  <c:v>93.08</c:v>
                </c:pt>
                <c:pt idx="11">
                  <c:v>92.4</c:v>
                </c:pt>
                <c:pt idx="12">
                  <c:v>93.29</c:v>
                </c:pt>
                <c:pt idx="13">
                  <c:v>93.72</c:v>
                </c:pt>
                <c:pt idx="14">
                  <c:v>93.72</c:v>
                </c:pt>
                <c:pt idx="15">
                  <c:v>93.54</c:v>
                </c:pt>
                <c:pt idx="16">
                  <c:v>93.54</c:v>
                </c:pt>
                <c:pt idx="17">
                  <c:v>93.54</c:v>
                </c:pt>
                <c:pt idx="18">
                  <c:v>92.6</c:v>
                </c:pt>
                <c:pt idx="19">
                  <c:v>91.61</c:v>
                </c:pt>
                <c:pt idx="20">
                  <c:v>92.51</c:v>
                </c:pt>
                <c:pt idx="21">
                  <c:v>102.62</c:v>
                </c:pt>
                <c:pt idx="22">
                  <c:v>103.38</c:v>
                </c:pt>
                <c:pt idx="23">
                  <c:v>103.24</c:v>
                </c:pt>
                <c:pt idx="24">
                  <c:v>100.46</c:v>
                </c:pt>
                <c:pt idx="25">
                  <c:v>100.09</c:v>
                </c:pt>
                <c:pt idx="26">
                  <c:v>98.71</c:v>
                </c:pt>
                <c:pt idx="27">
                  <c:v>100.37</c:v>
                </c:pt>
                <c:pt idx="28">
                  <c:v>99.85</c:v>
                </c:pt>
                <c:pt idx="29">
                  <c:v>99.16</c:v>
                </c:pt>
                <c:pt idx="30">
                  <c:v>97.31</c:v>
                </c:pt>
                <c:pt idx="31">
                  <c:v>96.86</c:v>
                </c:pt>
                <c:pt idx="32">
                  <c:v>97.07</c:v>
                </c:pt>
                <c:pt idx="33">
                  <c:v>104.15</c:v>
                </c:pt>
                <c:pt idx="34">
                  <c:v>94.37</c:v>
                </c:pt>
                <c:pt idx="35">
                  <c:v>86.59</c:v>
                </c:pt>
                <c:pt idx="36">
                  <c:v>70.05</c:v>
                </c:pt>
                <c:pt idx="37">
                  <c:v>81.489999999999995</c:v>
                </c:pt>
                <c:pt idx="38">
                  <c:v>88.39</c:v>
                </c:pt>
                <c:pt idx="39">
                  <c:v>88.39</c:v>
                </c:pt>
                <c:pt idx="40">
                  <c:v>88.53</c:v>
                </c:pt>
                <c:pt idx="41">
                  <c:v>91.28</c:v>
                </c:pt>
                <c:pt idx="42">
                  <c:v>90.37</c:v>
                </c:pt>
                <c:pt idx="43">
                  <c:v>90.87</c:v>
                </c:pt>
                <c:pt idx="44">
                  <c:v>89.8</c:v>
                </c:pt>
                <c:pt idx="45">
                  <c:v>116.91</c:v>
                </c:pt>
                <c:pt idx="46">
                  <c:v>100.94</c:v>
                </c:pt>
                <c:pt idx="47">
                  <c:v>100</c:v>
                </c:pt>
                <c:pt idx="48">
                  <c:v>81.209999999999994</c:v>
                </c:pt>
                <c:pt idx="49">
                  <c:v>98.58</c:v>
                </c:pt>
                <c:pt idx="50">
                  <c:v>98.58</c:v>
                </c:pt>
                <c:pt idx="51">
                  <c:v>115.58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9-4CF7-97CE-406BF91CF694}"/>
            </c:ext>
          </c:extLst>
        </c:ser>
        <c:ser>
          <c:idx val="1"/>
          <c:order val="1"/>
          <c:tx>
            <c:strRef>
              <c:f>'Energy Summary'!$C$18</c:f>
              <c:strCache>
                <c:ptCount val="1"/>
                <c:pt idx="0">
                  <c:v>Melbourne — Elec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Summary'!$C$19:$C$70</c:f>
              <c:numCache>
                <c:formatCode>0.00</c:formatCode>
                <c:ptCount val="52"/>
                <c:pt idx="0">
                  <c:v>100.83</c:v>
                </c:pt>
                <c:pt idx="1">
                  <c:v>102.25</c:v>
                </c:pt>
                <c:pt idx="2">
                  <c:v>101.84</c:v>
                </c:pt>
                <c:pt idx="3">
                  <c:v>101.12</c:v>
                </c:pt>
                <c:pt idx="4">
                  <c:v>100.26</c:v>
                </c:pt>
                <c:pt idx="5">
                  <c:v>100.26</c:v>
                </c:pt>
                <c:pt idx="6">
                  <c:v>100.39</c:v>
                </c:pt>
                <c:pt idx="7">
                  <c:v>100.01</c:v>
                </c:pt>
                <c:pt idx="8">
                  <c:v>99.57</c:v>
                </c:pt>
                <c:pt idx="9">
                  <c:v>107.05</c:v>
                </c:pt>
                <c:pt idx="10">
                  <c:v>108.12</c:v>
                </c:pt>
                <c:pt idx="11">
                  <c:v>108.12</c:v>
                </c:pt>
                <c:pt idx="12">
                  <c:v>107.7</c:v>
                </c:pt>
                <c:pt idx="13">
                  <c:v>107.7</c:v>
                </c:pt>
                <c:pt idx="14">
                  <c:v>107.55</c:v>
                </c:pt>
                <c:pt idx="15">
                  <c:v>107.55</c:v>
                </c:pt>
                <c:pt idx="16">
                  <c:v>107.55</c:v>
                </c:pt>
                <c:pt idx="17">
                  <c:v>106.9</c:v>
                </c:pt>
                <c:pt idx="18">
                  <c:v>104.41</c:v>
                </c:pt>
                <c:pt idx="19">
                  <c:v>102.83</c:v>
                </c:pt>
                <c:pt idx="20">
                  <c:v>98.31</c:v>
                </c:pt>
                <c:pt idx="21">
                  <c:v>124.19</c:v>
                </c:pt>
                <c:pt idx="22">
                  <c:v>116.15</c:v>
                </c:pt>
                <c:pt idx="23">
                  <c:v>117.82</c:v>
                </c:pt>
                <c:pt idx="24">
                  <c:v>115.88</c:v>
                </c:pt>
                <c:pt idx="25">
                  <c:v>118.35</c:v>
                </c:pt>
                <c:pt idx="26">
                  <c:v>116.71</c:v>
                </c:pt>
                <c:pt idx="27">
                  <c:v>116.89</c:v>
                </c:pt>
                <c:pt idx="28">
                  <c:v>115.82</c:v>
                </c:pt>
                <c:pt idx="29">
                  <c:v>115.82</c:v>
                </c:pt>
                <c:pt idx="30">
                  <c:v>112.06</c:v>
                </c:pt>
                <c:pt idx="31">
                  <c:v>119.37</c:v>
                </c:pt>
                <c:pt idx="32">
                  <c:v>119.02</c:v>
                </c:pt>
                <c:pt idx="33">
                  <c:v>121.22</c:v>
                </c:pt>
                <c:pt idx="34">
                  <c:v>112.55</c:v>
                </c:pt>
                <c:pt idx="35">
                  <c:v>99.42</c:v>
                </c:pt>
                <c:pt idx="36">
                  <c:v>77.099999999999994</c:v>
                </c:pt>
                <c:pt idx="37">
                  <c:v>86.45</c:v>
                </c:pt>
                <c:pt idx="38">
                  <c:v>99.35</c:v>
                </c:pt>
                <c:pt idx="39">
                  <c:v>108.1</c:v>
                </c:pt>
                <c:pt idx="40">
                  <c:v>98.67</c:v>
                </c:pt>
                <c:pt idx="41">
                  <c:v>98.67</c:v>
                </c:pt>
                <c:pt idx="42">
                  <c:v>91.06</c:v>
                </c:pt>
                <c:pt idx="43">
                  <c:v>99.74</c:v>
                </c:pt>
                <c:pt idx="44">
                  <c:v>99.74</c:v>
                </c:pt>
                <c:pt idx="45">
                  <c:v>101.28</c:v>
                </c:pt>
                <c:pt idx="46">
                  <c:v>100.35</c:v>
                </c:pt>
                <c:pt idx="47">
                  <c:v>100</c:v>
                </c:pt>
                <c:pt idx="48">
                  <c:v>99.89</c:v>
                </c:pt>
                <c:pt idx="49">
                  <c:v>99.84</c:v>
                </c:pt>
                <c:pt idx="50">
                  <c:v>99.91</c:v>
                </c:pt>
                <c:pt idx="51">
                  <c:v>121.55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9-4CF7-97CE-406BF91CF694}"/>
            </c:ext>
          </c:extLst>
        </c:ser>
        <c:ser>
          <c:idx val="2"/>
          <c:order val="2"/>
          <c:tx>
            <c:strRef>
              <c:f>'Energy Summary'!$D$18</c:f>
              <c:strCache>
                <c:ptCount val="1"/>
                <c:pt idx="0">
                  <c:v>Brisbane — Elec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Summary'!$D$19:$D$70</c:f>
              <c:numCache>
                <c:formatCode>0.00</c:formatCode>
                <c:ptCount val="52"/>
                <c:pt idx="0">
                  <c:v>71.14</c:v>
                </c:pt>
                <c:pt idx="1">
                  <c:v>71.14</c:v>
                </c:pt>
                <c:pt idx="2">
                  <c:v>71</c:v>
                </c:pt>
                <c:pt idx="3">
                  <c:v>71</c:v>
                </c:pt>
                <c:pt idx="4">
                  <c:v>70.150000000000006</c:v>
                </c:pt>
                <c:pt idx="5">
                  <c:v>70.150000000000006</c:v>
                </c:pt>
                <c:pt idx="6">
                  <c:v>70.45</c:v>
                </c:pt>
                <c:pt idx="7">
                  <c:v>70.08</c:v>
                </c:pt>
                <c:pt idx="8">
                  <c:v>72.7</c:v>
                </c:pt>
                <c:pt idx="9">
                  <c:v>84.34</c:v>
                </c:pt>
                <c:pt idx="10">
                  <c:v>88.1</c:v>
                </c:pt>
                <c:pt idx="11">
                  <c:v>55.51</c:v>
                </c:pt>
                <c:pt idx="12">
                  <c:v>56.73</c:v>
                </c:pt>
                <c:pt idx="13">
                  <c:v>54.78</c:v>
                </c:pt>
                <c:pt idx="14">
                  <c:v>88.18</c:v>
                </c:pt>
                <c:pt idx="15">
                  <c:v>88.18</c:v>
                </c:pt>
                <c:pt idx="16">
                  <c:v>88.18</c:v>
                </c:pt>
                <c:pt idx="17">
                  <c:v>88.18</c:v>
                </c:pt>
                <c:pt idx="18">
                  <c:v>88.18</c:v>
                </c:pt>
                <c:pt idx="19">
                  <c:v>88.18</c:v>
                </c:pt>
                <c:pt idx="20">
                  <c:v>87.88</c:v>
                </c:pt>
                <c:pt idx="21">
                  <c:v>78.17</c:v>
                </c:pt>
                <c:pt idx="22">
                  <c:v>79.989999999999995</c:v>
                </c:pt>
                <c:pt idx="23">
                  <c:v>79.09</c:v>
                </c:pt>
                <c:pt idx="24">
                  <c:v>79.790000000000006</c:v>
                </c:pt>
                <c:pt idx="25">
                  <c:v>79.790000000000006</c:v>
                </c:pt>
                <c:pt idx="26">
                  <c:v>79.790000000000006</c:v>
                </c:pt>
                <c:pt idx="27">
                  <c:v>79.790000000000006</c:v>
                </c:pt>
                <c:pt idx="28">
                  <c:v>79.790000000000006</c:v>
                </c:pt>
                <c:pt idx="29">
                  <c:v>79.790000000000006</c:v>
                </c:pt>
                <c:pt idx="30">
                  <c:v>78.33</c:v>
                </c:pt>
                <c:pt idx="31">
                  <c:v>78.33</c:v>
                </c:pt>
                <c:pt idx="32">
                  <c:v>78.33</c:v>
                </c:pt>
                <c:pt idx="33">
                  <c:v>5.57</c:v>
                </c:pt>
                <c:pt idx="34">
                  <c:v>5.57</c:v>
                </c:pt>
                <c:pt idx="35">
                  <c:v>5.57</c:v>
                </c:pt>
                <c:pt idx="36">
                  <c:v>17.559999999999999</c:v>
                </c:pt>
                <c:pt idx="37">
                  <c:v>17.95</c:v>
                </c:pt>
                <c:pt idx="38">
                  <c:v>17.95</c:v>
                </c:pt>
                <c:pt idx="39">
                  <c:v>79.290000000000006</c:v>
                </c:pt>
                <c:pt idx="40">
                  <c:v>78.48</c:v>
                </c:pt>
                <c:pt idx="41">
                  <c:v>78.22</c:v>
                </c:pt>
                <c:pt idx="42">
                  <c:v>95.65</c:v>
                </c:pt>
                <c:pt idx="43">
                  <c:v>95.04</c:v>
                </c:pt>
                <c:pt idx="44">
                  <c:v>94.08</c:v>
                </c:pt>
                <c:pt idx="45">
                  <c:v>99.84</c:v>
                </c:pt>
                <c:pt idx="46">
                  <c:v>100</c:v>
                </c:pt>
                <c:pt idx="47">
                  <c:v>100</c:v>
                </c:pt>
                <c:pt idx="48">
                  <c:v>99.82</c:v>
                </c:pt>
                <c:pt idx="49">
                  <c:v>99.82</c:v>
                </c:pt>
                <c:pt idx="50">
                  <c:v>99.82</c:v>
                </c:pt>
                <c:pt idx="51">
                  <c:v>113.46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9-4CF7-97CE-406BF91CF694}"/>
            </c:ext>
          </c:extLst>
        </c:ser>
        <c:ser>
          <c:idx val="3"/>
          <c:order val="3"/>
          <c:tx>
            <c:strRef>
              <c:f>'Energy Summary'!$E$18</c:f>
              <c:strCache>
                <c:ptCount val="1"/>
                <c:pt idx="0">
                  <c:v>Adelaide — Elec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Summary'!$E$19:$E$70</c:f>
              <c:numCache>
                <c:formatCode>0.00</c:formatCode>
                <c:ptCount val="52"/>
                <c:pt idx="0">
                  <c:v>84.11</c:v>
                </c:pt>
                <c:pt idx="1">
                  <c:v>84.11</c:v>
                </c:pt>
                <c:pt idx="2">
                  <c:v>84.27</c:v>
                </c:pt>
                <c:pt idx="3">
                  <c:v>84.27</c:v>
                </c:pt>
                <c:pt idx="4">
                  <c:v>84.27</c:v>
                </c:pt>
                <c:pt idx="5">
                  <c:v>84.27</c:v>
                </c:pt>
                <c:pt idx="6">
                  <c:v>84.4</c:v>
                </c:pt>
                <c:pt idx="7">
                  <c:v>85.54</c:v>
                </c:pt>
                <c:pt idx="8">
                  <c:v>87.11</c:v>
                </c:pt>
                <c:pt idx="9">
                  <c:v>94.89</c:v>
                </c:pt>
                <c:pt idx="10">
                  <c:v>96.81</c:v>
                </c:pt>
                <c:pt idx="11">
                  <c:v>97.12</c:v>
                </c:pt>
                <c:pt idx="12">
                  <c:v>97.62</c:v>
                </c:pt>
                <c:pt idx="13">
                  <c:v>96.87</c:v>
                </c:pt>
                <c:pt idx="14">
                  <c:v>96.87</c:v>
                </c:pt>
                <c:pt idx="15">
                  <c:v>96.87</c:v>
                </c:pt>
                <c:pt idx="16">
                  <c:v>96.87</c:v>
                </c:pt>
                <c:pt idx="17">
                  <c:v>97.1</c:v>
                </c:pt>
                <c:pt idx="18">
                  <c:v>97.1</c:v>
                </c:pt>
                <c:pt idx="19">
                  <c:v>96.9</c:v>
                </c:pt>
                <c:pt idx="20">
                  <c:v>95.86</c:v>
                </c:pt>
                <c:pt idx="21">
                  <c:v>111.48</c:v>
                </c:pt>
                <c:pt idx="22">
                  <c:v>111.48</c:v>
                </c:pt>
                <c:pt idx="23">
                  <c:v>111.48</c:v>
                </c:pt>
                <c:pt idx="24">
                  <c:v>108.79</c:v>
                </c:pt>
                <c:pt idx="25">
                  <c:v>108.79</c:v>
                </c:pt>
                <c:pt idx="26">
                  <c:v>108.79</c:v>
                </c:pt>
                <c:pt idx="27">
                  <c:v>110.04</c:v>
                </c:pt>
                <c:pt idx="28">
                  <c:v>110.04</c:v>
                </c:pt>
                <c:pt idx="29">
                  <c:v>110.04</c:v>
                </c:pt>
                <c:pt idx="30">
                  <c:v>108.87</c:v>
                </c:pt>
                <c:pt idx="31">
                  <c:v>108.87</c:v>
                </c:pt>
                <c:pt idx="32">
                  <c:v>108.87</c:v>
                </c:pt>
                <c:pt idx="33">
                  <c:v>115.21</c:v>
                </c:pt>
                <c:pt idx="34">
                  <c:v>99.14</c:v>
                </c:pt>
                <c:pt idx="35">
                  <c:v>99.14</c:v>
                </c:pt>
                <c:pt idx="36">
                  <c:v>83.56</c:v>
                </c:pt>
                <c:pt idx="37">
                  <c:v>99.14</c:v>
                </c:pt>
                <c:pt idx="38">
                  <c:v>99.14</c:v>
                </c:pt>
                <c:pt idx="39">
                  <c:v>99.14</c:v>
                </c:pt>
                <c:pt idx="40">
                  <c:v>98.25</c:v>
                </c:pt>
                <c:pt idx="41">
                  <c:v>98.25</c:v>
                </c:pt>
                <c:pt idx="42">
                  <c:v>98.39</c:v>
                </c:pt>
                <c:pt idx="43">
                  <c:v>98.39</c:v>
                </c:pt>
                <c:pt idx="44">
                  <c:v>99.65</c:v>
                </c:pt>
                <c:pt idx="45">
                  <c:v>100.17</c:v>
                </c:pt>
                <c:pt idx="46">
                  <c:v>100</c:v>
                </c:pt>
                <c:pt idx="47">
                  <c:v>100</c:v>
                </c:pt>
                <c:pt idx="48">
                  <c:v>99.68</c:v>
                </c:pt>
                <c:pt idx="49">
                  <c:v>100.29</c:v>
                </c:pt>
                <c:pt idx="50">
                  <c:v>100.29</c:v>
                </c:pt>
                <c:pt idx="51">
                  <c:v>115.65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09-4CF7-97CE-406BF91CF694}"/>
            </c:ext>
          </c:extLst>
        </c:ser>
        <c:ser>
          <c:idx val="4"/>
          <c:order val="4"/>
          <c:tx>
            <c:strRef>
              <c:f>'Energy Summary'!$F$18</c:f>
              <c:strCache>
                <c:ptCount val="1"/>
                <c:pt idx="0">
                  <c:v>Perth — Elec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Summary'!$F$19:$F$70</c:f>
              <c:numCache>
                <c:formatCode>0.00</c:formatCode>
                <c:ptCount val="52"/>
                <c:pt idx="0">
                  <c:v>90.6</c:v>
                </c:pt>
                <c:pt idx="1">
                  <c:v>90.6</c:v>
                </c:pt>
                <c:pt idx="2">
                  <c:v>90.6</c:v>
                </c:pt>
                <c:pt idx="3">
                  <c:v>90.6</c:v>
                </c:pt>
                <c:pt idx="4">
                  <c:v>90.6</c:v>
                </c:pt>
                <c:pt idx="5">
                  <c:v>90.6</c:v>
                </c:pt>
                <c:pt idx="6">
                  <c:v>90.6</c:v>
                </c:pt>
                <c:pt idx="7">
                  <c:v>90.6</c:v>
                </c:pt>
                <c:pt idx="8">
                  <c:v>90.6</c:v>
                </c:pt>
                <c:pt idx="9">
                  <c:v>14.2</c:v>
                </c:pt>
                <c:pt idx="10">
                  <c:v>14.2</c:v>
                </c:pt>
                <c:pt idx="11">
                  <c:v>14.2</c:v>
                </c:pt>
                <c:pt idx="12">
                  <c:v>88.92</c:v>
                </c:pt>
                <c:pt idx="13">
                  <c:v>88.92</c:v>
                </c:pt>
                <c:pt idx="14">
                  <c:v>88.92</c:v>
                </c:pt>
                <c:pt idx="15">
                  <c:v>92.86</c:v>
                </c:pt>
                <c:pt idx="16">
                  <c:v>92.86</c:v>
                </c:pt>
                <c:pt idx="17">
                  <c:v>92.86</c:v>
                </c:pt>
                <c:pt idx="18">
                  <c:v>92.86</c:v>
                </c:pt>
                <c:pt idx="19">
                  <c:v>92.86</c:v>
                </c:pt>
                <c:pt idx="20">
                  <c:v>92.86</c:v>
                </c:pt>
                <c:pt idx="21">
                  <c:v>51.61</c:v>
                </c:pt>
                <c:pt idx="22">
                  <c:v>51.61</c:v>
                </c:pt>
                <c:pt idx="23">
                  <c:v>51.61</c:v>
                </c:pt>
                <c:pt idx="24">
                  <c:v>95.18</c:v>
                </c:pt>
                <c:pt idx="25">
                  <c:v>95.18</c:v>
                </c:pt>
                <c:pt idx="26">
                  <c:v>51.61</c:v>
                </c:pt>
                <c:pt idx="27">
                  <c:v>51.61</c:v>
                </c:pt>
                <c:pt idx="28">
                  <c:v>51.61</c:v>
                </c:pt>
                <c:pt idx="29">
                  <c:v>95.18</c:v>
                </c:pt>
                <c:pt idx="30">
                  <c:v>95.18</c:v>
                </c:pt>
                <c:pt idx="31">
                  <c:v>95.18</c:v>
                </c:pt>
                <c:pt idx="32">
                  <c:v>95.18</c:v>
                </c:pt>
                <c:pt idx="33">
                  <c:v>73.61</c:v>
                </c:pt>
                <c:pt idx="34">
                  <c:v>25.71</c:v>
                </c:pt>
                <c:pt idx="35">
                  <c:v>25.71</c:v>
                </c:pt>
                <c:pt idx="36">
                  <c:v>49.66</c:v>
                </c:pt>
                <c:pt idx="37">
                  <c:v>97.56</c:v>
                </c:pt>
                <c:pt idx="38">
                  <c:v>39.36</c:v>
                </c:pt>
                <c:pt idx="39">
                  <c:v>25.71</c:v>
                </c:pt>
                <c:pt idx="40">
                  <c:v>25.71</c:v>
                </c:pt>
                <c:pt idx="41">
                  <c:v>83.91</c:v>
                </c:pt>
                <c:pt idx="42">
                  <c:v>97.56</c:v>
                </c:pt>
                <c:pt idx="43">
                  <c:v>97.56</c:v>
                </c:pt>
                <c:pt idx="44">
                  <c:v>97.56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79.14</c:v>
                </c:pt>
                <c:pt idx="49">
                  <c:v>69.209999999999994</c:v>
                </c:pt>
                <c:pt idx="50">
                  <c:v>69.209999999999994</c:v>
                </c:pt>
                <c:pt idx="51">
                  <c:v>90.07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09-4CF7-97CE-406BF91CF694}"/>
            </c:ext>
          </c:extLst>
        </c:ser>
        <c:ser>
          <c:idx val="5"/>
          <c:order val="5"/>
          <c:tx>
            <c:strRef>
              <c:f>'Energy Summary'!$G$18</c:f>
              <c:strCache>
                <c:ptCount val="1"/>
                <c:pt idx="0">
                  <c:v>Hobart — Elec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Summary'!$G$19:$G$70</c:f>
              <c:numCache>
                <c:formatCode>0.00</c:formatCode>
                <c:ptCount val="52"/>
                <c:pt idx="0">
                  <c:v>90.34</c:v>
                </c:pt>
                <c:pt idx="1">
                  <c:v>90.34</c:v>
                </c:pt>
                <c:pt idx="2">
                  <c:v>90.34</c:v>
                </c:pt>
                <c:pt idx="3">
                  <c:v>90.34</c:v>
                </c:pt>
                <c:pt idx="4">
                  <c:v>90.34</c:v>
                </c:pt>
                <c:pt idx="5">
                  <c:v>90.34</c:v>
                </c:pt>
                <c:pt idx="6">
                  <c:v>90.34</c:v>
                </c:pt>
                <c:pt idx="7">
                  <c:v>90.34</c:v>
                </c:pt>
                <c:pt idx="8">
                  <c:v>90.34</c:v>
                </c:pt>
                <c:pt idx="9">
                  <c:v>101.1</c:v>
                </c:pt>
                <c:pt idx="10">
                  <c:v>101.1</c:v>
                </c:pt>
                <c:pt idx="11">
                  <c:v>101.1</c:v>
                </c:pt>
                <c:pt idx="12">
                  <c:v>92.8</c:v>
                </c:pt>
                <c:pt idx="13">
                  <c:v>92.8</c:v>
                </c:pt>
                <c:pt idx="14">
                  <c:v>92.8</c:v>
                </c:pt>
                <c:pt idx="15">
                  <c:v>101.1</c:v>
                </c:pt>
                <c:pt idx="16">
                  <c:v>101.1</c:v>
                </c:pt>
                <c:pt idx="17">
                  <c:v>101.1</c:v>
                </c:pt>
                <c:pt idx="18">
                  <c:v>101.1</c:v>
                </c:pt>
                <c:pt idx="19">
                  <c:v>101.1</c:v>
                </c:pt>
                <c:pt idx="20">
                  <c:v>101.1</c:v>
                </c:pt>
                <c:pt idx="21">
                  <c:v>101.79</c:v>
                </c:pt>
                <c:pt idx="22">
                  <c:v>101.79</c:v>
                </c:pt>
                <c:pt idx="23">
                  <c:v>101.79</c:v>
                </c:pt>
                <c:pt idx="24">
                  <c:v>109.27</c:v>
                </c:pt>
                <c:pt idx="25">
                  <c:v>109.27</c:v>
                </c:pt>
                <c:pt idx="26">
                  <c:v>109.27</c:v>
                </c:pt>
                <c:pt idx="27">
                  <c:v>110.51</c:v>
                </c:pt>
                <c:pt idx="28">
                  <c:v>110.51</c:v>
                </c:pt>
                <c:pt idx="29">
                  <c:v>110.51</c:v>
                </c:pt>
                <c:pt idx="30">
                  <c:v>100.55</c:v>
                </c:pt>
                <c:pt idx="31">
                  <c:v>100.55</c:v>
                </c:pt>
                <c:pt idx="32">
                  <c:v>100.55</c:v>
                </c:pt>
                <c:pt idx="33">
                  <c:v>59.64</c:v>
                </c:pt>
                <c:pt idx="34">
                  <c:v>47.31</c:v>
                </c:pt>
                <c:pt idx="35">
                  <c:v>47.31</c:v>
                </c:pt>
                <c:pt idx="36">
                  <c:v>86.05</c:v>
                </c:pt>
                <c:pt idx="37">
                  <c:v>98.38</c:v>
                </c:pt>
                <c:pt idx="38">
                  <c:v>98.38</c:v>
                </c:pt>
                <c:pt idx="39">
                  <c:v>98.38</c:v>
                </c:pt>
                <c:pt idx="40">
                  <c:v>98.38</c:v>
                </c:pt>
                <c:pt idx="41">
                  <c:v>98.38</c:v>
                </c:pt>
                <c:pt idx="42">
                  <c:v>88.42</c:v>
                </c:pt>
                <c:pt idx="43">
                  <c:v>78.55</c:v>
                </c:pt>
                <c:pt idx="44">
                  <c:v>78.55</c:v>
                </c:pt>
                <c:pt idx="45">
                  <c:v>90.13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112.33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09-4CF7-97CE-406BF91CF694}"/>
            </c:ext>
          </c:extLst>
        </c:ser>
        <c:ser>
          <c:idx val="6"/>
          <c:order val="6"/>
          <c:tx>
            <c:strRef>
              <c:f>'Energy Summary'!$H$18</c:f>
              <c:strCache>
                <c:ptCount val="1"/>
                <c:pt idx="0">
                  <c:v>Darwin — Elec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Summary'!$H$19:$H$70</c:f>
              <c:numCache>
                <c:formatCode>0.00</c:formatCode>
                <c:ptCount val="52"/>
                <c:pt idx="0">
                  <c:v>101.44</c:v>
                </c:pt>
                <c:pt idx="1">
                  <c:v>101.44</c:v>
                </c:pt>
                <c:pt idx="2">
                  <c:v>101.44</c:v>
                </c:pt>
                <c:pt idx="3">
                  <c:v>101.44</c:v>
                </c:pt>
                <c:pt idx="4">
                  <c:v>101.44</c:v>
                </c:pt>
                <c:pt idx="5">
                  <c:v>101.44</c:v>
                </c:pt>
                <c:pt idx="6">
                  <c:v>101.44</c:v>
                </c:pt>
                <c:pt idx="7">
                  <c:v>101.44</c:v>
                </c:pt>
                <c:pt idx="8">
                  <c:v>101.44</c:v>
                </c:pt>
                <c:pt idx="9">
                  <c:v>104.48</c:v>
                </c:pt>
                <c:pt idx="10">
                  <c:v>104.48</c:v>
                </c:pt>
                <c:pt idx="11">
                  <c:v>104.48</c:v>
                </c:pt>
                <c:pt idx="12">
                  <c:v>104.48</c:v>
                </c:pt>
                <c:pt idx="13">
                  <c:v>104.48</c:v>
                </c:pt>
                <c:pt idx="14">
                  <c:v>104.48</c:v>
                </c:pt>
                <c:pt idx="15">
                  <c:v>104.48</c:v>
                </c:pt>
                <c:pt idx="16">
                  <c:v>104.48</c:v>
                </c:pt>
                <c:pt idx="17">
                  <c:v>104.48</c:v>
                </c:pt>
                <c:pt idx="18">
                  <c:v>104.48</c:v>
                </c:pt>
                <c:pt idx="19">
                  <c:v>104.48</c:v>
                </c:pt>
                <c:pt idx="20">
                  <c:v>104.48</c:v>
                </c:pt>
                <c:pt idx="21">
                  <c:v>104.34</c:v>
                </c:pt>
                <c:pt idx="22">
                  <c:v>104.34</c:v>
                </c:pt>
                <c:pt idx="23">
                  <c:v>104.34</c:v>
                </c:pt>
                <c:pt idx="24">
                  <c:v>97.51</c:v>
                </c:pt>
                <c:pt idx="25">
                  <c:v>97.51</c:v>
                </c:pt>
                <c:pt idx="26">
                  <c:v>97.51</c:v>
                </c:pt>
                <c:pt idx="27">
                  <c:v>100.93</c:v>
                </c:pt>
                <c:pt idx="28">
                  <c:v>100.93</c:v>
                </c:pt>
                <c:pt idx="29">
                  <c:v>100.93</c:v>
                </c:pt>
                <c:pt idx="30">
                  <c:v>100.93</c:v>
                </c:pt>
                <c:pt idx="31">
                  <c:v>100.93</c:v>
                </c:pt>
                <c:pt idx="32">
                  <c:v>100.93</c:v>
                </c:pt>
                <c:pt idx="33">
                  <c:v>112.23</c:v>
                </c:pt>
                <c:pt idx="34">
                  <c:v>96.31</c:v>
                </c:pt>
                <c:pt idx="35">
                  <c:v>96.31</c:v>
                </c:pt>
                <c:pt idx="36">
                  <c:v>80.38</c:v>
                </c:pt>
                <c:pt idx="37">
                  <c:v>96.31</c:v>
                </c:pt>
                <c:pt idx="38">
                  <c:v>96.31</c:v>
                </c:pt>
                <c:pt idx="39">
                  <c:v>96.31</c:v>
                </c:pt>
                <c:pt idx="40">
                  <c:v>96.31</c:v>
                </c:pt>
                <c:pt idx="41">
                  <c:v>96.31</c:v>
                </c:pt>
                <c:pt idx="42">
                  <c:v>96.31</c:v>
                </c:pt>
                <c:pt idx="43">
                  <c:v>96.31</c:v>
                </c:pt>
                <c:pt idx="44">
                  <c:v>96.31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115.92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09-4CF7-97CE-406BF91CF694}"/>
            </c:ext>
          </c:extLst>
        </c:ser>
        <c:ser>
          <c:idx val="7"/>
          <c:order val="7"/>
          <c:tx>
            <c:strRef>
              <c:f>'Energy Summary'!$I$18</c:f>
              <c:strCache>
                <c:ptCount val="1"/>
                <c:pt idx="0">
                  <c:v>Canberra — Elec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Summary'!$A$19:$A$70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Summary'!$I$19:$I$70</c:f>
              <c:numCache>
                <c:formatCode>0.00</c:formatCode>
                <c:ptCount val="52"/>
                <c:pt idx="0">
                  <c:v>82.83</c:v>
                </c:pt>
                <c:pt idx="1">
                  <c:v>82.83</c:v>
                </c:pt>
                <c:pt idx="2">
                  <c:v>83.25</c:v>
                </c:pt>
                <c:pt idx="3">
                  <c:v>88.02</c:v>
                </c:pt>
                <c:pt idx="4">
                  <c:v>88.02</c:v>
                </c:pt>
                <c:pt idx="5">
                  <c:v>88.02</c:v>
                </c:pt>
                <c:pt idx="6">
                  <c:v>88.02</c:v>
                </c:pt>
                <c:pt idx="7">
                  <c:v>88.02</c:v>
                </c:pt>
                <c:pt idx="8">
                  <c:v>89.66</c:v>
                </c:pt>
                <c:pt idx="9">
                  <c:v>88.56</c:v>
                </c:pt>
                <c:pt idx="10">
                  <c:v>89.2</c:v>
                </c:pt>
                <c:pt idx="11">
                  <c:v>89.61</c:v>
                </c:pt>
                <c:pt idx="12">
                  <c:v>90.21</c:v>
                </c:pt>
                <c:pt idx="13">
                  <c:v>89.44</c:v>
                </c:pt>
                <c:pt idx="14">
                  <c:v>89.44</c:v>
                </c:pt>
                <c:pt idx="15">
                  <c:v>89.44</c:v>
                </c:pt>
                <c:pt idx="16">
                  <c:v>89.44</c:v>
                </c:pt>
                <c:pt idx="17">
                  <c:v>89.44</c:v>
                </c:pt>
                <c:pt idx="18">
                  <c:v>88.62</c:v>
                </c:pt>
                <c:pt idx="19">
                  <c:v>88.62</c:v>
                </c:pt>
                <c:pt idx="20">
                  <c:v>87.91</c:v>
                </c:pt>
                <c:pt idx="21">
                  <c:v>85.11</c:v>
                </c:pt>
                <c:pt idx="22">
                  <c:v>84.88</c:v>
                </c:pt>
                <c:pt idx="23">
                  <c:v>84.88</c:v>
                </c:pt>
                <c:pt idx="24">
                  <c:v>86.08</c:v>
                </c:pt>
                <c:pt idx="25">
                  <c:v>86.08</c:v>
                </c:pt>
                <c:pt idx="26">
                  <c:v>86.08</c:v>
                </c:pt>
                <c:pt idx="27">
                  <c:v>86.94</c:v>
                </c:pt>
                <c:pt idx="28">
                  <c:v>82.76</c:v>
                </c:pt>
                <c:pt idx="29">
                  <c:v>82.76</c:v>
                </c:pt>
                <c:pt idx="30">
                  <c:v>84.05</c:v>
                </c:pt>
                <c:pt idx="31">
                  <c:v>84.05</c:v>
                </c:pt>
                <c:pt idx="32">
                  <c:v>84.05</c:v>
                </c:pt>
                <c:pt idx="33">
                  <c:v>100.89</c:v>
                </c:pt>
                <c:pt idx="34">
                  <c:v>87.04</c:v>
                </c:pt>
                <c:pt idx="35">
                  <c:v>86.57</c:v>
                </c:pt>
                <c:pt idx="36">
                  <c:v>73.05</c:v>
                </c:pt>
                <c:pt idx="37">
                  <c:v>87.66</c:v>
                </c:pt>
                <c:pt idx="38">
                  <c:v>87.66</c:v>
                </c:pt>
                <c:pt idx="39">
                  <c:v>87.66</c:v>
                </c:pt>
                <c:pt idx="40">
                  <c:v>89.07</c:v>
                </c:pt>
                <c:pt idx="41">
                  <c:v>89.07</c:v>
                </c:pt>
                <c:pt idx="42">
                  <c:v>89.07</c:v>
                </c:pt>
                <c:pt idx="43">
                  <c:v>89.07</c:v>
                </c:pt>
                <c:pt idx="44">
                  <c:v>89.07</c:v>
                </c:pt>
                <c:pt idx="45">
                  <c:v>115.45</c:v>
                </c:pt>
                <c:pt idx="46">
                  <c:v>100</c:v>
                </c:pt>
                <c:pt idx="47">
                  <c:v>100</c:v>
                </c:pt>
                <c:pt idx="48">
                  <c:v>85.39</c:v>
                </c:pt>
                <c:pt idx="49">
                  <c:v>100</c:v>
                </c:pt>
                <c:pt idx="50">
                  <c:v>100</c:v>
                </c:pt>
                <c:pt idx="51">
                  <c:v>114.61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09-4CF7-97CE-406BF91CF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80895"/>
        <c:axId val="1936518240"/>
      </c:lineChart>
      <c:dateAx>
        <c:axId val="165988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18240"/>
        <c:crosses val="autoZero"/>
        <c:auto val="1"/>
        <c:lblOffset val="100"/>
        <c:baseTimeUnit val="months"/>
      </c:dateAx>
      <c:valAx>
        <c:axId val="19365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(Sep 2025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&amp; Other Household Fuels Price Index by Capital City (Sep 2025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Summary'!$T$18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Summary'!$T$19:$T$70</c:f>
              <c:numCache>
                <c:formatCode>0.00</c:formatCode>
                <c:ptCount val="52"/>
                <c:pt idx="0">
                  <c:v>71.13</c:v>
                </c:pt>
                <c:pt idx="1">
                  <c:v>71.13</c:v>
                </c:pt>
                <c:pt idx="2">
                  <c:v>72.83</c:v>
                </c:pt>
                <c:pt idx="3">
                  <c:v>72.83</c:v>
                </c:pt>
                <c:pt idx="4">
                  <c:v>72.83</c:v>
                </c:pt>
                <c:pt idx="5">
                  <c:v>72.83</c:v>
                </c:pt>
                <c:pt idx="6">
                  <c:v>72.31</c:v>
                </c:pt>
                <c:pt idx="7">
                  <c:v>70.989999999999995</c:v>
                </c:pt>
                <c:pt idx="8">
                  <c:v>72.95</c:v>
                </c:pt>
                <c:pt idx="9">
                  <c:v>81.87</c:v>
                </c:pt>
                <c:pt idx="10">
                  <c:v>81.87</c:v>
                </c:pt>
                <c:pt idx="11">
                  <c:v>82.63</c:v>
                </c:pt>
                <c:pt idx="12">
                  <c:v>82.85</c:v>
                </c:pt>
                <c:pt idx="13">
                  <c:v>82.53</c:v>
                </c:pt>
                <c:pt idx="14">
                  <c:v>85.4</c:v>
                </c:pt>
                <c:pt idx="15">
                  <c:v>85.4</c:v>
                </c:pt>
                <c:pt idx="16">
                  <c:v>88.12</c:v>
                </c:pt>
                <c:pt idx="17">
                  <c:v>88.12</c:v>
                </c:pt>
                <c:pt idx="18">
                  <c:v>88.12</c:v>
                </c:pt>
                <c:pt idx="19">
                  <c:v>88.12</c:v>
                </c:pt>
                <c:pt idx="20">
                  <c:v>88.12</c:v>
                </c:pt>
                <c:pt idx="21">
                  <c:v>91.47</c:v>
                </c:pt>
                <c:pt idx="22">
                  <c:v>92.37</c:v>
                </c:pt>
                <c:pt idx="23">
                  <c:v>91.75</c:v>
                </c:pt>
                <c:pt idx="24">
                  <c:v>91.75</c:v>
                </c:pt>
                <c:pt idx="25">
                  <c:v>91.75</c:v>
                </c:pt>
                <c:pt idx="26">
                  <c:v>91.47</c:v>
                </c:pt>
                <c:pt idx="27">
                  <c:v>89.34</c:v>
                </c:pt>
                <c:pt idx="28">
                  <c:v>89.34</c:v>
                </c:pt>
                <c:pt idx="29">
                  <c:v>87.59</c:v>
                </c:pt>
                <c:pt idx="30">
                  <c:v>87.59</c:v>
                </c:pt>
                <c:pt idx="31">
                  <c:v>87.59</c:v>
                </c:pt>
                <c:pt idx="32">
                  <c:v>87.59</c:v>
                </c:pt>
                <c:pt idx="33">
                  <c:v>92.49</c:v>
                </c:pt>
                <c:pt idx="34">
                  <c:v>93.32</c:v>
                </c:pt>
                <c:pt idx="35">
                  <c:v>93.32</c:v>
                </c:pt>
                <c:pt idx="36">
                  <c:v>98.75</c:v>
                </c:pt>
                <c:pt idx="37">
                  <c:v>98.75</c:v>
                </c:pt>
                <c:pt idx="38">
                  <c:v>94.47</c:v>
                </c:pt>
                <c:pt idx="39">
                  <c:v>94.47</c:v>
                </c:pt>
                <c:pt idx="40">
                  <c:v>94.47</c:v>
                </c:pt>
                <c:pt idx="41">
                  <c:v>94.47</c:v>
                </c:pt>
                <c:pt idx="42">
                  <c:v>94.47</c:v>
                </c:pt>
                <c:pt idx="43">
                  <c:v>94.47</c:v>
                </c:pt>
                <c:pt idx="44">
                  <c:v>93.65</c:v>
                </c:pt>
                <c:pt idx="45">
                  <c:v>99.04</c:v>
                </c:pt>
                <c:pt idx="46">
                  <c:v>99.86</c:v>
                </c:pt>
                <c:pt idx="47">
                  <c:v>100</c:v>
                </c:pt>
                <c:pt idx="48">
                  <c:v>100</c:v>
                </c:pt>
                <c:pt idx="49">
                  <c:v>102.71</c:v>
                </c:pt>
                <c:pt idx="50">
                  <c:v>102.71</c:v>
                </c:pt>
                <c:pt idx="51">
                  <c:v>102.71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4-4145-8392-6A17B420D4C4}"/>
            </c:ext>
          </c:extLst>
        </c:ser>
        <c:ser>
          <c:idx val="1"/>
          <c:order val="1"/>
          <c:tx>
            <c:strRef>
              <c:f>'Energy Summary'!$U$18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Summary'!$U$19:$U$70</c:f>
              <c:numCache>
                <c:formatCode>0.00</c:formatCode>
                <c:ptCount val="52"/>
                <c:pt idx="0">
                  <c:v>60.92</c:v>
                </c:pt>
                <c:pt idx="1">
                  <c:v>63.74</c:v>
                </c:pt>
                <c:pt idx="2">
                  <c:v>65.819999999999993</c:v>
                </c:pt>
                <c:pt idx="3">
                  <c:v>66.930000000000007</c:v>
                </c:pt>
                <c:pt idx="4">
                  <c:v>69.27</c:v>
                </c:pt>
                <c:pt idx="5">
                  <c:v>69.25</c:v>
                </c:pt>
                <c:pt idx="6">
                  <c:v>69.25</c:v>
                </c:pt>
                <c:pt idx="7">
                  <c:v>66.209999999999994</c:v>
                </c:pt>
                <c:pt idx="8">
                  <c:v>69.38</c:v>
                </c:pt>
                <c:pt idx="9">
                  <c:v>76.67</c:v>
                </c:pt>
                <c:pt idx="10">
                  <c:v>78.28</c:v>
                </c:pt>
                <c:pt idx="11">
                  <c:v>78.28</c:v>
                </c:pt>
                <c:pt idx="12">
                  <c:v>74.36</c:v>
                </c:pt>
                <c:pt idx="13">
                  <c:v>77.790000000000006</c:v>
                </c:pt>
                <c:pt idx="14">
                  <c:v>81.72</c:v>
                </c:pt>
                <c:pt idx="15">
                  <c:v>93.55</c:v>
                </c:pt>
                <c:pt idx="16">
                  <c:v>93.58</c:v>
                </c:pt>
                <c:pt idx="17">
                  <c:v>94.11</c:v>
                </c:pt>
                <c:pt idx="18">
                  <c:v>94.11</c:v>
                </c:pt>
                <c:pt idx="19">
                  <c:v>90.58</c:v>
                </c:pt>
                <c:pt idx="20">
                  <c:v>89.47</c:v>
                </c:pt>
                <c:pt idx="21">
                  <c:v>89.61</c:v>
                </c:pt>
                <c:pt idx="22">
                  <c:v>89.8</c:v>
                </c:pt>
                <c:pt idx="23">
                  <c:v>90.58</c:v>
                </c:pt>
                <c:pt idx="24">
                  <c:v>86.46</c:v>
                </c:pt>
                <c:pt idx="25">
                  <c:v>90.09</c:v>
                </c:pt>
                <c:pt idx="26">
                  <c:v>89.49</c:v>
                </c:pt>
                <c:pt idx="27">
                  <c:v>87.23</c:v>
                </c:pt>
                <c:pt idx="28">
                  <c:v>87.23</c:v>
                </c:pt>
                <c:pt idx="29">
                  <c:v>87.15</c:v>
                </c:pt>
                <c:pt idx="30">
                  <c:v>86.16</c:v>
                </c:pt>
                <c:pt idx="31">
                  <c:v>82.14</c:v>
                </c:pt>
                <c:pt idx="32">
                  <c:v>86.29</c:v>
                </c:pt>
                <c:pt idx="33">
                  <c:v>91.42</c:v>
                </c:pt>
                <c:pt idx="34">
                  <c:v>92.33</c:v>
                </c:pt>
                <c:pt idx="35">
                  <c:v>92.33</c:v>
                </c:pt>
                <c:pt idx="36">
                  <c:v>88.78</c:v>
                </c:pt>
                <c:pt idx="37">
                  <c:v>94.36</c:v>
                </c:pt>
                <c:pt idx="38">
                  <c:v>92.84</c:v>
                </c:pt>
                <c:pt idx="39">
                  <c:v>92.84</c:v>
                </c:pt>
                <c:pt idx="40">
                  <c:v>93.1</c:v>
                </c:pt>
                <c:pt idx="41">
                  <c:v>93.1</c:v>
                </c:pt>
                <c:pt idx="42">
                  <c:v>92.34</c:v>
                </c:pt>
                <c:pt idx="43">
                  <c:v>88.44</c:v>
                </c:pt>
                <c:pt idx="44">
                  <c:v>89.49</c:v>
                </c:pt>
                <c:pt idx="45">
                  <c:v>95.91</c:v>
                </c:pt>
                <c:pt idx="46">
                  <c:v>95.96</c:v>
                </c:pt>
                <c:pt idx="47">
                  <c:v>100</c:v>
                </c:pt>
                <c:pt idx="48">
                  <c:v>93.5</c:v>
                </c:pt>
                <c:pt idx="49">
                  <c:v>98.39</c:v>
                </c:pt>
                <c:pt idx="50">
                  <c:v>98.39</c:v>
                </c:pt>
                <c:pt idx="51">
                  <c:v>98.39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4-4145-8392-6A17B420D4C4}"/>
            </c:ext>
          </c:extLst>
        </c:ser>
        <c:ser>
          <c:idx val="2"/>
          <c:order val="2"/>
          <c:tx>
            <c:strRef>
              <c:f>'Energy Summary'!$V$18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Summary'!$V$19:$V$70</c:f>
              <c:numCache>
                <c:formatCode>0.00</c:formatCode>
                <c:ptCount val="52"/>
                <c:pt idx="0">
                  <c:v>84.69</c:v>
                </c:pt>
                <c:pt idx="1">
                  <c:v>84.69</c:v>
                </c:pt>
                <c:pt idx="2">
                  <c:v>86.1</c:v>
                </c:pt>
                <c:pt idx="3">
                  <c:v>86.1</c:v>
                </c:pt>
                <c:pt idx="4">
                  <c:v>86.1</c:v>
                </c:pt>
                <c:pt idx="5">
                  <c:v>86.87</c:v>
                </c:pt>
                <c:pt idx="6">
                  <c:v>86.87</c:v>
                </c:pt>
                <c:pt idx="7">
                  <c:v>86.87</c:v>
                </c:pt>
                <c:pt idx="8">
                  <c:v>88.31</c:v>
                </c:pt>
                <c:pt idx="9">
                  <c:v>93.91</c:v>
                </c:pt>
                <c:pt idx="10">
                  <c:v>93.91</c:v>
                </c:pt>
                <c:pt idx="11">
                  <c:v>94.14</c:v>
                </c:pt>
                <c:pt idx="12">
                  <c:v>94.32</c:v>
                </c:pt>
                <c:pt idx="13">
                  <c:v>94.05</c:v>
                </c:pt>
                <c:pt idx="14">
                  <c:v>96.35</c:v>
                </c:pt>
                <c:pt idx="15">
                  <c:v>96.35</c:v>
                </c:pt>
                <c:pt idx="16">
                  <c:v>98.58</c:v>
                </c:pt>
                <c:pt idx="17">
                  <c:v>98.58</c:v>
                </c:pt>
                <c:pt idx="18">
                  <c:v>98.58</c:v>
                </c:pt>
                <c:pt idx="19">
                  <c:v>98.58</c:v>
                </c:pt>
                <c:pt idx="20">
                  <c:v>98.1</c:v>
                </c:pt>
                <c:pt idx="21">
                  <c:v>99.14</c:v>
                </c:pt>
                <c:pt idx="22">
                  <c:v>100.09</c:v>
                </c:pt>
                <c:pt idx="23">
                  <c:v>98.31</c:v>
                </c:pt>
                <c:pt idx="24">
                  <c:v>96.9</c:v>
                </c:pt>
                <c:pt idx="25">
                  <c:v>96.9</c:v>
                </c:pt>
                <c:pt idx="26">
                  <c:v>97.17</c:v>
                </c:pt>
                <c:pt idx="27">
                  <c:v>97.17</c:v>
                </c:pt>
                <c:pt idx="28">
                  <c:v>97.17</c:v>
                </c:pt>
                <c:pt idx="29">
                  <c:v>97.17</c:v>
                </c:pt>
                <c:pt idx="30">
                  <c:v>97.36</c:v>
                </c:pt>
                <c:pt idx="31">
                  <c:v>97.56</c:v>
                </c:pt>
                <c:pt idx="32">
                  <c:v>96.95</c:v>
                </c:pt>
                <c:pt idx="33">
                  <c:v>98.94</c:v>
                </c:pt>
                <c:pt idx="34">
                  <c:v>99.4</c:v>
                </c:pt>
                <c:pt idx="35">
                  <c:v>100.93</c:v>
                </c:pt>
                <c:pt idx="36">
                  <c:v>97.05</c:v>
                </c:pt>
                <c:pt idx="37">
                  <c:v>97.05</c:v>
                </c:pt>
                <c:pt idx="38">
                  <c:v>97.31</c:v>
                </c:pt>
                <c:pt idx="39">
                  <c:v>97.31</c:v>
                </c:pt>
                <c:pt idx="40">
                  <c:v>97.31</c:v>
                </c:pt>
                <c:pt idx="41">
                  <c:v>97.31</c:v>
                </c:pt>
                <c:pt idx="42">
                  <c:v>97.31</c:v>
                </c:pt>
                <c:pt idx="43">
                  <c:v>97.31</c:v>
                </c:pt>
                <c:pt idx="44">
                  <c:v>96.99</c:v>
                </c:pt>
                <c:pt idx="45">
                  <c:v>99.2</c:v>
                </c:pt>
                <c:pt idx="46">
                  <c:v>99.96</c:v>
                </c:pt>
                <c:pt idx="47">
                  <c:v>100</c:v>
                </c:pt>
                <c:pt idx="48">
                  <c:v>99.75</c:v>
                </c:pt>
                <c:pt idx="49">
                  <c:v>100</c:v>
                </c:pt>
                <c:pt idx="50">
                  <c:v>98.35</c:v>
                </c:pt>
                <c:pt idx="51">
                  <c:v>98.35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4-4145-8392-6A17B420D4C4}"/>
            </c:ext>
          </c:extLst>
        </c:ser>
        <c:ser>
          <c:idx val="3"/>
          <c:order val="3"/>
          <c:tx>
            <c:strRef>
              <c:f>'Energy Summary'!$W$18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Summary'!$W$19:$W$70</c:f>
              <c:numCache>
                <c:formatCode>0.00</c:formatCode>
                <c:ptCount val="52"/>
                <c:pt idx="0">
                  <c:v>72.2</c:v>
                </c:pt>
                <c:pt idx="1">
                  <c:v>72.2</c:v>
                </c:pt>
                <c:pt idx="2">
                  <c:v>72.2</c:v>
                </c:pt>
                <c:pt idx="3">
                  <c:v>72.2</c:v>
                </c:pt>
                <c:pt idx="4">
                  <c:v>72.2</c:v>
                </c:pt>
                <c:pt idx="5">
                  <c:v>72.2</c:v>
                </c:pt>
                <c:pt idx="6">
                  <c:v>72.2</c:v>
                </c:pt>
                <c:pt idx="7">
                  <c:v>71.37</c:v>
                </c:pt>
                <c:pt idx="8">
                  <c:v>73.62</c:v>
                </c:pt>
                <c:pt idx="9">
                  <c:v>84.46</c:v>
                </c:pt>
                <c:pt idx="10">
                  <c:v>83.85</c:v>
                </c:pt>
                <c:pt idx="11">
                  <c:v>85.59</c:v>
                </c:pt>
                <c:pt idx="12">
                  <c:v>84.44</c:v>
                </c:pt>
                <c:pt idx="13">
                  <c:v>84.16</c:v>
                </c:pt>
                <c:pt idx="14">
                  <c:v>85.96</c:v>
                </c:pt>
                <c:pt idx="15">
                  <c:v>85.96</c:v>
                </c:pt>
                <c:pt idx="16">
                  <c:v>88.74</c:v>
                </c:pt>
                <c:pt idx="17">
                  <c:v>88.74</c:v>
                </c:pt>
                <c:pt idx="18">
                  <c:v>88.74</c:v>
                </c:pt>
                <c:pt idx="19">
                  <c:v>88.74</c:v>
                </c:pt>
                <c:pt idx="20">
                  <c:v>88.74</c:v>
                </c:pt>
                <c:pt idx="21">
                  <c:v>92.33</c:v>
                </c:pt>
                <c:pt idx="22">
                  <c:v>93.45</c:v>
                </c:pt>
                <c:pt idx="23">
                  <c:v>91.67</c:v>
                </c:pt>
                <c:pt idx="24">
                  <c:v>91.67</c:v>
                </c:pt>
                <c:pt idx="25">
                  <c:v>91.67</c:v>
                </c:pt>
                <c:pt idx="26">
                  <c:v>91.37</c:v>
                </c:pt>
                <c:pt idx="27">
                  <c:v>91.37</c:v>
                </c:pt>
                <c:pt idx="28">
                  <c:v>91.37</c:v>
                </c:pt>
                <c:pt idx="29">
                  <c:v>93.71</c:v>
                </c:pt>
                <c:pt idx="30">
                  <c:v>93.75</c:v>
                </c:pt>
                <c:pt idx="31">
                  <c:v>93.75</c:v>
                </c:pt>
                <c:pt idx="32">
                  <c:v>93.75</c:v>
                </c:pt>
                <c:pt idx="33">
                  <c:v>98.18</c:v>
                </c:pt>
                <c:pt idx="34">
                  <c:v>98.99</c:v>
                </c:pt>
                <c:pt idx="35">
                  <c:v>98.99</c:v>
                </c:pt>
                <c:pt idx="36">
                  <c:v>97.45</c:v>
                </c:pt>
                <c:pt idx="37">
                  <c:v>95.82</c:v>
                </c:pt>
                <c:pt idx="38">
                  <c:v>95.82</c:v>
                </c:pt>
                <c:pt idx="39">
                  <c:v>95.82</c:v>
                </c:pt>
                <c:pt idx="40">
                  <c:v>96.14</c:v>
                </c:pt>
                <c:pt idx="41">
                  <c:v>96.14</c:v>
                </c:pt>
                <c:pt idx="42">
                  <c:v>94.19</c:v>
                </c:pt>
                <c:pt idx="43">
                  <c:v>94.19</c:v>
                </c:pt>
                <c:pt idx="44">
                  <c:v>94.19</c:v>
                </c:pt>
                <c:pt idx="45">
                  <c:v>100.12</c:v>
                </c:pt>
                <c:pt idx="46">
                  <c:v>100.12</c:v>
                </c:pt>
                <c:pt idx="47">
                  <c:v>100</c:v>
                </c:pt>
                <c:pt idx="48">
                  <c:v>99.07</c:v>
                </c:pt>
                <c:pt idx="49">
                  <c:v>99.07</c:v>
                </c:pt>
                <c:pt idx="50">
                  <c:v>99.07</c:v>
                </c:pt>
                <c:pt idx="51">
                  <c:v>98.56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C4-4145-8392-6A17B420D4C4}"/>
            </c:ext>
          </c:extLst>
        </c:ser>
        <c:ser>
          <c:idx val="4"/>
          <c:order val="4"/>
          <c:tx>
            <c:strRef>
              <c:f>'Energy Summary'!$X$18</c:f>
              <c:strCache>
                <c:ptCount val="1"/>
                <c:pt idx="0">
                  <c:v>Perth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Summary'!$X$19:$X$70</c:f>
              <c:numCache>
                <c:formatCode>0.00</c:formatCode>
                <c:ptCount val="52"/>
                <c:pt idx="0">
                  <c:v>82.13</c:v>
                </c:pt>
                <c:pt idx="1">
                  <c:v>82.13</c:v>
                </c:pt>
                <c:pt idx="2">
                  <c:v>82.13</c:v>
                </c:pt>
                <c:pt idx="3">
                  <c:v>82.13</c:v>
                </c:pt>
                <c:pt idx="4">
                  <c:v>82.13</c:v>
                </c:pt>
                <c:pt idx="5">
                  <c:v>82.13</c:v>
                </c:pt>
                <c:pt idx="6">
                  <c:v>82.13</c:v>
                </c:pt>
                <c:pt idx="7">
                  <c:v>82.13</c:v>
                </c:pt>
                <c:pt idx="8">
                  <c:v>82.13</c:v>
                </c:pt>
                <c:pt idx="9">
                  <c:v>84.62</c:v>
                </c:pt>
                <c:pt idx="10">
                  <c:v>84.62</c:v>
                </c:pt>
                <c:pt idx="11">
                  <c:v>84.62</c:v>
                </c:pt>
                <c:pt idx="12">
                  <c:v>84.62</c:v>
                </c:pt>
                <c:pt idx="13">
                  <c:v>84.62</c:v>
                </c:pt>
                <c:pt idx="14">
                  <c:v>84.62</c:v>
                </c:pt>
                <c:pt idx="15">
                  <c:v>85.48</c:v>
                </c:pt>
                <c:pt idx="16">
                  <c:v>85.48</c:v>
                </c:pt>
                <c:pt idx="17">
                  <c:v>85.48</c:v>
                </c:pt>
                <c:pt idx="18">
                  <c:v>85.48</c:v>
                </c:pt>
                <c:pt idx="19">
                  <c:v>85.48</c:v>
                </c:pt>
                <c:pt idx="20">
                  <c:v>85.48</c:v>
                </c:pt>
                <c:pt idx="21">
                  <c:v>91.47</c:v>
                </c:pt>
                <c:pt idx="22">
                  <c:v>91.47</c:v>
                </c:pt>
                <c:pt idx="23">
                  <c:v>91.47</c:v>
                </c:pt>
                <c:pt idx="24">
                  <c:v>91.47</c:v>
                </c:pt>
                <c:pt idx="25">
                  <c:v>91.47</c:v>
                </c:pt>
                <c:pt idx="26">
                  <c:v>91.47</c:v>
                </c:pt>
                <c:pt idx="27">
                  <c:v>91.47</c:v>
                </c:pt>
                <c:pt idx="28">
                  <c:v>91.47</c:v>
                </c:pt>
                <c:pt idx="29">
                  <c:v>91.47</c:v>
                </c:pt>
                <c:pt idx="30">
                  <c:v>91.47</c:v>
                </c:pt>
                <c:pt idx="31">
                  <c:v>91.47</c:v>
                </c:pt>
                <c:pt idx="32">
                  <c:v>91.47</c:v>
                </c:pt>
                <c:pt idx="33">
                  <c:v>96.31</c:v>
                </c:pt>
                <c:pt idx="34">
                  <c:v>96.31</c:v>
                </c:pt>
                <c:pt idx="35">
                  <c:v>96.31</c:v>
                </c:pt>
                <c:pt idx="36">
                  <c:v>96.31</c:v>
                </c:pt>
                <c:pt idx="37">
                  <c:v>96.31</c:v>
                </c:pt>
                <c:pt idx="38">
                  <c:v>96.31</c:v>
                </c:pt>
                <c:pt idx="39">
                  <c:v>96.91</c:v>
                </c:pt>
                <c:pt idx="40">
                  <c:v>96.91</c:v>
                </c:pt>
                <c:pt idx="41">
                  <c:v>94.8</c:v>
                </c:pt>
                <c:pt idx="42">
                  <c:v>94.8</c:v>
                </c:pt>
                <c:pt idx="43">
                  <c:v>94.8</c:v>
                </c:pt>
                <c:pt idx="44">
                  <c:v>94.8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101.15</c:v>
                </c:pt>
                <c:pt idx="50">
                  <c:v>101.15</c:v>
                </c:pt>
                <c:pt idx="51">
                  <c:v>101.81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C4-4145-8392-6A17B420D4C4}"/>
            </c:ext>
          </c:extLst>
        </c:ser>
        <c:ser>
          <c:idx val="5"/>
          <c:order val="5"/>
          <c:tx>
            <c:strRef>
              <c:f>'Energy Summary'!$Y$18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Summary'!$Y$19:$Y$70</c:f>
              <c:numCache>
                <c:formatCode>0.00</c:formatCode>
                <c:ptCount val="52"/>
                <c:pt idx="0">
                  <c:v>82.27</c:v>
                </c:pt>
                <c:pt idx="1">
                  <c:v>82.27</c:v>
                </c:pt>
                <c:pt idx="2">
                  <c:v>83.17</c:v>
                </c:pt>
                <c:pt idx="3">
                  <c:v>83.86</c:v>
                </c:pt>
                <c:pt idx="4">
                  <c:v>83.86</c:v>
                </c:pt>
                <c:pt idx="5">
                  <c:v>86.47</c:v>
                </c:pt>
                <c:pt idx="6">
                  <c:v>86.47</c:v>
                </c:pt>
                <c:pt idx="7">
                  <c:v>86.47</c:v>
                </c:pt>
                <c:pt idx="8">
                  <c:v>87.3</c:v>
                </c:pt>
                <c:pt idx="9">
                  <c:v>87.57</c:v>
                </c:pt>
                <c:pt idx="10">
                  <c:v>87.57</c:v>
                </c:pt>
                <c:pt idx="11">
                  <c:v>88.57</c:v>
                </c:pt>
                <c:pt idx="12">
                  <c:v>88.57</c:v>
                </c:pt>
                <c:pt idx="13">
                  <c:v>88.57</c:v>
                </c:pt>
                <c:pt idx="14">
                  <c:v>88.57</c:v>
                </c:pt>
                <c:pt idx="15">
                  <c:v>89.99</c:v>
                </c:pt>
                <c:pt idx="16">
                  <c:v>89.99</c:v>
                </c:pt>
                <c:pt idx="17">
                  <c:v>90.68</c:v>
                </c:pt>
                <c:pt idx="18">
                  <c:v>92.32</c:v>
                </c:pt>
                <c:pt idx="19">
                  <c:v>92.32</c:v>
                </c:pt>
                <c:pt idx="20">
                  <c:v>92.32</c:v>
                </c:pt>
                <c:pt idx="21">
                  <c:v>92.32</c:v>
                </c:pt>
                <c:pt idx="22">
                  <c:v>92.6</c:v>
                </c:pt>
                <c:pt idx="23">
                  <c:v>90.53</c:v>
                </c:pt>
                <c:pt idx="24">
                  <c:v>90.15</c:v>
                </c:pt>
                <c:pt idx="25">
                  <c:v>90.15</c:v>
                </c:pt>
                <c:pt idx="26">
                  <c:v>90.48</c:v>
                </c:pt>
                <c:pt idx="27">
                  <c:v>92.62</c:v>
                </c:pt>
                <c:pt idx="28">
                  <c:v>92.62</c:v>
                </c:pt>
                <c:pt idx="29">
                  <c:v>95.03</c:v>
                </c:pt>
                <c:pt idx="30">
                  <c:v>91.23</c:v>
                </c:pt>
                <c:pt idx="31">
                  <c:v>91.23</c:v>
                </c:pt>
                <c:pt idx="32">
                  <c:v>92.77</c:v>
                </c:pt>
                <c:pt idx="33">
                  <c:v>92.97</c:v>
                </c:pt>
                <c:pt idx="34">
                  <c:v>93.76</c:v>
                </c:pt>
                <c:pt idx="35">
                  <c:v>95.19</c:v>
                </c:pt>
                <c:pt idx="36">
                  <c:v>93.67</c:v>
                </c:pt>
                <c:pt idx="37">
                  <c:v>92.74</c:v>
                </c:pt>
                <c:pt idx="38">
                  <c:v>95.03</c:v>
                </c:pt>
                <c:pt idx="39">
                  <c:v>97.83</c:v>
                </c:pt>
                <c:pt idx="40">
                  <c:v>95.78</c:v>
                </c:pt>
                <c:pt idx="41">
                  <c:v>97.53</c:v>
                </c:pt>
                <c:pt idx="42">
                  <c:v>97.4</c:v>
                </c:pt>
                <c:pt idx="43">
                  <c:v>97.4</c:v>
                </c:pt>
                <c:pt idx="44">
                  <c:v>97.93</c:v>
                </c:pt>
                <c:pt idx="45">
                  <c:v>98.66</c:v>
                </c:pt>
                <c:pt idx="46">
                  <c:v>99.17</c:v>
                </c:pt>
                <c:pt idx="47">
                  <c:v>100</c:v>
                </c:pt>
                <c:pt idx="48">
                  <c:v>102.75</c:v>
                </c:pt>
                <c:pt idx="49">
                  <c:v>99.89</c:v>
                </c:pt>
                <c:pt idx="50">
                  <c:v>99.36</c:v>
                </c:pt>
                <c:pt idx="51">
                  <c:v>100.79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C4-4145-8392-6A17B420D4C4}"/>
            </c:ext>
          </c:extLst>
        </c:ser>
        <c:ser>
          <c:idx val="6"/>
          <c:order val="6"/>
          <c:tx>
            <c:strRef>
              <c:f>'Energy Summary'!$Z$18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Summary'!$Z$19:$Z$70</c:f>
              <c:numCache>
                <c:formatCode>0.00</c:formatCode>
                <c:ptCount val="52"/>
                <c:pt idx="0">
                  <c:v>85.34</c:v>
                </c:pt>
                <c:pt idx="1">
                  <c:v>85.34</c:v>
                </c:pt>
                <c:pt idx="2">
                  <c:v>87.2</c:v>
                </c:pt>
                <c:pt idx="3">
                  <c:v>87.2</c:v>
                </c:pt>
                <c:pt idx="4">
                  <c:v>87.2</c:v>
                </c:pt>
                <c:pt idx="5">
                  <c:v>89.11</c:v>
                </c:pt>
                <c:pt idx="6">
                  <c:v>89.11</c:v>
                </c:pt>
                <c:pt idx="7">
                  <c:v>89.11</c:v>
                </c:pt>
                <c:pt idx="8">
                  <c:v>87.02</c:v>
                </c:pt>
                <c:pt idx="9">
                  <c:v>87.02</c:v>
                </c:pt>
                <c:pt idx="10">
                  <c:v>87.02</c:v>
                </c:pt>
                <c:pt idx="11">
                  <c:v>88.18</c:v>
                </c:pt>
                <c:pt idx="12">
                  <c:v>88.18</c:v>
                </c:pt>
                <c:pt idx="13">
                  <c:v>88.18</c:v>
                </c:pt>
                <c:pt idx="14">
                  <c:v>91.4</c:v>
                </c:pt>
                <c:pt idx="15">
                  <c:v>91.4</c:v>
                </c:pt>
                <c:pt idx="16">
                  <c:v>91.4</c:v>
                </c:pt>
                <c:pt idx="17">
                  <c:v>96.12</c:v>
                </c:pt>
                <c:pt idx="18">
                  <c:v>96.12</c:v>
                </c:pt>
                <c:pt idx="19">
                  <c:v>96.12</c:v>
                </c:pt>
                <c:pt idx="20">
                  <c:v>102.09</c:v>
                </c:pt>
                <c:pt idx="21">
                  <c:v>102.09</c:v>
                </c:pt>
                <c:pt idx="22">
                  <c:v>102.1</c:v>
                </c:pt>
                <c:pt idx="23">
                  <c:v>103.21</c:v>
                </c:pt>
                <c:pt idx="24">
                  <c:v>103.75</c:v>
                </c:pt>
                <c:pt idx="25">
                  <c:v>104.45</c:v>
                </c:pt>
                <c:pt idx="26">
                  <c:v>105.14</c:v>
                </c:pt>
                <c:pt idx="27">
                  <c:v>105.14</c:v>
                </c:pt>
                <c:pt idx="28">
                  <c:v>103.97</c:v>
                </c:pt>
                <c:pt idx="29">
                  <c:v>100.72</c:v>
                </c:pt>
                <c:pt idx="30">
                  <c:v>103.5</c:v>
                </c:pt>
                <c:pt idx="31">
                  <c:v>104.32</c:v>
                </c:pt>
                <c:pt idx="32">
                  <c:v>104.32</c:v>
                </c:pt>
                <c:pt idx="33">
                  <c:v>104.64</c:v>
                </c:pt>
                <c:pt idx="34">
                  <c:v>104.64</c:v>
                </c:pt>
                <c:pt idx="35">
                  <c:v>106.18</c:v>
                </c:pt>
                <c:pt idx="36">
                  <c:v>106.69</c:v>
                </c:pt>
                <c:pt idx="37">
                  <c:v>106.69</c:v>
                </c:pt>
                <c:pt idx="38">
                  <c:v>107.13</c:v>
                </c:pt>
                <c:pt idx="39">
                  <c:v>109.1</c:v>
                </c:pt>
                <c:pt idx="40">
                  <c:v>109.1</c:v>
                </c:pt>
                <c:pt idx="41">
                  <c:v>108.92</c:v>
                </c:pt>
                <c:pt idx="42">
                  <c:v>108.22</c:v>
                </c:pt>
                <c:pt idx="43">
                  <c:v>98.38</c:v>
                </c:pt>
                <c:pt idx="44">
                  <c:v>99.65</c:v>
                </c:pt>
                <c:pt idx="45">
                  <c:v>99.65</c:v>
                </c:pt>
                <c:pt idx="46">
                  <c:v>100</c:v>
                </c:pt>
                <c:pt idx="47">
                  <c:v>100</c:v>
                </c:pt>
                <c:pt idx="48">
                  <c:v>109.4</c:v>
                </c:pt>
                <c:pt idx="49">
                  <c:v>100</c:v>
                </c:pt>
                <c:pt idx="50">
                  <c:v>109.26</c:v>
                </c:pt>
                <c:pt idx="51">
                  <c:v>114.68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C4-4145-8392-6A17B420D4C4}"/>
            </c:ext>
          </c:extLst>
        </c:ser>
        <c:ser>
          <c:idx val="7"/>
          <c:order val="7"/>
          <c:tx>
            <c:strRef>
              <c:f>'Energy Summary'!$AA$18</c:f>
              <c:strCache>
                <c:ptCount val="1"/>
                <c:pt idx="0">
                  <c:v>Canberra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Summary'!$S$19:$S$70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Summary'!$AA$19:$AA$70</c:f>
              <c:numCache>
                <c:formatCode>0.00</c:formatCode>
                <c:ptCount val="52"/>
                <c:pt idx="0">
                  <c:v>75.260000000000005</c:v>
                </c:pt>
                <c:pt idx="1">
                  <c:v>75.260000000000005</c:v>
                </c:pt>
                <c:pt idx="2">
                  <c:v>75.260000000000005</c:v>
                </c:pt>
                <c:pt idx="3">
                  <c:v>75.260000000000005</c:v>
                </c:pt>
                <c:pt idx="4">
                  <c:v>75.260000000000005</c:v>
                </c:pt>
                <c:pt idx="5">
                  <c:v>75.260000000000005</c:v>
                </c:pt>
                <c:pt idx="6">
                  <c:v>75.260000000000005</c:v>
                </c:pt>
                <c:pt idx="7">
                  <c:v>75.260000000000005</c:v>
                </c:pt>
                <c:pt idx="8">
                  <c:v>75.260000000000005</c:v>
                </c:pt>
                <c:pt idx="9">
                  <c:v>78.12</c:v>
                </c:pt>
                <c:pt idx="10">
                  <c:v>80.27</c:v>
                </c:pt>
                <c:pt idx="11">
                  <c:v>80.27</c:v>
                </c:pt>
                <c:pt idx="12">
                  <c:v>80.27</c:v>
                </c:pt>
                <c:pt idx="13">
                  <c:v>80.27</c:v>
                </c:pt>
                <c:pt idx="14">
                  <c:v>80.27</c:v>
                </c:pt>
                <c:pt idx="15">
                  <c:v>80.27</c:v>
                </c:pt>
                <c:pt idx="16">
                  <c:v>81.3</c:v>
                </c:pt>
                <c:pt idx="17">
                  <c:v>81.3</c:v>
                </c:pt>
                <c:pt idx="18">
                  <c:v>80.569999999999993</c:v>
                </c:pt>
                <c:pt idx="19">
                  <c:v>80.569999999999993</c:v>
                </c:pt>
                <c:pt idx="20">
                  <c:v>80.27</c:v>
                </c:pt>
                <c:pt idx="21">
                  <c:v>90.2</c:v>
                </c:pt>
                <c:pt idx="22">
                  <c:v>90.4</c:v>
                </c:pt>
                <c:pt idx="23">
                  <c:v>90.4</c:v>
                </c:pt>
                <c:pt idx="24">
                  <c:v>91.27</c:v>
                </c:pt>
                <c:pt idx="25">
                  <c:v>91.27</c:v>
                </c:pt>
                <c:pt idx="26">
                  <c:v>91.27</c:v>
                </c:pt>
                <c:pt idx="27">
                  <c:v>91.27</c:v>
                </c:pt>
                <c:pt idx="28">
                  <c:v>88.82</c:v>
                </c:pt>
                <c:pt idx="29">
                  <c:v>88.82</c:v>
                </c:pt>
                <c:pt idx="30">
                  <c:v>88.82</c:v>
                </c:pt>
                <c:pt idx="31">
                  <c:v>88.82</c:v>
                </c:pt>
                <c:pt idx="32">
                  <c:v>88.82</c:v>
                </c:pt>
                <c:pt idx="33">
                  <c:v>97.71</c:v>
                </c:pt>
                <c:pt idx="34">
                  <c:v>98.44</c:v>
                </c:pt>
                <c:pt idx="35">
                  <c:v>98.44</c:v>
                </c:pt>
                <c:pt idx="36">
                  <c:v>98.44</c:v>
                </c:pt>
                <c:pt idx="37">
                  <c:v>98.44</c:v>
                </c:pt>
                <c:pt idx="38">
                  <c:v>98.44</c:v>
                </c:pt>
                <c:pt idx="39">
                  <c:v>98.44</c:v>
                </c:pt>
                <c:pt idx="40">
                  <c:v>98.44</c:v>
                </c:pt>
                <c:pt idx="41">
                  <c:v>98.44</c:v>
                </c:pt>
                <c:pt idx="42">
                  <c:v>98.44</c:v>
                </c:pt>
                <c:pt idx="43">
                  <c:v>98.44</c:v>
                </c:pt>
                <c:pt idx="44">
                  <c:v>98.44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99.81</c:v>
                </c:pt>
                <c:pt idx="49">
                  <c:v>99.81</c:v>
                </c:pt>
                <c:pt idx="50">
                  <c:v>99.81</c:v>
                </c:pt>
                <c:pt idx="51">
                  <c:v>99.81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C4-4145-8392-6A17B420D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84464"/>
        <c:axId val="1936520160"/>
      </c:lineChart>
      <c:dateAx>
        <c:axId val="205948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20160"/>
        <c:crosses val="autoZero"/>
        <c:auto val="1"/>
        <c:lblOffset val="100"/>
        <c:baseTimeUnit val="months"/>
      </c:dateAx>
      <c:valAx>
        <c:axId val="19365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(Sep 2025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8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City Energy Price Ranking — Cumulative % Change Since Sep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'Energy Summary'!$AD$136</c:f>
              <c:strCache>
                <c:ptCount val="1"/>
                <c:pt idx="0">
                  <c:v>Cumulative %Δ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'Energy Summary'!$AC$137:$AC$152</c:f>
              <c:strCache>
                <c:ptCount val="16"/>
                <c:pt idx="0">
                  <c:v>Melbourne — Gas</c:v>
                </c:pt>
                <c:pt idx="1">
                  <c:v>Sydney — Elec</c:v>
                </c:pt>
                <c:pt idx="2">
                  <c:v>Brisbane — Elec</c:v>
                </c:pt>
                <c:pt idx="3">
                  <c:v>Sydney — Gas</c:v>
                </c:pt>
                <c:pt idx="4">
                  <c:v>Canberra — Elec</c:v>
                </c:pt>
                <c:pt idx="5">
                  <c:v>Adelaide — Elec</c:v>
                </c:pt>
                <c:pt idx="6">
                  <c:v>Adelaide — Gas</c:v>
                </c:pt>
                <c:pt idx="7">
                  <c:v>Darwin — Gas</c:v>
                </c:pt>
                <c:pt idx="8">
                  <c:v>Canberra — Gas</c:v>
                </c:pt>
                <c:pt idx="9">
                  <c:v>Hobart — Elec</c:v>
                </c:pt>
                <c:pt idx="10">
                  <c:v>Perth — Gas</c:v>
                </c:pt>
                <c:pt idx="11">
                  <c:v>Hobart — Gas</c:v>
                </c:pt>
                <c:pt idx="12">
                  <c:v>Melbourne — Elec</c:v>
                </c:pt>
                <c:pt idx="13">
                  <c:v>Brisbane — Gas</c:v>
                </c:pt>
                <c:pt idx="14">
                  <c:v>Darwin — Elec</c:v>
                </c:pt>
                <c:pt idx="15">
                  <c:v>Perth — Elec</c:v>
                </c:pt>
              </c:strCache>
            </c:strRef>
          </c:cat>
          <c:val>
            <c:numRef>
              <c:f>'Energy Summary'!$AD$137:$AD$152</c:f>
              <c:numCache>
                <c:formatCode>0.0%</c:formatCode>
                <c:ptCount val="16"/>
                <c:pt idx="0">
                  <c:v>0.61506894287590286</c:v>
                </c:pt>
                <c:pt idx="1">
                  <c:v>0.5961883717718548</c:v>
                </c:pt>
                <c:pt idx="2">
                  <c:v>0.59488332864773685</c:v>
                </c:pt>
                <c:pt idx="3">
                  <c:v>0.44397581892309845</c:v>
                </c:pt>
                <c:pt idx="4">
                  <c:v>0.38367741156585788</c:v>
                </c:pt>
                <c:pt idx="5">
                  <c:v>0.37498513850909521</c:v>
                </c:pt>
                <c:pt idx="6">
                  <c:v>0.36509695290858724</c:v>
                </c:pt>
                <c:pt idx="7">
                  <c:v>0.34380126552613088</c:v>
                </c:pt>
                <c:pt idx="8">
                  <c:v>0.32620249800690937</c:v>
                </c:pt>
                <c:pt idx="9">
                  <c:v>0.24341377020146115</c:v>
                </c:pt>
                <c:pt idx="10">
                  <c:v>0.23962011445269704</c:v>
                </c:pt>
                <c:pt idx="11">
                  <c:v>0.22511243466634268</c:v>
                </c:pt>
                <c:pt idx="12">
                  <c:v>0.2054943965089755</c:v>
                </c:pt>
                <c:pt idx="13">
                  <c:v>0.16129413153855232</c:v>
                </c:pt>
                <c:pt idx="14">
                  <c:v>0.14274447949526814</c:v>
                </c:pt>
                <c:pt idx="15">
                  <c:v>-5.8498896247241028E-3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8-4EB5-8FDF-B3345690C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287360"/>
        <c:axId val="1936522560"/>
      </c:barChart>
      <c:catAx>
        <c:axId val="20182873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22560"/>
        <c:crosses val="autoZero"/>
        <c:auto val="1"/>
        <c:lblAlgn val="ctr"/>
        <c:lblOffset val="100"/>
        <c:noMultiLvlLbl val="0"/>
      </c:catAx>
      <c:valAx>
        <c:axId val="19365225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Cumulative 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8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 — Rebased Index Trajectories (Sep 2021 = 1.00)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Summary'!$B$80</c:f>
              <c:strCache>
                <c:ptCount val="1"/>
                <c:pt idx="0">
                  <c:v>Sydney — Elec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Summary'!$B$81:$B$132</c:f>
              <c:numCache>
                <c:formatCode>0.000</c:formatCode>
                <c:ptCount val="52"/>
                <c:pt idx="0">
                  <c:v>1</c:v>
                </c:pt>
                <c:pt idx="1">
                  <c:v>1.0198867559729319</c:v>
                </c:pt>
                <c:pt idx="2">
                  <c:v>1.0302444413755005</c:v>
                </c:pt>
                <c:pt idx="3">
                  <c:v>1.028172904294987</c:v>
                </c:pt>
                <c:pt idx="4">
                  <c:v>1.028172904294987</c:v>
                </c:pt>
                <c:pt idx="5">
                  <c:v>1.0262394696865074</c:v>
                </c:pt>
                <c:pt idx="6">
                  <c:v>1.0082861483220551</c:v>
                </c:pt>
                <c:pt idx="7">
                  <c:v>1.0142245546195277</c:v>
                </c:pt>
                <c:pt idx="8">
                  <c:v>1.0734705151222208</c:v>
                </c:pt>
                <c:pt idx="9">
                  <c:v>1.2757906366523961</c:v>
                </c:pt>
                <c:pt idx="10">
                  <c:v>1.2854578096947935</c:v>
                </c:pt>
                <c:pt idx="11">
                  <c:v>1.2760668415964647</c:v>
                </c:pt>
                <c:pt idx="12">
                  <c:v>1.2883579616075129</c:v>
                </c:pt>
                <c:pt idx="13">
                  <c:v>1.2942963679049855</c:v>
                </c:pt>
                <c:pt idx="14">
                  <c:v>1.2942963679049855</c:v>
                </c:pt>
                <c:pt idx="15">
                  <c:v>1.2918105234083692</c:v>
                </c:pt>
                <c:pt idx="16">
                  <c:v>1.2918105234083692</c:v>
                </c:pt>
                <c:pt idx="17">
                  <c:v>1.2918105234083692</c:v>
                </c:pt>
                <c:pt idx="18">
                  <c:v>1.2788288910371495</c:v>
                </c:pt>
                <c:pt idx="19">
                  <c:v>1.2651567463057589</c:v>
                </c:pt>
                <c:pt idx="20">
                  <c:v>1.2775859687888413</c:v>
                </c:pt>
                <c:pt idx="21">
                  <c:v>1.4172075680154677</c:v>
                </c:pt>
                <c:pt idx="22">
                  <c:v>1.4277033558900705</c:v>
                </c:pt>
                <c:pt idx="23">
                  <c:v>1.4257699212815909</c:v>
                </c:pt>
                <c:pt idx="24">
                  <c:v>1.3873774340560696</c:v>
                </c:pt>
                <c:pt idx="25">
                  <c:v>1.3822676425908025</c:v>
                </c:pt>
                <c:pt idx="26">
                  <c:v>1.363209501450076</c:v>
                </c:pt>
                <c:pt idx="27">
                  <c:v>1.3861345118077615</c:v>
                </c:pt>
                <c:pt idx="28">
                  <c:v>1.3789531832619804</c:v>
                </c:pt>
                <c:pt idx="29">
                  <c:v>1.3694241126916171</c:v>
                </c:pt>
                <c:pt idx="30">
                  <c:v>1.3438751553652812</c:v>
                </c:pt>
                <c:pt idx="31">
                  <c:v>1.3376605441237399</c:v>
                </c:pt>
                <c:pt idx="32">
                  <c:v>1.3405606960364591</c:v>
                </c:pt>
                <c:pt idx="33">
                  <c:v>1.4383372462367079</c:v>
                </c:pt>
                <c:pt idx="34">
                  <c:v>1.3032730285872118</c:v>
                </c:pt>
                <c:pt idx="35">
                  <c:v>1.1958293053445657</c:v>
                </c:pt>
                <c:pt idx="36">
                  <c:v>0.96740781659991715</c:v>
                </c:pt>
                <c:pt idx="37">
                  <c:v>1.1253970446070984</c:v>
                </c:pt>
                <c:pt idx="38">
                  <c:v>1.2206877503107307</c:v>
                </c:pt>
                <c:pt idx="39">
                  <c:v>1.2206877503107307</c:v>
                </c:pt>
                <c:pt idx="40">
                  <c:v>1.2226211849192101</c:v>
                </c:pt>
                <c:pt idx="41">
                  <c:v>1.2605993647286287</c:v>
                </c:pt>
                <c:pt idx="42">
                  <c:v>1.2480320397735121</c:v>
                </c:pt>
                <c:pt idx="43">
                  <c:v>1.2549371633752244</c:v>
                </c:pt>
                <c:pt idx="44">
                  <c:v>1.2401601988675597</c:v>
                </c:pt>
                <c:pt idx="45">
                  <c:v>1.61455600055241</c:v>
                </c:pt>
                <c:pt idx="46">
                  <c:v>1.3940063527137136</c:v>
                </c:pt>
                <c:pt idx="47">
                  <c:v>1.3810247203424941</c:v>
                </c:pt>
                <c:pt idx="48">
                  <c:v>1.1215301753901394</c:v>
                </c:pt>
                <c:pt idx="49">
                  <c:v>1.3614141693136308</c:v>
                </c:pt>
                <c:pt idx="50">
                  <c:v>1.3614141693136308</c:v>
                </c:pt>
                <c:pt idx="51">
                  <c:v>1.5961883717718548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B-45DC-B254-FEF1616D45AF}"/>
            </c:ext>
          </c:extLst>
        </c:ser>
        <c:ser>
          <c:idx val="1"/>
          <c:order val="1"/>
          <c:tx>
            <c:strRef>
              <c:f>'Energy Summary'!$C$80</c:f>
              <c:strCache>
                <c:ptCount val="1"/>
                <c:pt idx="0">
                  <c:v>Melbourne — Elec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Summary'!$C$81:$C$132</c:f>
              <c:numCache>
                <c:formatCode>0.000</c:formatCode>
                <c:ptCount val="52"/>
                <c:pt idx="0">
                  <c:v>1</c:v>
                </c:pt>
                <c:pt idx="1">
                  <c:v>1.0140831101854606</c:v>
                </c:pt>
                <c:pt idx="2">
                  <c:v>1.0100168600614896</c:v>
                </c:pt>
                <c:pt idx="3">
                  <c:v>1.0028761281364673</c:v>
                </c:pt>
                <c:pt idx="4">
                  <c:v>0.99434692055935736</c:v>
                </c:pt>
                <c:pt idx="5">
                  <c:v>0.99434692055935736</c:v>
                </c:pt>
                <c:pt idx="6">
                  <c:v>0.99563621937915303</c:v>
                </c:pt>
                <c:pt idx="7">
                  <c:v>0.99186749975205801</c:v>
                </c:pt>
                <c:pt idx="8">
                  <c:v>0.98750371913121093</c:v>
                </c:pt>
                <c:pt idx="9">
                  <c:v>1.0616879896856095</c:v>
                </c:pt>
                <c:pt idx="10">
                  <c:v>1.0722999107408511</c:v>
                </c:pt>
                <c:pt idx="11">
                  <c:v>1.0722999107408511</c:v>
                </c:pt>
                <c:pt idx="12">
                  <c:v>1.0681344837845879</c:v>
                </c:pt>
                <c:pt idx="13">
                  <c:v>1.0681344837845879</c:v>
                </c:pt>
                <c:pt idx="14">
                  <c:v>1.0666468313002082</c:v>
                </c:pt>
                <c:pt idx="15">
                  <c:v>1.0666468313002082</c:v>
                </c:pt>
                <c:pt idx="16">
                  <c:v>1.0666468313002082</c:v>
                </c:pt>
                <c:pt idx="17">
                  <c:v>1.0602003372012299</c:v>
                </c:pt>
                <c:pt idx="18">
                  <c:v>1.0355053059605277</c:v>
                </c:pt>
                <c:pt idx="19">
                  <c:v>1.0198353664583952</c:v>
                </c:pt>
                <c:pt idx="20">
                  <c:v>0.97500743826242198</c:v>
                </c:pt>
                <c:pt idx="21">
                  <c:v>1.2316770802340573</c:v>
                </c:pt>
                <c:pt idx="22">
                  <c:v>1.1519389070713082</c:v>
                </c:pt>
                <c:pt idx="23">
                  <c:v>1.1685014380640681</c:v>
                </c:pt>
                <c:pt idx="24">
                  <c:v>1.1492611325994246</c:v>
                </c:pt>
                <c:pt idx="25">
                  <c:v>1.173757810175543</c:v>
                </c:pt>
                <c:pt idx="26">
                  <c:v>1.1574928096796588</c:v>
                </c:pt>
                <c:pt idx="27">
                  <c:v>1.1592779926609145</c:v>
                </c:pt>
                <c:pt idx="28">
                  <c:v>1.1486660716056729</c:v>
                </c:pt>
                <c:pt idx="29">
                  <c:v>1.1486660716056729</c:v>
                </c:pt>
                <c:pt idx="30">
                  <c:v>1.1113755826638898</c:v>
                </c:pt>
                <c:pt idx="31">
                  <c:v>1.1838738470693246</c:v>
                </c:pt>
                <c:pt idx="32">
                  <c:v>1.1804026579391054</c:v>
                </c:pt>
                <c:pt idx="33">
                  <c:v>1.2022215610433402</c:v>
                </c:pt>
                <c:pt idx="34">
                  <c:v>1.1162352474461965</c:v>
                </c:pt>
                <c:pt idx="35">
                  <c:v>0.98601606664683128</c:v>
                </c:pt>
                <c:pt idx="36">
                  <c:v>0.76465337697113955</c:v>
                </c:pt>
                <c:pt idx="37">
                  <c:v>0.85738371516413769</c:v>
                </c:pt>
                <c:pt idx="38">
                  <c:v>0.98532182882078745</c:v>
                </c:pt>
                <c:pt idx="39">
                  <c:v>1.0721015570762669</c:v>
                </c:pt>
                <c:pt idx="40">
                  <c:v>0.97857780422493312</c:v>
                </c:pt>
                <c:pt idx="41">
                  <c:v>0.97857780422493312</c:v>
                </c:pt>
                <c:pt idx="42">
                  <c:v>0.90310423485073887</c:v>
                </c:pt>
                <c:pt idx="43">
                  <c:v>0.98918972528017457</c:v>
                </c:pt>
                <c:pt idx="44">
                  <c:v>0.98918972528017457</c:v>
                </c:pt>
                <c:pt idx="45">
                  <c:v>1.004462957453139</c:v>
                </c:pt>
                <c:pt idx="46">
                  <c:v>0.99523951204998506</c:v>
                </c:pt>
                <c:pt idx="47">
                  <c:v>0.99176832291976591</c:v>
                </c:pt>
                <c:pt idx="48">
                  <c:v>0.99067737776455422</c:v>
                </c:pt>
                <c:pt idx="49">
                  <c:v>0.99018149360309438</c:v>
                </c:pt>
                <c:pt idx="50">
                  <c:v>0.9908757314291381</c:v>
                </c:pt>
                <c:pt idx="51">
                  <c:v>1.2054943965089755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B-45DC-B254-FEF1616D45AF}"/>
            </c:ext>
          </c:extLst>
        </c:ser>
        <c:ser>
          <c:idx val="2"/>
          <c:order val="2"/>
          <c:tx>
            <c:strRef>
              <c:f>'Energy Summary'!$D$80</c:f>
              <c:strCache>
                <c:ptCount val="1"/>
                <c:pt idx="0">
                  <c:v>Brisbane — Elec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Summary'!$D$81:$D$132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0.99803204947989876</c:v>
                </c:pt>
                <c:pt idx="3">
                  <c:v>0.99803204947989876</c:v>
                </c:pt>
                <c:pt idx="4">
                  <c:v>0.98608377846499862</c:v>
                </c:pt>
                <c:pt idx="5">
                  <c:v>0.98608377846499862</c:v>
                </c:pt>
                <c:pt idx="6">
                  <c:v>0.99030081529378688</c:v>
                </c:pt>
                <c:pt idx="7">
                  <c:v>0.98509980320494794</c:v>
                </c:pt>
                <c:pt idx="8">
                  <c:v>1.0219285915096992</c:v>
                </c:pt>
                <c:pt idx="9">
                  <c:v>1.1855496204666855</c:v>
                </c:pt>
                <c:pt idx="10">
                  <c:v>1.238403148720832</c:v>
                </c:pt>
                <c:pt idx="11">
                  <c:v>0.78029238122012934</c:v>
                </c:pt>
                <c:pt idx="12">
                  <c:v>0.79744166432386843</c:v>
                </c:pt>
                <c:pt idx="13">
                  <c:v>0.77003092493674441</c:v>
                </c:pt>
                <c:pt idx="14">
                  <c:v>1.2395276918751759</c:v>
                </c:pt>
                <c:pt idx="15">
                  <c:v>1.2395276918751759</c:v>
                </c:pt>
                <c:pt idx="16">
                  <c:v>1.2395276918751759</c:v>
                </c:pt>
                <c:pt idx="17">
                  <c:v>1.2395276918751759</c:v>
                </c:pt>
                <c:pt idx="18">
                  <c:v>1.2395276918751759</c:v>
                </c:pt>
                <c:pt idx="19">
                  <c:v>1.2395276918751759</c:v>
                </c:pt>
                <c:pt idx="20">
                  <c:v>1.2353106550463873</c:v>
                </c:pt>
                <c:pt idx="21">
                  <c:v>1.0988192296879393</c:v>
                </c:pt>
                <c:pt idx="22">
                  <c:v>1.1244025864492548</c:v>
                </c:pt>
                <c:pt idx="23">
                  <c:v>1.1117514759628901</c:v>
                </c:pt>
                <c:pt idx="24">
                  <c:v>1.1215912285633962</c:v>
                </c:pt>
                <c:pt idx="25">
                  <c:v>1.1215912285633962</c:v>
                </c:pt>
                <c:pt idx="26">
                  <c:v>1.1215912285633962</c:v>
                </c:pt>
                <c:pt idx="27">
                  <c:v>1.1215912285633962</c:v>
                </c:pt>
                <c:pt idx="28">
                  <c:v>1.1215912285633962</c:v>
                </c:pt>
                <c:pt idx="29">
                  <c:v>1.1215912285633962</c:v>
                </c:pt>
                <c:pt idx="30">
                  <c:v>1.1010683159966264</c:v>
                </c:pt>
                <c:pt idx="31">
                  <c:v>1.1010683159966264</c:v>
                </c:pt>
                <c:pt idx="32">
                  <c:v>1.1010683159966264</c:v>
                </c:pt>
                <c:pt idx="33">
                  <c:v>7.8296317121169523E-2</c:v>
                </c:pt>
                <c:pt idx="34">
                  <c:v>7.8296317121169523E-2</c:v>
                </c:pt>
                <c:pt idx="35">
                  <c:v>7.8296317121169523E-2</c:v>
                </c:pt>
                <c:pt idx="36">
                  <c:v>0.24683722237840874</c:v>
                </c:pt>
                <c:pt idx="37">
                  <c:v>0.25231937025583356</c:v>
                </c:pt>
                <c:pt idx="38">
                  <c:v>0.25231937025583356</c:v>
                </c:pt>
                <c:pt idx="39">
                  <c:v>1.114562833848749</c:v>
                </c:pt>
                <c:pt idx="40">
                  <c:v>1.1031768344110207</c:v>
                </c:pt>
                <c:pt idx="41">
                  <c:v>1.0995220691594039</c:v>
                </c:pt>
                <c:pt idx="42">
                  <c:v>1.3445319089120045</c:v>
                </c:pt>
                <c:pt idx="43">
                  <c:v>1.335957267360135</c:v>
                </c:pt>
                <c:pt idx="44">
                  <c:v>1.3224627495080123</c:v>
                </c:pt>
                <c:pt idx="45">
                  <c:v>1.4034298566207479</c:v>
                </c:pt>
                <c:pt idx="46">
                  <c:v>1.405678942929435</c:v>
                </c:pt>
                <c:pt idx="47">
                  <c:v>1.405678942929435</c:v>
                </c:pt>
                <c:pt idx="48">
                  <c:v>1.4031487208321618</c:v>
                </c:pt>
                <c:pt idx="49">
                  <c:v>1.4031487208321618</c:v>
                </c:pt>
                <c:pt idx="50">
                  <c:v>1.4031487208321618</c:v>
                </c:pt>
                <c:pt idx="51">
                  <c:v>1.5948833286477369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4B-45DC-B254-FEF1616D45AF}"/>
            </c:ext>
          </c:extLst>
        </c:ser>
        <c:ser>
          <c:idx val="3"/>
          <c:order val="3"/>
          <c:tx>
            <c:strRef>
              <c:f>'Energy Summary'!$E$80</c:f>
              <c:strCache>
                <c:ptCount val="1"/>
                <c:pt idx="0">
                  <c:v>Adelaide — Elec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Summary'!$E$81:$E$132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1.0019022708358103</c:v>
                </c:pt>
                <c:pt idx="3">
                  <c:v>1.0019022708358103</c:v>
                </c:pt>
                <c:pt idx="4">
                  <c:v>1.0019022708358103</c:v>
                </c:pt>
                <c:pt idx="5">
                  <c:v>1.0019022708358103</c:v>
                </c:pt>
                <c:pt idx="6">
                  <c:v>1.0034478658899062</c:v>
                </c:pt>
                <c:pt idx="7">
                  <c:v>1.0170015455950541</c:v>
                </c:pt>
                <c:pt idx="8">
                  <c:v>1.0356675781714422</c:v>
                </c:pt>
                <c:pt idx="9">
                  <c:v>1.1281654975627156</c:v>
                </c:pt>
                <c:pt idx="10">
                  <c:v>1.1509927475924384</c:v>
                </c:pt>
                <c:pt idx="11">
                  <c:v>1.1546783973368209</c:v>
                </c:pt>
                <c:pt idx="12">
                  <c:v>1.160622993698728</c:v>
                </c:pt>
                <c:pt idx="13">
                  <c:v>1.1517060991558674</c:v>
                </c:pt>
                <c:pt idx="14">
                  <c:v>1.1517060991558674</c:v>
                </c:pt>
                <c:pt idx="15">
                  <c:v>1.1517060991558674</c:v>
                </c:pt>
                <c:pt idx="16">
                  <c:v>1.1517060991558674</c:v>
                </c:pt>
                <c:pt idx="17">
                  <c:v>1.1544406134823444</c:v>
                </c:pt>
                <c:pt idx="18">
                  <c:v>1.1544406134823444</c:v>
                </c:pt>
                <c:pt idx="19">
                  <c:v>1.1520627749375818</c:v>
                </c:pt>
                <c:pt idx="20">
                  <c:v>1.1396980145048152</c:v>
                </c:pt>
                <c:pt idx="21">
                  <c:v>1.3254072048507908</c:v>
                </c:pt>
                <c:pt idx="22">
                  <c:v>1.3254072048507908</c:v>
                </c:pt>
                <c:pt idx="23">
                  <c:v>1.3254072048507908</c:v>
                </c:pt>
                <c:pt idx="24">
                  <c:v>1.2934252764237308</c:v>
                </c:pt>
                <c:pt idx="25">
                  <c:v>1.2934252764237308</c:v>
                </c:pt>
                <c:pt idx="26">
                  <c:v>1.2934252764237308</c:v>
                </c:pt>
                <c:pt idx="27">
                  <c:v>1.3082867673284986</c:v>
                </c:pt>
                <c:pt idx="28">
                  <c:v>1.3082867673284986</c:v>
                </c:pt>
                <c:pt idx="29">
                  <c:v>1.3082867673284986</c:v>
                </c:pt>
                <c:pt idx="30">
                  <c:v>1.2943764118416361</c:v>
                </c:pt>
                <c:pt idx="31">
                  <c:v>1.2943764118416361</c:v>
                </c:pt>
                <c:pt idx="32">
                  <c:v>1.2943764118416361</c:v>
                </c:pt>
                <c:pt idx="33">
                  <c:v>1.3697538937106171</c:v>
                </c:pt>
                <c:pt idx="34">
                  <c:v>1.1786945666389252</c:v>
                </c:pt>
                <c:pt idx="35">
                  <c:v>1.1786945666389252</c:v>
                </c:pt>
                <c:pt idx="36">
                  <c:v>0.99346094400190232</c:v>
                </c:pt>
                <c:pt idx="37">
                  <c:v>1.1786945666389252</c:v>
                </c:pt>
                <c:pt idx="38">
                  <c:v>1.1786945666389252</c:v>
                </c:pt>
                <c:pt idx="39">
                  <c:v>1.1786945666389252</c:v>
                </c:pt>
                <c:pt idx="40">
                  <c:v>1.1681131851147306</c:v>
                </c:pt>
                <c:pt idx="41">
                  <c:v>1.1681131851147306</c:v>
                </c:pt>
                <c:pt idx="42">
                  <c:v>1.1697776720960646</c:v>
                </c:pt>
                <c:pt idx="43">
                  <c:v>1.1697776720960646</c:v>
                </c:pt>
                <c:pt idx="44">
                  <c:v>1.1847580549280705</c:v>
                </c:pt>
                <c:pt idx="45">
                  <c:v>1.1909404351444537</c:v>
                </c:pt>
                <c:pt idx="46">
                  <c:v>1.1889192723814053</c:v>
                </c:pt>
                <c:pt idx="47">
                  <c:v>1.1889192723814053</c:v>
                </c:pt>
                <c:pt idx="48">
                  <c:v>1.1851147307097849</c:v>
                </c:pt>
                <c:pt idx="49">
                  <c:v>1.1923671382713115</c:v>
                </c:pt>
                <c:pt idx="50">
                  <c:v>1.1923671382713115</c:v>
                </c:pt>
                <c:pt idx="51">
                  <c:v>1.3749851385090952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4B-45DC-B254-FEF1616D45AF}"/>
            </c:ext>
          </c:extLst>
        </c:ser>
        <c:ser>
          <c:idx val="4"/>
          <c:order val="4"/>
          <c:tx>
            <c:strRef>
              <c:f>'Energy Summary'!$F$80</c:f>
              <c:strCache>
                <c:ptCount val="1"/>
                <c:pt idx="0">
                  <c:v>Perth — Elec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Summary'!$F$81:$F$132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0.15673289183222958</c:v>
                </c:pt>
                <c:pt idx="10">
                  <c:v>0.15673289183222958</c:v>
                </c:pt>
                <c:pt idx="11">
                  <c:v>0.15673289183222958</c:v>
                </c:pt>
                <c:pt idx="12">
                  <c:v>0.98145695364238417</c:v>
                </c:pt>
                <c:pt idx="13">
                  <c:v>0.98145695364238417</c:v>
                </c:pt>
                <c:pt idx="14">
                  <c:v>0.98145695364238417</c:v>
                </c:pt>
                <c:pt idx="15">
                  <c:v>1.0249448123620311</c:v>
                </c:pt>
                <c:pt idx="16">
                  <c:v>1.0249448123620311</c:v>
                </c:pt>
                <c:pt idx="17">
                  <c:v>1.0249448123620311</c:v>
                </c:pt>
                <c:pt idx="18">
                  <c:v>1.0249448123620311</c:v>
                </c:pt>
                <c:pt idx="19">
                  <c:v>1.0249448123620311</c:v>
                </c:pt>
                <c:pt idx="20">
                  <c:v>1.0249448123620311</c:v>
                </c:pt>
                <c:pt idx="21">
                  <c:v>0.56964679911699778</c:v>
                </c:pt>
                <c:pt idx="22">
                  <c:v>0.56964679911699778</c:v>
                </c:pt>
                <c:pt idx="23">
                  <c:v>0.56964679911699778</c:v>
                </c:pt>
                <c:pt idx="24">
                  <c:v>1.0505518763796911</c:v>
                </c:pt>
                <c:pt idx="25">
                  <c:v>1.0505518763796911</c:v>
                </c:pt>
                <c:pt idx="26">
                  <c:v>0.56964679911699778</c:v>
                </c:pt>
                <c:pt idx="27">
                  <c:v>0.56964679911699778</c:v>
                </c:pt>
                <c:pt idx="28">
                  <c:v>0.56964679911699778</c:v>
                </c:pt>
                <c:pt idx="29">
                  <c:v>1.0505518763796911</c:v>
                </c:pt>
                <c:pt idx="30">
                  <c:v>1.0505518763796911</c:v>
                </c:pt>
                <c:pt idx="31">
                  <c:v>1.0505518763796911</c:v>
                </c:pt>
                <c:pt idx="32">
                  <c:v>1.0505518763796911</c:v>
                </c:pt>
                <c:pt idx="33">
                  <c:v>0.81247240618101546</c:v>
                </c:pt>
                <c:pt idx="34">
                  <c:v>0.28377483443708612</c:v>
                </c:pt>
                <c:pt idx="35">
                  <c:v>0.28377483443708612</c:v>
                </c:pt>
                <c:pt idx="36">
                  <c:v>0.54812362030905082</c:v>
                </c:pt>
                <c:pt idx="37">
                  <c:v>1.0768211920529802</c:v>
                </c:pt>
                <c:pt idx="38">
                  <c:v>0.43443708609271525</c:v>
                </c:pt>
                <c:pt idx="39">
                  <c:v>0.28377483443708612</c:v>
                </c:pt>
                <c:pt idx="40">
                  <c:v>0.28377483443708612</c:v>
                </c:pt>
                <c:pt idx="41">
                  <c:v>0.92615894039735103</c:v>
                </c:pt>
                <c:pt idx="42">
                  <c:v>1.0768211920529802</c:v>
                </c:pt>
                <c:pt idx="43">
                  <c:v>1.0768211920529802</c:v>
                </c:pt>
                <c:pt idx="44">
                  <c:v>1.0768211920529802</c:v>
                </c:pt>
                <c:pt idx="45">
                  <c:v>1.1037527593818985</c:v>
                </c:pt>
                <c:pt idx="46">
                  <c:v>1.1037527593818985</c:v>
                </c:pt>
                <c:pt idx="47">
                  <c:v>1.1037527593818985</c:v>
                </c:pt>
                <c:pt idx="48">
                  <c:v>0.87350993377483455</c:v>
                </c:pt>
                <c:pt idx="49">
                  <c:v>0.7639072847682119</c:v>
                </c:pt>
                <c:pt idx="50">
                  <c:v>0.7639072847682119</c:v>
                </c:pt>
                <c:pt idx="51">
                  <c:v>0.9941501103752759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4B-45DC-B254-FEF1616D45AF}"/>
            </c:ext>
          </c:extLst>
        </c:ser>
        <c:ser>
          <c:idx val="5"/>
          <c:order val="5"/>
          <c:tx>
            <c:strRef>
              <c:f>'Energy Summary'!$G$80</c:f>
              <c:strCache>
                <c:ptCount val="1"/>
                <c:pt idx="0">
                  <c:v>Hobart — Elec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Summary'!$G$81:$G$132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1.1191056010626521</c:v>
                </c:pt>
                <c:pt idx="10">
                  <c:v>1.1191056010626521</c:v>
                </c:pt>
                <c:pt idx="11">
                  <c:v>1.1191056010626521</c:v>
                </c:pt>
                <c:pt idx="12">
                  <c:v>1.0272304626964799</c:v>
                </c:pt>
                <c:pt idx="13">
                  <c:v>1.0272304626964799</c:v>
                </c:pt>
                <c:pt idx="14">
                  <c:v>1.0272304626964799</c:v>
                </c:pt>
                <c:pt idx="15">
                  <c:v>1.1191056010626521</c:v>
                </c:pt>
                <c:pt idx="16">
                  <c:v>1.1191056010626521</c:v>
                </c:pt>
                <c:pt idx="17">
                  <c:v>1.1191056010626521</c:v>
                </c:pt>
                <c:pt idx="18">
                  <c:v>1.1191056010626521</c:v>
                </c:pt>
                <c:pt idx="19">
                  <c:v>1.1191056010626521</c:v>
                </c:pt>
                <c:pt idx="20">
                  <c:v>1.1191056010626521</c:v>
                </c:pt>
                <c:pt idx="21">
                  <c:v>1.1267434137702015</c:v>
                </c:pt>
                <c:pt idx="22">
                  <c:v>1.1267434137702015</c:v>
                </c:pt>
                <c:pt idx="23">
                  <c:v>1.1267434137702015</c:v>
                </c:pt>
                <c:pt idx="24">
                  <c:v>1.2095417312375469</c:v>
                </c:pt>
                <c:pt idx="25">
                  <c:v>1.2095417312375469</c:v>
                </c:pt>
                <c:pt idx="26">
                  <c:v>1.2095417312375469</c:v>
                </c:pt>
                <c:pt idx="27">
                  <c:v>1.2232676555235775</c:v>
                </c:pt>
                <c:pt idx="28">
                  <c:v>1.2232676555235775</c:v>
                </c:pt>
                <c:pt idx="29">
                  <c:v>1.2232676555235775</c:v>
                </c:pt>
                <c:pt idx="30">
                  <c:v>1.1130174894841709</c:v>
                </c:pt>
                <c:pt idx="31">
                  <c:v>1.1130174894841709</c:v>
                </c:pt>
                <c:pt idx="32">
                  <c:v>1.1130174894841709</c:v>
                </c:pt>
                <c:pt idx="33">
                  <c:v>0.66017268098295323</c:v>
                </c:pt>
                <c:pt idx="34">
                  <c:v>0.52368828868718176</c:v>
                </c:pt>
                <c:pt idx="35">
                  <c:v>0.52368828868718176</c:v>
                </c:pt>
                <c:pt idx="36">
                  <c:v>0.95251272968784584</c:v>
                </c:pt>
                <c:pt idx="37">
                  <c:v>1.0889971219836174</c:v>
                </c:pt>
                <c:pt idx="38">
                  <c:v>1.0889971219836174</c:v>
                </c:pt>
                <c:pt idx="39">
                  <c:v>1.0889971219836174</c:v>
                </c:pt>
                <c:pt idx="40">
                  <c:v>1.0889971219836174</c:v>
                </c:pt>
                <c:pt idx="41">
                  <c:v>1.0889971219836174</c:v>
                </c:pt>
                <c:pt idx="42">
                  <c:v>0.97874695594421079</c:v>
                </c:pt>
                <c:pt idx="43">
                  <c:v>0.8694930263449191</c:v>
                </c:pt>
                <c:pt idx="44">
                  <c:v>0.8694930263449191</c:v>
                </c:pt>
                <c:pt idx="45">
                  <c:v>0.99767544830639798</c:v>
                </c:pt>
                <c:pt idx="46">
                  <c:v>1.1069293779056897</c:v>
                </c:pt>
                <c:pt idx="47">
                  <c:v>1.1069293779056897</c:v>
                </c:pt>
                <c:pt idx="48">
                  <c:v>1.1069293779056897</c:v>
                </c:pt>
                <c:pt idx="49">
                  <c:v>1.1069293779056897</c:v>
                </c:pt>
                <c:pt idx="50">
                  <c:v>1.1069293779056897</c:v>
                </c:pt>
                <c:pt idx="51">
                  <c:v>1.2434137702014612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4B-45DC-B254-FEF1616D45AF}"/>
            </c:ext>
          </c:extLst>
        </c:ser>
        <c:ser>
          <c:idx val="6"/>
          <c:order val="6"/>
          <c:tx>
            <c:strRef>
              <c:f>'Energy Summary'!$H$80</c:f>
              <c:strCache>
                <c:ptCount val="1"/>
                <c:pt idx="0">
                  <c:v>Darwin — Elec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Summary'!$H$81:$H$132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1.0299684542586751</c:v>
                </c:pt>
                <c:pt idx="10">
                  <c:v>1.0299684542586751</c:v>
                </c:pt>
                <c:pt idx="11">
                  <c:v>1.0299684542586751</c:v>
                </c:pt>
                <c:pt idx="12">
                  <c:v>1.0299684542586751</c:v>
                </c:pt>
                <c:pt idx="13">
                  <c:v>1.0299684542586751</c:v>
                </c:pt>
                <c:pt idx="14">
                  <c:v>1.0299684542586751</c:v>
                </c:pt>
                <c:pt idx="15">
                  <c:v>1.0299684542586751</c:v>
                </c:pt>
                <c:pt idx="16">
                  <c:v>1.0299684542586751</c:v>
                </c:pt>
                <c:pt idx="17">
                  <c:v>1.0299684542586751</c:v>
                </c:pt>
                <c:pt idx="18">
                  <c:v>1.0299684542586751</c:v>
                </c:pt>
                <c:pt idx="19">
                  <c:v>1.0299684542586751</c:v>
                </c:pt>
                <c:pt idx="20">
                  <c:v>1.0299684542586751</c:v>
                </c:pt>
                <c:pt idx="21">
                  <c:v>1.0285883280757098</c:v>
                </c:pt>
                <c:pt idx="22">
                  <c:v>1.0285883280757098</c:v>
                </c:pt>
                <c:pt idx="23">
                  <c:v>1.0285883280757098</c:v>
                </c:pt>
                <c:pt idx="24">
                  <c:v>0.96125788643533128</c:v>
                </c:pt>
                <c:pt idx="25">
                  <c:v>0.96125788643533128</c:v>
                </c:pt>
                <c:pt idx="26">
                  <c:v>0.96125788643533128</c:v>
                </c:pt>
                <c:pt idx="27">
                  <c:v>0.99497239747634081</c:v>
                </c:pt>
                <c:pt idx="28">
                  <c:v>0.99497239747634081</c:v>
                </c:pt>
                <c:pt idx="29">
                  <c:v>0.99497239747634081</c:v>
                </c:pt>
                <c:pt idx="30">
                  <c:v>0.99497239747634081</c:v>
                </c:pt>
                <c:pt idx="31">
                  <c:v>0.99497239747634081</c:v>
                </c:pt>
                <c:pt idx="32">
                  <c:v>0.99497239747634081</c:v>
                </c:pt>
                <c:pt idx="33">
                  <c:v>1.1063682965299686</c:v>
                </c:pt>
                <c:pt idx="34">
                  <c:v>0.94942823343848581</c:v>
                </c:pt>
                <c:pt idx="35">
                  <c:v>0.94942823343848581</c:v>
                </c:pt>
                <c:pt idx="36">
                  <c:v>0.79238958990536279</c:v>
                </c:pt>
                <c:pt idx="37">
                  <c:v>0.94942823343848581</c:v>
                </c:pt>
                <c:pt idx="38">
                  <c:v>0.94942823343848581</c:v>
                </c:pt>
                <c:pt idx="39">
                  <c:v>0.94942823343848581</c:v>
                </c:pt>
                <c:pt idx="40">
                  <c:v>0.94942823343848581</c:v>
                </c:pt>
                <c:pt idx="41">
                  <c:v>0.94942823343848581</c:v>
                </c:pt>
                <c:pt idx="42">
                  <c:v>0.94942823343848581</c:v>
                </c:pt>
                <c:pt idx="43">
                  <c:v>0.94942823343848581</c:v>
                </c:pt>
                <c:pt idx="44">
                  <c:v>0.94942823343848581</c:v>
                </c:pt>
                <c:pt idx="45">
                  <c:v>0.98580441640378547</c:v>
                </c:pt>
                <c:pt idx="46">
                  <c:v>0.98580441640378547</c:v>
                </c:pt>
                <c:pt idx="47">
                  <c:v>0.98580441640378547</c:v>
                </c:pt>
                <c:pt idx="48">
                  <c:v>0.98580441640378547</c:v>
                </c:pt>
                <c:pt idx="49">
                  <c:v>0.98580441640378547</c:v>
                </c:pt>
                <c:pt idx="50">
                  <c:v>0.98580441640378547</c:v>
                </c:pt>
                <c:pt idx="51">
                  <c:v>1.1427444794952681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4B-45DC-B254-FEF1616D45AF}"/>
            </c:ext>
          </c:extLst>
        </c:ser>
        <c:ser>
          <c:idx val="7"/>
          <c:order val="7"/>
          <c:tx>
            <c:strRef>
              <c:f>'Energy Summary'!$I$80</c:f>
              <c:strCache>
                <c:ptCount val="1"/>
                <c:pt idx="0">
                  <c:v>Canberra — Elec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Summary'!$A$81:$A$132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Summary'!$I$81:$I$132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1.0050706265845708</c:v>
                </c:pt>
                <c:pt idx="3">
                  <c:v>1.0626584570807678</c:v>
                </c:pt>
                <c:pt idx="4">
                  <c:v>1.0626584570807678</c:v>
                </c:pt>
                <c:pt idx="5">
                  <c:v>1.0626584570807678</c:v>
                </c:pt>
                <c:pt idx="6">
                  <c:v>1.0626584570807678</c:v>
                </c:pt>
                <c:pt idx="7">
                  <c:v>1.0626584570807678</c:v>
                </c:pt>
                <c:pt idx="8">
                  <c:v>1.0824580466014728</c:v>
                </c:pt>
                <c:pt idx="9">
                  <c:v>1.0691778341180731</c:v>
                </c:pt>
                <c:pt idx="10">
                  <c:v>1.0769045031993241</c:v>
                </c:pt>
                <c:pt idx="11">
                  <c:v>1.0818544005795001</c:v>
                </c:pt>
                <c:pt idx="12">
                  <c:v>1.0890981528431727</c:v>
                </c:pt>
                <c:pt idx="13">
                  <c:v>1.0798020041047929</c:v>
                </c:pt>
                <c:pt idx="14">
                  <c:v>1.0798020041047929</c:v>
                </c:pt>
                <c:pt idx="15">
                  <c:v>1.0798020041047929</c:v>
                </c:pt>
                <c:pt idx="16">
                  <c:v>1.0798020041047929</c:v>
                </c:pt>
                <c:pt idx="17">
                  <c:v>1.0798020041047929</c:v>
                </c:pt>
                <c:pt idx="18">
                  <c:v>1.0699022093444406</c:v>
                </c:pt>
                <c:pt idx="19">
                  <c:v>1.0699022093444406</c:v>
                </c:pt>
                <c:pt idx="20">
                  <c:v>1.0613304358324278</c:v>
                </c:pt>
                <c:pt idx="21">
                  <c:v>1.0275262586019558</c:v>
                </c:pt>
                <c:pt idx="22">
                  <c:v>1.0247494869008813</c:v>
                </c:pt>
                <c:pt idx="23">
                  <c:v>1.0247494869008813</c:v>
                </c:pt>
                <c:pt idx="24">
                  <c:v>1.0392369914282265</c:v>
                </c:pt>
                <c:pt idx="25">
                  <c:v>1.0392369914282265</c:v>
                </c:pt>
                <c:pt idx="26">
                  <c:v>1.0392369914282265</c:v>
                </c:pt>
                <c:pt idx="27">
                  <c:v>1.0496197030061571</c:v>
                </c:pt>
                <c:pt idx="28">
                  <c:v>0.99915489556923831</c:v>
                </c:pt>
                <c:pt idx="29">
                  <c:v>0.99915489556923831</c:v>
                </c:pt>
                <c:pt idx="30">
                  <c:v>1.0147289629361342</c:v>
                </c:pt>
                <c:pt idx="31">
                  <c:v>1.0147289629361342</c:v>
                </c:pt>
                <c:pt idx="32">
                  <c:v>1.0147289629361342</c:v>
                </c:pt>
                <c:pt idx="33">
                  <c:v>1.2180369431365448</c:v>
                </c:pt>
                <c:pt idx="34">
                  <c:v>1.0508269950501028</c:v>
                </c:pt>
                <c:pt idx="35">
                  <c:v>1.0451527224435591</c:v>
                </c:pt>
                <c:pt idx="36">
                  <c:v>0.8819268381021369</c:v>
                </c:pt>
                <c:pt idx="37">
                  <c:v>1.0583122057225642</c:v>
                </c:pt>
                <c:pt idx="38">
                  <c:v>1.0583122057225642</c:v>
                </c:pt>
                <c:pt idx="39">
                  <c:v>1.0583122057225642</c:v>
                </c:pt>
                <c:pt idx="40">
                  <c:v>1.0753350235421948</c:v>
                </c:pt>
                <c:pt idx="41">
                  <c:v>1.0753350235421948</c:v>
                </c:pt>
                <c:pt idx="42">
                  <c:v>1.0753350235421948</c:v>
                </c:pt>
                <c:pt idx="43">
                  <c:v>1.0753350235421948</c:v>
                </c:pt>
                <c:pt idx="44">
                  <c:v>1.0753350235421948</c:v>
                </c:pt>
                <c:pt idx="45">
                  <c:v>1.3938186647349995</c:v>
                </c:pt>
                <c:pt idx="46">
                  <c:v>1.2072920439454304</c:v>
                </c:pt>
                <c:pt idx="47">
                  <c:v>1.2072920439454304</c:v>
                </c:pt>
                <c:pt idx="48">
                  <c:v>1.030906676325003</c:v>
                </c:pt>
                <c:pt idx="49">
                  <c:v>1.2072920439454304</c:v>
                </c:pt>
                <c:pt idx="50">
                  <c:v>1.2072920439454304</c:v>
                </c:pt>
                <c:pt idx="51">
                  <c:v>1.3836774115658579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4B-45DC-B254-FEF1616D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318912"/>
        <c:axId val="1936502400"/>
      </c:lineChart>
      <c:dateAx>
        <c:axId val="201831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02400"/>
        <c:crosses val="autoZero"/>
        <c:auto val="1"/>
        <c:lblOffset val="100"/>
        <c:baseTimeUnit val="months"/>
      </c:dateAx>
      <c:valAx>
        <c:axId val="19365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(Sep 2021 = 1.00)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1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— Rebased Index Trajectories (Sep 2021 = 1.00)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Summary'!$AF$80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Summary'!$AF$81:$AF$132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1.0238999015886405</c:v>
                </c:pt>
                <c:pt idx="3">
                  <c:v>1.0238999015886405</c:v>
                </c:pt>
                <c:pt idx="4">
                  <c:v>1.0238999015886405</c:v>
                </c:pt>
                <c:pt idx="5">
                  <c:v>1.0238999015886405</c:v>
                </c:pt>
                <c:pt idx="6">
                  <c:v>1.0165893434556448</c:v>
                </c:pt>
                <c:pt idx="7">
                  <c:v>0.99803177281034727</c:v>
                </c:pt>
                <c:pt idx="8">
                  <c:v>1.0255869534654858</c:v>
                </c:pt>
                <c:pt idx="9">
                  <c:v>1.1509911429776467</c:v>
                </c:pt>
                <c:pt idx="10">
                  <c:v>1.1509911429776467</c:v>
                </c:pt>
                <c:pt idx="11">
                  <c:v>1.161675804864333</c:v>
                </c:pt>
                <c:pt idx="12">
                  <c:v>1.1647687333052157</c:v>
                </c:pt>
                <c:pt idx="13">
                  <c:v>1.1602699283002953</c:v>
                </c:pt>
                <c:pt idx="14">
                  <c:v>1.2006185856881768</c:v>
                </c:pt>
                <c:pt idx="15">
                  <c:v>1.2006185856881768</c:v>
                </c:pt>
                <c:pt idx="16">
                  <c:v>1.2388584282300015</c:v>
                </c:pt>
                <c:pt idx="17">
                  <c:v>1.2388584282300015</c:v>
                </c:pt>
                <c:pt idx="18">
                  <c:v>1.2388584282300015</c:v>
                </c:pt>
                <c:pt idx="19">
                  <c:v>1.2388584282300015</c:v>
                </c:pt>
                <c:pt idx="20">
                  <c:v>1.2388584282300015</c:v>
                </c:pt>
                <c:pt idx="21">
                  <c:v>1.2859552931252636</c:v>
                </c:pt>
                <c:pt idx="22">
                  <c:v>1.2986081822016029</c:v>
                </c:pt>
                <c:pt idx="23">
                  <c:v>1.2898917475045693</c:v>
                </c:pt>
                <c:pt idx="24">
                  <c:v>1.2898917475045693</c:v>
                </c:pt>
                <c:pt idx="25">
                  <c:v>1.2898917475045693</c:v>
                </c:pt>
                <c:pt idx="26">
                  <c:v>1.2859552931252636</c:v>
                </c:pt>
                <c:pt idx="27">
                  <c:v>1.2560101223112612</c:v>
                </c:pt>
                <c:pt idx="28">
                  <c:v>1.2560101223112612</c:v>
                </c:pt>
                <c:pt idx="29">
                  <c:v>1.2314072824406019</c:v>
                </c:pt>
                <c:pt idx="30">
                  <c:v>1.2314072824406019</c:v>
                </c:pt>
                <c:pt idx="31">
                  <c:v>1.2314072824406019</c:v>
                </c:pt>
                <c:pt idx="32">
                  <c:v>1.2314072824406019</c:v>
                </c:pt>
                <c:pt idx="33">
                  <c:v>1.3002952340784479</c:v>
                </c:pt>
                <c:pt idx="34">
                  <c:v>1.3119640095599607</c:v>
                </c:pt>
                <c:pt idx="35">
                  <c:v>1.3119640095599607</c:v>
                </c:pt>
                <c:pt idx="36">
                  <c:v>1.3883031069872067</c:v>
                </c:pt>
                <c:pt idx="37">
                  <c:v>1.3883031069872067</c:v>
                </c:pt>
                <c:pt idx="38">
                  <c:v>1.3281315900463939</c:v>
                </c:pt>
                <c:pt idx="39">
                  <c:v>1.3281315900463939</c:v>
                </c:pt>
                <c:pt idx="40">
                  <c:v>1.3281315900463939</c:v>
                </c:pt>
                <c:pt idx="41">
                  <c:v>1.3281315900463939</c:v>
                </c:pt>
                <c:pt idx="42">
                  <c:v>1.3281315900463939</c:v>
                </c:pt>
                <c:pt idx="43">
                  <c:v>1.3281315900463939</c:v>
                </c:pt>
                <c:pt idx="44">
                  <c:v>1.3166034022212851</c:v>
                </c:pt>
                <c:pt idx="45">
                  <c:v>1.392380149022916</c:v>
                </c:pt>
                <c:pt idx="46">
                  <c:v>1.4039083368480247</c:v>
                </c:pt>
                <c:pt idx="47">
                  <c:v>1.4058765640376776</c:v>
                </c:pt>
                <c:pt idx="48">
                  <c:v>1.4058765640376776</c:v>
                </c:pt>
                <c:pt idx="49">
                  <c:v>1.4439758189230985</c:v>
                </c:pt>
                <c:pt idx="50">
                  <c:v>1.4439758189230985</c:v>
                </c:pt>
                <c:pt idx="51">
                  <c:v>1.4439758189230985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5-47AC-A773-2AC5788C91B7}"/>
            </c:ext>
          </c:extLst>
        </c:ser>
        <c:ser>
          <c:idx val="1"/>
          <c:order val="1"/>
          <c:tx>
            <c:strRef>
              <c:f>'Energy Summary'!$AG$80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Summary'!$AG$81:$AG$132</c:f>
              <c:numCache>
                <c:formatCode>0.000</c:formatCode>
                <c:ptCount val="52"/>
                <c:pt idx="0">
                  <c:v>1</c:v>
                </c:pt>
                <c:pt idx="1">
                  <c:v>1.04629021667761</c:v>
                </c:pt>
                <c:pt idx="2">
                  <c:v>1.0804333552199605</c:v>
                </c:pt>
                <c:pt idx="3">
                  <c:v>1.0986539724228497</c:v>
                </c:pt>
                <c:pt idx="4">
                  <c:v>1.1370650032829941</c:v>
                </c:pt>
                <c:pt idx="5">
                  <c:v>1.1367367038739329</c:v>
                </c:pt>
                <c:pt idx="6">
                  <c:v>1.1367367038739329</c:v>
                </c:pt>
                <c:pt idx="7">
                  <c:v>1.0868351936966512</c:v>
                </c:pt>
                <c:pt idx="8">
                  <c:v>1.1388706500328298</c:v>
                </c:pt>
                <c:pt idx="9">
                  <c:v>1.2585357846355876</c:v>
                </c:pt>
                <c:pt idx="10">
                  <c:v>1.2849638870650033</c:v>
                </c:pt>
                <c:pt idx="11">
                  <c:v>1.2849638870650033</c:v>
                </c:pt>
                <c:pt idx="12">
                  <c:v>1.2206172028890347</c:v>
                </c:pt>
                <c:pt idx="13">
                  <c:v>1.2769205515430073</c:v>
                </c:pt>
                <c:pt idx="14">
                  <c:v>1.3414313854235063</c:v>
                </c:pt>
                <c:pt idx="15">
                  <c:v>1.5356204858831253</c:v>
                </c:pt>
                <c:pt idx="16">
                  <c:v>1.5361129349967169</c:v>
                </c:pt>
                <c:pt idx="17">
                  <c:v>1.544812869336835</c:v>
                </c:pt>
                <c:pt idx="18">
                  <c:v>1.544812869336835</c:v>
                </c:pt>
                <c:pt idx="19">
                  <c:v>1.4868680236375573</c:v>
                </c:pt>
                <c:pt idx="20">
                  <c:v>1.4686474064346684</c:v>
                </c:pt>
                <c:pt idx="21">
                  <c:v>1.4709455022980957</c:v>
                </c:pt>
                <c:pt idx="22">
                  <c:v>1.4740643466841759</c:v>
                </c:pt>
                <c:pt idx="23">
                  <c:v>1.4868680236375573</c:v>
                </c:pt>
                <c:pt idx="24">
                  <c:v>1.4192383453709783</c:v>
                </c:pt>
                <c:pt idx="25">
                  <c:v>1.4788246881155613</c:v>
                </c:pt>
                <c:pt idx="26">
                  <c:v>1.4689757058437294</c:v>
                </c:pt>
                <c:pt idx="27">
                  <c:v>1.4318778726198294</c:v>
                </c:pt>
                <c:pt idx="28">
                  <c:v>1.4318778726198294</c:v>
                </c:pt>
                <c:pt idx="29">
                  <c:v>1.430564674983585</c:v>
                </c:pt>
                <c:pt idx="30">
                  <c:v>1.4143138542350622</c:v>
                </c:pt>
                <c:pt idx="31">
                  <c:v>1.3483256730137885</c:v>
                </c:pt>
                <c:pt idx="32">
                  <c:v>1.4164478003939593</c:v>
                </c:pt>
                <c:pt idx="33">
                  <c:v>1.5006565988181222</c:v>
                </c:pt>
                <c:pt idx="34">
                  <c:v>1.5155942219304004</c:v>
                </c:pt>
                <c:pt idx="35">
                  <c:v>1.5155942219304004</c:v>
                </c:pt>
                <c:pt idx="36">
                  <c:v>1.4573210768220617</c:v>
                </c:pt>
                <c:pt idx="37">
                  <c:v>1.5489166119500983</c:v>
                </c:pt>
                <c:pt idx="38">
                  <c:v>1.5239658568614576</c:v>
                </c:pt>
                <c:pt idx="39">
                  <c:v>1.5239658568614576</c:v>
                </c:pt>
                <c:pt idx="40">
                  <c:v>1.5282337491792513</c:v>
                </c:pt>
                <c:pt idx="41">
                  <c:v>1.5282337491792513</c:v>
                </c:pt>
                <c:pt idx="42">
                  <c:v>1.515758371634931</c:v>
                </c:pt>
                <c:pt idx="43">
                  <c:v>1.4517399868680236</c:v>
                </c:pt>
                <c:pt idx="44">
                  <c:v>1.4689757058437294</c:v>
                </c:pt>
                <c:pt idx="45">
                  <c:v>1.5743598161523309</c:v>
                </c:pt>
                <c:pt idx="46">
                  <c:v>1.5751805646749835</c:v>
                </c:pt>
                <c:pt idx="47">
                  <c:v>1.6414970453053184</c:v>
                </c:pt>
                <c:pt idx="48">
                  <c:v>1.5347997373604727</c:v>
                </c:pt>
                <c:pt idx="49">
                  <c:v>1.6150689428759029</c:v>
                </c:pt>
                <c:pt idx="50">
                  <c:v>1.6150689428759029</c:v>
                </c:pt>
                <c:pt idx="51">
                  <c:v>1.6150689428759029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5-47AC-A773-2AC5788C91B7}"/>
            </c:ext>
          </c:extLst>
        </c:ser>
        <c:ser>
          <c:idx val="2"/>
          <c:order val="2"/>
          <c:tx>
            <c:strRef>
              <c:f>'Energy Summary'!$AH$80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Summary'!$AH$81:$AH$132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1.016648955012398</c:v>
                </c:pt>
                <c:pt idx="3">
                  <c:v>1.016648955012398</c:v>
                </c:pt>
                <c:pt idx="4">
                  <c:v>1.016648955012398</c:v>
                </c:pt>
                <c:pt idx="5">
                  <c:v>1.0257409375368993</c:v>
                </c:pt>
                <c:pt idx="6">
                  <c:v>1.0257409375368993</c:v>
                </c:pt>
                <c:pt idx="7">
                  <c:v>1.0257409375368993</c:v>
                </c:pt>
                <c:pt idx="8">
                  <c:v>1.0427441256346677</c:v>
                </c:pt>
                <c:pt idx="9">
                  <c:v>1.1088676349037667</c:v>
                </c:pt>
                <c:pt idx="10">
                  <c:v>1.1088676349037667</c:v>
                </c:pt>
                <c:pt idx="11">
                  <c:v>1.1115834218916048</c:v>
                </c:pt>
                <c:pt idx="12">
                  <c:v>1.1137088204038257</c:v>
                </c:pt>
                <c:pt idx="13">
                  <c:v>1.1105207226354941</c:v>
                </c:pt>
                <c:pt idx="14">
                  <c:v>1.1376785925138742</c:v>
                </c:pt>
                <c:pt idx="15">
                  <c:v>1.1376785925138742</c:v>
                </c:pt>
                <c:pt idx="16">
                  <c:v>1.1640099185263904</c:v>
                </c:pt>
                <c:pt idx="17">
                  <c:v>1.1640099185263904</c:v>
                </c:pt>
                <c:pt idx="18">
                  <c:v>1.1640099185263904</c:v>
                </c:pt>
                <c:pt idx="19">
                  <c:v>1.1640099185263904</c:v>
                </c:pt>
                <c:pt idx="20">
                  <c:v>1.1583421891604675</c:v>
                </c:pt>
                <c:pt idx="21">
                  <c:v>1.1706222694533004</c:v>
                </c:pt>
                <c:pt idx="22">
                  <c:v>1.1818396504900226</c:v>
                </c:pt>
                <c:pt idx="23">
                  <c:v>1.160821820758059</c:v>
                </c:pt>
                <c:pt idx="24">
                  <c:v>1.1441728657456607</c:v>
                </c:pt>
                <c:pt idx="25">
                  <c:v>1.1441728657456607</c:v>
                </c:pt>
                <c:pt idx="26">
                  <c:v>1.1473609635139923</c:v>
                </c:pt>
                <c:pt idx="27">
                  <c:v>1.1473609635139923</c:v>
                </c:pt>
                <c:pt idx="28">
                  <c:v>1.1473609635139923</c:v>
                </c:pt>
                <c:pt idx="29">
                  <c:v>1.1473609635139923</c:v>
                </c:pt>
                <c:pt idx="30">
                  <c:v>1.1496044397213367</c:v>
                </c:pt>
                <c:pt idx="31">
                  <c:v>1.1519659936238045</c:v>
                </c:pt>
                <c:pt idx="32">
                  <c:v>1.1447632542212776</c:v>
                </c:pt>
                <c:pt idx="33">
                  <c:v>1.1682607155508324</c:v>
                </c:pt>
                <c:pt idx="34">
                  <c:v>1.1736922895265085</c:v>
                </c:pt>
                <c:pt idx="35">
                  <c:v>1.1917581768803873</c:v>
                </c:pt>
                <c:pt idx="36">
                  <c:v>1.1459440311725115</c:v>
                </c:pt>
                <c:pt idx="37">
                  <c:v>1.1459440311725115</c:v>
                </c:pt>
                <c:pt idx="38">
                  <c:v>1.1490140512457196</c:v>
                </c:pt>
                <c:pt idx="39">
                  <c:v>1.1490140512457196</c:v>
                </c:pt>
                <c:pt idx="40">
                  <c:v>1.1490140512457196</c:v>
                </c:pt>
                <c:pt idx="41">
                  <c:v>1.1490140512457196</c:v>
                </c:pt>
                <c:pt idx="42">
                  <c:v>1.1490140512457196</c:v>
                </c:pt>
                <c:pt idx="43">
                  <c:v>1.1490140512457196</c:v>
                </c:pt>
                <c:pt idx="44">
                  <c:v>1.1452355650017711</c:v>
                </c:pt>
                <c:pt idx="45">
                  <c:v>1.1713307356240408</c:v>
                </c:pt>
                <c:pt idx="46">
                  <c:v>1.1803046404534183</c:v>
                </c:pt>
                <c:pt idx="47">
                  <c:v>1.1807769512339119</c:v>
                </c:pt>
                <c:pt idx="48">
                  <c:v>1.1778250088558271</c:v>
                </c:pt>
                <c:pt idx="49">
                  <c:v>1.1807769512339119</c:v>
                </c:pt>
                <c:pt idx="50">
                  <c:v>1.1612941315385523</c:v>
                </c:pt>
                <c:pt idx="51">
                  <c:v>1.1612941315385523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5-47AC-A773-2AC5788C91B7}"/>
            </c:ext>
          </c:extLst>
        </c:ser>
        <c:ser>
          <c:idx val="3"/>
          <c:order val="3"/>
          <c:tx>
            <c:strRef>
              <c:f>'Energy Summary'!$AI$80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Summary'!$AI$81:$AI$132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0.98850415512465373</c:v>
                </c:pt>
                <c:pt idx="8">
                  <c:v>1.0196675900277008</c:v>
                </c:pt>
                <c:pt idx="9">
                  <c:v>1.1698060941828254</c:v>
                </c:pt>
                <c:pt idx="10">
                  <c:v>1.1613573407202216</c:v>
                </c:pt>
                <c:pt idx="11">
                  <c:v>1.1854570637119113</c:v>
                </c:pt>
                <c:pt idx="12">
                  <c:v>1.1695290858725762</c:v>
                </c:pt>
                <c:pt idx="13">
                  <c:v>1.1656509695290858</c:v>
                </c:pt>
                <c:pt idx="14">
                  <c:v>1.1905817174515234</c:v>
                </c:pt>
                <c:pt idx="15">
                  <c:v>1.1905817174515234</c:v>
                </c:pt>
                <c:pt idx="16">
                  <c:v>1.2290858725761771</c:v>
                </c:pt>
                <c:pt idx="17">
                  <c:v>1.2290858725761771</c:v>
                </c:pt>
                <c:pt idx="18">
                  <c:v>1.2290858725761771</c:v>
                </c:pt>
                <c:pt idx="19">
                  <c:v>1.2290858725761771</c:v>
                </c:pt>
                <c:pt idx="20">
                  <c:v>1.2290858725761771</c:v>
                </c:pt>
                <c:pt idx="21">
                  <c:v>1.2788088642659279</c:v>
                </c:pt>
                <c:pt idx="22">
                  <c:v>1.2943213296398892</c:v>
                </c:pt>
                <c:pt idx="23">
                  <c:v>1.2696675900277008</c:v>
                </c:pt>
                <c:pt idx="24">
                  <c:v>1.2696675900277008</c:v>
                </c:pt>
                <c:pt idx="25">
                  <c:v>1.2696675900277008</c:v>
                </c:pt>
                <c:pt idx="26">
                  <c:v>1.2655124653739613</c:v>
                </c:pt>
                <c:pt idx="27">
                  <c:v>1.2655124653739613</c:v>
                </c:pt>
                <c:pt idx="28">
                  <c:v>1.2655124653739613</c:v>
                </c:pt>
                <c:pt idx="29">
                  <c:v>1.29792243767313</c:v>
                </c:pt>
                <c:pt idx="30">
                  <c:v>1.2984764542936287</c:v>
                </c:pt>
                <c:pt idx="31">
                  <c:v>1.2984764542936287</c:v>
                </c:pt>
                <c:pt idx="32">
                  <c:v>1.2984764542936287</c:v>
                </c:pt>
                <c:pt idx="33">
                  <c:v>1.3598337950138504</c:v>
                </c:pt>
                <c:pt idx="34">
                  <c:v>1.3710526315789473</c:v>
                </c:pt>
                <c:pt idx="35">
                  <c:v>1.3710526315789473</c:v>
                </c:pt>
                <c:pt idx="36">
                  <c:v>1.3497229916897506</c:v>
                </c:pt>
                <c:pt idx="37">
                  <c:v>1.3271468144044321</c:v>
                </c:pt>
                <c:pt idx="38">
                  <c:v>1.3271468144044321</c:v>
                </c:pt>
                <c:pt idx="39">
                  <c:v>1.3271468144044321</c:v>
                </c:pt>
                <c:pt idx="40">
                  <c:v>1.331578947368421</c:v>
                </c:pt>
                <c:pt idx="41">
                  <c:v>1.331578947368421</c:v>
                </c:pt>
                <c:pt idx="42">
                  <c:v>1.3045706371191135</c:v>
                </c:pt>
                <c:pt idx="43">
                  <c:v>1.3045706371191135</c:v>
                </c:pt>
                <c:pt idx="44">
                  <c:v>1.3045706371191135</c:v>
                </c:pt>
                <c:pt idx="45">
                  <c:v>1.3867036011080331</c:v>
                </c:pt>
                <c:pt idx="46">
                  <c:v>1.3867036011080331</c:v>
                </c:pt>
                <c:pt idx="47">
                  <c:v>1.3850415512465373</c:v>
                </c:pt>
                <c:pt idx="48">
                  <c:v>1.3721606648199445</c:v>
                </c:pt>
                <c:pt idx="49">
                  <c:v>1.3721606648199445</c:v>
                </c:pt>
                <c:pt idx="50">
                  <c:v>1.3721606648199445</c:v>
                </c:pt>
                <c:pt idx="51">
                  <c:v>1.3650969529085872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F5-47AC-A773-2AC5788C91B7}"/>
            </c:ext>
          </c:extLst>
        </c:ser>
        <c:ser>
          <c:idx val="4"/>
          <c:order val="4"/>
          <c:tx>
            <c:strRef>
              <c:f>'Energy Summary'!$AJ$80</c:f>
              <c:strCache>
                <c:ptCount val="1"/>
                <c:pt idx="0">
                  <c:v>Perth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Summary'!$AJ$81:$AJ$132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1.0303177888713018</c:v>
                </c:pt>
                <c:pt idx="10">
                  <c:v>1.0303177888713018</c:v>
                </c:pt>
                <c:pt idx="11">
                  <c:v>1.0303177888713018</c:v>
                </c:pt>
                <c:pt idx="12">
                  <c:v>1.0303177888713018</c:v>
                </c:pt>
                <c:pt idx="13">
                  <c:v>1.0303177888713018</c:v>
                </c:pt>
                <c:pt idx="14">
                  <c:v>1.0303177888713018</c:v>
                </c:pt>
                <c:pt idx="15">
                  <c:v>1.0407889930597833</c:v>
                </c:pt>
                <c:pt idx="16">
                  <c:v>1.0407889930597833</c:v>
                </c:pt>
                <c:pt idx="17">
                  <c:v>1.0407889930597833</c:v>
                </c:pt>
                <c:pt idx="18">
                  <c:v>1.0407889930597833</c:v>
                </c:pt>
                <c:pt idx="19">
                  <c:v>1.0407889930597833</c:v>
                </c:pt>
                <c:pt idx="20">
                  <c:v>1.0407889930597833</c:v>
                </c:pt>
                <c:pt idx="21">
                  <c:v>1.1137221478144406</c:v>
                </c:pt>
                <c:pt idx="22">
                  <c:v>1.1137221478144406</c:v>
                </c:pt>
                <c:pt idx="23">
                  <c:v>1.1137221478144406</c:v>
                </c:pt>
                <c:pt idx="24">
                  <c:v>1.1137221478144406</c:v>
                </c:pt>
                <c:pt idx="25">
                  <c:v>1.1137221478144406</c:v>
                </c:pt>
                <c:pt idx="26">
                  <c:v>1.1137221478144406</c:v>
                </c:pt>
                <c:pt idx="27">
                  <c:v>1.1137221478144406</c:v>
                </c:pt>
                <c:pt idx="28">
                  <c:v>1.1137221478144406</c:v>
                </c:pt>
                <c:pt idx="29">
                  <c:v>1.1137221478144406</c:v>
                </c:pt>
                <c:pt idx="30">
                  <c:v>1.1137221478144406</c:v>
                </c:pt>
                <c:pt idx="31">
                  <c:v>1.1137221478144406</c:v>
                </c:pt>
                <c:pt idx="32">
                  <c:v>1.1137221478144406</c:v>
                </c:pt>
                <c:pt idx="33">
                  <c:v>1.1726531109217095</c:v>
                </c:pt>
                <c:pt idx="34">
                  <c:v>1.1726531109217095</c:v>
                </c:pt>
                <c:pt idx="35">
                  <c:v>1.1726531109217095</c:v>
                </c:pt>
                <c:pt idx="36">
                  <c:v>1.1726531109217095</c:v>
                </c:pt>
                <c:pt idx="37">
                  <c:v>1.1726531109217095</c:v>
                </c:pt>
                <c:pt idx="38">
                  <c:v>1.1726531109217095</c:v>
                </c:pt>
                <c:pt idx="39">
                  <c:v>1.1799586022159991</c:v>
                </c:pt>
                <c:pt idx="40">
                  <c:v>1.1799586022159991</c:v>
                </c:pt>
                <c:pt idx="41">
                  <c:v>1.1542676244977474</c:v>
                </c:pt>
                <c:pt idx="42">
                  <c:v>1.1542676244977474</c:v>
                </c:pt>
                <c:pt idx="43">
                  <c:v>1.1542676244977474</c:v>
                </c:pt>
                <c:pt idx="44">
                  <c:v>1.1542676244977474</c:v>
                </c:pt>
                <c:pt idx="45">
                  <c:v>1.2175818823815903</c:v>
                </c:pt>
                <c:pt idx="46">
                  <c:v>1.2175818823815903</c:v>
                </c:pt>
                <c:pt idx="47">
                  <c:v>1.2175818823815903</c:v>
                </c:pt>
                <c:pt idx="48">
                  <c:v>1.2175818823815903</c:v>
                </c:pt>
                <c:pt idx="49">
                  <c:v>1.2315840740289785</c:v>
                </c:pt>
                <c:pt idx="50">
                  <c:v>1.2315840740289785</c:v>
                </c:pt>
                <c:pt idx="51">
                  <c:v>1.239620114452697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F5-47AC-A773-2AC5788C91B7}"/>
            </c:ext>
          </c:extLst>
        </c:ser>
        <c:ser>
          <c:idx val="5"/>
          <c:order val="5"/>
          <c:tx>
            <c:strRef>
              <c:f>'Energy Summary'!$AK$80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Summary'!$AK$81:$AK$132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1.0109395891576518</c:v>
                </c:pt>
                <c:pt idx="3">
                  <c:v>1.0193266075118512</c:v>
                </c:pt>
                <c:pt idx="4">
                  <c:v>1.0193266075118512</c:v>
                </c:pt>
                <c:pt idx="5">
                  <c:v>1.051051416069041</c:v>
                </c:pt>
                <c:pt idx="6">
                  <c:v>1.051051416069041</c:v>
                </c:pt>
                <c:pt idx="7">
                  <c:v>1.051051416069041</c:v>
                </c:pt>
                <c:pt idx="8">
                  <c:v>1.0611401482922087</c:v>
                </c:pt>
                <c:pt idx="9">
                  <c:v>1.064422025039504</c:v>
                </c:pt>
                <c:pt idx="10">
                  <c:v>1.064422025039504</c:v>
                </c:pt>
                <c:pt idx="11">
                  <c:v>1.0765771241035613</c:v>
                </c:pt>
                <c:pt idx="12">
                  <c:v>1.0765771241035613</c:v>
                </c:pt>
                <c:pt idx="13">
                  <c:v>1.0765771241035613</c:v>
                </c:pt>
                <c:pt idx="14">
                  <c:v>1.0765771241035613</c:v>
                </c:pt>
                <c:pt idx="15">
                  <c:v>1.093837364774523</c:v>
                </c:pt>
                <c:pt idx="16">
                  <c:v>1.093837364774523</c:v>
                </c:pt>
                <c:pt idx="17">
                  <c:v>1.1022243831287226</c:v>
                </c:pt>
                <c:pt idx="18">
                  <c:v>1.1221587455937765</c:v>
                </c:pt>
                <c:pt idx="19">
                  <c:v>1.1221587455937765</c:v>
                </c:pt>
                <c:pt idx="20">
                  <c:v>1.1221587455937765</c:v>
                </c:pt>
                <c:pt idx="21">
                  <c:v>1.1221587455937765</c:v>
                </c:pt>
                <c:pt idx="22">
                  <c:v>1.1255621733317127</c:v>
                </c:pt>
                <c:pt idx="23">
                  <c:v>1.100401118269114</c:v>
                </c:pt>
                <c:pt idx="24">
                  <c:v>1.0957821806247723</c:v>
                </c:pt>
                <c:pt idx="25">
                  <c:v>1.0957821806247723</c:v>
                </c:pt>
                <c:pt idx="26">
                  <c:v>1.0997933633159112</c:v>
                </c:pt>
                <c:pt idx="27">
                  <c:v>1.1258052753129939</c:v>
                </c:pt>
                <c:pt idx="28">
                  <c:v>1.1258052753129939</c:v>
                </c:pt>
                <c:pt idx="29">
                  <c:v>1.1550990640573722</c:v>
                </c:pt>
                <c:pt idx="30">
                  <c:v>1.1089096876139541</c:v>
                </c:pt>
                <c:pt idx="31">
                  <c:v>1.1089096876139541</c:v>
                </c:pt>
                <c:pt idx="32">
                  <c:v>1.1276285401726025</c:v>
                </c:pt>
                <c:pt idx="33">
                  <c:v>1.130059559985414</c:v>
                </c:pt>
                <c:pt idx="34">
                  <c:v>1.1396620882460193</c:v>
                </c:pt>
                <c:pt idx="35">
                  <c:v>1.1570438799076213</c:v>
                </c:pt>
                <c:pt idx="36">
                  <c:v>1.1385681293302541</c:v>
                </c:pt>
                <c:pt idx="37">
                  <c:v>1.1272638872006806</c:v>
                </c:pt>
                <c:pt idx="38">
                  <c:v>1.1550990640573722</c:v>
                </c:pt>
                <c:pt idx="39">
                  <c:v>1.1891333414367327</c:v>
                </c:pt>
                <c:pt idx="40">
                  <c:v>1.1642153883554152</c:v>
                </c:pt>
                <c:pt idx="41">
                  <c:v>1.1854868117175155</c:v>
                </c:pt>
                <c:pt idx="42">
                  <c:v>1.1839066488391881</c:v>
                </c:pt>
                <c:pt idx="43">
                  <c:v>1.1839066488391881</c:v>
                </c:pt>
                <c:pt idx="44">
                  <c:v>1.1903488513431386</c:v>
                </c:pt>
                <c:pt idx="45">
                  <c:v>1.1992220736599004</c:v>
                </c:pt>
                <c:pt idx="46">
                  <c:v>1.2054211741825698</c:v>
                </c:pt>
                <c:pt idx="47">
                  <c:v>1.2155099064057373</c:v>
                </c:pt>
                <c:pt idx="48">
                  <c:v>1.2489364288318952</c:v>
                </c:pt>
                <c:pt idx="49">
                  <c:v>1.2141728455086909</c:v>
                </c:pt>
                <c:pt idx="50">
                  <c:v>1.2077306430047405</c:v>
                </c:pt>
                <c:pt idx="51">
                  <c:v>1.2251124346663427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F5-47AC-A773-2AC5788C91B7}"/>
            </c:ext>
          </c:extLst>
        </c:ser>
        <c:ser>
          <c:idx val="6"/>
          <c:order val="6"/>
          <c:tx>
            <c:strRef>
              <c:f>'Energy Summary'!$AL$80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Summary'!$AL$81:$AL$132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1.0217951722521679</c:v>
                </c:pt>
                <c:pt idx="3">
                  <c:v>1.0217951722521679</c:v>
                </c:pt>
                <c:pt idx="4">
                  <c:v>1.0217951722521679</c:v>
                </c:pt>
                <c:pt idx="5">
                  <c:v>1.0441762362315443</c:v>
                </c:pt>
                <c:pt idx="6">
                  <c:v>1.0441762362315443</c:v>
                </c:pt>
                <c:pt idx="7">
                  <c:v>1.0441762362315443</c:v>
                </c:pt>
                <c:pt idx="8">
                  <c:v>1.019685962034216</c:v>
                </c:pt>
                <c:pt idx="9">
                  <c:v>1.019685962034216</c:v>
                </c:pt>
                <c:pt idx="10">
                  <c:v>1.019685962034216</c:v>
                </c:pt>
                <c:pt idx="11">
                  <c:v>1.0332786501054605</c:v>
                </c:pt>
                <c:pt idx="12">
                  <c:v>1.0332786501054605</c:v>
                </c:pt>
                <c:pt idx="13">
                  <c:v>1.0332786501054605</c:v>
                </c:pt>
                <c:pt idx="14">
                  <c:v>1.071010077337708</c:v>
                </c:pt>
                <c:pt idx="15">
                  <c:v>1.071010077337708</c:v>
                </c:pt>
                <c:pt idx="16">
                  <c:v>1.071010077337708</c:v>
                </c:pt>
                <c:pt idx="17">
                  <c:v>1.1263182563862197</c:v>
                </c:pt>
                <c:pt idx="18">
                  <c:v>1.1263182563862197</c:v>
                </c:pt>
                <c:pt idx="19">
                  <c:v>1.1263182563862197</c:v>
                </c:pt>
                <c:pt idx="20">
                  <c:v>1.1962737286149518</c:v>
                </c:pt>
                <c:pt idx="21">
                  <c:v>1.1962737286149518</c:v>
                </c:pt>
                <c:pt idx="22">
                  <c:v>1.1963909069603935</c:v>
                </c:pt>
                <c:pt idx="23">
                  <c:v>1.2093977033044292</c:v>
                </c:pt>
                <c:pt idx="24">
                  <c:v>1.2157253339582845</c:v>
                </c:pt>
                <c:pt idx="25">
                  <c:v>1.2239278181392079</c:v>
                </c:pt>
                <c:pt idx="26">
                  <c:v>1.2320131239746894</c:v>
                </c:pt>
                <c:pt idx="27">
                  <c:v>1.2320131239746894</c:v>
                </c:pt>
                <c:pt idx="28">
                  <c:v>1.2183032575580033</c:v>
                </c:pt>
                <c:pt idx="29">
                  <c:v>1.1802202952894305</c:v>
                </c:pt>
                <c:pt idx="30">
                  <c:v>1.2127958753222403</c:v>
                </c:pt>
                <c:pt idx="31">
                  <c:v>1.2224044996484649</c:v>
                </c:pt>
                <c:pt idx="32">
                  <c:v>1.2224044996484649</c:v>
                </c:pt>
                <c:pt idx="33">
                  <c:v>1.2261542067026012</c:v>
                </c:pt>
                <c:pt idx="34">
                  <c:v>1.2261542067026012</c:v>
                </c:pt>
                <c:pt idx="35">
                  <c:v>1.2441996719006327</c:v>
                </c:pt>
                <c:pt idx="36">
                  <c:v>1.2501757675181626</c:v>
                </c:pt>
                <c:pt idx="37">
                  <c:v>1.2501757675181626</c:v>
                </c:pt>
                <c:pt idx="38">
                  <c:v>1.2553316147176001</c:v>
                </c:pt>
                <c:pt idx="39">
                  <c:v>1.2784157487696273</c:v>
                </c:pt>
                <c:pt idx="40">
                  <c:v>1.2784157487696273</c:v>
                </c:pt>
                <c:pt idx="41">
                  <c:v>1.2763065385516756</c:v>
                </c:pt>
                <c:pt idx="42">
                  <c:v>1.2681040543707522</c:v>
                </c:pt>
                <c:pt idx="43">
                  <c:v>1.152800562456058</c:v>
                </c:pt>
                <c:pt idx="44">
                  <c:v>1.167682212327162</c:v>
                </c:pt>
                <c:pt idx="45">
                  <c:v>1.167682212327162</c:v>
                </c:pt>
                <c:pt idx="46">
                  <c:v>1.1717834544176235</c:v>
                </c:pt>
                <c:pt idx="47">
                  <c:v>1.1717834544176235</c:v>
                </c:pt>
                <c:pt idx="48">
                  <c:v>1.2819310991328803</c:v>
                </c:pt>
                <c:pt idx="49">
                  <c:v>1.1717834544176235</c:v>
                </c:pt>
                <c:pt idx="50">
                  <c:v>1.2802906022966956</c:v>
                </c:pt>
                <c:pt idx="51">
                  <c:v>1.3438012655261309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F5-47AC-A773-2AC5788C91B7}"/>
            </c:ext>
          </c:extLst>
        </c:ser>
        <c:ser>
          <c:idx val="7"/>
          <c:order val="7"/>
          <c:tx>
            <c:strRef>
              <c:f>'Energy Summary'!$AM$80</c:f>
              <c:strCache>
                <c:ptCount val="1"/>
                <c:pt idx="0">
                  <c:v>Canberra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Summary'!$AE$81:$AE$132</c:f>
              <c:numCache>
                <c:formatCode>mmm\-yy</c:formatCode>
                <c:ptCount val="52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</c:numCache>
            </c:numRef>
          </c:cat>
          <c:val>
            <c:numRef>
              <c:f>'Energy Summary'!$AM$81:$AM$132</c:f>
              <c:numCache>
                <c:formatCode>0.000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1.0380015944724954</c:v>
                </c:pt>
                <c:pt idx="10">
                  <c:v>1.0665692266808395</c:v>
                </c:pt>
                <c:pt idx="11">
                  <c:v>1.0665692266808395</c:v>
                </c:pt>
                <c:pt idx="12">
                  <c:v>1.0665692266808395</c:v>
                </c:pt>
                <c:pt idx="13">
                  <c:v>1.0665692266808395</c:v>
                </c:pt>
                <c:pt idx="14">
                  <c:v>1.0665692266808395</c:v>
                </c:pt>
                <c:pt idx="15">
                  <c:v>1.0665692266808395</c:v>
                </c:pt>
                <c:pt idx="16">
                  <c:v>1.0802551155992559</c:v>
                </c:pt>
                <c:pt idx="17">
                  <c:v>1.0802551155992559</c:v>
                </c:pt>
                <c:pt idx="18">
                  <c:v>1.0705554079192132</c:v>
                </c:pt>
                <c:pt idx="19">
                  <c:v>1.0705554079192132</c:v>
                </c:pt>
                <c:pt idx="20">
                  <c:v>1.0665692266808395</c:v>
                </c:pt>
                <c:pt idx="21">
                  <c:v>1.1985118256710072</c:v>
                </c:pt>
                <c:pt idx="22">
                  <c:v>1.2011692798299229</c:v>
                </c:pt>
                <c:pt idx="23">
                  <c:v>1.2011692798299229</c:v>
                </c:pt>
                <c:pt idx="24">
                  <c:v>1.2127292054212064</c:v>
                </c:pt>
                <c:pt idx="25">
                  <c:v>1.2127292054212064</c:v>
                </c:pt>
                <c:pt idx="26">
                  <c:v>1.2127292054212064</c:v>
                </c:pt>
                <c:pt idx="27">
                  <c:v>1.2127292054212064</c:v>
                </c:pt>
                <c:pt idx="28">
                  <c:v>1.1801753919744882</c:v>
                </c:pt>
                <c:pt idx="29">
                  <c:v>1.1801753919744882</c:v>
                </c:pt>
                <c:pt idx="30">
                  <c:v>1.1801753919744882</c:v>
                </c:pt>
                <c:pt idx="31">
                  <c:v>1.1801753919744882</c:v>
                </c:pt>
                <c:pt idx="32">
                  <c:v>1.1801753919744882</c:v>
                </c:pt>
                <c:pt idx="33">
                  <c:v>1.2982992293382938</c:v>
                </c:pt>
                <c:pt idx="34">
                  <c:v>1.3079989370183362</c:v>
                </c:pt>
                <c:pt idx="35">
                  <c:v>1.3079989370183362</c:v>
                </c:pt>
                <c:pt idx="36">
                  <c:v>1.3079989370183362</c:v>
                </c:pt>
                <c:pt idx="37">
                  <c:v>1.3079989370183362</c:v>
                </c:pt>
                <c:pt idx="38">
                  <c:v>1.3079989370183362</c:v>
                </c:pt>
                <c:pt idx="39">
                  <c:v>1.3079989370183362</c:v>
                </c:pt>
                <c:pt idx="40">
                  <c:v>1.3079989370183362</c:v>
                </c:pt>
                <c:pt idx="41">
                  <c:v>1.3079989370183362</c:v>
                </c:pt>
                <c:pt idx="42">
                  <c:v>1.3079989370183362</c:v>
                </c:pt>
                <c:pt idx="43">
                  <c:v>1.3079989370183362</c:v>
                </c:pt>
                <c:pt idx="44">
                  <c:v>1.3079989370183362</c:v>
                </c:pt>
                <c:pt idx="45">
                  <c:v>1.3287270794578792</c:v>
                </c:pt>
                <c:pt idx="46">
                  <c:v>1.3287270794578792</c:v>
                </c:pt>
                <c:pt idx="47">
                  <c:v>1.3287270794578792</c:v>
                </c:pt>
                <c:pt idx="48">
                  <c:v>1.3262024980069094</c:v>
                </c:pt>
                <c:pt idx="49">
                  <c:v>1.3262024980069094</c:v>
                </c:pt>
                <c:pt idx="50">
                  <c:v>1.3262024980069094</c:v>
                </c:pt>
                <c:pt idx="51">
                  <c:v>1.3262024980069094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F5-47AC-A773-2AC5788C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699008"/>
        <c:axId val="1936510080"/>
      </c:lineChart>
      <c:dateAx>
        <c:axId val="205969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10080"/>
        <c:crosses val="autoZero"/>
        <c:auto val="1"/>
        <c:lblOffset val="100"/>
        <c:baseTimeUnit val="months"/>
      </c:dateAx>
      <c:valAx>
        <c:axId val="19365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 (Sep 2021 = 1.00)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Telecommunication Equipment &amp; Services — Index (Sep 2025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'Telecom Prices'!$B$7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Prices'!$B$8:$B$29</c:f>
              <c:numCache>
                <c:formatCode>0.00</c:formatCode>
                <c:ptCount val="22"/>
                <c:pt idx="0">
                  <c:v>98.61</c:v>
                </c:pt>
                <c:pt idx="1">
                  <c:v>98.06</c:v>
                </c:pt>
                <c:pt idx="2">
                  <c:v>97.51</c:v>
                </c:pt>
                <c:pt idx="3">
                  <c:v>99.02</c:v>
                </c:pt>
                <c:pt idx="4">
                  <c:v>98.48</c:v>
                </c:pt>
                <c:pt idx="5">
                  <c:v>98.53</c:v>
                </c:pt>
                <c:pt idx="6">
                  <c:v>99.24</c:v>
                </c:pt>
                <c:pt idx="7">
                  <c:v>99.13</c:v>
                </c:pt>
                <c:pt idx="8">
                  <c:v>98.91</c:v>
                </c:pt>
                <c:pt idx="9">
                  <c:v>98.54</c:v>
                </c:pt>
                <c:pt idx="10">
                  <c:v>99.23</c:v>
                </c:pt>
                <c:pt idx="11">
                  <c:v>99.06</c:v>
                </c:pt>
                <c:pt idx="12">
                  <c:v>99.27</c:v>
                </c:pt>
                <c:pt idx="13">
                  <c:v>98.89</c:v>
                </c:pt>
                <c:pt idx="14">
                  <c:v>97.99</c:v>
                </c:pt>
                <c:pt idx="15">
                  <c:v>99.5</c:v>
                </c:pt>
                <c:pt idx="16">
                  <c:v>100.24</c:v>
                </c:pt>
                <c:pt idx="17">
                  <c:v>100</c:v>
                </c:pt>
                <c:pt idx="18">
                  <c:v>99.75</c:v>
                </c:pt>
                <c:pt idx="19">
                  <c:v>100.22</c:v>
                </c:pt>
                <c:pt idx="20">
                  <c:v>99.74</c:v>
                </c:pt>
                <c:pt idx="21">
                  <c:v>99.65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5-4C26-B8E7-1CE350C0AD8B}"/>
            </c:ext>
          </c:extLst>
        </c:ser>
        <c:ser>
          <c:idx val="1"/>
          <c:order val="1"/>
          <c:tx>
            <c:strRef>
              <c:f>'Telecom Prices'!$C$7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Prices'!$C$8:$C$29</c:f>
              <c:numCache>
                <c:formatCode>0.00</c:formatCode>
                <c:ptCount val="22"/>
                <c:pt idx="0">
                  <c:v>98.61</c:v>
                </c:pt>
                <c:pt idx="1">
                  <c:v>98.06</c:v>
                </c:pt>
                <c:pt idx="2">
                  <c:v>97.52</c:v>
                </c:pt>
                <c:pt idx="3">
                  <c:v>99.02</c:v>
                </c:pt>
                <c:pt idx="4">
                  <c:v>98.48</c:v>
                </c:pt>
                <c:pt idx="5">
                  <c:v>98.54</c:v>
                </c:pt>
                <c:pt idx="6">
                  <c:v>99.25</c:v>
                </c:pt>
                <c:pt idx="7">
                  <c:v>99.14</c:v>
                </c:pt>
                <c:pt idx="8">
                  <c:v>98.92</c:v>
                </c:pt>
                <c:pt idx="9">
                  <c:v>98.54</c:v>
                </c:pt>
                <c:pt idx="10">
                  <c:v>99.24</c:v>
                </c:pt>
                <c:pt idx="11">
                  <c:v>99.07</c:v>
                </c:pt>
                <c:pt idx="12">
                  <c:v>99.27</c:v>
                </c:pt>
                <c:pt idx="13">
                  <c:v>98.89</c:v>
                </c:pt>
                <c:pt idx="14">
                  <c:v>97.99</c:v>
                </c:pt>
                <c:pt idx="15">
                  <c:v>99.5</c:v>
                </c:pt>
                <c:pt idx="16">
                  <c:v>100.23</c:v>
                </c:pt>
                <c:pt idx="17">
                  <c:v>100</c:v>
                </c:pt>
                <c:pt idx="18">
                  <c:v>99.76</c:v>
                </c:pt>
                <c:pt idx="19">
                  <c:v>100.22</c:v>
                </c:pt>
                <c:pt idx="20">
                  <c:v>99.75</c:v>
                </c:pt>
                <c:pt idx="21">
                  <c:v>99.66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5-4C26-B8E7-1CE350C0AD8B}"/>
            </c:ext>
          </c:extLst>
        </c:ser>
        <c:ser>
          <c:idx val="2"/>
          <c:order val="2"/>
          <c:tx>
            <c:strRef>
              <c:f>'Telecom Prices'!$D$7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Prices'!$D$8:$D$29</c:f>
              <c:numCache>
                <c:formatCode>0.00</c:formatCode>
                <c:ptCount val="22"/>
                <c:pt idx="0">
                  <c:v>98.63</c:v>
                </c:pt>
                <c:pt idx="1">
                  <c:v>98.07</c:v>
                </c:pt>
                <c:pt idx="2">
                  <c:v>97.53</c:v>
                </c:pt>
                <c:pt idx="3">
                  <c:v>99.03</c:v>
                </c:pt>
                <c:pt idx="4">
                  <c:v>98.49</c:v>
                </c:pt>
                <c:pt idx="5">
                  <c:v>98.55</c:v>
                </c:pt>
                <c:pt idx="6">
                  <c:v>99.26</c:v>
                </c:pt>
                <c:pt idx="7">
                  <c:v>99.15</c:v>
                </c:pt>
                <c:pt idx="8">
                  <c:v>98.93</c:v>
                </c:pt>
                <c:pt idx="9">
                  <c:v>98.55</c:v>
                </c:pt>
                <c:pt idx="10">
                  <c:v>99.24</c:v>
                </c:pt>
                <c:pt idx="11">
                  <c:v>99.08</c:v>
                </c:pt>
                <c:pt idx="12">
                  <c:v>99.28</c:v>
                </c:pt>
                <c:pt idx="13">
                  <c:v>98.89</c:v>
                </c:pt>
                <c:pt idx="14">
                  <c:v>97.99</c:v>
                </c:pt>
                <c:pt idx="15">
                  <c:v>99.5</c:v>
                </c:pt>
                <c:pt idx="16">
                  <c:v>100.23</c:v>
                </c:pt>
                <c:pt idx="17">
                  <c:v>100</c:v>
                </c:pt>
                <c:pt idx="18">
                  <c:v>99.76</c:v>
                </c:pt>
                <c:pt idx="19">
                  <c:v>100.23</c:v>
                </c:pt>
                <c:pt idx="20">
                  <c:v>99.75</c:v>
                </c:pt>
                <c:pt idx="21">
                  <c:v>99.66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95-4C26-B8E7-1CE350C0AD8B}"/>
            </c:ext>
          </c:extLst>
        </c:ser>
        <c:ser>
          <c:idx val="3"/>
          <c:order val="3"/>
          <c:tx>
            <c:strRef>
              <c:f>'Telecom Prices'!$E$7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Prices'!$E$8:$E$29</c:f>
              <c:numCache>
                <c:formatCode>0.00</c:formatCode>
                <c:ptCount val="22"/>
                <c:pt idx="0">
                  <c:v>98.66</c:v>
                </c:pt>
                <c:pt idx="1">
                  <c:v>98.11</c:v>
                </c:pt>
                <c:pt idx="2">
                  <c:v>97.56</c:v>
                </c:pt>
                <c:pt idx="3">
                  <c:v>99.06</c:v>
                </c:pt>
                <c:pt idx="4">
                  <c:v>98.51</c:v>
                </c:pt>
                <c:pt idx="5">
                  <c:v>98.57</c:v>
                </c:pt>
                <c:pt idx="6">
                  <c:v>99.29</c:v>
                </c:pt>
                <c:pt idx="7">
                  <c:v>99.18</c:v>
                </c:pt>
                <c:pt idx="8">
                  <c:v>98.96</c:v>
                </c:pt>
                <c:pt idx="9">
                  <c:v>98.58</c:v>
                </c:pt>
                <c:pt idx="10">
                  <c:v>99.26</c:v>
                </c:pt>
                <c:pt idx="11">
                  <c:v>99.1</c:v>
                </c:pt>
                <c:pt idx="12">
                  <c:v>99.31</c:v>
                </c:pt>
                <c:pt idx="13">
                  <c:v>98.89</c:v>
                </c:pt>
                <c:pt idx="14">
                  <c:v>98</c:v>
                </c:pt>
                <c:pt idx="15">
                  <c:v>99.5</c:v>
                </c:pt>
                <c:pt idx="16">
                  <c:v>100.22</c:v>
                </c:pt>
                <c:pt idx="17">
                  <c:v>100</c:v>
                </c:pt>
                <c:pt idx="18">
                  <c:v>99.78</c:v>
                </c:pt>
                <c:pt idx="19">
                  <c:v>100.25</c:v>
                </c:pt>
                <c:pt idx="20">
                  <c:v>99.77</c:v>
                </c:pt>
                <c:pt idx="21">
                  <c:v>99.68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95-4C26-B8E7-1CE350C0AD8B}"/>
            </c:ext>
          </c:extLst>
        </c:ser>
        <c:ser>
          <c:idx val="4"/>
          <c:order val="4"/>
          <c:tx>
            <c:strRef>
              <c:f>'Telecom Prices'!$F$7</c:f>
              <c:strCache>
                <c:ptCount val="1"/>
                <c:pt idx="0">
                  <c:v>Perth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Prices'!$F$8:$F$29</c:f>
              <c:numCache>
                <c:formatCode>0.00</c:formatCode>
                <c:ptCount val="22"/>
                <c:pt idx="0">
                  <c:v>98.57</c:v>
                </c:pt>
                <c:pt idx="1">
                  <c:v>98.03</c:v>
                </c:pt>
                <c:pt idx="2">
                  <c:v>97.48</c:v>
                </c:pt>
                <c:pt idx="3">
                  <c:v>98.99</c:v>
                </c:pt>
                <c:pt idx="4">
                  <c:v>98.45</c:v>
                </c:pt>
                <c:pt idx="5">
                  <c:v>98.51</c:v>
                </c:pt>
                <c:pt idx="6">
                  <c:v>99.22</c:v>
                </c:pt>
                <c:pt idx="7">
                  <c:v>99.1</c:v>
                </c:pt>
                <c:pt idx="8">
                  <c:v>98.88</c:v>
                </c:pt>
                <c:pt idx="9">
                  <c:v>98.51</c:v>
                </c:pt>
                <c:pt idx="10">
                  <c:v>99.22</c:v>
                </c:pt>
                <c:pt idx="11">
                  <c:v>99.04</c:v>
                </c:pt>
                <c:pt idx="12">
                  <c:v>99.24</c:v>
                </c:pt>
                <c:pt idx="13">
                  <c:v>98.89</c:v>
                </c:pt>
                <c:pt idx="14">
                  <c:v>97.99</c:v>
                </c:pt>
                <c:pt idx="15">
                  <c:v>99.5</c:v>
                </c:pt>
                <c:pt idx="16">
                  <c:v>100.25</c:v>
                </c:pt>
                <c:pt idx="17">
                  <c:v>100</c:v>
                </c:pt>
                <c:pt idx="18">
                  <c:v>99.73</c:v>
                </c:pt>
                <c:pt idx="19">
                  <c:v>100.2</c:v>
                </c:pt>
                <c:pt idx="20">
                  <c:v>99.72</c:v>
                </c:pt>
                <c:pt idx="21">
                  <c:v>99.63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95-4C26-B8E7-1CE350C0AD8B}"/>
            </c:ext>
          </c:extLst>
        </c:ser>
        <c:ser>
          <c:idx val="5"/>
          <c:order val="5"/>
          <c:tx>
            <c:strRef>
              <c:f>'Telecom Prices'!$G$7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Prices'!$G$8:$G$29</c:f>
              <c:numCache>
                <c:formatCode>0.00</c:formatCode>
                <c:ptCount val="22"/>
                <c:pt idx="0">
                  <c:v>98.48</c:v>
                </c:pt>
                <c:pt idx="1">
                  <c:v>97.94</c:v>
                </c:pt>
                <c:pt idx="2">
                  <c:v>97.4</c:v>
                </c:pt>
                <c:pt idx="3">
                  <c:v>98.91</c:v>
                </c:pt>
                <c:pt idx="4">
                  <c:v>98.39</c:v>
                </c:pt>
                <c:pt idx="5">
                  <c:v>98.44</c:v>
                </c:pt>
                <c:pt idx="6">
                  <c:v>99.13</c:v>
                </c:pt>
                <c:pt idx="7">
                  <c:v>99.01</c:v>
                </c:pt>
                <c:pt idx="8">
                  <c:v>98.8</c:v>
                </c:pt>
                <c:pt idx="9">
                  <c:v>98.42</c:v>
                </c:pt>
                <c:pt idx="10">
                  <c:v>99.18</c:v>
                </c:pt>
                <c:pt idx="11">
                  <c:v>98.98</c:v>
                </c:pt>
                <c:pt idx="12">
                  <c:v>99.17</c:v>
                </c:pt>
                <c:pt idx="13">
                  <c:v>98.89</c:v>
                </c:pt>
                <c:pt idx="14">
                  <c:v>97.98</c:v>
                </c:pt>
                <c:pt idx="15">
                  <c:v>99.49</c:v>
                </c:pt>
                <c:pt idx="16">
                  <c:v>100.28</c:v>
                </c:pt>
                <c:pt idx="17">
                  <c:v>100</c:v>
                </c:pt>
                <c:pt idx="18">
                  <c:v>99.67</c:v>
                </c:pt>
                <c:pt idx="19">
                  <c:v>100.14</c:v>
                </c:pt>
                <c:pt idx="20">
                  <c:v>99.67</c:v>
                </c:pt>
                <c:pt idx="21">
                  <c:v>99.57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95-4C26-B8E7-1CE350C0AD8B}"/>
            </c:ext>
          </c:extLst>
        </c:ser>
        <c:ser>
          <c:idx val="6"/>
          <c:order val="6"/>
          <c:tx>
            <c:strRef>
              <c:f>'Telecom Prices'!$H$7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Prices'!$H$8:$H$29</c:f>
              <c:numCache>
                <c:formatCode>0.00</c:formatCode>
                <c:ptCount val="22"/>
                <c:pt idx="0">
                  <c:v>98.73</c:v>
                </c:pt>
                <c:pt idx="1">
                  <c:v>98.16</c:v>
                </c:pt>
                <c:pt idx="2">
                  <c:v>97.61</c:v>
                </c:pt>
                <c:pt idx="3">
                  <c:v>99.11</c:v>
                </c:pt>
                <c:pt idx="4">
                  <c:v>98.56</c:v>
                </c:pt>
                <c:pt idx="5">
                  <c:v>98.62</c:v>
                </c:pt>
                <c:pt idx="6">
                  <c:v>99.35</c:v>
                </c:pt>
                <c:pt idx="7">
                  <c:v>99.24</c:v>
                </c:pt>
                <c:pt idx="8">
                  <c:v>99.01</c:v>
                </c:pt>
                <c:pt idx="9">
                  <c:v>98.64</c:v>
                </c:pt>
                <c:pt idx="10">
                  <c:v>99.28</c:v>
                </c:pt>
                <c:pt idx="11">
                  <c:v>99.14</c:v>
                </c:pt>
                <c:pt idx="12">
                  <c:v>99.35</c:v>
                </c:pt>
                <c:pt idx="13">
                  <c:v>98.89</c:v>
                </c:pt>
                <c:pt idx="14">
                  <c:v>98</c:v>
                </c:pt>
                <c:pt idx="15">
                  <c:v>99.51</c:v>
                </c:pt>
                <c:pt idx="16">
                  <c:v>100.2</c:v>
                </c:pt>
                <c:pt idx="17">
                  <c:v>100</c:v>
                </c:pt>
                <c:pt idx="18">
                  <c:v>99.82</c:v>
                </c:pt>
                <c:pt idx="19">
                  <c:v>100.29</c:v>
                </c:pt>
                <c:pt idx="20">
                  <c:v>99.81</c:v>
                </c:pt>
                <c:pt idx="21">
                  <c:v>99.72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95-4C26-B8E7-1CE350C0AD8B}"/>
            </c:ext>
          </c:extLst>
        </c:ser>
        <c:ser>
          <c:idx val="7"/>
          <c:order val="7"/>
          <c:tx>
            <c:strRef>
              <c:f>'Telecom Prices'!$I$7</c:f>
              <c:strCache>
                <c:ptCount val="1"/>
                <c:pt idx="0">
                  <c:v>Canberra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Prices'!$I$8:$I$29</c:f>
              <c:numCache>
                <c:formatCode>0.00</c:formatCode>
                <c:ptCount val="22"/>
                <c:pt idx="0">
                  <c:v>98.64</c:v>
                </c:pt>
                <c:pt idx="1">
                  <c:v>98.09</c:v>
                </c:pt>
                <c:pt idx="2">
                  <c:v>97.54</c:v>
                </c:pt>
                <c:pt idx="3">
                  <c:v>99.04</c:v>
                </c:pt>
                <c:pt idx="4">
                  <c:v>98.5</c:v>
                </c:pt>
                <c:pt idx="5">
                  <c:v>98.56</c:v>
                </c:pt>
                <c:pt idx="6">
                  <c:v>99.27</c:v>
                </c:pt>
                <c:pt idx="7">
                  <c:v>99.16</c:v>
                </c:pt>
                <c:pt idx="8">
                  <c:v>98.94</c:v>
                </c:pt>
                <c:pt idx="9">
                  <c:v>98.56</c:v>
                </c:pt>
                <c:pt idx="10">
                  <c:v>99.25</c:v>
                </c:pt>
                <c:pt idx="11">
                  <c:v>99.08</c:v>
                </c:pt>
                <c:pt idx="12">
                  <c:v>99.29</c:v>
                </c:pt>
                <c:pt idx="13">
                  <c:v>98.89</c:v>
                </c:pt>
                <c:pt idx="14">
                  <c:v>98</c:v>
                </c:pt>
                <c:pt idx="15">
                  <c:v>99.5</c:v>
                </c:pt>
                <c:pt idx="16">
                  <c:v>100.23</c:v>
                </c:pt>
                <c:pt idx="17">
                  <c:v>100</c:v>
                </c:pt>
                <c:pt idx="18">
                  <c:v>99.77</c:v>
                </c:pt>
                <c:pt idx="19">
                  <c:v>100.24</c:v>
                </c:pt>
                <c:pt idx="20">
                  <c:v>99.76</c:v>
                </c:pt>
                <c:pt idx="21">
                  <c:v>99.67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95-4C26-B8E7-1CE350C0AD8B}"/>
            </c:ext>
          </c:extLst>
        </c:ser>
        <c:ser>
          <c:idx val="8"/>
          <c:order val="8"/>
          <c:tx>
            <c:strRef>
              <c:f>'Telecom Prices'!$J$7</c:f>
              <c:strCache>
                <c:ptCount val="1"/>
                <c:pt idx="0">
                  <c:v>8-Capital Avg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'Telecom Prices'!$A$8:$A$29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Prices'!$J$8:$J$29</c:f>
              <c:numCache>
                <c:formatCode>0.00</c:formatCode>
                <c:ptCount val="22"/>
                <c:pt idx="0">
                  <c:v>98.616249999999994</c:v>
                </c:pt>
                <c:pt idx="1">
                  <c:v>98.064999999999998</c:v>
                </c:pt>
                <c:pt idx="2">
                  <c:v>97.518749999999997</c:v>
                </c:pt>
                <c:pt idx="3">
                  <c:v>99.022499999999994</c:v>
                </c:pt>
                <c:pt idx="4">
                  <c:v>98.482499999999987</c:v>
                </c:pt>
                <c:pt idx="5">
                  <c:v>98.539999999999992</c:v>
                </c:pt>
                <c:pt idx="6">
                  <c:v>99.251249999999999</c:v>
                </c:pt>
                <c:pt idx="7">
                  <c:v>99.138749999999987</c:v>
                </c:pt>
                <c:pt idx="8">
                  <c:v>98.918749999999989</c:v>
                </c:pt>
                <c:pt idx="9">
                  <c:v>98.54249999999999</c:v>
                </c:pt>
                <c:pt idx="10">
                  <c:v>99.237499999999983</c:v>
                </c:pt>
                <c:pt idx="11">
                  <c:v>99.068749999999994</c:v>
                </c:pt>
                <c:pt idx="12">
                  <c:v>99.272499999999994</c:v>
                </c:pt>
                <c:pt idx="13">
                  <c:v>98.89</c:v>
                </c:pt>
                <c:pt idx="14">
                  <c:v>97.992499999999993</c:v>
                </c:pt>
                <c:pt idx="15">
                  <c:v>99.5</c:v>
                </c:pt>
                <c:pt idx="16">
                  <c:v>100.235</c:v>
                </c:pt>
                <c:pt idx="17">
                  <c:v>100</c:v>
                </c:pt>
                <c:pt idx="18">
                  <c:v>99.754999999999995</c:v>
                </c:pt>
                <c:pt idx="19">
                  <c:v>100.22375</c:v>
                </c:pt>
                <c:pt idx="20">
                  <c:v>99.746250000000003</c:v>
                </c:pt>
                <c:pt idx="21">
                  <c:v>99.655000000000001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95-4C26-B8E7-1CE350C0A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296640"/>
        <c:axId val="1936493280"/>
      </c:lineChart>
      <c:dateAx>
        <c:axId val="20182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93280"/>
        <c:crosses val="autoZero"/>
        <c:auto val="1"/>
        <c:lblOffset val="100"/>
        <c:baseTimeUnit val="months"/>
      </c:dateAx>
      <c:valAx>
        <c:axId val="19364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Communication (broader CPI group) — Index (Sep 2025 =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'Telecom Prices'!$B$32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Prices'!$B$33:$B$54</c:f>
              <c:numCache>
                <c:formatCode>0.00</c:formatCode>
                <c:ptCount val="22"/>
                <c:pt idx="0">
                  <c:v>98.52</c:v>
                </c:pt>
                <c:pt idx="1">
                  <c:v>97.86</c:v>
                </c:pt>
                <c:pt idx="2">
                  <c:v>97.2</c:v>
                </c:pt>
                <c:pt idx="3">
                  <c:v>98.87</c:v>
                </c:pt>
                <c:pt idx="4">
                  <c:v>98.36</c:v>
                </c:pt>
                <c:pt idx="5">
                  <c:v>98.4</c:v>
                </c:pt>
                <c:pt idx="6">
                  <c:v>99.02</c:v>
                </c:pt>
                <c:pt idx="7">
                  <c:v>98.91</c:v>
                </c:pt>
                <c:pt idx="8">
                  <c:v>98.69</c:v>
                </c:pt>
                <c:pt idx="9">
                  <c:v>98.33</c:v>
                </c:pt>
                <c:pt idx="10">
                  <c:v>99.07</c:v>
                </c:pt>
                <c:pt idx="11">
                  <c:v>98.93</c:v>
                </c:pt>
                <c:pt idx="12">
                  <c:v>99.2</c:v>
                </c:pt>
                <c:pt idx="13">
                  <c:v>98.84</c:v>
                </c:pt>
                <c:pt idx="14">
                  <c:v>98.01</c:v>
                </c:pt>
                <c:pt idx="15">
                  <c:v>99.49</c:v>
                </c:pt>
                <c:pt idx="16">
                  <c:v>100.2</c:v>
                </c:pt>
                <c:pt idx="17">
                  <c:v>100</c:v>
                </c:pt>
                <c:pt idx="18">
                  <c:v>99.8</c:v>
                </c:pt>
                <c:pt idx="19">
                  <c:v>100.24</c:v>
                </c:pt>
                <c:pt idx="20">
                  <c:v>99.81</c:v>
                </c:pt>
                <c:pt idx="21">
                  <c:v>99.72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7-464A-B55C-7D99F5484BA5}"/>
            </c:ext>
          </c:extLst>
        </c:ser>
        <c:ser>
          <c:idx val="1"/>
          <c:order val="1"/>
          <c:tx>
            <c:strRef>
              <c:f>'Telecom Prices'!$C$32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Prices'!$C$33:$C$54</c:f>
              <c:numCache>
                <c:formatCode>0.00</c:formatCode>
                <c:ptCount val="22"/>
                <c:pt idx="0">
                  <c:v>98.54</c:v>
                </c:pt>
                <c:pt idx="1">
                  <c:v>97.89</c:v>
                </c:pt>
                <c:pt idx="2">
                  <c:v>97.25</c:v>
                </c:pt>
                <c:pt idx="3">
                  <c:v>98.89</c:v>
                </c:pt>
                <c:pt idx="4">
                  <c:v>98.38</c:v>
                </c:pt>
                <c:pt idx="5">
                  <c:v>98.42</c:v>
                </c:pt>
                <c:pt idx="6">
                  <c:v>99.06</c:v>
                </c:pt>
                <c:pt idx="7">
                  <c:v>98.94</c:v>
                </c:pt>
                <c:pt idx="8">
                  <c:v>98.72</c:v>
                </c:pt>
                <c:pt idx="9">
                  <c:v>98.37</c:v>
                </c:pt>
                <c:pt idx="10">
                  <c:v>99.09</c:v>
                </c:pt>
                <c:pt idx="11">
                  <c:v>98.95</c:v>
                </c:pt>
                <c:pt idx="12">
                  <c:v>99.21</c:v>
                </c:pt>
                <c:pt idx="13">
                  <c:v>98.85</c:v>
                </c:pt>
                <c:pt idx="14">
                  <c:v>98.01</c:v>
                </c:pt>
                <c:pt idx="15">
                  <c:v>99.49</c:v>
                </c:pt>
                <c:pt idx="16">
                  <c:v>100.2</c:v>
                </c:pt>
                <c:pt idx="17">
                  <c:v>100</c:v>
                </c:pt>
                <c:pt idx="18">
                  <c:v>99.8</c:v>
                </c:pt>
                <c:pt idx="19">
                  <c:v>100.24</c:v>
                </c:pt>
                <c:pt idx="20">
                  <c:v>99.8</c:v>
                </c:pt>
                <c:pt idx="21">
                  <c:v>99.71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7-464A-B55C-7D99F5484BA5}"/>
            </c:ext>
          </c:extLst>
        </c:ser>
        <c:ser>
          <c:idx val="2"/>
          <c:order val="2"/>
          <c:tx>
            <c:strRef>
              <c:f>'Telecom Prices'!$D$32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Prices'!$D$33:$D$54</c:f>
              <c:numCache>
                <c:formatCode>0.00</c:formatCode>
                <c:ptCount val="22"/>
                <c:pt idx="0">
                  <c:v>98.56</c:v>
                </c:pt>
                <c:pt idx="1">
                  <c:v>97.93</c:v>
                </c:pt>
                <c:pt idx="2">
                  <c:v>97.31</c:v>
                </c:pt>
                <c:pt idx="3">
                  <c:v>98.92</c:v>
                </c:pt>
                <c:pt idx="4">
                  <c:v>98.4</c:v>
                </c:pt>
                <c:pt idx="5">
                  <c:v>98.45</c:v>
                </c:pt>
                <c:pt idx="6">
                  <c:v>99.1</c:v>
                </c:pt>
                <c:pt idx="7">
                  <c:v>98.99</c:v>
                </c:pt>
                <c:pt idx="8">
                  <c:v>98.77</c:v>
                </c:pt>
                <c:pt idx="9">
                  <c:v>98.41</c:v>
                </c:pt>
                <c:pt idx="10">
                  <c:v>99.12</c:v>
                </c:pt>
                <c:pt idx="11">
                  <c:v>98.98</c:v>
                </c:pt>
                <c:pt idx="12">
                  <c:v>99.23</c:v>
                </c:pt>
                <c:pt idx="13">
                  <c:v>98.85</c:v>
                </c:pt>
                <c:pt idx="14">
                  <c:v>98.01</c:v>
                </c:pt>
                <c:pt idx="15">
                  <c:v>99.5</c:v>
                </c:pt>
                <c:pt idx="16">
                  <c:v>100.2</c:v>
                </c:pt>
                <c:pt idx="17">
                  <c:v>100</c:v>
                </c:pt>
                <c:pt idx="18">
                  <c:v>99.8</c:v>
                </c:pt>
                <c:pt idx="19">
                  <c:v>100.25</c:v>
                </c:pt>
                <c:pt idx="20">
                  <c:v>99.8</c:v>
                </c:pt>
                <c:pt idx="21">
                  <c:v>99.71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7-464A-B55C-7D99F5484BA5}"/>
            </c:ext>
          </c:extLst>
        </c:ser>
        <c:ser>
          <c:idx val="3"/>
          <c:order val="3"/>
          <c:tx>
            <c:strRef>
              <c:f>'Telecom Prices'!$E$32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Prices'!$E$33:$E$54</c:f>
              <c:numCache>
                <c:formatCode>0.00</c:formatCode>
                <c:ptCount val="22"/>
                <c:pt idx="0">
                  <c:v>98.59</c:v>
                </c:pt>
                <c:pt idx="1">
                  <c:v>97.96</c:v>
                </c:pt>
                <c:pt idx="2">
                  <c:v>97.33</c:v>
                </c:pt>
                <c:pt idx="3">
                  <c:v>98.95</c:v>
                </c:pt>
                <c:pt idx="4">
                  <c:v>98.42</c:v>
                </c:pt>
                <c:pt idx="5">
                  <c:v>98.47</c:v>
                </c:pt>
                <c:pt idx="6">
                  <c:v>99.13</c:v>
                </c:pt>
                <c:pt idx="7">
                  <c:v>99.01</c:v>
                </c:pt>
                <c:pt idx="8">
                  <c:v>98.79</c:v>
                </c:pt>
                <c:pt idx="9">
                  <c:v>98.43</c:v>
                </c:pt>
                <c:pt idx="10">
                  <c:v>99.13</c:v>
                </c:pt>
                <c:pt idx="11">
                  <c:v>99</c:v>
                </c:pt>
                <c:pt idx="12">
                  <c:v>99.26</c:v>
                </c:pt>
                <c:pt idx="13">
                  <c:v>98.85</c:v>
                </c:pt>
                <c:pt idx="14">
                  <c:v>98.01</c:v>
                </c:pt>
                <c:pt idx="15">
                  <c:v>99.5</c:v>
                </c:pt>
                <c:pt idx="16">
                  <c:v>100.19</c:v>
                </c:pt>
                <c:pt idx="17">
                  <c:v>100</c:v>
                </c:pt>
                <c:pt idx="18">
                  <c:v>99.82</c:v>
                </c:pt>
                <c:pt idx="19">
                  <c:v>100.27</c:v>
                </c:pt>
                <c:pt idx="20">
                  <c:v>99.82</c:v>
                </c:pt>
                <c:pt idx="21">
                  <c:v>99.73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7-464A-B55C-7D99F5484BA5}"/>
            </c:ext>
          </c:extLst>
        </c:ser>
        <c:ser>
          <c:idx val="4"/>
          <c:order val="4"/>
          <c:tx>
            <c:strRef>
              <c:f>'Telecom Prices'!$F$32</c:f>
              <c:strCache>
                <c:ptCount val="1"/>
                <c:pt idx="0">
                  <c:v>Perth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Prices'!$F$33:$F$54</c:f>
              <c:numCache>
                <c:formatCode>0.00</c:formatCode>
                <c:ptCount val="22"/>
                <c:pt idx="0">
                  <c:v>98.51</c:v>
                </c:pt>
                <c:pt idx="1">
                  <c:v>97.89</c:v>
                </c:pt>
                <c:pt idx="2">
                  <c:v>97.27</c:v>
                </c:pt>
                <c:pt idx="3">
                  <c:v>98.88</c:v>
                </c:pt>
                <c:pt idx="4">
                  <c:v>98.37</c:v>
                </c:pt>
                <c:pt idx="5">
                  <c:v>98.41</c:v>
                </c:pt>
                <c:pt idx="6">
                  <c:v>99.06</c:v>
                </c:pt>
                <c:pt idx="7">
                  <c:v>98.94</c:v>
                </c:pt>
                <c:pt idx="8">
                  <c:v>98.73</c:v>
                </c:pt>
                <c:pt idx="9">
                  <c:v>98.37</c:v>
                </c:pt>
                <c:pt idx="10">
                  <c:v>99.1</c:v>
                </c:pt>
                <c:pt idx="11">
                  <c:v>98.95</c:v>
                </c:pt>
                <c:pt idx="12">
                  <c:v>99.2</c:v>
                </c:pt>
                <c:pt idx="13">
                  <c:v>98.86</c:v>
                </c:pt>
                <c:pt idx="14">
                  <c:v>98</c:v>
                </c:pt>
                <c:pt idx="15">
                  <c:v>99.49</c:v>
                </c:pt>
                <c:pt idx="16">
                  <c:v>100.22</c:v>
                </c:pt>
                <c:pt idx="17">
                  <c:v>100</c:v>
                </c:pt>
                <c:pt idx="18">
                  <c:v>99.77</c:v>
                </c:pt>
                <c:pt idx="19">
                  <c:v>100.22</c:v>
                </c:pt>
                <c:pt idx="20">
                  <c:v>99.77</c:v>
                </c:pt>
                <c:pt idx="21">
                  <c:v>99.68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17-464A-B55C-7D99F5484BA5}"/>
            </c:ext>
          </c:extLst>
        </c:ser>
        <c:ser>
          <c:idx val="5"/>
          <c:order val="5"/>
          <c:tx>
            <c:strRef>
              <c:f>'Telecom Prices'!$G$32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Prices'!$G$33:$G$54</c:f>
              <c:numCache>
                <c:formatCode>0.00</c:formatCode>
                <c:ptCount val="22"/>
                <c:pt idx="0">
                  <c:v>98.4</c:v>
                </c:pt>
                <c:pt idx="1">
                  <c:v>97.76</c:v>
                </c:pt>
                <c:pt idx="2">
                  <c:v>97.12</c:v>
                </c:pt>
                <c:pt idx="3">
                  <c:v>98.77</c:v>
                </c:pt>
                <c:pt idx="4">
                  <c:v>98.28</c:v>
                </c:pt>
                <c:pt idx="5">
                  <c:v>98.31</c:v>
                </c:pt>
                <c:pt idx="6">
                  <c:v>98.93</c:v>
                </c:pt>
                <c:pt idx="7">
                  <c:v>98.8</c:v>
                </c:pt>
                <c:pt idx="8">
                  <c:v>98.6</c:v>
                </c:pt>
                <c:pt idx="9">
                  <c:v>98.24</c:v>
                </c:pt>
                <c:pt idx="10">
                  <c:v>99.02</c:v>
                </c:pt>
                <c:pt idx="11">
                  <c:v>98.86</c:v>
                </c:pt>
                <c:pt idx="12">
                  <c:v>99.12</c:v>
                </c:pt>
                <c:pt idx="13">
                  <c:v>98.84</c:v>
                </c:pt>
                <c:pt idx="14">
                  <c:v>98</c:v>
                </c:pt>
                <c:pt idx="15">
                  <c:v>99.48</c:v>
                </c:pt>
                <c:pt idx="16">
                  <c:v>100.24</c:v>
                </c:pt>
                <c:pt idx="17">
                  <c:v>100</c:v>
                </c:pt>
                <c:pt idx="18">
                  <c:v>99.72</c:v>
                </c:pt>
                <c:pt idx="19">
                  <c:v>100.17</c:v>
                </c:pt>
                <c:pt idx="20">
                  <c:v>99.73</c:v>
                </c:pt>
                <c:pt idx="21">
                  <c:v>99.64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17-464A-B55C-7D99F5484BA5}"/>
            </c:ext>
          </c:extLst>
        </c:ser>
        <c:ser>
          <c:idx val="6"/>
          <c:order val="6"/>
          <c:tx>
            <c:strRef>
              <c:f>'Telecom Prices'!$H$32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Prices'!$H$33:$H$54</c:f>
              <c:numCache>
                <c:formatCode>0.00</c:formatCode>
                <c:ptCount val="22"/>
                <c:pt idx="0">
                  <c:v>98.65</c:v>
                </c:pt>
                <c:pt idx="1">
                  <c:v>98</c:v>
                </c:pt>
                <c:pt idx="2">
                  <c:v>97.36</c:v>
                </c:pt>
                <c:pt idx="3">
                  <c:v>98.99</c:v>
                </c:pt>
                <c:pt idx="4">
                  <c:v>98.46</c:v>
                </c:pt>
                <c:pt idx="5">
                  <c:v>98.5</c:v>
                </c:pt>
                <c:pt idx="6">
                  <c:v>99.16</c:v>
                </c:pt>
                <c:pt idx="7">
                  <c:v>99.05</c:v>
                </c:pt>
                <c:pt idx="8">
                  <c:v>98.83</c:v>
                </c:pt>
                <c:pt idx="9">
                  <c:v>98.47</c:v>
                </c:pt>
                <c:pt idx="10">
                  <c:v>99.15</c:v>
                </c:pt>
                <c:pt idx="11">
                  <c:v>99.03</c:v>
                </c:pt>
                <c:pt idx="12">
                  <c:v>99.29</c:v>
                </c:pt>
                <c:pt idx="13">
                  <c:v>98.85</c:v>
                </c:pt>
                <c:pt idx="14">
                  <c:v>98.02</c:v>
                </c:pt>
                <c:pt idx="15">
                  <c:v>99.5</c:v>
                </c:pt>
                <c:pt idx="16">
                  <c:v>100.17</c:v>
                </c:pt>
                <c:pt idx="17">
                  <c:v>100</c:v>
                </c:pt>
                <c:pt idx="18">
                  <c:v>99.86</c:v>
                </c:pt>
                <c:pt idx="19">
                  <c:v>100.31</c:v>
                </c:pt>
                <c:pt idx="20">
                  <c:v>99.86</c:v>
                </c:pt>
                <c:pt idx="21">
                  <c:v>99.77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17-464A-B55C-7D99F5484BA5}"/>
            </c:ext>
          </c:extLst>
        </c:ser>
        <c:ser>
          <c:idx val="7"/>
          <c:order val="7"/>
          <c:tx>
            <c:strRef>
              <c:f>'Telecom Prices'!$I$32</c:f>
              <c:strCache>
                <c:ptCount val="1"/>
                <c:pt idx="0">
                  <c:v>Canberra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Prices'!$I$33:$I$54</c:f>
              <c:numCache>
                <c:formatCode>0.00</c:formatCode>
                <c:ptCount val="22"/>
                <c:pt idx="0">
                  <c:v>98.51</c:v>
                </c:pt>
                <c:pt idx="1">
                  <c:v>97.8</c:v>
                </c:pt>
                <c:pt idx="2">
                  <c:v>97.1</c:v>
                </c:pt>
                <c:pt idx="3">
                  <c:v>98.83</c:v>
                </c:pt>
                <c:pt idx="4">
                  <c:v>98.33</c:v>
                </c:pt>
                <c:pt idx="5">
                  <c:v>98.36</c:v>
                </c:pt>
                <c:pt idx="6">
                  <c:v>98.95</c:v>
                </c:pt>
                <c:pt idx="7">
                  <c:v>98.84</c:v>
                </c:pt>
                <c:pt idx="8">
                  <c:v>98.62</c:v>
                </c:pt>
                <c:pt idx="9">
                  <c:v>98.27</c:v>
                </c:pt>
                <c:pt idx="10">
                  <c:v>99.01</c:v>
                </c:pt>
                <c:pt idx="11">
                  <c:v>98.89</c:v>
                </c:pt>
                <c:pt idx="12">
                  <c:v>99.19</c:v>
                </c:pt>
                <c:pt idx="13">
                  <c:v>98.82</c:v>
                </c:pt>
                <c:pt idx="14">
                  <c:v>98.02</c:v>
                </c:pt>
                <c:pt idx="15">
                  <c:v>99.49</c:v>
                </c:pt>
                <c:pt idx="16">
                  <c:v>100.17</c:v>
                </c:pt>
                <c:pt idx="17">
                  <c:v>100</c:v>
                </c:pt>
                <c:pt idx="18">
                  <c:v>99.84</c:v>
                </c:pt>
                <c:pt idx="19">
                  <c:v>100.27</c:v>
                </c:pt>
                <c:pt idx="20">
                  <c:v>99.85</c:v>
                </c:pt>
                <c:pt idx="21">
                  <c:v>99.76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17-464A-B55C-7D99F5484BA5}"/>
            </c:ext>
          </c:extLst>
        </c:ser>
        <c:ser>
          <c:idx val="8"/>
          <c:order val="8"/>
          <c:tx>
            <c:strRef>
              <c:f>'Telecom Prices'!$J$32</c:f>
              <c:strCache>
                <c:ptCount val="1"/>
                <c:pt idx="0">
                  <c:v>8-Capital Avg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'Telecom Prices'!$A$33:$A$54</c:f>
              <c:numCache>
                <c:formatCode>mmm\-yyyy</c:formatCode>
                <c:ptCount val="2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  <c:pt idx="13">
                  <c:v>45778</c:v>
                </c:pt>
                <c:pt idx="14">
                  <c:v>45809</c:v>
                </c:pt>
                <c:pt idx="15">
                  <c:v>45839</c:v>
                </c:pt>
                <c:pt idx="16">
                  <c:v>45870</c:v>
                </c:pt>
                <c:pt idx="17">
                  <c:v>45901</c:v>
                </c:pt>
                <c:pt idx="18">
                  <c:v>45931</c:v>
                </c:pt>
                <c:pt idx="19">
                  <c:v>45962</c:v>
                </c:pt>
                <c:pt idx="20">
                  <c:v>45992</c:v>
                </c:pt>
                <c:pt idx="21">
                  <c:v>46023</c:v>
                </c:pt>
              </c:numCache>
            </c:numRef>
          </c:cat>
          <c:val>
            <c:numRef>
              <c:f>'Telecom Prices'!$J$33:$J$54</c:f>
              <c:numCache>
                <c:formatCode>0.00</c:formatCode>
                <c:ptCount val="22"/>
                <c:pt idx="0">
                  <c:v>98.534999999999997</c:v>
                </c:pt>
                <c:pt idx="1">
                  <c:v>97.88624999999999</c:v>
                </c:pt>
                <c:pt idx="2">
                  <c:v>97.242500000000007</c:v>
                </c:pt>
                <c:pt idx="3">
                  <c:v>98.887500000000003</c:v>
                </c:pt>
                <c:pt idx="4">
                  <c:v>98.375000000000014</c:v>
                </c:pt>
                <c:pt idx="5">
                  <c:v>98.415000000000006</c:v>
                </c:pt>
                <c:pt idx="6">
                  <c:v>99.051249999999996</c:v>
                </c:pt>
                <c:pt idx="7">
                  <c:v>98.934999999999988</c:v>
                </c:pt>
                <c:pt idx="8">
                  <c:v>98.718750000000014</c:v>
                </c:pt>
                <c:pt idx="9">
                  <c:v>98.361249999999998</c:v>
                </c:pt>
                <c:pt idx="10">
                  <c:v>99.086249999999993</c:v>
                </c:pt>
                <c:pt idx="11">
                  <c:v>98.94874999999999</c:v>
                </c:pt>
                <c:pt idx="12">
                  <c:v>99.212500000000006</c:v>
                </c:pt>
                <c:pt idx="13">
                  <c:v>98.844999999999999</c:v>
                </c:pt>
                <c:pt idx="14">
                  <c:v>98.009999999999991</c:v>
                </c:pt>
                <c:pt idx="15">
                  <c:v>99.492500000000007</c:v>
                </c:pt>
                <c:pt idx="16">
                  <c:v>100.19874999999999</c:v>
                </c:pt>
                <c:pt idx="17">
                  <c:v>100</c:v>
                </c:pt>
                <c:pt idx="18">
                  <c:v>99.801249999999996</c:v>
                </c:pt>
                <c:pt idx="19">
                  <c:v>100.24625</c:v>
                </c:pt>
                <c:pt idx="20">
                  <c:v>99.805000000000007</c:v>
                </c:pt>
                <c:pt idx="21">
                  <c:v>99.715000000000003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17-464A-B55C-7D99F5484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289184"/>
        <c:axId val="1936514400"/>
      </c:lineChart>
      <c:dateAx>
        <c:axId val="202628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14400"/>
        <c:crosses val="autoZero"/>
        <c:auto val="1"/>
        <c:lblOffset val="100"/>
        <c:baseTimeUnit val="months"/>
      </c:dateAx>
      <c:valAx>
        <c:axId val="19365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8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161925</xdr:colOff>
      <xdr:row>3</xdr:row>
      <xdr:rowOff>95250</xdr:rowOff>
    </xdr:from>
    <xdr:to>
      <xdr:col>40</xdr:col>
      <xdr:colOff>161925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C7ABC-1F00-7AD4-B8B6-44736EB59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47625</xdr:colOff>
      <xdr:row>25</xdr:row>
      <xdr:rowOff>123825</xdr:rowOff>
    </xdr:from>
    <xdr:to>
      <xdr:col>40</xdr:col>
      <xdr:colOff>47625</xdr:colOff>
      <xdr:row>44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9905A-B611-8F90-DD5F-09EAA39B3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41</xdr:row>
      <xdr:rowOff>0</xdr:rowOff>
    </xdr:from>
    <xdr:to>
      <xdr:col>25</xdr:col>
      <xdr:colOff>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20D16-785F-4D4D-4091-08627401D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030550-4B47-7105-458D-BCCFA24FC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84</xdr:row>
      <xdr:rowOff>0</xdr:rowOff>
    </xdr:from>
    <xdr:to>
      <xdr:col>25</xdr:col>
      <xdr:colOff>0</xdr:colOff>
      <xdr:row>103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2CC88E-E721-A66C-BF29-C1DB7BA39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29</xdr:row>
      <xdr:rowOff>0</xdr:rowOff>
    </xdr:from>
    <xdr:to>
      <xdr:col>19</xdr:col>
      <xdr:colOff>736600</xdr:colOff>
      <xdr:row>52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2136E-B2FE-4BE3-D54E-00D33CABB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55</xdr:row>
      <xdr:rowOff>0</xdr:rowOff>
    </xdr:from>
    <xdr:to>
      <xdr:col>19</xdr:col>
      <xdr:colOff>736600</xdr:colOff>
      <xdr:row>78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26DEB-05DE-9B1C-71AF-B144E2A4D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394939-1B33-444E-95E8-EA533B56479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9698fc3-0509-4b51-8065-9d84b47a0fc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69"/>
  <sheetViews>
    <sheetView showGridLines="0" workbookViewId="0">
      <pane ySplit="11" topLeftCell="A97" activePane="bottomLeft" state="frozen"/>
      <selection pane="bottomLeft" activeCell="E115" sqref="E115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11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2061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2062</v>
      </c>
    </row>
    <row r="6" spans="1:13" ht="15.75" customHeight="1" x14ac:dyDescent="0.2">
      <c r="B6" s="59" t="s">
        <v>2063</v>
      </c>
      <c r="C6" s="59"/>
      <c r="D6" s="59"/>
      <c r="E6" s="59"/>
      <c r="F6" s="59"/>
      <c r="G6" s="59"/>
      <c r="H6" s="59"/>
      <c r="I6" s="59"/>
      <c r="J6" s="59"/>
      <c r="K6" s="59"/>
      <c r="L6" s="59"/>
    </row>
    <row r="8" spans="1:13" ht="15" x14ac:dyDescent="0.25">
      <c r="D8" s="15" t="s">
        <v>2066</v>
      </c>
    </row>
    <row r="9" spans="1:13" s="16" customFormat="1" x14ac:dyDescent="0.2"/>
    <row r="10" spans="1:13" ht="22.5" customHeight="1" x14ac:dyDescent="0.2">
      <c r="A10" s="17" t="s">
        <v>2067</v>
      </c>
      <c r="B10" s="17"/>
      <c r="C10" s="17"/>
      <c r="D10" s="17" t="s">
        <v>237</v>
      </c>
      <c r="E10" s="17" t="s">
        <v>244</v>
      </c>
      <c r="F10" s="17" t="s">
        <v>241</v>
      </c>
      <c r="G10" s="17" t="s">
        <v>242</v>
      </c>
      <c r="H10" s="17" t="s">
        <v>2068</v>
      </c>
      <c r="I10" s="17" t="s">
        <v>236</v>
      </c>
      <c r="J10" s="17" t="s">
        <v>238</v>
      </c>
      <c r="K10" s="17" t="s">
        <v>2069</v>
      </c>
      <c r="L10" s="17" t="s">
        <v>240</v>
      </c>
    </row>
    <row r="12" spans="1:13" x14ac:dyDescent="0.2">
      <c r="A12" s="10" t="s">
        <v>0</v>
      </c>
      <c r="D12" s="10" t="s">
        <v>246</v>
      </c>
      <c r="E12" s="18" t="s">
        <v>249</v>
      </c>
      <c r="F12" s="9">
        <v>45383</v>
      </c>
      <c r="G12" s="9">
        <v>46023</v>
      </c>
      <c r="H12" s="10">
        <v>22</v>
      </c>
      <c r="I12" s="10" t="s">
        <v>245</v>
      </c>
      <c r="J12" s="10" t="s">
        <v>247</v>
      </c>
      <c r="K12" s="10" t="s">
        <v>248</v>
      </c>
      <c r="L12" s="10">
        <v>1</v>
      </c>
    </row>
    <row r="13" spans="1:13" x14ac:dyDescent="0.2">
      <c r="A13" s="10" t="s">
        <v>1</v>
      </c>
      <c r="D13" s="10" t="s">
        <v>246</v>
      </c>
      <c r="E13" s="18" t="s">
        <v>250</v>
      </c>
      <c r="F13" s="9">
        <v>45383</v>
      </c>
      <c r="G13" s="9">
        <v>46023</v>
      </c>
      <c r="H13" s="10">
        <v>22</v>
      </c>
      <c r="I13" s="10" t="s">
        <v>245</v>
      </c>
      <c r="J13" s="10" t="s">
        <v>247</v>
      </c>
      <c r="K13" s="10" t="s">
        <v>248</v>
      </c>
      <c r="L13" s="10">
        <v>1</v>
      </c>
    </row>
    <row r="14" spans="1:13" x14ac:dyDescent="0.2">
      <c r="A14" s="10" t="s">
        <v>2</v>
      </c>
      <c r="D14" s="10" t="s">
        <v>246</v>
      </c>
      <c r="E14" s="18" t="s">
        <v>251</v>
      </c>
      <c r="F14" s="9">
        <v>42979</v>
      </c>
      <c r="G14" s="9">
        <v>46023</v>
      </c>
      <c r="H14" s="10">
        <v>101</v>
      </c>
      <c r="I14" s="10" t="s">
        <v>245</v>
      </c>
      <c r="J14" s="10" t="s">
        <v>247</v>
      </c>
      <c r="K14" s="10" t="s">
        <v>248</v>
      </c>
      <c r="L14" s="10">
        <v>1</v>
      </c>
    </row>
    <row r="15" spans="1:13" x14ac:dyDescent="0.2">
      <c r="A15" s="10" t="s">
        <v>3</v>
      </c>
      <c r="D15" s="10" t="s">
        <v>246</v>
      </c>
      <c r="E15" s="18" t="s">
        <v>252</v>
      </c>
      <c r="F15" s="9">
        <v>42979</v>
      </c>
      <c r="G15" s="9">
        <v>46023</v>
      </c>
      <c r="H15" s="10">
        <v>101</v>
      </c>
      <c r="I15" s="10" t="s">
        <v>245</v>
      </c>
      <c r="J15" s="10" t="s">
        <v>247</v>
      </c>
      <c r="K15" s="10" t="s">
        <v>248</v>
      </c>
      <c r="L15" s="10">
        <v>1</v>
      </c>
    </row>
    <row r="16" spans="1:13" x14ac:dyDescent="0.2">
      <c r="A16" s="10" t="s">
        <v>4</v>
      </c>
      <c r="D16" s="10" t="s">
        <v>246</v>
      </c>
      <c r="E16" s="18" t="s">
        <v>253</v>
      </c>
      <c r="F16" s="9">
        <v>42979</v>
      </c>
      <c r="G16" s="9">
        <v>46023</v>
      </c>
      <c r="H16" s="10">
        <v>101</v>
      </c>
      <c r="I16" s="10" t="s">
        <v>245</v>
      </c>
      <c r="J16" s="10" t="s">
        <v>247</v>
      </c>
      <c r="K16" s="10" t="s">
        <v>248</v>
      </c>
      <c r="L16" s="10">
        <v>1</v>
      </c>
    </row>
    <row r="17" spans="1:12" x14ac:dyDescent="0.2">
      <c r="A17" s="10" t="s">
        <v>5</v>
      </c>
      <c r="D17" s="10" t="s">
        <v>246</v>
      </c>
      <c r="E17" s="18" t="s">
        <v>254</v>
      </c>
      <c r="F17" s="9">
        <v>42979</v>
      </c>
      <c r="G17" s="9">
        <v>46023</v>
      </c>
      <c r="H17" s="10">
        <v>101</v>
      </c>
      <c r="I17" s="10" t="s">
        <v>245</v>
      </c>
      <c r="J17" s="10" t="s">
        <v>247</v>
      </c>
      <c r="K17" s="10" t="s">
        <v>248</v>
      </c>
      <c r="L17" s="10">
        <v>1</v>
      </c>
    </row>
    <row r="18" spans="1:12" x14ac:dyDescent="0.2">
      <c r="A18" s="10" t="s">
        <v>6</v>
      </c>
      <c r="D18" s="10" t="s">
        <v>246</v>
      </c>
      <c r="E18" s="18" t="s">
        <v>255</v>
      </c>
      <c r="F18" s="9">
        <v>42979</v>
      </c>
      <c r="G18" s="9">
        <v>46023</v>
      </c>
      <c r="H18" s="10">
        <v>101</v>
      </c>
      <c r="I18" s="10" t="s">
        <v>245</v>
      </c>
      <c r="J18" s="10" t="s">
        <v>247</v>
      </c>
      <c r="K18" s="10" t="s">
        <v>248</v>
      </c>
      <c r="L18" s="10">
        <v>1</v>
      </c>
    </row>
    <row r="19" spans="1:12" x14ac:dyDescent="0.2">
      <c r="A19" s="10" t="s">
        <v>7</v>
      </c>
      <c r="D19" s="10" t="s">
        <v>246</v>
      </c>
      <c r="E19" s="18" t="s">
        <v>256</v>
      </c>
      <c r="F19" s="9">
        <v>42979</v>
      </c>
      <c r="G19" s="9">
        <v>46023</v>
      </c>
      <c r="H19" s="10">
        <v>101</v>
      </c>
      <c r="I19" s="10" t="s">
        <v>245</v>
      </c>
      <c r="J19" s="10" t="s">
        <v>247</v>
      </c>
      <c r="K19" s="10" t="s">
        <v>248</v>
      </c>
      <c r="L19" s="10">
        <v>1</v>
      </c>
    </row>
    <row r="20" spans="1:12" x14ac:dyDescent="0.2">
      <c r="A20" s="10" t="s">
        <v>8</v>
      </c>
      <c r="D20" s="10" t="s">
        <v>246</v>
      </c>
      <c r="E20" s="18" t="s">
        <v>257</v>
      </c>
      <c r="F20" s="9">
        <v>42979</v>
      </c>
      <c r="G20" s="9">
        <v>46023</v>
      </c>
      <c r="H20" s="10">
        <v>101</v>
      </c>
      <c r="I20" s="10" t="s">
        <v>245</v>
      </c>
      <c r="J20" s="10" t="s">
        <v>247</v>
      </c>
      <c r="K20" s="10" t="s">
        <v>248</v>
      </c>
      <c r="L20" s="10">
        <v>1</v>
      </c>
    </row>
    <row r="21" spans="1:12" x14ac:dyDescent="0.2">
      <c r="A21" s="10" t="s">
        <v>9</v>
      </c>
      <c r="D21" s="10" t="s">
        <v>246</v>
      </c>
      <c r="E21" s="18" t="s">
        <v>258</v>
      </c>
      <c r="F21" s="9">
        <v>42979</v>
      </c>
      <c r="G21" s="9">
        <v>46023</v>
      </c>
      <c r="H21" s="10">
        <v>101</v>
      </c>
      <c r="I21" s="10" t="s">
        <v>245</v>
      </c>
      <c r="J21" s="10" t="s">
        <v>247</v>
      </c>
      <c r="K21" s="10" t="s">
        <v>248</v>
      </c>
      <c r="L21" s="10">
        <v>1</v>
      </c>
    </row>
    <row r="22" spans="1:12" x14ac:dyDescent="0.2">
      <c r="A22" s="10" t="s">
        <v>10</v>
      </c>
      <c r="D22" s="10" t="s">
        <v>246</v>
      </c>
      <c r="E22" s="18" t="s">
        <v>259</v>
      </c>
      <c r="F22" s="9">
        <v>42979</v>
      </c>
      <c r="G22" s="9">
        <v>46023</v>
      </c>
      <c r="H22" s="10">
        <v>101</v>
      </c>
      <c r="I22" s="10" t="s">
        <v>245</v>
      </c>
      <c r="J22" s="10" t="s">
        <v>247</v>
      </c>
      <c r="K22" s="10" t="s">
        <v>248</v>
      </c>
      <c r="L22" s="10">
        <v>1</v>
      </c>
    </row>
    <row r="23" spans="1:12" x14ac:dyDescent="0.2">
      <c r="A23" s="10" t="s">
        <v>11</v>
      </c>
      <c r="D23" s="10" t="s">
        <v>246</v>
      </c>
      <c r="E23" s="18" t="s">
        <v>260</v>
      </c>
      <c r="F23" s="9">
        <v>42979</v>
      </c>
      <c r="G23" s="9">
        <v>46023</v>
      </c>
      <c r="H23" s="10">
        <v>101</v>
      </c>
      <c r="I23" s="10" t="s">
        <v>245</v>
      </c>
      <c r="J23" s="10" t="s">
        <v>247</v>
      </c>
      <c r="K23" s="10" t="s">
        <v>248</v>
      </c>
      <c r="L23" s="10">
        <v>1</v>
      </c>
    </row>
    <row r="24" spans="1:12" x14ac:dyDescent="0.2">
      <c r="A24" s="10" t="s">
        <v>12</v>
      </c>
      <c r="D24" s="10" t="s">
        <v>246</v>
      </c>
      <c r="E24" s="18" t="s">
        <v>261</v>
      </c>
      <c r="F24" s="9">
        <v>42979</v>
      </c>
      <c r="G24" s="9">
        <v>46023</v>
      </c>
      <c r="H24" s="10">
        <v>101</v>
      </c>
      <c r="I24" s="10" t="s">
        <v>245</v>
      </c>
      <c r="J24" s="10" t="s">
        <v>247</v>
      </c>
      <c r="K24" s="10" t="s">
        <v>248</v>
      </c>
      <c r="L24" s="10">
        <v>1</v>
      </c>
    </row>
    <row r="25" spans="1:12" x14ac:dyDescent="0.2">
      <c r="A25" s="10" t="s">
        <v>13</v>
      </c>
      <c r="D25" s="10" t="s">
        <v>246</v>
      </c>
      <c r="E25" s="18" t="s">
        <v>262</v>
      </c>
      <c r="F25" s="9">
        <v>42979</v>
      </c>
      <c r="G25" s="9">
        <v>46023</v>
      </c>
      <c r="H25" s="10">
        <v>101</v>
      </c>
      <c r="I25" s="10" t="s">
        <v>245</v>
      </c>
      <c r="J25" s="10" t="s">
        <v>247</v>
      </c>
      <c r="K25" s="10" t="s">
        <v>248</v>
      </c>
      <c r="L25" s="10">
        <v>1</v>
      </c>
    </row>
    <row r="26" spans="1:12" x14ac:dyDescent="0.2">
      <c r="A26" s="10" t="s">
        <v>14</v>
      </c>
      <c r="D26" s="10" t="s">
        <v>246</v>
      </c>
      <c r="E26" s="18" t="s">
        <v>263</v>
      </c>
      <c r="F26" s="9">
        <v>42979</v>
      </c>
      <c r="G26" s="9">
        <v>46023</v>
      </c>
      <c r="H26" s="10">
        <v>101</v>
      </c>
      <c r="I26" s="10" t="s">
        <v>245</v>
      </c>
      <c r="J26" s="10" t="s">
        <v>247</v>
      </c>
      <c r="K26" s="10" t="s">
        <v>248</v>
      </c>
      <c r="L26" s="10">
        <v>1</v>
      </c>
    </row>
    <row r="27" spans="1:12" x14ac:dyDescent="0.2">
      <c r="A27" s="10" t="s">
        <v>15</v>
      </c>
      <c r="D27" s="10" t="s">
        <v>246</v>
      </c>
      <c r="E27" s="18" t="s">
        <v>264</v>
      </c>
      <c r="F27" s="9">
        <v>42979</v>
      </c>
      <c r="G27" s="9">
        <v>46023</v>
      </c>
      <c r="H27" s="10">
        <v>101</v>
      </c>
      <c r="I27" s="10" t="s">
        <v>245</v>
      </c>
      <c r="J27" s="10" t="s">
        <v>247</v>
      </c>
      <c r="K27" s="10" t="s">
        <v>248</v>
      </c>
      <c r="L27" s="10">
        <v>1</v>
      </c>
    </row>
    <row r="28" spans="1:12" x14ac:dyDescent="0.2">
      <c r="A28" s="10" t="s">
        <v>16</v>
      </c>
      <c r="D28" s="10" t="s">
        <v>246</v>
      </c>
      <c r="E28" s="18" t="s">
        <v>265</v>
      </c>
      <c r="F28" s="9">
        <v>42979</v>
      </c>
      <c r="G28" s="9">
        <v>46023</v>
      </c>
      <c r="H28" s="10">
        <v>101</v>
      </c>
      <c r="I28" s="10" t="s">
        <v>245</v>
      </c>
      <c r="J28" s="10" t="s">
        <v>247</v>
      </c>
      <c r="K28" s="10" t="s">
        <v>248</v>
      </c>
      <c r="L28" s="10">
        <v>1</v>
      </c>
    </row>
    <row r="29" spans="1:12" x14ac:dyDescent="0.2">
      <c r="A29" s="10" t="s">
        <v>17</v>
      </c>
      <c r="D29" s="10" t="s">
        <v>246</v>
      </c>
      <c r="E29" s="18" t="s">
        <v>266</v>
      </c>
      <c r="F29" s="9">
        <v>42979</v>
      </c>
      <c r="G29" s="9">
        <v>46023</v>
      </c>
      <c r="H29" s="10">
        <v>101</v>
      </c>
      <c r="I29" s="10" t="s">
        <v>245</v>
      </c>
      <c r="J29" s="10" t="s">
        <v>247</v>
      </c>
      <c r="K29" s="10" t="s">
        <v>248</v>
      </c>
      <c r="L29" s="10">
        <v>1</v>
      </c>
    </row>
    <row r="30" spans="1:12" x14ac:dyDescent="0.2">
      <c r="A30" s="10" t="s">
        <v>18</v>
      </c>
      <c r="D30" s="10" t="s">
        <v>246</v>
      </c>
      <c r="E30" s="18" t="s">
        <v>267</v>
      </c>
      <c r="F30" s="9">
        <v>42979</v>
      </c>
      <c r="G30" s="9">
        <v>46023</v>
      </c>
      <c r="H30" s="10">
        <v>101</v>
      </c>
      <c r="I30" s="10" t="s">
        <v>245</v>
      </c>
      <c r="J30" s="10" t="s">
        <v>247</v>
      </c>
      <c r="K30" s="10" t="s">
        <v>248</v>
      </c>
      <c r="L30" s="10">
        <v>1</v>
      </c>
    </row>
    <row r="31" spans="1:12" x14ac:dyDescent="0.2">
      <c r="A31" s="10" t="s">
        <v>19</v>
      </c>
      <c r="D31" s="10" t="s">
        <v>246</v>
      </c>
      <c r="E31" s="18" t="s">
        <v>268</v>
      </c>
      <c r="F31" s="9">
        <v>42979</v>
      </c>
      <c r="G31" s="9">
        <v>46023</v>
      </c>
      <c r="H31" s="10">
        <v>101</v>
      </c>
      <c r="I31" s="10" t="s">
        <v>245</v>
      </c>
      <c r="J31" s="10" t="s">
        <v>247</v>
      </c>
      <c r="K31" s="10" t="s">
        <v>248</v>
      </c>
      <c r="L31" s="10">
        <v>1</v>
      </c>
    </row>
    <row r="32" spans="1:12" x14ac:dyDescent="0.2">
      <c r="A32" s="10" t="s">
        <v>20</v>
      </c>
      <c r="D32" s="10" t="s">
        <v>246</v>
      </c>
      <c r="E32" s="18" t="s">
        <v>269</v>
      </c>
      <c r="F32" s="9">
        <v>42979</v>
      </c>
      <c r="G32" s="9">
        <v>46023</v>
      </c>
      <c r="H32" s="10">
        <v>101</v>
      </c>
      <c r="I32" s="10" t="s">
        <v>245</v>
      </c>
      <c r="J32" s="10" t="s">
        <v>247</v>
      </c>
      <c r="K32" s="10" t="s">
        <v>248</v>
      </c>
      <c r="L32" s="10">
        <v>1</v>
      </c>
    </row>
    <row r="33" spans="1:12" x14ac:dyDescent="0.2">
      <c r="A33" s="10" t="s">
        <v>21</v>
      </c>
      <c r="D33" s="10" t="s">
        <v>246</v>
      </c>
      <c r="E33" s="18" t="s">
        <v>270</v>
      </c>
      <c r="F33" s="9">
        <v>42979</v>
      </c>
      <c r="G33" s="9">
        <v>46023</v>
      </c>
      <c r="H33" s="10">
        <v>101</v>
      </c>
      <c r="I33" s="10" t="s">
        <v>245</v>
      </c>
      <c r="J33" s="10" t="s">
        <v>247</v>
      </c>
      <c r="K33" s="10" t="s">
        <v>248</v>
      </c>
      <c r="L33" s="10">
        <v>1</v>
      </c>
    </row>
    <row r="34" spans="1:12" x14ac:dyDescent="0.2">
      <c r="A34" s="10" t="s">
        <v>22</v>
      </c>
      <c r="D34" s="10" t="s">
        <v>246</v>
      </c>
      <c r="E34" s="18" t="s">
        <v>271</v>
      </c>
      <c r="F34" s="9">
        <v>42979</v>
      </c>
      <c r="G34" s="9">
        <v>46023</v>
      </c>
      <c r="H34" s="10">
        <v>101</v>
      </c>
      <c r="I34" s="10" t="s">
        <v>245</v>
      </c>
      <c r="J34" s="10" t="s">
        <v>247</v>
      </c>
      <c r="K34" s="10" t="s">
        <v>248</v>
      </c>
      <c r="L34" s="10">
        <v>1</v>
      </c>
    </row>
    <row r="35" spans="1:12" x14ac:dyDescent="0.2">
      <c r="A35" s="10" t="s">
        <v>23</v>
      </c>
      <c r="D35" s="10" t="s">
        <v>246</v>
      </c>
      <c r="E35" s="18" t="s">
        <v>272</v>
      </c>
      <c r="F35" s="9">
        <v>42979</v>
      </c>
      <c r="G35" s="9">
        <v>46023</v>
      </c>
      <c r="H35" s="10">
        <v>101</v>
      </c>
      <c r="I35" s="10" t="s">
        <v>245</v>
      </c>
      <c r="J35" s="10" t="s">
        <v>247</v>
      </c>
      <c r="K35" s="10" t="s">
        <v>248</v>
      </c>
      <c r="L35" s="10">
        <v>1</v>
      </c>
    </row>
    <row r="36" spans="1:12" x14ac:dyDescent="0.2">
      <c r="A36" s="10" t="s">
        <v>24</v>
      </c>
      <c r="D36" s="10" t="s">
        <v>246</v>
      </c>
      <c r="E36" s="18" t="s">
        <v>273</v>
      </c>
      <c r="F36" s="9">
        <v>42979</v>
      </c>
      <c r="G36" s="9">
        <v>46023</v>
      </c>
      <c r="H36" s="10">
        <v>101</v>
      </c>
      <c r="I36" s="10" t="s">
        <v>245</v>
      </c>
      <c r="J36" s="10" t="s">
        <v>247</v>
      </c>
      <c r="K36" s="10" t="s">
        <v>248</v>
      </c>
      <c r="L36" s="10">
        <v>1</v>
      </c>
    </row>
    <row r="37" spans="1:12" x14ac:dyDescent="0.2">
      <c r="A37" s="10" t="s">
        <v>25</v>
      </c>
      <c r="D37" s="10" t="s">
        <v>246</v>
      </c>
      <c r="E37" s="18" t="s">
        <v>274</v>
      </c>
      <c r="F37" s="9">
        <v>42979</v>
      </c>
      <c r="G37" s="9">
        <v>46023</v>
      </c>
      <c r="H37" s="10">
        <v>101</v>
      </c>
      <c r="I37" s="10" t="s">
        <v>245</v>
      </c>
      <c r="J37" s="10" t="s">
        <v>247</v>
      </c>
      <c r="K37" s="10" t="s">
        <v>248</v>
      </c>
      <c r="L37" s="10">
        <v>1</v>
      </c>
    </row>
    <row r="38" spans="1:12" x14ac:dyDescent="0.2">
      <c r="A38" s="10" t="s">
        <v>26</v>
      </c>
      <c r="D38" s="10" t="s">
        <v>246</v>
      </c>
      <c r="E38" s="18" t="s">
        <v>275</v>
      </c>
      <c r="F38" s="9">
        <v>42979</v>
      </c>
      <c r="G38" s="9">
        <v>46023</v>
      </c>
      <c r="H38" s="10">
        <v>101</v>
      </c>
      <c r="I38" s="10" t="s">
        <v>245</v>
      </c>
      <c r="J38" s="10" t="s">
        <v>247</v>
      </c>
      <c r="K38" s="10" t="s">
        <v>248</v>
      </c>
      <c r="L38" s="10">
        <v>1</v>
      </c>
    </row>
    <row r="39" spans="1:12" x14ac:dyDescent="0.2">
      <c r="A39" s="10" t="s">
        <v>27</v>
      </c>
      <c r="D39" s="10" t="s">
        <v>246</v>
      </c>
      <c r="E39" s="18" t="s">
        <v>276</v>
      </c>
      <c r="F39" s="9">
        <v>42979</v>
      </c>
      <c r="G39" s="9">
        <v>46023</v>
      </c>
      <c r="H39" s="10">
        <v>101</v>
      </c>
      <c r="I39" s="10" t="s">
        <v>245</v>
      </c>
      <c r="J39" s="10" t="s">
        <v>247</v>
      </c>
      <c r="K39" s="10" t="s">
        <v>248</v>
      </c>
      <c r="L39" s="10">
        <v>1</v>
      </c>
    </row>
    <row r="40" spans="1:12" x14ac:dyDescent="0.2">
      <c r="A40" s="10" t="s">
        <v>28</v>
      </c>
      <c r="D40" s="10" t="s">
        <v>246</v>
      </c>
      <c r="E40" s="18" t="s">
        <v>277</v>
      </c>
      <c r="F40" s="9">
        <v>42979</v>
      </c>
      <c r="G40" s="9">
        <v>46023</v>
      </c>
      <c r="H40" s="10">
        <v>101</v>
      </c>
      <c r="I40" s="10" t="s">
        <v>245</v>
      </c>
      <c r="J40" s="10" t="s">
        <v>247</v>
      </c>
      <c r="K40" s="10" t="s">
        <v>248</v>
      </c>
      <c r="L40" s="10">
        <v>1</v>
      </c>
    </row>
    <row r="41" spans="1:12" x14ac:dyDescent="0.2">
      <c r="A41" s="10" t="s">
        <v>29</v>
      </c>
      <c r="D41" s="10" t="s">
        <v>246</v>
      </c>
      <c r="E41" s="18" t="s">
        <v>278</v>
      </c>
      <c r="F41" s="9">
        <v>42979</v>
      </c>
      <c r="G41" s="9">
        <v>46023</v>
      </c>
      <c r="H41" s="10">
        <v>101</v>
      </c>
      <c r="I41" s="10" t="s">
        <v>245</v>
      </c>
      <c r="J41" s="10" t="s">
        <v>247</v>
      </c>
      <c r="K41" s="10" t="s">
        <v>248</v>
      </c>
      <c r="L41" s="10">
        <v>1</v>
      </c>
    </row>
    <row r="42" spans="1:12" x14ac:dyDescent="0.2">
      <c r="A42" s="10" t="s">
        <v>30</v>
      </c>
      <c r="D42" s="10" t="s">
        <v>246</v>
      </c>
      <c r="E42" s="18" t="s">
        <v>279</v>
      </c>
      <c r="F42" s="9">
        <v>42979</v>
      </c>
      <c r="G42" s="9">
        <v>46023</v>
      </c>
      <c r="H42" s="10">
        <v>101</v>
      </c>
      <c r="I42" s="10" t="s">
        <v>245</v>
      </c>
      <c r="J42" s="10" t="s">
        <v>247</v>
      </c>
      <c r="K42" s="10" t="s">
        <v>248</v>
      </c>
      <c r="L42" s="10">
        <v>1</v>
      </c>
    </row>
    <row r="43" spans="1:12" x14ac:dyDescent="0.2">
      <c r="A43" s="10" t="s">
        <v>31</v>
      </c>
      <c r="D43" s="10" t="s">
        <v>246</v>
      </c>
      <c r="E43" s="18" t="s">
        <v>280</v>
      </c>
      <c r="F43" s="9">
        <v>45383</v>
      </c>
      <c r="G43" s="9">
        <v>46023</v>
      </c>
      <c r="H43" s="10">
        <v>22</v>
      </c>
      <c r="I43" s="10" t="s">
        <v>245</v>
      </c>
      <c r="J43" s="10" t="s">
        <v>247</v>
      </c>
      <c r="K43" s="10" t="s">
        <v>248</v>
      </c>
      <c r="L43" s="10">
        <v>1</v>
      </c>
    </row>
    <row r="44" spans="1:12" x14ac:dyDescent="0.2">
      <c r="A44" s="10" t="s">
        <v>32</v>
      </c>
      <c r="D44" s="10" t="s">
        <v>246</v>
      </c>
      <c r="E44" s="18" t="s">
        <v>281</v>
      </c>
      <c r="F44" s="9">
        <v>45383</v>
      </c>
      <c r="G44" s="9">
        <v>46023</v>
      </c>
      <c r="H44" s="10">
        <v>22</v>
      </c>
      <c r="I44" s="10" t="s">
        <v>245</v>
      </c>
      <c r="J44" s="10" t="s">
        <v>247</v>
      </c>
      <c r="K44" s="10" t="s">
        <v>248</v>
      </c>
      <c r="L44" s="10">
        <v>1</v>
      </c>
    </row>
    <row r="45" spans="1:12" x14ac:dyDescent="0.2">
      <c r="A45" s="10" t="s">
        <v>33</v>
      </c>
      <c r="D45" s="10" t="s">
        <v>246</v>
      </c>
      <c r="E45" s="18" t="s">
        <v>282</v>
      </c>
      <c r="F45" s="9">
        <v>45383</v>
      </c>
      <c r="G45" s="9">
        <v>46023</v>
      </c>
      <c r="H45" s="10">
        <v>22</v>
      </c>
      <c r="I45" s="10" t="s">
        <v>245</v>
      </c>
      <c r="J45" s="10" t="s">
        <v>247</v>
      </c>
      <c r="K45" s="10" t="s">
        <v>248</v>
      </c>
      <c r="L45" s="10">
        <v>1</v>
      </c>
    </row>
    <row r="46" spans="1:12" x14ac:dyDescent="0.2">
      <c r="A46" s="10" t="s">
        <v>34</v>
      </c>
      <c r="D46" s="10" t="s">
        <v>246</v>
      </c>
      <c r="E46" s="18" t="s">
        <v>283</v>
      </c>
      <c r="F46" s="9">
        <v>45383</v>
      </c>
      <c r="G46" s="9">
        <v>46023</v>
      </c>
      <c r="H46" s="10">
        <v>22</v>
      </c>
      <c r="I46" s="10" t="s">
        <v>245</v>
      </c>
      <c r="J46" s="10" t="s">
        <v>247</v>
      </c>
      <c r="K46" s="10" t="s">
        <v>248</v>
      </c>
      <c r="L46" s="10">
        <v>1</v>
      </c>
    </row>
    <row r="47" spans="1:12" x14ac:dyDescent="0.2">
      <c r="A47" s="10" t="s">
        <v>35</v>
      </c>
      <c r="D47" s="10" t="s">
        <v>246</v>
      </c>
      <c r="E47" s="18" t="s">
        <v>284</v>
      </c>
      <c r="F47" s="9">
        <v>45383</v>
      </c>
      <c r="G47" s="9">
        <v>46023</v>
      </c>
      <c r="H47" s="10">
        <v>22</v>
      </c>
      <c r="I47" s="10" t="s">
        <v>245</v>
      </c>
      <c r="J47" s="10" t="s">
        <v>247</v>
      </c>
      <c r="K47" s="10" t="s">
        <v>248</v>
      </c>
      <c r="L47" s="10">
        <v>1</v>
      </c>
    </row>
    <row r="48" spans="1:12" x14ac:dyDescent="0.2">
      <c r="A48" s="10" t="s">
        <v>36</v>
      </c>
      <c r="D48" s="10" t="s">
        <v>246</v>
      </c>
      <c r="E48" s="18" t="s">
        <v>285</v>
      </c>
      <c r="F48" s="9">
        <v>42979</v>
      </c>
      <c r="G48" s="9">
        <v>46023</v>
      </c>
      <c r="H48" s="10">
        <v>101</v>
      </c>
      <c r="I48" s="10" t="s">
        <v>245</v>
      </c>
      <c r="J48" s="10" t="s">
        <v>247</v>
      </c>
      <c r="K48" s="10" t="s">
        <v>248</v>
      </c>
      <c r="L48" s="10">
        <v>1</v>
      </c>
    </row>
    <row r="49" spans="1:12" x14ac:dyDescent="0.2">
      <c r="A49" s="10" t="s">
        <v>37</v>
      </c>
      <c r="D49" s="10" t="s">
        <v>246</v>
      </c>
      <c r="E49" s="18" t="s">
        <v>286</v>
      </c>
      <c r="F49" s="9">
        <v>45383</v>
      </c>
      <c r="G49" s="9">
        <v>46023</v>
      </c>
      <c r="H49" s="10">
        <v>22</v>
      </c>
      <c r="I49" s="10" t="s">
        <v>245</v>
      </c>
      <c r="J49" s="10" t="s">
        <v>247</v>
      </c>
      <c r="K49" s="10" t="s">
        <v>248</v>
      </c>
      <c r="L49" s="10">
        <v>1</v>
      </c>
    </row>
    <row r="50" spans="1:12" x14ac:dyDescent="0.2">
      <c r="A50" s="10" t="s">
        <v>38</v>
      </c>
      <c r="D50" s="10" t="s">
        <v>246</v>
      </c>
      <c r="E50" s="18" t="s">
        <v>287</v>
      </c>
      <c r="F50" s="9">
        <v>42979</v>
      </c>
      <c r="G50" s="9">
        <v>46023</v>
      </c>
      <c r="H50" s="10">
        <v>101</v>
      </c>
      <c r="I50" s="10" t="s">
        <v>245</v>
      </c>
      <c r="J50" s="10" t="s">
        <v>247</v>
      </c>
      <c r="K50" s="10" t="s">
        <v>248</v>
      </c>
      <c r="L50" s="10">
        <v>1</v>
      </c>
    </row>
    <row r="51" spans="1:12" x14ac:dyDescent="0.2">
      <c r="A51" s="10" t="s">
        <v>39</v>
      </c>
      <c r="D51" s="10" t="s">
        <v>246</v>
      </c>
      <c r="E51" s="18" t="s">
        <v>288</v>
      </c>
      <c r="F51" s="9">
        <v>42979</v>
      </c>
      <c r="G51" s="9">
        <v>46023</v>
      </c>
      <c r="H51" s="10">
        <v>101</v>
      </c>
      <c r="I51" s="10" t="s">
        <v>245</v>
      </c>
      <c r="J51" s="10" t="s">
        <v>247</v>
      </c>
      <c r="K51" s="10" t="s">
        <v>248</v>
      </c>
      <c r="L51" s="10">
        <v>1</v>
      </c>
    </row>
    <row r="52" spans="1:12" x14ac:dyDescent="0.2">
      <c r="A52" s="10" t="s">
        <v>39</v>
      </c>
      <c r="D52" s="10" t="s">
        <v>246</v>
      </c>
      <c r="E52" s="18" t="s">
        <v>289</v>
      </c>
      <c r="F52" s="9">
        <v>42979</v>
      </c>
      <c r="G52" s="9">
        <v>46023</v>
      </c>
      <c r="H52" s="10">
        <v>101</v>
      </c>
      <c r="I52" s="10" t="s">
        <v>245</v>
      </c>
      <c r="J52" s="10" t="s">
        <v>247</v>
      </c>
      <c r="K52" s="10" t="s">
        <v>248</v>
      </c>
      <c r="L52" s="10">
        <v>1</v>
      </c>
    </row>
    <row r="53" spans="1:12" x14ac:dyDescent="0.2">
      <c r="A53" s="10" t="s">
        <v>40</v>
      </c>
      <c r="D53" s="10" t="s">
        <v>246</v>
      </c>
      <c r="E53" s="18" t="s">
        <v>290</v>
      </c>
      <c r="F53" s="9">
        <v>45383</v>
      </c>
      <c r="G53" s="9">
        <v>46023</v>
      </c>
      <c r="H53" s="10">
        <v>22</v>
      </c>
      <c r="I53" s="10" t="s">
        <v>245</v>
      </c>
      <c r="J53" s="10" t="s">
        <v>247</v>
      </c>
      <c r="K53" s="10" t="s">
        <v>248</v>
      </c>
      <c r="L53" s="10">
        <v>1</v>
      </c>
    </row>
    <row r="54" spans="1:12" x14ac:dyDescent="0.2">
      <c r="A54" s="10" t="s">
        <v>41</v>
      </c>
      <c r="D54" s="10" t="s">
        <v>246</v>
      </c>
      <c r="E54" s="18" t="s">
        <v>291</v>
      </c>
      <c r="F54" s="9">
        <v>45383</v>
      </c>
      <c r="G54" s="9">
        <v>46023</v>
      </c>
      <c r="H54" s="10">
        <v>22</v>
      </c>
      <c r="I54" s="10" t="s">
        <v>245</v>
      </c>
      <c r="J54" s="10" t="s">
        <v>247</v>
      </c>
      <c r="K54" s="10" t="s">
        <v>248</v>
      </c>
      <c r="L54" s="10">
        <v>1</v>
      </c>
    </row>
    <row r="55" spans="1:12" x14ac:dyDescent="0.2">
      <c r="A55" s="10" t="s">
        <v>42</v>
      </c>
      <c r="D55" s="10" t="s">
        <v>246</v>
      </c>
      <c r="E55" s="18" t="s">
        <v>292</v>
      </c>
      <c r="F55" s="9">
        <v>45383</v>
      </c>
      <c r="G55" s="9">
        <v>46023</v>
      </c>
      <c r="H55" s="10">
        <v>22</v>
      </c>
      <c r="I55" s="10" t="s">
        <v>245</v>
      </c>
      <c r="J55" s="10" t="s">
        <v>247</v>
      </c>
      <c r="K55" s="10" t="s">
        <v>248</v>
      </c>
      <c r="L55" s="10">
        <v>1</v>
      </c>
    </row>
    <row r="56" spans="1:12" x14ac:dyDescent="0.2">
      <c r="A56" s="10" t="s">
        <v>43</v>
      </c>
      <c r="D56" s="10" t="s">
        <v>246</v>
      </c>
      <c r="E56" s="18" t="s">
        <v>293</v>
      </c>
      <c r="F56" s="9">
        <v>45383</v>
      </c>
      <c r="G56" s="9">
        <v>46023</v>
      </c>
      <c r="H56" s="10">
        <v>22</v>
      </c>
      <c r="I56" s="10" t="s">
        <v>245</v>
      </c>
      <c r="J56" s="10" t="s">
        <v>247</v>
      </c>
      <c r="K56" s="10" t="s">
        <v>248</v>
      </c>
      <c r="L56" s="10">
        <v>1</v>
      </c>
    </row>
    <row r="57" spans="1:12" x14ac:dyDescent="0.2">
      <c r="A57" s="10" t="s">
        <v>44</v>
      </c>
      <c r="D57" s="10" t="s">
        <v>246</v>
      </c>
      <c r="E57" s="18" t="s">
        <v>294</v>
      </c>
      <c r="F57" s="9">
        <v>45383</v>
      </c>
      <c r="G57" s="9">
        <v>46023</v>
      </c>
      <c r="H57" s="10">
        <v>22</v>
      </c>
      <c r="I57" s="10" t="s">
        <v>245</v>
      </c>
      <c r="J57" s="10" t="s">
        <v>247</v>
      </c>
      <c r="K57" s="10" t="s">
        <v>248</v>
      </c>
      <c r="L57" s="10">
        <v>1</v>
      </c>
    </row>
    <row r="58" spans="1:12" x14ac:dyDescent="0.2">
      <c r="A58" s="10" t="s">
        <v>45</v>
      </c>
      <c r="D58" s="10" t="s">
        <v>246</v>
      </c>
      <c r="E58" s="18" t="s">
        <v>295</v>
      </c>
      <c r="F58" s="9">
        <v>45383</v>
      </c>
      <c r="G58" s="9">
        <v>46023</v>
      </c>
      <c r="H58" s="10">
        <v>22</v>
      </c>
      <c r="I58" s="10" t="s">
        <v>245</v>
      </c>
      <c r="J58" s="10" t="s">
        <v>247</v>
      </c>
      <c r="K58" s="10" t="s">
        <v>248</v>
      </c>
      <c r="L58" s="10">
        <v>1</v>
      </c>
    </row>
    <row r="59" spans="1:12" x14ac:dyDescent="0.2">
      <c r="A59" s="10" t="s">
        <v>46</v>
      </c>
      <c r="D59" s="10" t="s">
        <v>246</v>
      </c>
      <c r="E59" s="18" t="s">
        <v>296</v>
      </c>
      <c r="F59" s="9">
        <v>45383</v>
      </c>
      <c r="G59" s="9">
        <v>46023</v>
      </c>
      <c r="H59" s="10">
        <v>22</v>
      </c>
      <c r="I59" s="10" t="s">
        <v>245</v>
      </c>
      <c r="J59" s="10" t="s">
        <v>247</v>
      </c>
      <c r="K59" s="10" t="s">
        <v>248</v>
      </c>
      <c r="L59" s="10">
        <v>1</v>
      </c>
    </row>
    <row r="60" spans="1:12" x14ac:dyDescent="0.2">
      <c r="A60" s="10" t="s">
        <v>47</v>
      </c>
      <c r="D60" s="10" t="s">
        <v>246</v>
      </c>
      <c r="E60" s="18" t="s">
        <v>297</v>
      </c>
      <c r="F60" s="9">
        <v>45383</v>
      </c>
      <c r="G60" s="9">
        <v>46023</v>
      </c>
      <c r="H60" s="10">
        <v>22</v>
      </c>
      <c r="I60" s="10" t="s">
        <v>245</v>
      </c>
      <c r="J60" s="10" t="s">
        <v>247</v>
      </c>
      <c r="K60" s="10" t="s">
        <v>248</v>
      </c>
      <c r="L60" s="10">
        <v>1</v>
      </c>
    </row>
    <row r="61" spans="1:12" x14ac:dyDescent="0.2">
      <c r="A61" s="10" t="s">
        <v>48</v>
      </c>
      <c r="D61" s="10" t="s">
        <v>246</v>
      </c>
      <c r="E61" s="18" t="s">
        <v>298</v>
      </c>
      <c r="F61" s="9">
        <v>45383</v>
      </c>
      <c r="G61" s="9">
        <v>46023</v>
      </c>
      <c r="H61" s="10">
        <v>22</v>
      </c>
      <c r="I61" s="10" t="s">
        <v>245</v>
      </c>
      <c r="J61" s="10" t="s">
        <v>247</v>
      </c>
      <c r="K61" s="10" t="s">
        <v>248</v>
      </c>
      <c r="L61" s="10">
        <v>1</v>
      </c>
    </row>
    <row r="62" spans="1:12" x14ac:dyDescent="0.2">
      <c r="A62" s="10" t="s">
        <v>49</v>
      </c>
      <c r="D62" s="10" t="s">
        <v>246</v>
      </c>
      <c r="E62" s="18" t="s">
        <v>299</v>
      </c>
      <c r="F62" s="9">
        <v>45383</v>
      </c>
      <c r="G62" s="9">
        <v>46023</v>
      </c>
      <c r="H62" s="10">
        <v>22</v>
      </c>
      <c r="I62" s="10" t="s">
        <v>245</v>
      </c>
      <c r="J62" s="10" t="s">
        <v>247</v>
      </c>
      <c r="K62" s="10" t="s">
        <v>248</v>
      </c>
      <c r="L62" s="10">
        <v>1</v>
      </c>
    </row>
    <row r="63" spans="1:12" x14ac:dyDescent="0.2">
      <c r="A63" s="10" t="s">
        <v>50</v>
      </c>
      <c r="D63" s="10" t="s">
        <v>246</v>
      </c>
      <c r="E63" s="18" t="s">
        <v>300</v>
      </c>
      <c r="F63" s="9">
        <v>45383</v>
      </c>
      <c r="G63" s="9">
        <v>46023</v>
      </c>
      <c r="H63" s="10">
        <v>22</v>
      </c>
      <c r="I63" s="10" t="s">
        <v>245</v>
      </c>
      <c r="J63" s="10" t="s">
        <v>247</v>
      </c>
      <c r="K63" s="10" t="s">
        <v>248</v>
      </c>
      <c r="L63" s="10">
        <v>1</v>
      </c>
    </row>
    <row r="64" spans="1:12" x14ac:dyDescent="0.2">
      <c r="A64" s="10" t="s">
        <v>51</v>
      </c>
      <c r="D64" s="10" t="s">
        <v>246</v>
      </c>
      <c r="E64" s="18" t="s">
        <v>301</v>
      </c>
      <c r="F64" s="9">
        <v>45383</v>
      </c>
      <c r="G64" s="9">
        <v>46023</v>
      </c>
      <c r="H64" s="10">
        <v>22</v>
      </c>
      <c r="I64" s="10" t="s">
        <v>245</v>
      </c>
      <c r="J64" s="10" t="s">
        <v>247</v>
      </c>
      <c r="K64" s="10" t="s">
        <v>248</v>
      </c>
      <c r="L64" s="10">
        <v>1</v>
      </c>
    </row>
    <row r="65" spans="1:12" x14ac:dyDescent="0.2">
      <c r="A65" s="10" t="s">
        <v>52</v>
      </c>
      <c r="D65" s="10" t="s">
        <v>246</v>
      </c>
      <c r="E65" s="18" t="s">
        <v>302</v>
      </c>
      <c r="F65" s="9">
        <v>45383</v>
      </c>
      <c r="G65" s="9">
        <v>46023</v>
      </c>
      <c r="H65" s="10">
        <v>22</v>
      </c>
      <c r="I65" s="10" t="s">
        <v>245</v>
      </c>
      <c r="J65" s="10" t="s">
        <v>247</v>
      </c>
      <c r="K65" s="10" t="s">
        <v>248</v>
      </c>
      <c r="L65" s="10">
        <v>1</v>
      </c>
    </row>
    <row r="66" spans="1:12" x14ac:dyDescent="0.2">
      <c r="A66" s="10" t="s">
        <v>53</v>
      </c>
      <c r="D66" s="10" t="s">
        <v>246</v>
      </c>
      <c r="E66" s="18" t="s">
        <v>303</v>
      </c>
      <c r="F66" s="9">
        <v>44743</v>
      </c>
      <c r="G66" s="9">
        <v>46023</v>
      </c>
      <c r="H66" s="10">
        <v>43</v>
      </c>
      <c r="I66" s="10" t="s">
        <v>245</v>
      </c>
      <c r="J66" s="10" t="s">
        <v>247</v>
      </c>
      <c r="K66" s="10" t="s">
        <v>248</v>
      </c>
      <c r="L66" s="10">
        <v>1</v>
      </c>
    </row>
    <row r="67" spans="1:12" x14ac:dyDescent="0.2">
      <c r="A67" s="10" t="s">
        <v>53</v>
      </c>
      <c r="D67" s="10" t="s">
        <v>246</v>
      </c>
      <c r="E67" s="18" t="s">
        <v>304</v>
      </c>
      <c r="F67" s="9">
        <v>44743</v>
      </c>
      <c r="G67" s="9">
        <v>46023</v>
      </c>
      <c r="H67" s="10">
        <v>43</v>
      </c>
      <c r="I67" s="10" t="s">
        <v>245</v>
      </c>
      <c r="J67" s="10" t="s">
        <v>247</v>
      </c>
      <c r="K67" s="10" t="s">
        <v>248</v>
      </c>
      <c r="L67" s="10">
        <v>1</v>
      </c>
    </row>
    <row r="68" spans="1:12" x14ac:dyDescent="0.2">
      <c r="A68" s="10" t="s">
        <v>54</v>
      </c>
      <c r="D68" s="10" t="s">
        <v>246</v>
      </c>
      <c r="E68" s="18" t="s">
        <v>305</v>
      </c>
      <c r="F68" s="9">
        <v>42979</v>
      </c>
      <c r="G68" s="9">
        <v>46023</v>
      </c>
      <c r="H68" s="10">
        <v>101</v>
      </c>
      <c r="I68" s="10" t="s">
        <v>245</v>
      </c>
      <c r="J68" s="10" t="s">
        <v>247</v>
      </c>
      <c r="K68" s="10" t="s">
        <v>248</v>
      </c>
      <c r="L68" s="10">
        <v>1</v>
      </c>
    </row>
    <row r="69" spans="1:12" x14ac:dyDescent="0.2">
      <c r="A69" s="10" t="s">
        <v>54</v>
      </c>
      <c r="D69" s="10" t="s">
        <v>246</v>
      </c>
      <c r="E69" s="18" t="s">
        <v>306</v>
      </c>
      <c r="F69" s="9">
        <v>42979</v>
      </c>
      <c r="G69" s="9">
        <v>46023</v>
      </c>
      <c r="H69" s="10">
        <v>101</v>
      </c>
      <c r="I69" s="10" t="s">
        <v>245</v>
      </c>
      <c r="J69" s="10" t="s">
        <v>247</v>
      </c>
      <c r="K69" s="10" t="s">
        <v>248</v>
      </c>
      <c r="L69" s="10">
        <v>1</v>
      </c>
    </row>
    <row r="70" spans="1:12" x14ac:dyDescent="0.2">
      <c r="A70" s="10" t="s">
        <v>55</v>
      </c>
      <c r="D70" s="10" t="s">
        <v>246</v>
      </c>
      <c r="E70" s="18" t="s">
        <v>307</v>
      </c>
      <c r="F70" s="9">
        <v>45383</v>
      </c>
      <c r="G70" s="9">
        <v>46023</v>
      </c>
      <c r="H70" s="10">
        <v>22</v>
      </c>
      <c r="I70" s="10" t="s">
        <v>245</v>
      </c>
      <c r="J70" s="10" t="s">
        <v>247</v>
      </c>
      <c r="K70" s="10" t="s">
        <v>248</v>
      </c>
      <c r="L70" s="10">
        <v>1</v>
      </c>
    </row>
    <row r="71" spans="1:12" x14ac:dyDescent="0.2">
      <c r="A71" s="10" t="s">
        <v>56</v>
      </c>
      <c r="D71" s="10" t="s">
        <v>246</v>
      </c>
      <c r="E71" s="18" t="s">
        <v>308</v>
      </c>
      <c r="F71" s="9">
        <v>45383</v>
      </c>
      <c r="G71" s="9">
        <v>46023</v>
      </c>
      <c r="H71" s="10">
        <v>22</v>
      </c>
      <c r="I71" s="10" t="s">
        <v>245</v>
      </c>
      <c r="J71" s="10" t="s">
        <v>247</v>
      </c>
      <c r="K71" s="10" t="s">
        <v>248</v>
      </c>
      <c r="L71" s="10">
        <v>1</v>
      </c>
    </row>
    <row r="72" spans="1:12" x14ac:dyDescent="0.2">
      <c r="A72" s="10" t="s">
        <v>57</v>
      </c>
      <c r="D72" s="10" t="s">
        <v>246</v>
      </c>
      <c r="E72" s="18" t="s">
        <v>309</v>
      </c>
      <c r="F72" s="9">
        <v>42979</v>
      </c>
      <c r="G72" s="9">
        <v>46023</v>
      </c>
      <c r="H72" s="10">
        <v>101</v>
      </c>
      <c r="I72" s="10" t="s">
        <v>245</v>
      </c>
      <c r="J72" s="10" t="s">
        <v>247</v>
      </c>
      <c r="K72" s="10" t="s">
        <v>248</v>
      </c>
      <c r="L72" s="10">
        <v>1</v>
      </c>
    </row>
    <row r="73" spans="1:12" x14ac:dyDescent="0.2">
      <c r="A73" s="10" t="s">
        <v>58</v>
      </c>
      <c r="D73" s="10" t="s">
        <v>246</v>
      </c>
      <c r="E73" s="18" t="s">
        <v>310</v>
      </c>
      <c r="F73" s="9">
        <v>45383</v>
      </c>
      <c r="G73" s="9">
        <v>46023</v>
      </c>
      <c r="H73" s="10">
        <v>22</v>
      </c>
      <c r="I73" s="10" t="s">
        <v>245</v>
      </c>
      <c r="J73" s="10" t="s">
        <v>247</v>
      </c>
      <c r="K73" s="10" t="s">
        <v>248</v>
      </c>
      <c r="L73" s="10">
        <v>1</v>
      </c>
    </row>
    <row r="74" spans="1:12" x14ac:dyDescent="0.2">
      <c r="A74" s="10" t="s">
        <v>59</v>
      </c>
      <c r="D74" s="10" t="s">
        <v>246</v>
      </c>
      <c r="E74" s="18" t="s">
        <v>311</v>
      </c>
      <c r="F74" s="9">
        <v>45383</v>
      </c>
      <c r="G74" s="9">
        <v>46023</v>
      </c>
      <c r="H74" s="10">
        <v>22</v>
      </c>
      <c r="I74" s="10" t="s">
        <v>245</v>
      </c>
      <c r="J74" s="10" t="s">
        <v>247</v>
      </c>
      <c r="K74" s="10" t="s">
        <v>248</v>
      </c>
      <c r="L74" s="10">
        <v>1</v>
      </c>
    </row>
    <row r="75" spans="1:12" x14ac:dyDescent="0.2">
      <c r="A75" s="10" t="s">
        <v>60</v>
      </c>
      <c r="D75" s="10" t="s">
        <v>246</v>
      </c>
      <c r="E75" s="18" t="s">
        <v>312</v>
      </c>
      <c r="F75" s="9">
        <v>44470</v>
      </c>
      <c r="G75" s="9">
        <v>46023</v>
      </c>
      <c r="H75" s="10">
        <v>52</v>
      </c>
      <c r="I75" s="10" t="s">
        <v>245</v>
      </c>
      <c r="J75" s="10" t="s">
        <v>247</v>
      </c>
      <c r="K75" s="10" t="s">
        <v>248</v>
      </c>
      <c r="L75" s="10">
        <v>1</v>
      </c>
    </row>
    <row r="76" spans="1:12" x14ac:dyDescent="0.2">
      <c r="A76" s="10" t="s">
        <v>61</v>
      </c>
      <c r="D76" s="10" t="s">
        <v>246</v>
      </c>
      <c r="E76" s="18" t="s">
        <v>313</v>
      </c>
      <c r="F76" s="9">
        <v>44470</v>
      </c>
      <c r="G76" s="9">
        <v>46023</v>
      </c>
      <c r="H76" s="10">
        <v>52</v>
      </c>
      <c r="I76" s="10" t="s">
        <v>245</v>
      </c>
      <c r="J76" s="10" t="s">
        <v>247</v>
      </c>
      <c r="K76" s="10" t="s">
        <v>248</v>
      </c>
      <c r="L76" s="10">
        <v>1</v>
      </c>
    </row>
    <row r="77" spans="1:12" x14ac:dyDescent="0.2">
      <c r="A77" s="10" t="s">
        <v>62</v>
      </c>
      <c r="D77" s="10" t="s">
        <v>246</v>
      </c>
      <c r="E77" s="18" t="s">
        <v>314</v>
      </c>
      <c r="F77" s="9">
        <v>45383</v>
      </c>
      <c r="G77" s="9">
        <v>46023</v>
      </c>
      <c r="H77" s="10">
        <v>22</v>
      </c>
      <c r="I77" s="10" t="s">
        <v>245</v>
      </c>
      <c r="J77" s="10" t="s">
        <v>247</v>
      </c>
      <c r="K77" s="10" t="s">
        <v>248</v>
      </c>
      <c r="L77" s="10">
        <v>1</v>
      </c>
    </row>
    <row r="78" spans="1:12" x14ac:dyDescent="0.2">
      <c r="A78" s="10" t="s">
        <v>63</v>
      </c>
      <c r="D78" s="10" t="s">
        <v>246</v>
      </c>
      <c r="E78" s="18" t="s">
        <v>315</v>
      </c>
      <c r="F78" s="9">
        <v>45383</v>
      </c>
      <c r="G78" s="9">
        <v>46023</v>
      </c>
      <c r="H78" s="10">
        <v>22</v>
      </c>
      <c r="I78" s="10" t="s">
        <v>245</v>
      </c>
      <c r="J78" s="10" t="s">
        <v>247</v>
      </c>
      <c r="K78" s="10" t="s">
        <v>248</v>
      </c>
      <c r="L78" s="10">
        <v>1</v>
      </c>
    </row>
    <row r="79" spans="1:12" x14ac:dyDescent="0.2">
      <c r="A79" s="10" t="s">
        <v>64</v>
      </c>
      <c r="D79" s="10" t="s">
        <v>246</v>
      </c>
      <c r="E79" s="18" t="s">
        <v>316</v>
      </c>
      <c r="F79" s="9">
        <v>45383</v>
      </c>
      <c r="G79" s="9">
        <v>46023</v>
      </c>
      <c r="H79" s="10">
        <v>22</v>
      </c>
      <c r="I79" s="10" t="s">
        <v>245</v>
      </c>
      <c r="J79" s="10" t="s">
        <v>247</v>
      </c>
      <c r="K79" s="10" t="s">
        <v>248</v>
      </c>
      <c r="L79" s="10">
        <v>1</v>
      </c>
    </row>
    <row r="80" spans="1:12" x14ac:dyDescent="0.2">
      <c r="A80" s="10" t="s">
        <v>65</v>
      </c>
      <c r="D80" s="10" t="s">
        <v>246</v>
      </c>
      <c r="E80" s="18" t="s">
        <v>317</v>
      </c>
      <c r="F80" s="9">
        <v>45383</v>
      </c>
      <c r="G80" s="9">
        <v>46023</v>
      </c>
      <c r="H80" s="10">
        <v>22</v>
      </c>
      <c r="I80" s="10" t="s">
        <v>245</v>
      </c>
      <c r="J80" s="10" t="s">
        <v>247</v>
      </c>
      <c r="K80" s="10" t="s">
        <v>248</v>
      </c>
      <c r="L80" s="10">
        <v>1</v>
      </c>
    </row>
    <row r="81" spans="1:12" x14ac:dyDescent="0.2">
      <c r="A81" s="10" t="s">
        <v>66</v>
      </c>
      <c r="D81" s="10" t="s">
        <v>246</v>
      </c>
      <c r="E81" s="18" t="s">
        <v>318</v>
      </c>
      <c r="F81" s="9">
        <v>45383</v>
      </c>
      <c r="G81" s="9">
        <v>46023</v>
      </c>
      <c r="H81" s="10">
        <v>22</v>
      </c>
      <c r="I81" s="10" t="s">
        <v>245</v>
      </c>
      <c r="J81" s="10" t="s">
        <v>247</v>
      </c>
      <c r="K81" s="10" t="s">
        <v>248</v>
      </c>
      <c r="L81" s="10">
        <v>1</v>
      </c>
    </row>
    <row r="82" spans="1:12" x14ac:dyDescent="0.2">
      <c r="A82" s="10" t="s">
        <v>66</v>
      </c>
      <c r="D82" s="10" t="s">
        <v>246</v>
      </c>
      <c r="E82" s="18" t="s">
        <v>319</v>
      </c>
      <c r="F82" s="9">
        <v>45383</v>
      </c>
      <c r="G82" s="9">
        <v>46023</v>
      </c>
      <c r="H82" s="10">
        <v>22</v>
      </c>
      <c r="I82" s="10" t="s">
        <v>245</v>
      </c>
      <c r="J82" s="10" t="s">
        <v>247</v>
      </c>
      <c r="K82" s="10" t="s">
        <v>248</v>
      </c>
      <c r="L82" s="10">
        <v>1</v>
      </c>
    </row>
    <row r="83" spans="1:12" x14ac:dyDescent="0.2">
      <c r="A83" s="10" t="s">
        <v>67</v>
      </c>
      <c r="D83" s="10" t="s">
        <v>246</v>
      </c>
      <c r="E83" s="18" t="s">
        <v>320</v>
      </c>
      <c r="F83" s="9">
        <v>45383</v>
      </c>
      <c r="G83" s="9">
        <v>46023</v>
      </c>
      <c r="H83" s="10">
        <v>22</v>
      </c>
      <c r="I83" s="10" t="s">
        <v>245</v>
      </c>
      <c r="J83" s="10" t="s">
        <v>247</v>
      </c>
      <c r="K83" s="10" t="s">
        <v>248</v>
      </c>
      <c r="L83" s="10">
        <v>1</v>
      </c>
    </row>
    <row r="84" spans="1:12" x14ac:dyDescent="0.2">
      <c r="A84" s="10" t="s">
        <v>68</v>
      </c>
      <c r="D84" s="10" t="s">
        <v>246</v>
      </c>
      <c r="E84" s="18" t="s">
        <v>321</v>
      </c>
      <c r="F84" s="9">
        <v>45383</v>
      </c>
      <c r="G84" s="9">
        <v>46023</v>
      </c>
      <c r="H84" s="10">
        <v>22</v>
      </c>
      <c r="I84" s="10" t="s">
        <v>245</v>
      </c>
      <c r="J84" s="10" t="s">
        <v>247</v>
      </c>
      <c r="K84" s="10" t="s">
        <v>248</v>
      </c>
      <c r="L84" s="10">
        <v>1</v>
      </c>
    </row>
    <row r="85" spans="1:12" x14ac:dyDescent="0.2">
      <c r="A85" s="10" t="s">
        <v>69</v>
      </c>
      <c r="D85" s="10" t="s">
        <v>246</v>
      </c>
      <c r="E85" s="18" t="s">
        <v>322</v>
      </c>
      <c r="F85" s="9">
        <v>45383</v>
      </c>
      <c r="G85" s="9">
        <v>46023</v>
      </c>
      <c r="H85" s="10">
        <v>22</v>
      </c>
      <c r="I85" s="10" t="s">
        <v>245</v>
      </c>
      <c r="J85" s="10" t="s">
        <v>247</v>
      </c>
      <c r="K85" s="10" t="s">
        <v>248</v>
      </c>
      <c r="L85" s="10">
        <v>1</v>
      </c>
    </row>
    <row r="86" spans="1:12" x14ac:dyDescent="0.2">
      <c r="A86" s="10" t="s">
        <v>70</v>
      </c>
      <c r="D86" s="10" t="s">
        <v>246</v>
      </c>
      <c r="E86" s="18" t="s">
        <v>323</v>
      </c>
      <c r="F86" s="9">
        <v>45383</v>
      </c>
      <c r="G86" s="9">
        <v>46023</v>
      </c>
      <c r="H86" s="10">
        <v>22</v>
      </c>
      <c r="I86" s="10" t="s">
        <v>245</v>
      </c>
      <c r="J86" s="10" t="s">
        <v>247</v>
      </c>
      <c r="K86" s="10" t="s">
        <v>248</v>
      </c>
      <c r="L86" s="10">
        <v>1</v>
      </c>
    </row>
    <row r="87" spans="1:12" x14ac:dyDescent="0.2">
      <c r="A87" s="10" t="s">
        <v>71</v>
      </c>
      <c r="D87" s="10" t="s">
        <v>246</v>
      </c>
      <c r="E87" s="18" t="s">
        <v>324</v>
      </c>
      <c r="F87" s="9">
        <v>45383</v>
      </c>
      <c r="G87" s="9">
        <v>46023</v>
      </c>
      <c r="H87" s="10">
        <v>22</v>
      </c>
      <c r="I87" s="10" t="s">
        <v>245</v>
      </c>
      <c r="J87" s="10" t="s">
        <v>247</v>
      </c>
      <c r="K87" s="10" t="s">
        <v>248</v>
      </c>
      <c r="L87" s="10">
        <v>1</v>
      </c>
    </row>
    <row r="88" spans="1:12" x14ac:dyDescent="0.2">
      <c r="A88" s="10" t="s">
        <v>72</v>
      </c>
      <c r="D88" s="10" t="s">
        <v>246</v>
      </c>
      <c r="E88" s="18" t="s">
        <v>325</v>
      </c>
      <c r="F88" s="9">
        <v>42979</v>
      </c>
      <c r="G88" s="9">
        <v>46023</v>
      </c>
      <c r="H88" s="10">
        <v>101</v>
      </c>
      <c r="I88" s="10" t="s">
        <v>245</v>
      </c>
      <c r="J88" s="10" t="s">
        <v>247</v>
      </c>
      <c r="K88" s="10" t="s">
        <v>248</v>
      </c>
      <c r="L88" s="10">
        <v>1</v>
      </c>
    </row>
    <row r="89" spans="1:12" x14ac:dyDescent="0.2">
      <c r="A89" s="10" t="s">
        <v>73</v>
      </c>
      <c r="D89" s="10" t="s">
        <v>246</v>
      </c>
      <c r="E89" s="18" t="s">
        <v>326</v>
      </c>
      <c r="F89" s="9">
        <v>42979</v>
      </c>
      <c r="G89" s="9">
        <v>46023</v>
      </c>
      <c r="H89" s="10">
        <v>101</v>
      </c>
      <c r="I89" s="10" t="s">
        <v>245</v>
      </c>
      <c r="J89" s="10" t="s">
        <v>247</v>
      </c>
      <c r="K89" s="10" t="s">
        <v>248</v>
      </c>
      <c r="L89" s="10">
        <v>1</v>
      </c>
    </row>
    <row r="90" spans="1:12" x14ac:dyDescent="0.2">
      <c r="A90" s="10" t="s">
        <v>74</v>
      </c>
      <c r="D90" s="10" t="s">
        <v>246</v>
      </c>
      <c r="E90" s="18" t="s">
        <v>327</v>
      </c>
      <c r="F90" s="9">
        <v>42979</v>
      </c>
      <c r="G90" s="9">
        <v>46023</v>
      </c>
      <c r="H90" s="10">
        <v>101</v>
      </c>
      <c r="I90" s="10" t="s">
        <v>245</v>
      </c>
      <c r="J90" s="10" t="s">
        <v>247</v>
      </c>
      <c r="K90" s="10" t="s">
        <v>248</v>
      </c>
      <c r="L90" s="10">
        <v>1</v>
      </c>
    </row>
    <row r="91" spans="1:12" x14ac:dyDescent="0.2">
      <c r="A91" s="10" t="s">
        <v>75</v>
      </c>
      <c r="D91" s="10" t="s">
        <v>246</v>
      </c>
      <c r="E91" s="18" t="s">
        <v>328</v>
      </c>
      <c r="F91" s="9">
        <v>42979</v>
      </c>
      <c r="G91" s="9">
        <v>46023</v>
      </c>
      <c r="H91" s="10">
        <v>101</v>
      </c>
      <c r="I91" s="10" t="s">
        <v>245</v>
      </c>
      <c r="J91" s="10" t="s">
        <v>247</v>
      </c>
      <c r="K91" s="10" t="s">
        <v>248</v>
      </c>
      <c r="L91" s="10">
        <v>1</v>
      </c>
    </row>
    <row r="92" spans="1:12" x14ac:dyDescent="0.2">
      <c r="A92" s="10" t="s">
        <v>76</v>
      </c>
      <c r="D92" s="10" t="s">
        <v>246</v>
      </c>
      <c r="E92" s="18" t="s">
        <v>329</v>
      </c>
      <c r="F92" s="9">
        <v>45383</v>
      </c>
      <c r="G92" s="9">
        <v>46023</v>
      </c>
      <c r="H92" s="10">
        <v>22</v>
      </c>
      <c r="I92" s="10" t="s">
        <v>245</v>
      </c>
      <c r="J92" s="10" t="s">
        <v>247</v>
      </c>
      <c r="K92" s="10" t="s">
        <v>248</v>
      </c>
      <c r="L92" s="10">
        <v>1</v>
      </c>
    </row>
    <row r="93" spans="1:12" x14ac:dyDescent="0.2">
      <c r="A93" s="10" t="s">
        <v>77</v>
      </c>
      <c r="D93" s="10" t="s">
        <v>246</v>
      </c>
      <c r="E93" s="18" t="s">
        <v>330</v>
      </c>
      <c r="F93" s="9">
        <v>45383</v>
      </c>
      <c r="G93" s="9">
        <v>46023</v>
      </c>
      <c r="H93" s="10">
        <v>22</v>
      </c>
      <c r="I93" s="10" t="s">
        <v>245</v>
      </c>
      <c r="J93" s="10" t="s">
        <v>247</v>
      </c>
      <c r="K93" s="10" t="s">
        <v>248</v>
      </c>
      <c r="L93" s="10">
        <v>1</v>
      </c>
    </row>
    <row r="94" spans="1:12" x14ac:dyDescent="0.2">
      <c r="A94" s="10" t="s">
        <v>78</v>
      </c>
      <c r="D94" s="10" t="s">
        <v>246</v>
      </c>
      <c r="E94" s="18" t="s">
        <v>331</v>
      </c>
      <c r="F94" s="9">
        <v>45383</v>
      </c>
      <c r="G94" s="9">
        <v>46023</v>
      </c>
      <c r="H94" s="10">
        <v>22</v>
      </c>
      <c r="I94" s="10" t="s">
        <v>245</v>
      </c>
      <c r="J94" s="10" t="s">
        <v>247</v>
      </c>
      <c r="K94" s="10" t="s">
        <v>248</v>
      </c>
      <c r="L94" s="10">
        <v>1</v>
      </c>
    </row>
    <row r="95" spans="1:12" x14ac:dyDescent="0.2">
      <c r="A95" s="10" t="s">
        <v>79</v>
      </c>
      <c r="D95" s="10" t="s">
        <v>246</v>
      </c>
      <c r="E95" s="18" t="s">
        <v>332</v>
      </c>
      <c r="F95" s="9">
        <v>45383</v>
      </c>
      <c r="G95" s="9">
        <v>46023</v>
      </c>
      <c r="H95" s="10">
        <v>22</v>
      </c>
      <c r="I95" s="10" t="s">
        <v>245</v>
      </c>
      <c r="J95" s="10" t="s">
        <v>247</v>
      </c>
      <c r="K95" s="10" t="s">
        <v>248</v>
      </c>
      <c r="L95" s="10">
        <v>1</v>
      </c>
    </row>
    <row r="96" spans="1:12" x14ac:dyDescent="0.2">
      <c r="A96" s="10" t="s">
        <v>80</v>
      </c>
      <c r="D96" s="10" t="s">
        <v>246</v>
      </c>
      <c r="E96" s="18" t="s">
        <v>333</v>
      </c>
      <c r="F96" s="9">
        <v>45383</v>
      </c>
      <c r="G96" s="9">
        <v>46023</v>
      </c>
      <c r="H96" s="10">
        <v>22</v>
      </c>
      <c r="I96" s="10" t="s">
        <v>245</v>
      </c>
      <c r="J96" s="10" t="s">
        <v>247</v>
      </c>
      <c r="K96" s="10" t="s">
        <v>248</v>
      </c>
      <c r="L96" s="10">
        <v>1</v>
      </c>
    </row>
    <row r="97" spans="1:12" x14ac:dyDescent="0.2">
      <c r="A97" s="10" t="s">
        <v>81</v>
      </c>
      <c r="D97" s="10" t="s">
        <v>246</v>
      </c>
      <c r="E97" s="18" t="s">
        <v>334</v>
      </c>
      <c r="F97" s="9">
        <v>45383</v>
      </c>
      <c r="G97" s="9">
        <v>46023</v>
      </c>
      <c r="H97" s="10">
        <v>22</v>
      </c>
      <c r="I97" s="10" t="s">
        <v>245</v>
      </c>
      <c r="J97" s="10" t="s">
        <v>247</v>
      </c>
      <c r="K97" s="10" t="s">
        <v>248</v>
      </c>
      <c r="L97" s="10">
        <v>1</v>
      </c>
    </row>
    <row r="98" spans="1:12" x14ac:dyDescent="0.2">
      <c r="A98" s="10" t="s">
        <v>82</v>
      </c>
      <c r="D98" s="10" t="s">
        <v>246</v>
      </c>
      <c r="E98" s="18" t="s">
        <v>335</v>
      </c>
      <c r="F98" s="9">
        <v>45383</v>
      </c>
      <c r="G98" s="9">
        <v>46023</v>
      </c>
      <c r="H98" s="10">
        <v>22</v>
      </c>
      <c r="I98" s="10" t="s">
        <v>245</v>
      </c>
      <c r="J98" s="10" t="s">
        <v>247</v>
      </c>
      <c r="K98" s="10" t="s">
        <v>248</v>
      </c>
      <c r="L98" s="10">
        <v>1</v>
      </c>
    </row>
    <row r="99" spans="1:12" x14ac:dyDescent="0.2">
      <c r="A99" s="10" t="s">
        <v>83</v>
      </c>
      <c r="D99" s="10" t="s">
        <v>246</v>
      </c>
      <c r="E99" s="18" t="s">
        <v>336</v>
      </c>
      <c r="F99" s="9">
        <v>45383</v>
      </c>
      <c r="G99" s="9">
        <v>46023</v>
      </c>
      <c r="H99" s="10">
        <v>22</v>
      </c>
      <c r="I99" s="10" t="s">
        <v>245</v>
      </c>
      <c r="J99" s="10" t="s">
        <v>247</v>
      </c>
      <c r="K99" s="10" t="s">
        <v>248</v>
      </c>
      <c r="L99" s="10">
        <v>1</v>
      </c>
    </row>
    <row r="100" spans="1:12" x14ac:dyDescent="0.2">
      <c r="A100" s="10" t="s">
        <v>84</v>
      </c>
      <c r="D100" s="10" t="s">
        <v>246</v>
      </c>
      <c r="E100" s="18" t="s">
        <v>337</v>
      </c>
      <c r="F100" s="9">
        <v>45383</v>
      </c>
      <c r="G100" s="9">
        <v>46023</v>
      </c>
      <c r="H100" s="10">
        <v>22</v>
      </c>
      <c r="I100" s="10" t="s">
        <v>245</v>
      </c>
      <c r="J100" s="10" t="s">
        <v>247</v>
      </c>
      <c r="K100" s="10" t="s">
        <v>248</v>
      </c>
      <c r="L100" s="10">
        <v>1</v>
      </c>
    </row>
    <row r="101" spans="1:12" x14ac:dyDescent="0.2">
      <c r="A101" s="10" t="s">
        <v>85</v>
      </c>
      <c r="D101" s="10" t="s">
        <v>246</v>
      </c>
      <c r="E101" s="18" t="s">
        <v>338</v>
      </c>
      <c r="F101" s="9">
        <v>45383</v>
      </c>
      <c r="G101" s="9">
        <v>46023</v>
      </c>
      <c r="H101" s="10">
        <v>22</v>
      </c>
      <c r="I101" s="10" t="s">
        <v>245</v>
      </c>
      <c r="J101" s="10" t="s">
        <v>247</v>
      </c>
      <c r="K101" s="10" t="s">
        <v>248</v>
      </c>
      <c r="L101" s="10">
        <v>1</v>
      </c>
    </row>
    <row r="102" spans="1:12" x14ac:dyDescent="0.2">
      <c r="A102" s="10" t="s">
        <v>86</v>
      </c>
      <c r="D102" s="10" t="s">
        <v>246</v>
      </c>
      <c r="E102" s="18" t="s">
        <v>339</v>
      </c>
      <c r="F102" s="9">
        <v>45383</v>
      </c>
      <c r="G102" s="9">
        <v>46023</v>
      </c>
      <c r="H102" s="10">
        <v>22</v>
      </c>
      <c r="I102" s="10" t="s">
        <v>245</v>
      </c>
      <c r="J102" s="10" t="s">
        <v>247</v>
      </c>
      <c r="K102" s="10" t="s">
        <v>248</v>
      </c>
      <c r="L102" s="10">
        <v>1</v>
      </c>
    </row>
    <row r="103" spans="1:12" x14ac:dyDescent="0.2">
      <c r="A103" s="10" t="s">
        <v>87</v>
      </c>
      <c r="D103" s="10" t="s">
        <v>246</v>
      </c>
      <c r="E103" s="18" t="s">
        <v>340</v>
      </c>
      <c r="F103" s="9">
        <v>45383</v>
      </c>
      <c r="G103" s="9">
        <v>46023</v>
      </c>
      <c r="H103" s="10">
        <v>22</v>
      </c>
      <c r="I103" s="10" t="s">
        <v>245</v>
      </c>
      <c r="J103" s="10" t="s">
        <v>247</v>
      </c>
      <c r="K103" s="10" t="s">
        <v>248</v>
      </c>
      <c r="L103" s="10">
        <v>1</v>
      </c>
    </row>
    <row r="104" spans="1:12" x14ac:dyDescent="0.2">
      <c r="A104" s="10" t="s">
        <v>88</v>
      </c>
      <c r="D104" s="10" t="s">
        <v>246</v>
      </c>
      <c r="E104" s="18" t="s">
        <v>341</v>
      </c>
      <c r="F104" s="9">
        <v>45383</v>
      </c>
      <c r="G104" s="9">
        <v>46023</v>
      </c>
      <c r="H104" s="10">
        <v>22</v>
      </c>
      <c r="I104" s="10" t="s">
        <v>245</v>
      </c>
      <c r="J104" s="10" t="s">
        <v>247</v>
      </c>
      <c r="K104" s="10" t="s">
        <v>248</v>
      </c>
      <c r="L104" s="10">
        <v>1</v>
      </c>
    </row>
    <row r="105" spans="1:12" x14ac:dyDescent="0.2">
      <c r="A105" s="10" t="s">
        <v>89</v>
      </c>
      <c r="D105" s="10" t="s">
        <v>246</v>
      </c>
      <c r="E105" s="18" t="s">
        <v>342</v>
      </c>
      <c r="F105" s="9">
        <v>45383</v>
      </c>
      <c r="G105" s="9">
        <v>46023</v>
      </c>
      <c r="H105" s="10">
        <v>22</v>
      </c>
      <c r="I105" s="10" t="s">
        <v>245</v>
      </c>
      <c r="J105" s="10" t="s">
        <v>247</v>
      </c>
      <c r="K105" s="10" t="s">
        <v>248</v>
      </c>
      <c r="L105" s="10">
        <v>1</v>
      </c>
    </row>
    <row r="106" spans="1:12" x14ac:dyDescent="0.2">
      <c r="A106" s="10" t="s">
        <v>90</v>
      </c>
      <c r="D106" s="10" t="s">
        <v>246</v>
      </c>
      <c r="E106" s="18" t="s">
        <v>343</v>
      </c>
      <c r="F106" s="9">
        <v>45383</v>
      </c>
      <c r="G106" s="9">
        <v>46023</v>
      </c>
      <c r="H106" s="10">
        <v>22</v>
      </c>
      <c r="I106" s="10" t="s">
        <v>245</v>
      </c>
      <c r="J106" s="10" t="s">
        <v>247</v>
      </c>
      <c r="K106" s="10" t="s">
        <v>248</v>
      </c>
      <c r="L106" s="10">
        <v>1</v>
      </c>
    </row>
    <row r="107" spans="1:12" x14ac:dyDescent="0.2">
      <c r="A107" s="10" t="s">
        <v>91</v>
      </c>
      <c r="D107" s="10" t="s">
        <v>246</v>
      </c>
      <c r="E107" s="18" t="s">
        <v>344</v>
      </c>
      <c r="F107" s="9">
        <v>42979</v>
      </c>
      <c r="G107" s="9">
        <v>46023</v>
      </c>
      <c r="H107" s="10">
        <v>101</v>
      </c>
      <c r="I107" s="10" t="s">
        <v>245</v>
      </c>
      <c r="J107" s="10" t="s">
        <v>247</v>
      </c>
      <c r="K107" s="10" t="s">
        <v>248</v>
      </c>
      <c r="L107" s="10">
        <v>1</v>
      </c>
    </row>
    <row r="108" spans="1:12" x14ac:dyDescent="0.2">
      <c r="A108" s="10" t="s">
        <v>92</v>
      </c>
      <c r="D108" s="10" t="s">
        <v>246</v>
      </c>
      <c r="E108" s="18" t="s">
        <v>345</v>
      </c>
      <c r="F108" s="9">
        <v>45383</v>
      </c>
      <c r="G108" s="9">
        <v>46023</v>
      </c>
      <c r="H108" s="10">
        <v>22</v>
      </c>
      <c r="I108" s="10" t="s">
        <v>245</v>
      </c>
      <c r="J108" s="10" t="s">
        <v>247</v>
      </c>
      <c r="K108" s="10" t="s">
        <v>248</v>
      </c>
      <c r="L108" s="10">
        <v>1</v>
      </c>
    </row>
    <row r="109" spans="1:12" x14ac:dyDescent="0.2">
      <c r="A109" s="10" t="s">
        <v>93</v>
      </c>
      <c r="D109" s="10" t="s">
        <v>246</v>
      </c>
      <c r="E109" s="18" t="s">
        <v>346</v>
      </c>
      <c r="F109" s="9">
        <v>45383</v>
      </c>
      <c r="G109" s="9">
        <v>46023</v>
      </c>
      <c r="H109" s="10">
        <v>22</v>
      </c>
      <c r="I109" s="10" t="s">
        <v>245</v>
      </c>
      <c r="J109" s="10" t="s">
        <v>247</v>
      </c>
      <c r="K109" s="10" t="s">
        <v>248</v>
      </c>
      <c r="L109" s="10">
        <v>1</v>
      </c>
    </row>
    <row r="110" spans="1:12" x14ac:dyDescent="0.2">
      <c r="A110" s="10" t="s">
        <v>94</v>
      </c>
      <c r="D110" s="10" t="s">
        <v>246</v>
      </c>
      <c r="E110" s="18" t="s">
        <v>347</v>
      </c>
      <c r="F110" s="9">
        <v>45383</v>
      </c>
      <c r="G110" s="9">
        <v>46023</v>
      </c>
      <c r="H110" s="10">
        <v>22</v>
      </c>
      <c r="I110" s="10" t="s">
        <v>245</v>
      </c>
      <c r="J110" s="10" t="s">
        <v>247</v>
      </c>
      <c r="K110" s="10" t="s">
        <v>248</v>
      </c>
      <c r="L110" s="10">
        <v>1</v>
      </c>
    </row>
    <row r="111" spans="1:12" x14ac:dyDescent="0.2">
      <c r="A111" s="10" t="s">
        <v>94</v>
      </c>
      <c r="D111" s="10" t="s">
        <v>246</v>
      </c>
      <c r="E111" s="18" t="s">
        <v>348</v>
      </c>
      <c r="F111" s="9">
        <v>45383</v>
      </c>
      <c r="G111" s="9">
        <v>46023</v>
      </c>
      <c r="H111" s="10">
        <v>22</v>
      </c>
      <c r="I111" s="10" t="s">
        <v>245</v>
      </c>
      <c r="J111" s="10" t="s">
        <v>247</v>
      </c>
      <c r="K111" s="10" t="s">
        <v>248</v>
      </c>
      <c r="L111" s="10">
        <v>1</v>
      </c>
    </row>
    <row r="112" spans="1:12" x14ac:dyDescent="0.2">
      <c r="A112" s="10" t="s">
        <v>95</v>
      </c>
      <c r="D112" s="10" t="s">
        <v>246</v>
      </c>
      <c r="E112" s="18" t="s">
        <v>349</v>
      </c>
      <c r="F112" s="9">
        <v>45383</v>
      </c>
      <c r="G112" s="9">
        <v>46023</v>
      </c>
      <c r="H112" s="10">
        <v>22</v>
      </c>
      <c r="I112" s="10" t="s">
        <v>245</v>
      </c>
      <c r="J112" s="10" t="s">
        <v>247</v>
      </c>
      <c r="K112" s="10" t="s">
        <v>248</v>
      </c>
      <c r="L112" s="10">
        <v>1</v>
      </c>
    </row>
    <row r="113" spans="1:12" x14ac:dyDescent="0.2">
      <c r="A113" s="10" t="s">
        <v>95</v>
      </c>
      <c r="D113" s="10" t="s">
        <v>246</v>
      </c>
      <c r="E113" s="18" t="s">
        <v>350</v>
      </c>
      <c r="F113" s="9">
        <v>45383</v>
      </c>
      <c r="G113" s="9">
        <v>46023</v>
      </c>
      <c r="H113" s="10">
        <v>22</v>
      </c>
      <c r="I113" s="10" t="s">
        <v>245</v>
      </c>
      <c r="J113" s="10" t="s">
        <v>247</v>
      </c>
      <c r="K113" s="10" t="s">
        <v>248</v>
      </c>
      <c r="L113" s="10">
        <v>1</v>
      </c>
    </row>
    <row r="114" spans="1:12" x14ac:dyDescent="0.2">
      <c r="A114" s="10" t="s">
        <v>96</v>
      </c>
      <c r="D114" s="10" t="s">
        <v>246</v>
      </c>
      <c r="E114" s="18" t="s">
        <v>351</v>
      </c>
      <c r="F114" s="9">
        <v>44743</v>
      </c>
      <c r="G114" s="9">
        <v>46023</v>
      </c>
      <c r="H114" s="10">
        <v>43</v>
      </c>
      <c r="I114" s="10" t="s">
        <v>245</v>
      </c>
      <c r="J114" s="10" t="s">
        <v>247</v>
      </c>
      <c r="K114" s="10" t="s">
        <v>248</v>
      </c>
      <c r="L114" s="10">
        <v>1</v>
      </c>
    </row>
    <row r="115" spans="1:12" x14ac:dyDescent="0.2">
      <c r="A115" s="10" t="s">
        <v>97</v>
      </c>
      <c r="D115" s="10" t="s">
        <v>246</v>
      </c>
      <c r="E115" s="18" t="s">
        <v>352</v>
      </c>
      <c r="F115" s="9">
        <v>45383</v>
      </c>
      <c r="G115" s="9">
        <v>46023</v>
      </c>
      <c r="H115" s="10">
        <v>22</v>
      </c>
      <c r="I115" s="10" t="s">
        <v>245</v>
      </c>
      <c r="J115" s="10" t="s">
        <v>247</v>
      </c>
      <c r="K115" s="10" t="s">
        <v>248</v>
      </c>
      <c r="L115" s="10">
        <v>1</v>
      </c>
    </row>
    <row r="116" spans="1:12" x14ac:dyDescent="0.2">
      <c r="A116" s="10" t="s">
        <v>98</v>
      </c>
      <c r="D116" s="10" t="s">
        <v>246</v>
      </c>
      <c r="E116" s="18" t="s">
        <v>353</v>
      </c>
      <c r="F116" s="9">
        <v>45383</v>
      </c>
      <c r="G116" s="9">
        <v>46023</v>
      </c>
      <c r="H116" s="10">
        <v>22</v>
      </c>
      <c r="I116" s="10" t="s">
        <v>245</v>
      </c>
      <c r="J116" s="10" t="s">
        <v>247</v>
      </c>
      <c r="K116" s="10" t="s">
        <v>248</v>
      </c>
      <c r="L116" s="10">
        <v>1</v>
      </c>
    </row>
    <row r="117" spans="1:12" x14ac:dyDescent="0.2">
      <c r="A117" s="10" t="s">
        <v>99</v>
      </c>
      <c r="D117" s="10" t="s">
        <v>246</v>
      </c>
      <c r="E117" s="18" t="s">
        <v>354</v>
      </c>
      <c r="F117" s="9">
        <v>45383</v>
      </c>
      <c r="G117" s="9">
        <v>46023</v>
      </c>
      <c r="H117" s="10">
        <v>22</v>
      </c>
      <c r="I117" s="10" t="s">
        <v>245</v>
      </c>
      <c r="J117" s="10" t="s">
        <v>247</v>
      </c>
      <c r="K117" s="10" t="s">
        <v>248</v>
      </c>
      <c r="L117" s="10">
        <v>1</v>
      </c>
    </row>
    <row r="118" spans="1:12" x14ac:dyDescent="0.2">
      <c r="A118" s="10" t="s">
        <v>100</v>
      </c>
      <c r="D118" s="10" t="s">
        <v>246</v>
      </c>
      <c r="E118" s="18" t="s">
        <v>355</v>
      </c>
      <c r="F118" s="9">
        <v>45383</v>
      </c>
      <c r="G118" s="9">
        <v>46023</v>
      </c>
      <c r="H118" s="10">
        <v>22</v>
      </c>
      <c r="I118" s="10" t="s">
        <v>245</v>
      </c>
      <c r="J118" s="10" t="s">
        <v>247</v>
      </c>
      <c r="K118" s="10" t="s">
        <v>248</v>
      </c>
      <c r="L118" s="10">
        <v>1</v>
      </c>
    </row>
    <row r="119" spans="1:12" x14ac:dyDescent="0.2">
      <c r="A119" s="10" t="s">
        <v>101</v>
      </c>
      <c r="D119" s="10" t="s">
        <v>246</v>
      </c>
      <c r="E119" s="18" t="s">
        <v>356</v>
      </c>
      <c r="F119" s="9">
        <v>45383</v>
      </c>
      <c r="G119" s="9">
        <v>46023</v>
      </c>
      <c r="H119" s="10">
        <v>22</v>
      </c>
      <c r="I119" s="10" t="s">
        <v>245</v>
      </c>
      <c r="J119" s="10" t="s">
        <v>247</v>
      </c>
      <c r="K119" s="10" t="s">
        <v>248</v>
      </c>
      <c r="L119" s="10">
        <v>1</v>
      </c>
    </row>
    <row r="120" spans="1:12" x14ac:dyDescent="0.2">
      <c r="A120" s="10" t="s">
        <v>102</v>
      </c>
      <c r="D120" s="10" t="s">
        <v>246</v>
      </c>
      <c r="E120" s="18" t="s">
        <v>357</v>
      </c>
      <c r="F120" s="9">
        <v>45383</v>
      </c>
      <c r="G120" s="9">
        <v>46023</v>
      </c>
      <c r="H120" s="10">
        <v>22</v>
      </c>
      <c r="I120" s="10" t="s">
        <v>245</v>
      </c>
      <c r="J120" s="10" t="s">
        <v>247</v>
      </c>
      <c r="K120" s="10" t="s">
        <v>248</v>
      </c>
      <c r="L120" s="10">
        <v>1</v>
      </c>
    </row>
    <row r="121" spans="1:12" x14ac:dyDescent="0.2">
      <c r="A121" s="10" t="s">
        <v>103</v>
      </c>
      <c r="D121" s="10" t="s">
        <v>246</v>
      </c>
      <c r="E121" s="18" t="s">
        <v>358</v>
      </c>
      <c r="F121" s="9">
        <v>45383</v>
      </c>
      <c r="G121" s="9">
        <v>46023</v>
      </c>
      <c r="H121" s="10">
        <v>22</v>
      </c>
      <c r="I121" s="10" t="s">
        <v>245</v>
      </c>
      <c r="J121" s="10" t="s">
        <v>247</v>
      </c>
      <c r="K121" s="10" t="s">
        <v>248</v>
      </c>
      <c r="L121" s="10">
        <v>1</v>
      </c>
    </row>
    <row r="122" spans="1:12" x14ac:dyDescent="0.2">
      <c r="A122" s="10" t="s">
        <v>104</v>
      </c>
      <c r="D122" s="10" t="s">
        <v>246</v>
      </c>
      <c r="E122" s="18" t="s">
        <v>359</v>
      </c>
      <c r="F122" s="9">
        <v>45383</v>
      </c>
      <c r="G122" s="9">
        <v>46023</v>
      </c>
      <c r="H122" s="10">
        <v>22</v>
      </c>
      <c r="I122" s="10" t="s">
        <v>245</v>
      </c>
      <c r="J122" s="10" t="s">
        <v>247</v>
      </c>
      <c r="K122" s="10" t="s">
        <v>248</v>
      </c>
      <c r="L122" s="10">
        <v>1</v>
      </c>
    </row>
    <row r="123" spans="1:12" x14ac:dyDescent="0.2">
      <c r="A123" s="10" t="s">
        <v>105</v>
      </c>
      <c r="D123" s="10" t="s">
        <v>246</v>
      </c>
      <c r="E123" s="18" t="s">
        <v>360</v>
      </c>
      <c r="F123" s="9">
        <v>42979</v>
      </c>
      <c r="G123" s="9">
        <v>46023</v>
      </c>
      <c r="H123" s="10">
        <v>101</v>
      </c>
      <c r="I123" s="10" t="s">
        <v>245</v>
      </c>
      <c r="J123" s="10" t="s">
        <v>247</v>
      </c>
      <c r="K123" s="10" t="s">
        <v>248</v>
      </c>
      <c r="L123" s="10">
        <v>1</v>
      </c>
    </row>
    <row r="124" spans="1:12" x14ac:dyDescent="0.2">
      <c r="A124" s="10" t="s">
        <v>106</v>
      </c>
      <c r="D124" s="10" t="s">
        <v>246</v>
      </c>
      <c r="E124" s="18" t="s">
        <v>361</v>
      </c>
      <c r="F124" s="9">
        <v>42979</v>
      </c>
      <c r="G124" s="9">
        <v>46023</v>
      </c>
      <c r="H124" s="10">
        <v>101</v>
      </c>
      <c r="I124" s="10" t="s">
        <v>245</v>
      </c>
      <c r="J124" s="10" t="s">
        <v>247</v>
      </c>
      <c r="K124" s="10" t="s">
        <v>248</v>
      </c>
      <c r="L124" s="10">
        <v>1</v>
      </c>
    </row>
    <row r="125" spans="1:12" x14ac:dyDescent="0.2">
      <c r="A125" s="10" t="s">
        <v>107</v>
      </c>
      <c r="D125" s="10" t="s">
        <v>246</v>
      </c>
      <c r="E125" s="18" t="s">
        <v>362</v>
      </c>
      <c r="F125" s="9">
        <v>42979</v>
      </c>
      <c r="G125" s="9">
        <v>46023</v>
      </c>
      <c r="H125" s="10">
        <v>101</v>
      </c>
      <c r="I125" s="10" t="s">
        <v>245</v>
      </c>
      <c r="J125" s="10" t="s">
        <v>247</v>
      </c>
      <c r="K125" s="10" t="s">
        <v>248</v>
      </c>
      <c r="L125" s="10">
        <v>1</v>
      </c>
    </row>
    <row r="126" spans="1:12" x14ac:dyDescent="0.2">
      <c r="A126" s="10" t="s">
        <v>108</v>
      </c>
      <c r="D126" s="10" t="s">
        <v>246</v>
      </c>
      <c r="E126" s="18" t="s">
        <v>363</v>
      </c>
      <c r="F126" s="9">
        <v>45383</v>
      </c>
      <c r="G126" s="9">
        <v>46023</v>
      </c>
      <c r="H126" s="10">
        <v>22</v>
      </c>
      <c r="I126" s="10" t="s">
        <v>245</v>
      </c>
      <c r="J126" s="10" t="s">
        <v>247</v>
      </c>
      <c r="K126" s="10" t="s">
        <v>248</v>
      </c>
      <c r="L126" s="10">
        <v>1</v>
      </c>
    </row>
    <row r="127" spans="1:12" x14ac:dyDescent="0.2">
      <c r="A127" s="10" t="s">
        <v>109</v>
      </c>
      <c r="D127" s="10" t="s">
        <v>246</v>
      </c>
      <c r="E127" s="18" t="s">
        <v>364</v>
      </c>
      <c r="F127" s="9">
        <v>45383</v>
      </c>
      <c r="G127" s="9">
        <v>46023</v>
      </c>
      <c r="H127" s="10">
        <v>22</v>
      </c>
      <c r="I127" s="10" t="s">
        <v>245</v>
      </c>
      <c r="J127" s="10" t="s">
        <v>247</v>
      </c>
      <c r="K127" s="10" t="s">
        <v>248</v>
      </c>
      <c r="L127" s="10">
        <v>1</v>
      </c>
    </row>
    <row r="128" spans="1:12" x14ac:dyDescent="0.2">
      <c r="A128" s="10" t="s">
        <v>110</v>
      </c>
      <c r="D128" s="10" t="s">
        <v>246</v>
      </c>
      <c r="E128" s="18" t="s">
        <v>365</v>
      </c>
      <c r="F128" s="9">
        <v>45383</v>
      </c>
      <c r="G128" s="9">
        <v>46023</v>
      </c>
      <c r="H128" s="10">
        <v>22</v>
      </c>
      <c r="I128" s="10" t="s">
        <v>245</v>
      </c>
      <c r="J128" s="10" t="s">
        <v>247</v>
      </c>
      <c r="K128" s="10" t="s">
        <v>248</v>
      </c>
      <c r="L128" s="10">
        <v>1</v>
      </c>
    </row>
    <row r="129" spans="1:12" x14ac:dyDescent="0.2">
      <c r="A129" s="10" t="s">
        <v>111</v>
      </c>
      <c r="D129" s="10" t="s">
        <v>246</v>
      </c>
      <c r="E129" s="18" t="s">
        <v>366</v>
      </c>
      <c r="F129" s="9">
        <v>42979</v>
      </c>
      <c r="G129" s="9">
        <v>46023</v>
      </c>
      <c r="H129" s="10">
        <v>101</v>
      </c>
      <c r="I129" s="10" t="s">
        <v>245</v>
      </c>
      <c r="J129" s="10" t="s">
        <v>247</v>
      </c>
      <c r="K129" s="10" t="s">
        <v>248</v>
      </c>
      <c r="L129" s="10">
        <v>1</v>
      </c>
    </row>
    <row r="130" spans="1:12" x14ac:dyDescent="0.2">
      <c r="A130" s="10" t="s">
        <v>112</v>
      </c>
      <c r="D130" s="10" t="s">
        <v>246</v>
      </c>
      <c r="E130" s="18" t="s">
        <v>367</v>
      </c>
      <c r="F130" s="9">
        <v>45383</v>
      </c>
      <c r="G130" s="9">
        <v>46023</v>
      </c>
      <c r="H130" s="10">
        <v>22</v>
      </c>
      <c r="I130" s="10" t="s">
        <v>245</v>
      </c>
      <c r="J130" s="10" t="s">
        <v>247</v>
      </c>
      <c r="K130" s="10" t="s">
        <v>248</v>
      </c>
      <c r="L130" s="10">
        <v>1</v>
      </c>
    </row>
    <row r="131" spans="1:12" x14ac:dyDescent="0.2">
      <c r="A131" s="10" t="s">
        <v>113</v>
      </c>
      <c r="D131" s="10" t="s">
        <v>246</v>
      </c>
      <c r="E131" s="18" t="s">
        <v>368</v>
      </c>
      <c r="F131" s="9">
        <v>45383</v>
      </c>
      <c r="G131" s="9">
        <v>46023</v>
      </c>
      <c r="H131" s="10">
        <v>22</v>
      </c>
      <c r="I131" s="10" t="s">
        <v>245</v>
      </c>
      <c r="J131" s="10" t="s">
        <v>247</v>
      </c>
      <c r="K131" s="10" t="s">
        <v>248</v>
      </c>
      <c r="L131" s="10">
        <v>1</v>
      </c>
    </row>
    <row r="132" spans="1:12" x14ac:dyDescent="0.2">
      <c r="A132" s="10" t="s">
        <v>114</v>
      </c>
      <c r="D132" s="10" t="s">
        <v>246</v>
      </c>
      <c r="E132" s="18" t="s">
        <v>369</v>
      </c>
      <c r="F132" s="9">
        <v>45383</v>
      </c>
      <c r="G132" s="9">
        <v>46023</v>
      </c>
      <c r="H132" s="10">
        <v>22</v>
      </c>
      <c r="I132" s="10" t="s">
        <v>245</v>
      </c>
      <c r="J132" s="10" t="s">
        <v>247</v>
      </c>
      <c r="K132" s="10" t="s">
        <v>248</v>
      </c>
      <c r="L132" s="10">
        <v>1</v>
      </c>
    </row>
    <row r="133" spans="1:12" x14ac:dyDescent="0.2">
      <c r="A133" s="10" t="s">
        <v>115</v>
      </c>
      <c r="D133" s="10" t="s">
        <v>246</v>
      </c>
      <c r="E133" s="18" t="s">
        <v>370</v>
      </c>
      <c r="F133" s="9">
        <v>45383</v>
      </c>
      <c r="G133" s="9">
        <v>46023</v>
      </c>
      <c r="H133" s="10">
        <v>22</v>
      </c>
      <c r="I133" s="10" t="s">
        <v>245</v>
      </c>
      <c r="J133" s="10" t="s">
        <v>247</v>
      </c>
      <c r="K133" s="10" t="s">
        <v>248</v>
      </c>
      <c r="L133" s="10">
        <v>1</v>
      </c>
    </row>
    <row r="134" spans="1:12" x14ac:dyDescent="0.2">
      <c r="A134" s="10" t="s">
        <v>115</v>
      </c>
      <c r="D134" s="10" t="s">
        <v>246</v>
      </c>
      <c r="E134" s="18" t="s">
        <v>371</v>
      </c>
      <c r="F134" s="9">
        <v>45383</v>
      </c>
      <c r="G134" s="9">
        <v>46023</v>
      </c>
      <c r="H134" s="10">
        <v>22</v>
      </c>
      <c r="I134" s="10" t="s">
        <v>245</v>
      </c>
      <c r="J134" s="10" t="s">
        <v>247</v>
      </c>
      <c r="K134" s="10" t="s">
        <v>248</v>
      </c>
      <c r="L134" s="10">
        <v>1</v>
      </c>
    </row>
    <row r="135" spans="1:12" x14ac:dyDescent="0.2">
      <c r="A135" s="10" t="s">
        <v>116</v>
      </c>
      <c r="D135" s="10" t="s">
        <v>246</v>
      </c>
      <c r="E135" s="18" t="s">
        <v>372</v>
      </c>
      <c r="F135" s="9">
        <v>45383</v>
      </c>
      <c r="G135" s="9">
        <v>46023</v>
      </c>
      <c r="H135" s="10">
        <v>22</v>
      </c>
      <c r="I135" s="10" t="s">
        <v>245</v>
      </c>
      <c r="J135" s="10" t="s">
        <v>247</v>
      </c>
      <c r="K135" s="10" t="s">
        <v>248</v>
      </c>
      <c r="L135" s="10">
        <v>1</v>
      </c>
    </row>
    <row r="136" spans="1:12" x14ac:dyDescent="0.2">
      <c r="A136" s="10" t="s">
        <v>117</v>
      </c>
      <c r="D136" s="10" t="s">
        <v>246</v>
      </c>
      <c r="E136" s="18" t="s">
        <v>373</v>
      </c>
      <c r="F136" s="9">
        <v>42979</v>
      </c>
      <c r="G136" s="9">
        <v>46023</v>
      </c>
      <c r="H136" s="10">
        <v>101</v>
      </c>
      <c r="I136" s="10" t="s">
        <v>245</v>
      </c>
      <c r="J136" s="10" t="s">
        <v>247</v>
      </c>
      <c r="K136" s="10" t="s">
        <v>248</v>
      </c>
      <c r="L136" s="10">
        <v>1</v>
      </c>
    </row>
    <row r="137" spans="1:12" x14ac:dyDescent="0.2">
      <c r="A137" s="10" t="s">
        <v>118</v>
      </c>
      <c r="D137" s="10" t="s">
        <v>246</v>
      </c>
      <c r="E137" s="18" t="s">
        <v>374</v>
      </c>
      <c r="F137" s="9">
        <v>42979</v>
      </c>
      <c r="G137" s="9">
        <v>46023</v>
      </c>
      <c r="H137" s="10">
        <v>101</v>
      </c>
      <c r="I137" s="10" t="s">
        <v>245</v>
      </c>
      <c r="J137" s="10" t="s">
        <v>247</v>
      </c>
      <c r="K137" s="10" t="s">
        <v>248</v>
      </c>
      <c r="L137" s="10">
        <v>1</v>
      </c>
    </row>
    <row r="138" spans="1:12" x14ac:dyDescent="0.2">
      <c r="A138" s="10" t="s">
        <v>119</v>
      </c>
      <c r="D138" s="10" t="s">
        <v>246</v>
      </c>
      <c r="E138" s="18" t="s">
        <v>375</v>
      </c>
      <c r="F138" s="9">
        <v>45383</v>
      </c>
      <c r="G138" s="9">
        <v>46023</v>
      </c>
      <c r="H138" s="10">
        <v>22</v>
      </c>
      <c r="I138" s="10" t="s">
        <v>245</v>
      </c>
      <c r="J138" s="10" t="s">
        <v>247</v>
      </c>
      <c r="K138" s="10" t="s">
        <v>248</v>
      </c>
      <c r="L138" s="10">
        <v>1</v>
      </c>
    </row>
    <row r="139" spans="1:12" x14ac:dyDescent="0.2">
      <c r="A139" s="10" t="s">
        <v>120</v>
      </c>
      <c r="D139" s="10" t="s">
        <v>246</v>
      </c>
      <c r="E139" s="18" t="s">
        <v>376</v>
      </c>
      <c r="F139" s="9">
        <v>45383</v>
      </c>
      <c r="G139" s="9">
        <v>46023</v>
      </c>
      <c r="H139" s="10">
        <v>22</v>
      </c>
      <c r="I139" s="10" t="s">
        <v>245</v>
      </c>
      <c r="J139" s="10" t="s">
        <v>247</v>
      </c>
      <c r="K139" s="10" t="s">
        <v>248</v>
      </c>
      <c r="L139" s="10">
        <v>1</v>
      </c>
    </row>
    <row r="140" spans="1:12" x14ac:dyDescent="0.2">
      <c r="A140" s="10" t="s">
        <v>120</v>
      </c>
      <c r="D140" s="10" t="s">
        <v>246</v>
      </c>
      <c r="E140" s="18" t="s">
        <v>377</v>
      </c>
      <c r="F140" s="9">
        <v>45383</v>
      </c>
      <c r="G140" s="9">
        <v>46023</v>
      </c>
      <c r="H140" s="10">
        <v>22</v>
      </c>
      <c r="I140" s="10" t="s">
        <v>245</v>
      </c>
      <c r="J140" s="10" t="s">
        <v>247</v>
      </c>
      <c r="K140" s="10" t="s">
        <v>248</v>
      </c>
      <c r="L140" s="10">
        <v>1</v>
      </c>
    </row>
    <row r="141" spans="1:12" x14ac:dyDescent="0.2">
      <c r="A141" s="10" t="s">
        <v>121</v>
      </c>
      <c r="D141" s="10" t="s">
        <v>246</v>
      </c>
      <c r="E141" s="18" t="s">
        <v>378</v>
      </c>
      <c r="F141" s="9">
        <v>42979</v>
      </c>
      <c r="G141" s="9">
        <v>46023</v>
      </c>
      <c r="H141" s="10">
        <v>101</v>
      </c>
      <c r="I141" s="10" t="s">
        <v>245</v>
      </c>
      <c r="J141" s="10" t="s">
        <v>247</v>
      </c>
      <c r="K141" s="10" t="s">
        <v>248</v>
      </c>
      <c r="L141" s="10">
        <v>1</v>
      </c>
    </row>
    <row r="142" spans="1:12" x14ac:dyDescent="0.2">
      <c r="A142" s="10" t="s">
        <v>122</v>
      </c>
      <c r="D142" s="10" t="s">
        <v>246</v>
      </c>
      <c r="E142" s="18" t="s">
        <v>379</v>
      </c>
      <c r="F142" s="9">
        <v>42979</v>
      </c>
      <c r="G142" s="9">
        <v>46023</v>
      </c>
      <c r="H142" s="10">
        <v>101</v>
      </c>
      <c r="I142" s="10" t="s">
        <v>245</v>
      </c>
      <c r="J142" s="10" t="s">
        <v>247</v>
      </c>
      <c r="K142" s="10" t="s">
        <v>248</v>
      </c>
      <c r="L142" s="10">
        <v>1</v>
      </c>
    </row>
    <row r="143" spans="1:12" x14ac:dyDescent="0.2">
      <c r="A143" s="10" t="s">
        <v>123</v>
      </c>
      <c r="D143" s="10" t="s">
        <v>246</v>
      </c>
      <c r="E143" s="18" t="s">
        <v>380</v>
      </c>
      <c r="F143" s="9">
        <v>42979</v>
      </c>
      <c r="G143" s="9">
        <v>46023</v>
      </c>
      <c r="H143" s="10">
        <v>101</v>
      </c>
      <c r="I143" s="10" t="s">
        <v>245</v>
      </c>
      <c r="J143" s="10" t="s">
        <v>247</v>
      </c>
      <c r="K143" s="10" t="s">
        <v>248</v>
      </c>
      <c r="L143" s="10">
        <v>1</v>
      </c>
    </row>
    <row r="144" spans="1:12" x14ac:dyDescent="0.2">
      <c r="A144" s="10" t="s">
        <v>124</v>
      </c>
      <c r="D144" s="10" t="s">
        <v>246</v>
      </c>
      <c r="E144" s="18" t="s">
        <v>381</v>
      </c>
      <c r="F144" s="9">
        <v>45383</v>
      </c>
      <c r="G144" s="9">
        <v>46023</v>
      </c>
      <c r="H144" s="10">
        <v>22</v>
      </c>
      <c r="I144" s="10" t="s">
        <v>245</v>
      </c>
      <c r="J144" s="10" t="s">
        <v>247</v>
      </c>
      <c r="K144" s="10" t="s">
        <v>248</v>
      </c>
      <c r="L144" s="10">
        <v>1</v>
      </c>
    </row>
    <row r="145" spans="1:12" x14ac:dyDescent="0.2">
      <c r="A145" s="10" t="s">
        <v>125</v>
      </c>
      <c r="D145" s="10" t="s">
        <v>246</v>
      </c>
      <c r="E145" s="18" t="s">
        <v>382</v>
      </c>
      <c r="F145" s="9">
        <v>45383</v>
      </c>
      <c r="G145" s="9">
        <v>46023</v>
      </c>
      <c r="H145" s="10">
        <v>22</v>
      </c>
      <c r="I145" s="10" t="s">
        <v>245</v>
      </c>
      <c r="J145" s="10" t="s">
        <v>247</v>
      </c>
      <c r="K145" s="10" t="s">
        <v>248</v>
      </c>
      <c r="L145" s="10">
        <v>1</v>
      </c>
    </row>
    <row r="146" spans="1:12" x14ac:dyDescent="0.2">
      <c r="A146" s="10" t="s">
        <v>126</v>
      </c>
      <c r="D146" s="10" t="s">
        <v>246</v>
      </c>
      <c r="E146" s="18" t="s">
        <v>383</v>
      </c>
      <c r="F146" s="9">
        <v>42979</v>
      </c>
      <c r="G146" s="9">
        <v>46023</v>
      </c>
      <c r="H146" s="10">
        <v>101</v>
      </c>
      <c r="I146" s="10" t="s">
        <v>245</v>
      </c>
      <c r="J146" s="10" t="s">
        <v>247</v>
      </c>
      <c r="K146" s="10" t="s">
        <v>248</v>
      </c>
      <c r="L146" s="10">
        <v>1</v>
      </c>
    </row>
    <row r="147" spans="1:12" x14ac:dyDescent="0.2">
      <c r="A147" s="10" t="s">
        <v>127</v>
      </c>
      <c r="D147" s="10" t="s">
        <v>246</v>
      </c>
      <c r="E147" s="18" t="s">
        <v>384</v>
      </c>
      <c r="F147" s="9">
        <v>42979</v>
      </c>
      <c r="G147" s="9">
        <v>46023</v>
      </c>
      <c r="H147" s="10">
        <v>101</v>
      </c>
      <c r="I147" s="10" t="s">
        <v>245</v>
      </c>
      <c r="J147" s="10" t="s">
        <v>247</v>
      </c>
      <c r="K147" s="10" t="s">
        <v>248</v>
      </c>
      <c r="L147" s="10">
        <v>1</v>
      </c>
    </row>
    <row r="148" spans="1:12" x14ac:dyDescent="0.2">
      <c r="A148" s="10" t="s">
        <v>128</v>
      </c>
      <c r="D148" s="10" t="s">
        <v>246</v>
      </c>
      <c r="E148" s="18" t="s">
        <v>385</v>
      </c>
      <c r="F148" s="9">
        <v>42979</v>
      </c>
      <c r="G148" s="9">
        <v>46023</v>
      </c>
      <c r="H148" s="10">
        <v>101</v>
      </c>
      <c r="I148" s="10" t="s">
        <v>245</v>
      </c>
      <c r="J148" s="10" t="s">
        <v>247</v>
      </c>
      <c r="K148" s="10" t="s">
        <v>248</v>
      </c>
      <c r="L148" s="10">
        <v>1</v>
      </c>
    </row>
    <row r="149" spans="1:12" x14ac:dyDescent="0.2">
      <c r="A149" s="10" t="s">
        <v>129</v>
      </c>
      <c r="D149" s="10" t="s">
        <v>246</v>
      </c>
      <c r="E149" s="18" t="s">
        <v>386</v>
      </c>
      <c r="F149" s="9">
        <v>42979</v>
      </c>
      <c r="G149" s="9">
        <v>46023</v>
      </c>
      <c r="H149" s="10">
        <v>101</v>
      </c>
      <c r="I149" s="10" t="s">
        <v>245</v>
      </c>
      <c r="J149" s="10" t="s">
        <v>247</v>
      </c>
      <c r="K149" s="10" t="s">
        <v>248</v>
      </c>
      <c r="L149" s="10">
        <v>1</v>
      </c>
    </row>
    <row r="150" spans="1:12" x14ac:dyDescent="0.2">
      <c r="A150" s="10" t="s">
        <v>130</v>
      </c>
      <c r="D150" s="10" t="s">
        <v>246</v>
      </c>
      <c r="E150" s="18" t="s">
        <v>387</v>
      </c>
      <c r="F150" s="9">
        <v>42979</v>
      </c>
      <c r="G150" s="9">
        <v>46023</v>
      </c>
      <c r="H150" s="10">
        <v>101</v>
      </c>
      <c r="I150" s="10" t="s">
        <v>245</v>
      </c>
      <c r="J150" s="10" t="s">
        <v>247</v>
      </c>
      <c r="K150" s="10" t="s">
        <v>248</v>
      </c>
      <c r="L150" s="10">
        <v>1</v>
      </c>
    </row>
    <row r="151" spans="1:12" x14ac:dyDescent="0.2">
      <c r="A151" s="10" t="s">
        <v>131</v>
      </c>
      <c r="D151" s="10" t="s">
        <v>246</v>
      </c>
      <c r="E151" s="18" t="s">
        <v>388</v>
      </c>
      <c r="F151" s="9">
        <v>42979</v>
      </c>
      <c r="G151" s="9">
        <v>46023</v>
      </c>
      <c r="H151" s="10">
        <v>101</v>
      </c>
      <c r="I151" s="10" t="s">
        <v>245</v>
      </c>
      <c r="J151" s="10" t="s">
        <v>247</v>
      </c>
      <c r="K151" s="10" t="s">
        <v>248</v>
      </c>
      <c r="L151" s="10">
        <v>1</v>
      </c>
    </row>
    <row r="152" spans="1:12" x14ac:dyDescent="0.2">
      <c r="A152" s="10" t="s">
        <v>132</v>
      </c>
      <c r="D152" s="10" t="s">
        <v>246</v>
      </c>
      <c r="E152" s="18" t="s">
        <v>389</v>
      </c>
      <c r="F152" s="9">
        <v>42979</v>
      </c>
      <c r="G152" s="9">
        <v>46023</v>
      </c>
      <c r="H152" s="10">
        <v>101</v>
      </c>
      <c r="I152" s="10" t="s">
        <v>245</v>
      </c>
      <c r="J152" s="10" t="s">
        <v>247</v>
      </c>
      <c r="K152" s="10" t="s">
        <v>248</v>
      </c>
      <c r="L152" s="10">
        <v>1</v>
      </c>
    </row>
    <row r="153" spans="1:12" x14ac:dyDescent="0.2">
      <c r="A153" s="10" t="s">
        <v>133</v>
      </c>
      <c r="D153" s="10" t="s">
        <v>246</v>
      </c>
      <c r="E153" s="18" t="s">
        <v>390</v>
      </c>
      <c r="F153" s="9">
        <v>42979</v>
      </c>
      <c r="G153" s="9">
        <v>46023</v>
      </c>
      <c r="H153" s="10">
        <v>101</v>
      </c>
      <c r="I153" s="10" t="s">
        <v>245</v>
      </c>
      <c r="J153" s="10" t="s">
        <v>247</v>
      </c>
      <c r="K153" s="10" t="s">
        <v>248</v>
      </c>
      <c r="L153" s="10">
        <v>1</v>
      </c>
    </row>
    <row r="154" spans="1:12" x14ac:dyDescent="0.2">
      <c r="A154" s="10" t="s">
        <v>134</v>
      </c>
      <c r="D154" s="10" t="s">
        <v>246</v>
      </c>
      <c r="E154" s="18" t="s">
        <v>391</v>
      </c>
      <c r="F154" s="9">
        <v>42979</v>
      </c>
      <c r="G154" s="9">
        <v>46023</v>
      </c>
      <c r="H154" s="10">
        <v>101</v>
      </c>
      <c r="I154" s="10" t="s">
        <v>245</v>
      </c>
      <c r="J154" s="10" t="s">
        <v>247</v>
      </c>
      <c r="K154" s="10" t="s">
        <v>248</v>
      </c>
      <c r="L154" s="10">
        <v>1</v>
      </c>
    </row>
    <row r="155" spans="1:12" x14ac:dyDescent="0.2">
      <c r="A155" s="10" t="s">
        <v>135</v>
      </c>
      <c r="D155" s="10" t="s">
        <v>246</v>
      </c>
      <c r="E155" s="18" t="s">
        <v>392</v>
      </c>
      <c r="F155" s="9">
        <v>42979</v>
      </c>
      <c r="G155" s="9">
        <v>46023</v>
      </c>
      <c r="H155" s="10">
        <v>101</v>
      </c>
      <c r="I155" s="10" t="s">
        <v>245</v>
      </c>
      <c r="J155" s="10" t="s">
        <v>247</v>
      </c>
      <c r="K155" s="10" t="s">
        <v>248</v>
      </c>
      <c r="L155" s="10">
        <v>1</v>
      </c>
    </row>
    <row r="156" spans="1:12" x14ac:dyDescent="0.2">
      <c r="A156" s="10" t="s">
        <v>136</v>
      </c>
      <c r="D156" s="10" t="s">
        <v>246</v>
      </c>
      <c r="E156" s="18" t="s">
        <v>393</v>
      </c>
      <c r="F156" s="9">
        <v>42979</v>
      </c>
      <c r="G156" s="9">
        <v>46023</v>
      </c>
      <c r="H156" s="10">
        <v>101</v>
      </c>
      <c r="I156" s="10" t="s">
        <v>245</v>
      </c>
      <c r="J156" s="10" t="s">
        <v>247</v>
      </c>
      <c r="K156" s="10" t="s">
        <v>248</v>
      </c>
      <c r="L156" s="10">
        <v>1</v>
      </c>
    </row>
    <row r="157" spans="1:12" x14ac:dyDescent="0.2">
      <c r="A157" s="10" t="s">
        <v>137</v>
      </c>
      <c r="D157" s="10" t="s">
        <v>246</v>
      </c>
      <c r="E157" s="18" t="s">
        <v>394</v>
      </c>
      <c r="F157" s="9">
        <v>42979</v>
      </c>
      <c r="G157" s="9">
        <v>46023</v>
      </c>
      <c r="H157" s="10">
        <v>101</v>
      </c>
      <c r="I157" s="10" t="s">
        <v>245</v>
      </c>
      <c r="J157" s="10" t="s">
        <v>247</v>
      </c>
      <c r="K157" s="10" t="s">
        <v>248</v>
      </c>
      <c r="L157" s="10">
        <v>1</v>
      </c>
    </row>
    <row r="158" spans="1:12" x14ac:dyDescent="0.2">
      <c r="A158" s="10" t="s">
        <v>138</v>
      </c>
      <c r="D158" s="10" t="s">
        <v>246</v>
      </c>
      <c r="E158" s="18" t="s">
        <v>395</v>
      </c>
      <c r="F158" s="9">
        <v>42979</v>
      </c>
      <c r="G158" s="9">
        <v>46023</v>
      </c>
      <c r="H158" s="10">
        <v>101</v>
      </c>
      <c r="I158" s="10" t="s">
        <v>245</v>
      </c>
      <c r="J158" s="10" t="s">
        <v>247</v>
      </c>
      <c r="K158" s="10" t="s">
        <v>248</v>
      </c>
      <c r="L158" s="10">
        <v>1</v>
      </c>
    </row>
    <row r="159" spans="1:12" x14ac:dyDescent="0.2">
      <c r="A159" s="10" t="s">
        <v>139</v>
      </c>
      <c r="D159" s="10" t="s">
        <v>246</v>
      </c>
      <c r="E159" s="18" t="s">
        <v>396</v>
      </c>
      <c r="F159" s="9">
        <v>42979</v>
      </c>
      <c r="G159" s="9">
        <v>46023</v>
      </c>
      <c r="H159" s="10">
        <v>101</v>
      </c>
      <c r="I159" s="10" t="s">
        <v>245</v>
      </c>
      <c r="J159" s="10" t="s">
        <v>247</v>
      </c>
      <c r="K159" s="10" t="s">
        <v>248</v>
      </c>
      <c r="L159" s="10">
        <v>1</v>
      </c>
    </row>
    <row r="160" spans="1:12" x14ac:dyDescent="0.2">
      <c r="A160" s="10" t="s">
        <v>140</v>
      </c>
      <c r="D160" s="10" t="s">
        <v>246</v>
      </c>
      <c r="E160" s="18" t="s">
        <v>397</v>
      </c>
      <c r="F160" s="9">
        <v>42979</v>
      </c>
      <c r="G160" s="9">
        <v>46023</v>
      </c>
      <c r="H160" s="10">
        <v>101</v>
      </c>
      <c r="I160" s="10" t="s">
        <v>245</v>
      </c>
      <c r="J160" s="10" t="s">
        <v>247</v>
      </c>
      <c r="K160" s="10" t="s">
        <v>248</v>
      </c>
      <c r="L160" s="10">
        <v>1</v>
      </c>
    </row>
    <row r="161" spans="1:12" x14ac:dyDescent="0.2">
      <c r="A161" s="10" t="s">
        <v>141</v>
      </c>
      <c r="D161" s="10" t="s">
        <v>246</v>
      </c>
      <c r="E161" s="18" t="s">
        <v>398</v>
      </c>
      <c r="F161" s="9">
        <v>42979</v>
      </c>
      <c r="G161" s="9">
        <v>46023</v>
      </c>
      <c r="H161" s="10">
        <v>101</v>
      </c>
      <c r="I161" s="10" t="s">
        <v>245</v>
      </c>
      <c r="J161" s="10" t="s">
        <v>247</v>
      </c>
      <c r="K161" s="10" t="s">
        <v>248</v>
      </c>
      <c r="L161" s="10">
        <v>1</v>
      </c>
    </row>
    <row r="162" spans="1:12" x14ac:dyDescent="0.2">
      <c r="A162" s="10" t="s">
        <v>142</v>
      </c>
      <c r="D162" s="10" t="s">
        <v>246</v>
      </c>
      <c r="E162" s="18" t="s">
        <v>399</v>
      </c>
      <c r="F162" s="9">
        <v>42979</v>
      </c>
      <c r="G162" s="9">
        <v>46023</v>
      </c>
      <c r="H162" s="10">
        <v>101</v>
      </c>
      <c r="I162" s="10" t="s">
        <v>245</v>
      </c>
      <c r="J162" s="10" t="s">
        <v>247</v>
      </c>
      <c r="K162" s="10" t="s">
        <v>248</v>
      </c>
      <c r="L162" s="10">
        <v>1</v>
      </c>
    </row>
    <row r="163" spans="1:12" x14ac:dyDescent="0.2">
      <c r="A163" s="10" t="s">
        <v>143</v>
      </c>
      <c r="D163" s="10" t="s">
        <v>246</v>
      </c>
      <c r="E163" s="18" t="s">
        <v>400</v>
      </c>
      <c r="F163" s="9">
        <v>42979</v>
      </c>
      <c r="G163" s="9">
        <v>46023</v>
      </c>
      <c r="H163" s="10">
        <v>101</v>
      </c>
      <c r="I163" s="10" t="s">
        <v>245</v>
      </c>
      <c r="J163" s="10" t="s">
        <v>247</v>
      </c>
      <c r="K163" s="10" t="s">
        <v>248</v>
      </c>
      <c r="L163" s="10">
        <v>1</v>
      </c>
    </row>
    <row r="164" spans="1:12" x14ac:dyDescent="0.2">
      <c r="A164" s="10" t="s">
        <v>144</v>
      </c>
      <c r="D164" s="10" t="s">
        <v>246</v>
      </c>
      <c r="E164" s="18" t="s">
        <v>401</v>
      </c>
      <c r="F164" s="9">
        <v>42979</v>
      </c>
      <c r="G164" s="9">
        <v>46023</v>
      </c>
      <c r="H164" s="10">
        <v>101</v>
      </c>
      <c r="I164" s="10" t="s">
        <v>245</v>
      </c>
      <c r="J164" s="10" t="s">
        <v>247</v>
      </c>
      <c r="K164" s="10" t="s">
        <v>248</v>
      </c>
      <c r="L164" s="10">
        <v>1</v>
      </c>
    </row>
    <row r="165" spans="1:12" x14ac:dyDescent="0.2">
      <c r="A165" s="10" t="s">
        <v>145</v>
      </c>
      <c r="D165" s="10" t="s">
        <v>246</v>
      </c>
      <c r="E165" s="18" t="s">
        <v>402</v>
      </c>
      <c r="F165" s="9">
        <v>42979</v>
      </c>
      <c r="G165" s="9">
        <v>46023</v>
      </c>
      <c r="H165" s="10">
        <v>101</v>
      </c>
      <c r="I165" s="10" t="s">
        <v>245</v>
      </c>
      <c r="J165" s="10" t="s">
        <v>247</v>
      </c>
      <c r="K165" s="10" t="s">
        <v>248</v>
      </c>
      <c r="L165" s="10">
        <v>1</v>
      </c>
    </row>
    <row r="166" spans="1:12" x14ac:dyDescent="0.2">
      <c r="A166" s="10" t="s">
        <v>146</v>
      </c>
      <c r="D166" s="10" t="s">
        <v>246</v>
      </c>
      <c r="E166" s="18" t="s">
        <v>403</v>
      </c>
      <c r="F166" s="9">
        <v>42979</v>
      </c>
      <c r="G166" s="9">
        <v>46023</v>
      </c>
      <c r="H166" s="10">
        <v>101</v>
      </c>
      <c r="I166" s="10" t="s">
        <v>245</v>
      </c>
      <c r="J166" s="10" t="s">
        <v>247</v>
      </c>
      <c r="K166" s="10" t="s">
        <v>248</v>
      </c>
      <c r="L166" s="10">
        <v>1</v>
      </c>
    </row>
    <row r="167" spans="1:12" x14ac:dyDescent="0.2">
      <c r="A167" s="10" t="s">
        <v>147</v>
      </c>
      <c r="D167" s="10" t="s">
        <v>246</v>
      </c>
      <c r="E167" s="18" t="s">
        <v>404</v>
      </c>
      <c r="F167" s="9">
        <v>42979</v>
      </c>
      <c r="G167" s="9">
        <v>46023</v>
      </c>
      <c r="H167" s="10">
        <v>101</v>
      </c>
      <c r="I167" s="10" t="s">
        <v>245</v>
      </c>
      <c r="J167" s="10" t="s">
        <v>247</v>
      </c>
      <c r="K167" s="10" t="s">
        <v>248</v>
      </c>
      <c r="L167" s="10">
        <v>1</v>
      </c>
    </row>
    <row r="168" spans="1:12" x14ac:dyDescent="0.2">
      <c r="A168" s="10" t="s">
        <v>148</v>
      </c>
      <c r="D168" s="10" t="s">
        <v>246</v>
      </c>
      <c r="E168" s="18" t="s">
        <v>405</v>
      </c>
      <c r="F168" s="9">
        <v>42979</v>
      </c>
      <c r="G168" s="9">
        <v>46023</v>
      </c>
      <c r="H168" s="10">
        <v>101</v>
      </c>
      <c r="I168" s="10" t="s">
        <v>245</v>
      </c>
      <c r="J168" s="10" t="s">
        <v>247</v>
      </c>
      <c r="K168" s="10" t="s">
        <v>248</v>
      </c>
      <c r="L168" s="10">
        <v>1</v>
      </c>
    </row>
    <row r="169" spans="1:12" x14ac:dyDescent="0.2">
      <c r="A169" s="10" t="s">
        <v>149</v>
      </c>
      <c r="D169" s="10" t="s">
        <v>246</v>
      </c>
      <c r="E169" s="18" t="s">
        <v>406</v>
      </c>
      <c r="F169" s="9">
        <v>42979</v>
      </c>
      <c r="G169" s="9">
        <v>46023</v>
      </c>
      <c r="H169" s="10">
        <v>101</v>
      </c>
      <c r="I169" s="10" t="s">
        <v>245</v>
      </c>
      <c r="J169" s="10" t="s">
        <v>247</v>
      </c>
      <c r="K169" s="10" t="s">
        <v>248</v>
      </c>
      <c r="L169" s="10">
        <v>1</v>
      </c>
    </row>
    <row r="170" spans="1:12" x14ac:dyDescent="0.2">
      <c r="A170" s="10" t="s">
        <v>150</v>
      </c>
      <c r="D170" s="10" t="s">
        <v>246</v>
      </c>
      <c r="E170" s="18" t="s">
        <v>407</v>
      </c>
      <c r="F170" s="9">
        <v>42979</v>
      </c>
      <c r="G170" s="9">
        <v>46023</v>
      </c>
      <c r="H170" s="10">
        <v>101</v>
      </c>
      <c r="I170" s="10" t="s">
        <v>245</v>
      </c>
      <c r="J170" s="10" t="s">
        <v>247</v>
      </c>
      <c r="K170" s="10" t="s">
        <v>248</v>
      </c>
      <c r="L170" s="10">
        <v>1</v>
      </c>
    </row>
    <row r="171" spans="1:12" x14ac:dyDescent="0.2">
      <c r="A171" s="10" t="s">
        <v>151</v>
      </c>
      <c r="D171" s="10" t="s">
        <v>246</v>
      </c>
      <c r="E171" s="18" t="s">
        <v>408</v>
      </c>
      <c r="F171" s="9">
        <v>42979</v>
      </c>
      <c r="G171" s="9">
        <v>46023</v>
      </c>
      <c r="H171" s="10">
        <v>101</v>
      </c>
      <c r="I171" s="10" t="s">
        <v>245</v>
      </c>
      <c r="J171" s="10" t="s">
        <v>247</v>
      </c>
      <c r="K171" s="10" t="s">
        <v>248</v>
      </c>
      <c r="L171" s="10">
        <v>1</v>
      </c>
    </row>
    <row r="172" spans="1:12" x14ac:dyDescent="0.2">
      <c r="A172" s="10" t="s">
        <v>152</v>
      </c>
      <c r="D172" s="10" t="s">
        <v>246</v>
      </c>
      <c r="E172" s="18" t="s">
        <v>409</v>
      </c>
      <c r="F172" s="9">
        <v>42979</v>
      </c>
      <c r="G172" s="9">
        <v>46023</v>
      </c>
      <c r="H172" s="10">
        <v>101</v>
      </c>
      <c r="I172" s="10" t="s">
        <v>245</v>
      </c>
      <c r="J172" s="10" t="s">
        <v>247</v>
      </c>
      <c r="K172" s="10" t="s">
        <v>248</v>
      </c>
      <c r="L172" s="10">
        <v>1</v>
      </c>
    </row>
    <row r="173" spans="1:12" x14ac:dyDescent="0.2">
      <c r="A173" s="10" t="s">
        <v>153</v>
      </c>
      <c r="D173" s="10" t="s">
        <v>246</v>
      </c>
      <c r="E173" s="18" t="s">
        <v>410</v>
      </c>
      <c r="F173" s="9">
        <v>42979</v>
      </c>
      <c r="G173" s="9">
        <v>46023</v>
      </c>
      <c r="H173" s="10">
        <v>101</v>
      </c>
      <c r="I173" s="10" t="s">
        <v>245</v>
      </c>
      <c r="J173" s="10" t="s">
        <v>247</v>
      </c>
      <c r="K173" s="10" t="s">
        <v>248</v>
      </c>
      <c r="L173" s="10">
        <v>1</v>
      </c>
    </row>
    <row r="174" spans="1:12" x14ac:dyDescent="0.2">
      <c r="A174" s="10" t="s">
        <v>154</v>
      </c>
      <c r="D174" s="10" t="s">
        <v>246</v>
      </c>
      <c r="E174" s="18" t="s">
        <v>411</v>
      </c>
      <c r="F174" s="9">
        <v>42979</v>
      </c>
      <c r="G174" s="9">
        <v>46023</v>
      </c>
      <c r="H174" s="10">
        <v>101</v>
      </c>
      <c r="I174" s="10" t="s">
        <v>245</v>
      </c>
      <c r="J174" s="10" t="s">
        <v>247</v>
      </c>
      <c r="K174" s="10" t="s">
        <v>248</v>
      </c>
      <c r="L174" s="10">
        <v>1</v>
      </c>
    </row>
    <row r="175" spans="1:12" x14ac:dyDescent="0.2">
      <c r="A175" s="10" t="s">
        <v>155</v>
      </c>
      <c r="D175" s="10" t="s">
        <v>246</v>
      </c>
      <c r="E175" s="18" t="s">
        <v>412</v>
      </c>
      <c r="F175" s="9">
        <v>45383</v>
      </c>
      <c r="G175" s="9">
        <v>46023</v>
      </c>
      <c r="H175" s="10">
        <v>22</v>
      </c>
      <c r="I175" s="10" t="s">
        <v>245</v>
      </c>
      <c r="J175" s="10" t="s">
        <v>247</v>
      </c>
      <c r="K175" s="10" t="s">
        <v>248</v>
      </c>
      <c r="L175" s="10">
        <v>1</v>
      </c>
    </row>
    <row r="176" spans="1:12" x14ac:dyDescent="0.2">
      <c r="A176" s="10" t="s">
        <v>156</v>
      </c>
      <c r="D176" s="10" t="s">
        <v>246</v>
      </c>
      <c r="E176" s="18" t="s">
        <v>413</v>
      </c>
      <c r="F176" s="9">
        <v>45383</v>
      </c>
      <c r="G176" s="9">
        <v>46023</v>
      </c>
      <c r="H176" s="10">
        <v>22</v>
      </c>
      <c r="I176" s="10" t="s">
        <v>245</v>
      </c>
      <c r="J176" s="10" t="s">
        <v>247</v>
      </c>
      <c r="K176" s="10" t="s">
        <v>248</v>
      </c>
      <c r="L176" s="10">
        <v>1</v>
      </c>
    </row>
    <row r="177" spans="1:12" x14ac:dyDescent="0.2">
      <c r="A177" s="10" t="s">
        <v>157</v>
      </c>
      <c r="D177" s="10" t="s">
        <v>246</v>
      </c>
      <c r="E177" s="18" t="s">
        <v>414</v>
      </c>
      <c r="F177" s="9">
        <v>45383</v>
      </c>
      <c r="G177" s="9">
        <v>46023</v>
      </c>
      <c r="H177" s="10">
        <v>22</v>
      </c>
      <c r="I177" s="10" t="s">
        <v>245</v>
      </c>
      <c r="J177" s="10" t="s">
        <v>247</v>
      </c>
      <c r="K177" s="10" t="s">
        <v>248</v>
      </c>
      <c r="L177" s="10">
        <v>1</v>
      </c>
    </row>
    <row r="178" spans="1:12" x14ac:dyDescent="0.2">
      <c r="A178" s="10" t="s">
        <v>158</v>
      </c>
      <c r="D178" s="10" t="s">
        <v>246</v>
      </c>
      <c r="E178" s="18" t="s">
        <v>415</v>
      </c>
      <c r="F178" s="9">
        <v>45383</v>
      </c>
      <c r="G178" s="9">
        <v>46023</v>
      </c>
      <c r="H178" s="10">
        <v>22</v>
      </c>
      <c r="I178" s="10" t="s">
        <v>245</v>
      </c>
      <c r="J178" s="10" t="s">
        <v>247</v>
      </c>
      <c r="K178" s="10" t="s">
        <v>248</v>
      </c>
      <c r="L178" s="10">
        <v>1</v>
      </c>
    </row>
    <row r="179" spans="1:12" x14ac:dyDescent="0.2">
      <c r="A179" s="10" t="s">
        <v>159</v>
      </c>
      <c r="D179" s="10" t="s">
        <v>246</v>
      </c>
      <c r="E179" s="18" t="s">
        <v>416</v>
      </c>
      <c r="F179" s="9">
        <v>45383</v>
      </c>
      <c r="G179" s="9">
        <v>46023</v>
      </c>
      <c r="H179" s="10">
        <v>22</v>
      </c>
      <c r="I179" s="10" t="s">
        <v>245</v>
      </c>
      <c r="J179" s="10" t="s">
        <v>247</v>
      </c>
      <c r="K179" s="10" t="s">
        <v>248</v>
      </c>
      <c r="L179" s="10">
        <v>1</v>
      </c>
    </row>
    <row r="180" spans="1:12" x14ac:dyDescent="0.2">
      <c r="A180" s="10" t="s">
        <v>160</v>
      </c>
      <c r="D180" s="10" t="s">
        <v>246</v>
      </c>
      <c r="E180" s="18" t="s">
        <v>417</v>
      </c>
      <c r="F180" s="9">
        <v>42979</v>
      </c>
      <c r="G180" s="9">
        <v>46023</v>
      </c>
      <c r="H180" s="10">
        <v>101</v>
      </c>
      <c r="I180" s="10" t="s">
        <v>245</v>
      </c>
      <c r="J180" s="10" t="s">
        <v>247</v>
      </c>
      <c r="K180" s="10" t="s">
        <v>248</v>
      </c>
      <c r="L180" s="10">
        <v>1</v>
      </c>
    </row>
    <row r="181" spans="1:12" x14ac:dyDescent="0.2">
      <c r="A181" s="10" t="s">
        <v>161</v>
      </c>
      <c r="D181" s="10" t="s">
        <v>246</v>
      </c>
      <c r="E181" s="18" t="s">
        <v>418</v>
      </c>
      <c r="F181" s="9">
        <v>45383</v>
      </c>
      <c r="G181" s="9">
        <v>46023</v>
      </c>
      <c r="H181" s="10">
        <v>22</v>
      </c>
      <c r="I181" s="10" t="s">
        <v>245</v>
      </c>
      <c r="J181" s="10" t="s">
        <v>247</v>
      </c>
      <c r="K181" s="10" t="s">
        <v>248</v>
      </c>
      <c r="L181" s="10">
        <v>1</v>
      </c>
    </row>
    <row r="182" spans="1:12" x14ac:dyDescent="0.2">
      <c r="A182" s="10" t="s">
        <v>162</v>
      </c>
      <c r="D182" s="10" t="s">
        <v>246</v>
      </c>
      <c r="E182" s="18" t="s">
        <v>419</v>
      </c>
      <c r="F182" s="9">
        <v>42979</v>
      </c>
      <c r="G182" s="9">
        <v>46023</v>
      </c>
      <c r="H182" s="10">
        <v>101</v>
      </c>
      <c r="I182" s="10" t="s">
        <v>245</v>
      </c>
      <c r="J182" s="10" t="s">
        <v>247</v>
      </c>
      <c r="K182" s="10" t="s">
        <v>248</v>
      </c>
      <c r="L182" s="10">
        <v>1</v>
      </c>
    </row>
    <row r="183" spans="1:12" x14ac:dyDescent="0.2">
      <c r="A183" s="10" t="s">
        <v>163</v>
      </c>
      <c r="D183" s="10" t="s">
        <v>246</v>
      </c>
      <c r="E183" s="18" t="s">
        <v>420</v>
      </c>
      <c r="F183" s="9">
        <v>42979</v>
      </c>
      <c r="G183" s="9">
        <v>46023</v>
      </c>
      <c r="H183" s="10">
        <v>101</v>
      </c>
      <c r="I183" s="10" t="s">
        <v>245</v>
      </c>
      <c r="J183" s="10" t="s">
        <v>247</v>
      </c>
      <c r="K183" s="10" t="s">
        <v>248</v>
      </c>
      <c r="L183" s="10">
        <v>1</v>
      </c>
    </row>
    <row r="184" spans="1:12" x14ac:dyDescent="0.2">
      <c r="A184" s="10" t="s">
        <v>163</v>
      </c>
      <c r="D184" s="10" t="s">
        <v>246</v>
      </c>
      <c r="E184" s="18" t="s">
        <v>421</v>
      </c>
      <c r="F184" s="9">
        <v>42979</v>
      </c>
      <c r="G184" s="9">
        <v>46023</v>
      </c>
      <c r="H184" s="10">
        <v>101</v>
      </c>
      <c r="I184" s="10" t="s">
        <v>245</v>
      </c>
      <c r="J184" s="10" t="s">
        <v>247</v>
      </c>
      <c r="K184" s="10" t="s">
        <v>248</v>
      </c>
      <c r="L184" s="10">
        <v>1</v>
      </c>
    </row>
    <row r="185" spans="1:12" x14ac:dyDescent="0.2">
      <c r="A185" s="10" t="s">
        <v>164</v>
      </c>
      <c r="D185" s="10" t="s">
        <v>246</v>
      </c>
      <c r="E185" s="18" t="s">
        <v>422</v>
      </c>
      <c r="F185" s="9">
        <v>45383</v>
      </c>
      <c r="G185" s="9">
        <v>46023</v>
      </c>
      <c r="H185" s="10">
        <v>22</v>
      </c>
      <c r="I185" s="10" t="s">
        <v>245</v>
      </c>
      <c r="J185" s="10" t="s">
        <v>247</v>
      </c>
      <c r="K185" s="10" t="s">
        <v>248</v>
      </c>
      <c r="L185" s="10">
        <v>1</v>
      </c>
    </row>
    <row r="186" spans="1:12" x14ac:dyDescent="0.2">
      <c r="A186" s="10" t="s">
        <v>165</v>
      </c>
      <c r="D186" s="10" t="s">
        <v>246</v>
      </c>
      <c r="E186" s="18" t="s">
        <v>423</v>
      </c>
      <c r="F186" s="9">
        <v>45383</v>
      </c>
      <c r="G186" s="9">
        <v>46023</v>
      </c>
      <c r="H186" s="10">
        <v>22</v>
      </c>
      <c r="I186" s="10" t="s">
        <v>245</v>
      </c>
      <c r="J186" s="10" t="s">
        <v>247</v>
      </c>
      <c r="K186" s="10" t="s">
        <v>248</v>
      </c>
      <c r="L186" s="10">
        <v>1</v>
      </c>
    </row>
    <row r="187" spans="1:12" x14ac:dyDescent="0.2">
      <c r="A187" s="10" t="s">
        <v>166</v>
      </c>
      <c r="D187" s="10" t="s">
        <v>246</v>
      </c>
      <c r="E187" s="18" t="s">
        <v>424</v>
      </c>
      <c r="F187" s="9">
        <v>45383</v>
      </c>
      <c r="G187" s="9">
        <v>46023</v>
      </c>
      <c r="H187" s="10">
        <v>22</v>
      </c>
      <c r="I187" s="10" t="s">
        <v>245</v>
      </c>
      <c r="J187" s="10" t="s">
        <v>247</v>
      </c>
      <c r="K187" s="10" t="s">
        <v>248</v>
      </c>
      <c r="L187" s="10">
        <v>1</v>
      </c>
    </row>
    <row r="188" spans="1:12" x14ac:dyDescent="0.2">
      <c r="A188" s="10" t="s">
        <v>167</v>
      </c>
      <c r="D188" s="10" t="s">
        <v>246</v>
      </c>
      <c r="E188" s="18" t="s">
        <v>425</v>
      </c>
      <c r="F188" s="9">
        <v>45383</v>
      </c>
      <c r="G188" s="9">
        <v>46023</v>
      </c>
      <c r="H188" s="10">
        <v>22</v>
      </c>
      <c r="I188" s="10" t="s">
        <v>245</v>
      </c>
      <c r="J188" s="10" t="s">
        <v>247</v>
      </c>
      <c r="K188" s="10" t="s">
        <v>248</v>
      </c>
      <c r="L188" s="10">
        <v>1</v>
      </c>
    </row>
    <row r="189" spans="1:12" x14ac:dyDescent="0.2">
      <c r="A189" s="10" t="s">
        <v>168</v>
      </c>
      <c r="D189" s="10" t="s">
        <v>246</v>
      </c>
      <c r="E189" s="18" t="s">
        <v>426</v>
      </c>
      <c r="F189" s="9">
        <v>45383</v>
      </c>
      <c r="G189" s="9">
        <v>46023</v>
      </c>
      <c r="H189" s="10">
        <v>22</v>
      </c>
      <c r="I189" s="10" t="s">
        <v>245</v>
      </c>
      <c r="J189" s="10" t="s">
        <v>247</v>
      </c>
      <c r="K189" s="10" t="s">
        <v>248</v>
      </c>
      <c r="L189" s="10">
        <v>1</v>
      </c>
    </row>
    <row r="190" spans="1:12" x14ac:dyDescent="0.2">
      <c r="A190" s="10" t="s">
        <v>169</v>
      </c>
      <c r="D190" s="10" t="s">
        <v>246</v>
      </c>
      <c r="E190" s="18" t="s">
        <v>427</v>
      </c>
      <c r="F190" s="9">
        <v>45383</v>
      </c>
      <c r="G190" s="9">
        <v>46023</v>
      </c>
      <c r="H190" s="10">
        <v>22</v>
      </c>
      <c r="I190" s="10" t="s">
        <v>245</v>
      </c>
      <c r="J190" s="10" t="s">
        <v>247</v>
      </c>
      <c r="K190" s="10" t="s">
        <v>248</v>
      </c>
      <c r="L190" s="10">
        <v>1</v>
      </c>
    </row>
    <row r="191" spans="1:12" x14ac:dyDescent="0.2">
      <c r="A191" s="10" t="s">
        <v>170</v>
      </c>
      <c r="D191" s="10" t="s">
        <v>246</v>
      </c>
      <c r="E191" s="18" t="s">
        <v>428</v>
      </c>
      <c r="F191" s="9">
        <v>45383</v>
      </c>
      <c r="G191" s="9">
        <v>46023</v>
      </c>
      <c r="H191" s="10">
        <v>22</v>
      </c>
      <c r="I191" s="10" t="s">
        <v>245</v>
      </c>
      <c r="J191" s="10" t="s">
        <v>247</v>
      </c>
      <c r="K191" s="10" t="s">
        <v>248</v>
      </c>
      <c r="L191" s="10">
        <v>1</v>
      </c>
    </row>
    <row r="192" spans="1:12" x14ac:dyDescent="0.2">
      <c r="A192" s="10" t="s">
        <v>171</v>
      </c>
      <c r="D192" s="10" t="s">
        <v>246</v>
      </c>
      <c r="E192" s="18" t="s">
        <v>429</v>
      </c>
      <c r="F192" s="9">
        <v>45383</v>
      </c>
      <c r="G192" s="9">
        <v>46023</v>
      </c>
      <c r="H192" s="10">
        <v>22</v>
      </c>
      <c r="I192" s="10" t="s">
        <v>245</v>
      </c>
      <c r="J192" s="10" t="s">
        <v>247</v>
      </c>
      <c r="K192" s="10" t="s">
        <v>248</v>
      </c>
      <c r="L192" s="10">
        <v>1</v>
      </c>
    </row>
    <row r="193" spans="1:12" x14ac:dyDescent="0.2">
      <c r="A193" s="10" t="s">
        <v>172</v>
      </c>
      <c r="D193" s="10" t="s">
        <v>246</v>
      </c>
      <c r="E193" s="18" t="s">
        <v>430</v>
      </c>
      <c r="F193" s="9">
        <v>45383</v>
      </c>
      <c r="G193" s="9">
        <v>46023</v>
      </c>
      <c r="H193" s="10">
        <v>22</v>
      </c>
      <c r="I193" s="10" t="s">
        <v>245</v>
      </c>
      <c r="J193" s="10" t="s">
        <v>247</v>
      </c>
      <c r="K193" s="10" t="s">
        <v>248</v>
      </c>
      <c r="L193" s="10">
        <v>1</v>
      </c>
    </row>
    <row r="194" spans="1:12" x14ac:dyDescent="0.2">
      <c r="A194" s="10" t="s">
        <v>173</v>
      </c>
      <c r="D194" s="10" t="s">
        <v>246</v>
      </c>
      <c r="E194" s="18" t="s">
        <v>431</v>
      </c>
      <c r="F194" s="9">
        <v>45383</v>
      </c>
      <c r="G194" s="9">
        <v>46023</v>
      </c>
      <c r="H194" s="10">
        <v>22</v>
      </c>
      <c r="I194" s="10" t="s">
        <v>245</v>
      </c>
      <c r="J194" s="10" t="s">
        <v>247</v>
      </c>
      <c r="K194" s="10" t="s">
        <v>248</v>
      </c>
      <c r="L194" s="10">
        <v>1</v>
      </c>
    </row>
    <row r="195" spans="1:12" x14ac:dyDescent="0.2">
      <c r="A195" s="10" t="s">
        <v>174</v>
      </c>
      <c r="D195" s="10" t="s">
        <v>246</v>
      </c>
      <c r="E195" s="18" t="s">
        <v>432</v>
      </c>
      <c r="F195" s="9">
        <v>45383</v>
      </c>
      <c r="G195" s="9">
        <v>46023</v>
      </c>
      <c r="H195" s="10">
        <v>22</v>
      </c>
      <c r="I195" s="10" t="s">
        <v>245</v>
      </c>
      <c r="J195" s="10" t="s">
        <v>247</v>
      </c>
      <c r="K195" s="10" t="s">
        <v>248</v>
      </c>
      <c r="L195" s="10">
        <v>1</v>
      </c>
    </row>
    <row r="196" spans="1:12" x14ac:dyDescent="0.2">
      <c r="A196" s="10" t="s">
        <v>175</v>
      </c>
      <c r="D196" s="10" t="s">
        <v>246</v>
      </c>
      <c r="E196" s="18" t="s">
        <v>433</v>
      </c>
      <c r="F196" s="9">
        <v>45383</v>
      </c>
      <c r="G196" s="9">
        <v>46023</v>
      </c>
      <c r="H196" s="10">
        <v>22</v>
      </c>
      <c r="I196" s="10" t="s">
        <v>245</v>
      </c>
      <c r="J196" s="10" t="s">
        <v>247</v>
      </c>
      <c r="K196" s="10" t="s">
        <v>248</v>
      </c>
      <c r="L196" s="10">
        <v>1</v>
      </c>
    </row>
    <row r="197" spans="1:12" x14ac:dyDescent="0.2">
      <c r="A197" s="10" t="s">
        <v>176</v>
      </c>
      <c r="D197" s="10" t="s">
        <v>246</v>
      </c>
      <c r="E197" s="18" t="s">
        <v>434</v>
      </c>
      <c r="F197" s="9">
        <v>45383</v>
      </c>
      <c r="G197" s="9">
        <v>46023</v>
      </c>
      <c r="H197" s="10">
        <v>22</v>
      </c>
      <c r="I197" s="10" t="s">
        <v>245</v>
      </c>
      <c r="J197" s="10" t="s">
        <v>247</v>
      </c>
      <c r="K197" s="10" t="s">
        <v>248</v>
      </c>
      <c r="L197" s="10">
        <v>1</v>
      </c>
    </row>
    <row r="198" spans="1:12" x14ac:dyDescent="0.2">
      <c r="A198" s="10" t="s">
        <v>177</v>
      </c>
      <c r="D198" s="10" t="s">
        <v>246</v>
      </c>
      <c r="E198" s="18" t="s">
        <v>435</v>
      </c>
      <c r="F198" s="9">
        <v>44743</v>
      </c>
      <c r="G198" s="9">
        <v>46023</v>
      </c>
      <c r="H198" s="10">
        <v>43</v>
      </c>
      <c r="I198" s="10" t="s">
        <v>245</v>
      </c>
      <c r="J198" s="10" t="s">
        <v>247</v>
      </c>
      <c r="K198" s="10" t="s">
        <v>248</v>
      </c>
      <c r="L198" s="10">
        <v>1</v>
      </c>
    </row>
    <row r="199" spans="1:12" x14ac:dyDescent="0.2">
      <c r="A199" s="10" t="s">
        <v>177</v>
      </c>
      <c r="D199" s="10" t="s">
        <v>246</v>
      </c>
      <c r="E199" s="18" t="s">
        <v>436</v>
      </c>
      <c r="F199" s="9">
        <v>44743</v>
      </c>
      <c r="G199" s="9">
        <v>46023</v>
      </c>
      <c r="H199" s="10">
        <v>43</v>
      </c>
      <c r="I199" s="10" t="s">
        <v>245</v>
      </c>
      <c r="J199" s="10" t="s">
        <v>247</v>
      </c>
      <c r="K199" s="10" t="s">
        <v>248</v>
      </c>
      <c r="L199" s="10">
        <v>1</v>
      </c>
    </row>
    <row r="200" spans="1:12" x14ac:dyDescent="0.2">
      <c r="A200" s="10" t="s">
        <v>178</v>
      </c>
      <c r="D200" s="10" t="s">
        <v>246</v>
      </c>
      <c r="E200" s="18" t="s">
        <v>437</v>
      </c>
      <c r="F200" s="9">
        <v>42979</v>
      </c>
      <c r="G200" s="9">
        <v>46023</v>
      </c>
      <c r="H200" s="10">
        <v>101</v>
      </c>
      <c r="I200" s="10" t="s">
        <v>245</v>
      </c>
      <c r="J200" s="10" t="s">
        <v>247</v>
      </c>
      <c r="K200" s="10" t="s">
        <v>248</v>
      </c>
      <c r="L200" s="10">
        <v>1</v>
      </c>
    </row>
    <row r="201" spans="1:12" x14ac:dyDescent="0.2">
      <c r="A201" s="10" t="s">
        <v>178</v>
      </c>
      <c r="D201" s="10" t="s">
        <v>246</v>
      </c>
      <c r="E201" s="18" t="s">
        <v>438</v>
      </c>
      <c r="F201" s="9">
        <v>42979</v>
      </c>
      <c r="G201" s="9">
        <v>46023</v>
      </c>
      <c r="H201" s="10">
        <v>101</v>
      </c>
      <c r="I201" s="10" t="s">
        <v>245</v>
      </c>
      <c r="J201" s="10" t="s">
        <v>247</v>
      </c>
      <c r="K201" s="10" t="s">
        <v>248</v>
      </c>
      <c r="L201" s="10">
        <v>1</v>
      </c>
    </row>
    <row r="202" spans="1:12" x14ac:dyDescent="0.2">
      <c r="A202" s="10" t="s">
        <v>179</v>
      </c>
      <c r="D202" s="10" t="s">
        <v>246</v>
      </c>
      <c r="E202" s="18" t="s">
        <v>439</v>
      </c>
      <c r="F202" s="9">
        <v>45383</v>
      </c>
      <c r="G202" s="9">
        <v>46023</v>
      </c>
      <c r="H202" s="10">
        <v>22</v>
      </c>
      <c r="I202" s="10" t="s">
        <v>245</v>
      </c>
      <c r="J202" s="10" t="s">
        <v>247</v>
      </c>
      <c r="K202" s="10" t="s">
        <v>248</v>
      </c>
      <c r="L202" s="10">
        <v>1</v>
      </c>
    </row>
    <row r="203" spans="1:12" x14ac:dyDescent="0.2">
      <c r="A203" s="10" t="s">
        <v>180</v>
      </c>
      <c r="D203" s="10" t="s">
        <v>246</v>
      </c>
      <c r="E203" s="18" t="s">
        <v>440</v>
      </c>
      <c r="F203" s="9">
        <v>45383</v>
      </c>
      <c r="G203" s="9">
        <v>46023</v>
      </c>
      <c r="H203" s="10">
        <v>22</v>
      </c>
      <c r="I203" s="10" t="s">
        <v>245</v>
      </c>
      <c r="J203" s="10" t="s">
        <v>247</v>
      </c>
      <c r="K203" s="10" t="s">
        <v>248</v>
      </c>
      <c r="L203" s="10">
        <v>1</v>
      </c>
    </row>
    <row r="204" spans="1:12" x14ac:dyDescent="0.2">
      <c r="A204" s="10" t="s">
        <v>181</v>
      </c>
      <c r="D204" s="10" t="s">
        <v>246</v>
      </c>
      <c r="E204" s="18" t="s">
        <v>441</v>
      </c>
      <c r="F204" s="9">
        <v>42979</v>
      </c>
      <c r="G204" s="9">
        <v>46023</v>
      </c>
      <c r="H204" s="10">
        <v>101</v>
      </c>
      <c r="I204" s="10" t="s">
        <v>245</v>
      </c>
      <c r="J204" s="10" t="s">
        <v>247</v>
      </c>
      <c r="K204" s="10" t="s">
        <v>248</v>
      </c>
      <c r="L204" s="10">
        <v>1</v>
      </c>
    </row>
    <row r="205" spans="1:12" x14ac:dyDescent="0.2">
      <c r="A205" s="10" t="s">
        <v>182</v>
      </c>
      <c r="D205" s="10" t="s">
        <v>246</v>
      </c>
      <c r="E205" s="18" t="s">
        <v>442</v>
      </c>
      <c r="F205" s="9">
        <v>45383</v>
      </c>
      <c r="G205" s="9">
        <v>46023</v>
      </c>
      <c r="H205" s="10">
        <v>22</v>
      </c>
      <c r="I205" s="10" t="s">
        <v>245</v>
      </c>
      <c r="J205" s="10" t="s">
        <v>247</v>
      </c>
      <c r="K205" s="10" t="s">
        <v>248</v>
      </c>
      <c r="L205" s="10">
        <v>1</v>
      </c>
    </row>
    <row r="206" spans="1:12" x14ac:dyDescent="0.2">
      <c r="A206" s="10" t="s">
        <v>183</v>
      </c>
      <c r="D206" s="10" t="s">
        <v>246</v>
      </c>
      <c r="E206" s="18" t="s">
        <v>443</v>
      </c>
      <c r="F206" s="9">
        <v>45383</v>
      </c>
      <c r="G206" s="9">
        <v>46023</v>
      </c>
      <c r="H206" s="10">
        <v>22</v>
      </c>
      <c r="I206" s="10" t="s">
        <v>245</v>
      </c>
      <c r="J206" s="10" t="s">
        <v>247</v>
      </c>
      <c r="K206" s="10" t="s">
        <v>248</v>
      </c>
      <c r="L206" s="10">
        <v>1</v>
      </c>
    </row>
    <row r="207" spans="1:12" x14ac:dyDescent="0.2">
      <c r="A207" s="10" t="s">
        <v>184</v>
      </c>
      <c r="D207" s="10" t="s">
        <v>246</v>
      </c>
      <c r="E207" s="18" t="s">
        <v>444</v>
      </c>
      <c r="F207" s="9">
        <v>44470</v>
      </c>
      <c r="G207" s="9">
        <v>46023</v>
      </c>
      <c r="H207" s="10">
        <v>52</v>
      </c>
      <c r="I207" s="10" t="s">
        <v>245</v>
      </c>
      <c r="J207" s="10" t="s">
        <v>247</v>
      </c>
      <c r="K207" s="10" t="s">
        <v>248</v>
      </c>
      <c r="L207" s="10">
        <v>1</v>
      </c>
    </row>
    <row r="208" spans="1:12" x14ac:dyDescent="0.2">
      <c r="A208" s="10" t="s">
        <v>185</v>
      </c>
      <c r="D208" s="10" t="s">
        <v>246</v>
      </c>
      <c r="E208" s="18" t="s">
        <v>445</v>
      </c>
      <c r="F208" s="9">
        <v>44470</v>
      </c>
      <c r="G208" s="9">
        <v>46023</v>
      </c>
      <c r="H208" s="10">
        <v>52</v>
      </c>
      <c r="I208" s="10" t="s">
        <v>245</v>
      </c>
      <c r="J208" s="10" t="s">
        <v>247</v>
      </c>
      <c r="K208" s="10" t="s">
        <v>248</v>
      </c>
      <c r="L208" s="10">
        <v>1</v>
      </c>
    </row>
    <row r="209" spans="1:12" x14ac:dyDescent="0.2">
      <c r="A209" s="10" t="s">
        <v>186</v>
      </c>
      <c r="D209" s="10" t="s">
        <v>246</v>
      </c>
      <c r="E209" s="18" t="s">
        <v>446</v>
      </c>
      <c r="F209" s="9">
        <v>45383</v>
      </c>
      <c r="G209" s="9">
        <v>46023</v>
      </c>
      <c r="H209" s="10">
        <v>22</v>
      </c>
      <c r="I209" s="10" t="s">
        <v>245</v>
      </c>
      <c r="J209" s="10" t="s">
        <v>247</v>
      </c>
      <c r="K209" s="10" t="s">
        <v>248</v>
      </c>
      <c r="L209" s="10">
        <v>1</v>
      </c>
    </row>
    <row r="210" spans="1:12" x14ac:dyDescent="0.2">
      <c r="A210" s="10" t="s">
        <v>187</v>
      </c>
      <c r="D210" s="10" t="s">
        <v>246</v>
      </c>
      <c r="E210" s="18" t="s">
        <v>447</v>
      </c>
      <c r="F210" s="9">
        <v>45383</v>
      </c>
      <c r="G210" s="9">
        <v>46023</v>
      </c>
      <c r="H210" s="10">
        <v>22</v>
      </c>
      <c r="I210" s="10" t="s">
        <v>245</v>
      </c>
      <c r="J210" s="10" t="s">
        <v>247</v>
      </c>
      <c r="K210" s="10" t="s">
        <v>248</v>
      </c>
      <c r="L210" s="10">
        <v>1</v>
      </c>
    </row>
    <row r="211" spans="1:12" x14ac:dyDescent="0.2">
      <c r="A211" s="10" t="s">
        <v>188</v>
      </c>
      <c r="D211" s="10" t="s">
        <v>246</v>
      </c>
      <c r="E211" s="18" t="s">
        <v>448</v>
      </c>
      <c r="F211" s="9">
        <v>45383</v>
      </c>
      <c r="G211" s="9">
        <v>46023</v>
      </c>
      <c r="H211" s="10">
        <v>22</v>
      </c>
      <c r="I211" s="10" t="s">
        <v>245</v>
      </c>
      <c r="J211" s="10" t="s">
        <v>247</v>
      </c>
      <c r="K211" s="10" t="s">
        <v>248</v>
      </c>
      <c r="L211" s="10">
        <v>1</v>
      </c>
    </row>
    <row r="212" spans="1:12" x14ac:dyDescent="0.2">
      <c r="A212" s="10" t="s">
        <v>189</v>
      </c>
      <c r="D212" s="10" t="s">
        <v>246</v>
      </c>
      <c r="E212" s="18" t="s">
        <v>449</v>
      </c>
      <c r="F212" s="9">
        <v>45383</v>
      </c>
      <c r="G212" s="9">
        <v>46023</v>
      </c>
      <c r="H212" s="10">
        <v>22</v>
      </c>
      <c r="I212" s="10" t="s">
        <v>245</v>
      </c>
      <c r="J212" s="10" t="s">
        <v>247</v>
      </c>
      <c r="K212" s="10" t="s">
        <v>248</v>
      </c>
      <c r="L212" s="10">
        <v>1</v>
      </c>
    </row>
    <row r="213" spans="1:12" x14ac:dyDescent="0.2">
      <c r="A213" s="10" t="s">
        <v>190</v>
      </c>
      <c r="D213" s="10" t="s">
        <v>246</v>
      </c>
      <c r="E213" s="18" t="s">
        <v>450</v>
      </c>
      <c r="F213" s="9">
        <v>45383</v>
      </c>
      <c r="G213" s="9">
        <v>46023</v>
      </c>
      <c r="H213" s="10">
        <v>22</v>
      </c>
      <c r="I213" s="10" t="s">
        <v>245</v>
      </c>
      <c r="J213" s="10" t="s">
        <v>247</v>
      </c>
      <c r="K213" s="10" t="s">
        <v>248</v>
      </c>
      <c r="L213" s="10">
        <v>1</v>
      </c>
    </row>
    <row r="214" spans="1:12" x14ac:dyDescent="0.2">
      <c r="A214" s="10" t="s">
        <v>190</v>
      </c>
      <c r="D214" s="10" t="s">
        <v>246</v>
      </c>
      <c r="E214" s="18" t="s">
        <v>451</v>
      </c>
      <c r="F214" s="9">
        <v>45383</v>
      </c>
      <c r="G214" s="9">
        <v>46023</v>
      </c>
      <c r="H214" s="10">
        <v>22</v>
      </c>
      <c r="I214" s="10" t="s">
        <v>245</v>
      </c>
      <c r="J214" s="10" t="s">
        <v>247</v>
      </c>
      <c r="K214" s="10" t="s">
        <v>248</v>
      </c>
      <c r="L214" s="10">
        <v>1</v>
      </c>
    </row>
    <row r="215" spans="1:12" x14ac:dyDescent="0.2">
      <c r="A215" s="10" t="s">
        <v>191</v>
      </c>
      <c r="D215" s="10" t="s">
        <v>246</v>
      </c>
      <c r="E215" s="18" t="s">
        <v>452</v>
      </c>
      <c r="F215" s="9">
        <v>45383</v>
      </c>
      <c r="G215" s="9">
        <v>46023</v>
      </c>
      <c r="H215" s="10">
        <v>22</v>
      </c>
      <c r="I215" s="10" t="s">
        <v>245</v>
      </c>
      <c r="J215" s="10" t="s">
        <v>247</v>
      </c>
      <c r="K215" s="10" t="s">
        <v>248</v>
      </c>
      <c r="L215" s="10">
        <v>1</v>
      </c>
    </row>
    <row r="216" spans="1:12" x14ac:dyDescent="0.2">
      <c r="A216" s="10" t="s">
        <v>192</v>
      </c>
      <c r="D216" s="10" t="s">
        <v>246</v>
      </c>
      <c r="E216" s="18" t="s">
        <v>453</v>
      </c>
      <c r="F216" s="9">
        <v>45383</v>
      </c>
      <c r="G216" s="9">
        <v>46023</v>
      </c>
      <c r="H216" s="10">
        <v>22</v>
      </c>
      <c r="I216" s="10" t="s">
        <v>245</v>
      </c>
      <c r="J216" s="10" t="s">
        <v>247</v>
      </c>
      <c r="K216" s="10" t="s">
        <v>248</v>
      </c>
      <c r="L216" s="10">
        <v>1</v>
      </c>
    </row>
    <row r="217" spans="1:12" x14ac:dyDescent="0.2">
      <c r="A217" s="10" t="s">
        <v>193</v>
      </c>
      <c r="D217" s="10" t="s">
        <v>246</v>
      </c>
      <c r="E217" s="18" t="s">
        <v>454</v>
      </c>
      <c r="F217" s="9">
        <v>45383</v>
      </c>
      <c r="G217" s="9">
        <v>46023</v>
      </c>
      <c r="H217" s="10">
        <v>22</v>
      </c>
      <c r="I217" s="10" t="s">
        <v>245</v>
      </c>
      <c r="J217" s="10" t="s">
        <v>247</v>
      </c>
      <c r="K217" s="10" t="s">
        <v>248</v>
      </c>
      <c r="L217" s="10">
        <v>1</v>
      </c>
    </row>
    <row r="218" spans="1:12" x14ac:dyDescent="0.2">
      <c r="A218" s="10" t="s">
        <v>194</v>
      </c>
      <c r="D218" s="10" t="s">
        <v>246</v>
      </c>
      <c r="E218" s="18" t="s">
        <v>455</v>
      </c>
      <c r="F218" s="9">
        <v>45383</v>
      </c>
      <c r="G218" s="9">
        <v>46023</v>
      </c>
      <c r="H218" s="10">
        <v>22</v>
      </c>
      <c r="I218" s="10" t="s">
        <v>245</v>
      </c>
      <c r="J218" s="10" t="s">
        <v>247</v>
      </c>
      <c r="K218" s="10" t="s">
        <v>248</v>
      </c>
      <c r="L218" s="10">
        <v>1</v>
      </c>
    </row>
    <row r="219" spans="1:12" x14ac:dyDescent="0.2">
      <c r="A219" s="10" t="s">
        <v>195</v>
      </c>
      <c r="D219" s="10" t="s">
        <v>246</v>
      </c>
      <c r="E219" s="18" t="s">
        <v>456</v>
      </c>
      <c r="F219" s="9">
        <v>45383</v>
      </c>
      <c r="G219" s="9">
        <v>46023</v>
      </c>
      <c r="H219" s="10">
        <v>22</v>
      </c>
      <c r="I219" s="10" t="s">
        <v>245</v>
      </c>
      <c r="J219" s="10" t="s">
        <v>247</v>
      </c>
      <c r="K219" s="10" t="s">
        <v>248</v>
      </c>
      <c r="L219" s="10">
        <v>1</v>
      </c>
    </row>
    <row r="220" spans="1:12" x14ac:dyDescent="0.2">
      <c r="A220" s="10" t="s">
        <v>196</v>
      </c>
      <c r="D220" s="10" t="s">
        <v>246</v>
      </c>
      <c r="E220" s="18" t="s">
        <v>457</v>
      </c>
      <c r="F220" s="9">
        <v>42979</v>
      </c>
      <c r="G220" s="9">
        <v>46023</v>
      </c>
      <c r="H220" s="10">
        <v>101</v>
      </c>
      <c r="I220" s="10" t="s">
        <v>245</v>
      </c>
      <c r="J220" s="10" t="s">
        <v>247</v>
      </c>
      <c r="K220" s="10" t="s">
        <v>248</v>
      </c>
      <c r="L220" s="10">
        <v>1</v>
      </c>
    </row>
    <row r="221" spans="1:12" x14ac:dyDescent="0.2">
      <c r="A221" s="10" t="s">
        <v>197</v>
      </c>
      <c r="D221" s="10" t="s">
        <v>246</v>
      </c>
      <c r="E221" s="18" t="s">
        <v>458</v>
      </c>
      <c r="F221" s="9">
        <v>42979</v>
      </c>
      <c r="G221" s="9">
        <v>46023</v>
      </c>
      <c r="H221" s="10">
        <v>101</v>
      </c>
      <c r="I221" s="10" t="s">
        <v>245</v>
      </c>
      <c r="J221" s="10" t="s">
        <v>247</v>
      </c>
      <c r="K221" s="10" t="s">
        <v>248</v>
      </c>
      <c r="L221" s="10">
        <v>1</v>
      </c>
    </row>
    <row r="222" spans="1:12" x14ac:dyDescent="0.2">
      <c r="A222" s="10" t="s">
        <v>198</v>
      </c>
      <c r="D222" s="10" t="s">
        <v>246</v>
      </c>
      <c r="E222" s="18" t="s">
        <v>459</v>
      </c>
      <c r="F222" s="9">
        <v>42979</v>
      </c>
      <c r="G222" s="9">
        <v>46023</v>
      </c>
      <c r="H222" s="10">
        <v>101</v>
      </c>
      <c r="I222" s="10" t="s">
        <v>245</v>
      </c>
      <c r="J222" s="10" t="s">
        <v>247</v>
      </c>
      <c r="K222" s="10" t="s">
        <v>248</v>
      </c>
      <c r="L222" s="10">
        <v>1</v>
      </c>
    </row>
    <row r="223" spans="1:12" x14ac:dyDescent="0.2">
      <c r="A223" s="10" t="s">
        <v>199</v>
      </c>
      <c r="D223" s="10" t="s">
        <v>246</v>
      </c>
      <c r="E223" s="18" t="s">
        <v>460</v>
      </c>
      <c r="F223" s="9">
        <v>42979</v>
      </c>
      <c r="G223" s="9">
        <v>46023</v>
      </c>
      <c r="H223" s="10">
        <v>101</v>
      </c>
      <c r="I223" s="10" t="s">
        <v>245</v>
      </c>
      <c r="J223" s="10" t="s">
        <v>247</v>
      </c>
      <c r="K223" s="10" t="s">
        <v>248</v>
      </c>
      <c r="L223" s="10">
        <v>1</v>
      </c>
    </row>
    <row r="224" spans="1:12" x14ac:dyDescent="0.2">
      <c r="A224" s="10" t="s">
        <v>200</v>
      </c>
      <c r="D224" s="10" t="s">
        <v>246</v>
      </c>
      <c r="E224" s="18" t="s">
        <v>461</v>
      </c>
      <c r="F224" s="9">
        <v>45383</v>
      </c>
      <c r="G224" s="9">
        <v>46023</v>
      </c>
      <c r="H224" s="10">
        <v>22</v>
      </c>
      <c r="I224" s="10" t="s">
        <v>245</v>
      </c>
      <c r="J224" s="10" t="s">
        <v>247</v>
      </c>
      <c r="K224" s="10" t="s">
        <v>248</v>
      </c>
      <c r="L224" s="10">
        <v>1</v>
      </c>
    </row>
    <row r="225" spans="1:12" x14ac:dyDescent="0.2">
      <c r="A225" s="10" t="s">
        <v>201</v>
      </c>
      <c r="D225" s="10" t="s">
        <v>246</v>
      </c>
      <c r="E225" s="18" t="s">
        <v>462</v>
      </c>
      <c r="F225" s="9">
        <v>45383</v>
      </c>
      <c r="G225" s="9">
        <v>46023</v>
      </c>
      <c r="H225" s="10">
        <v>22</v>
      </c>
      <c r="I225" s="10" t="s">
        <v>245</v>
      </c>
      <c r="J225" s="10" t="s">
        <v>247</v>
      </c>
      <c r="K225" s="10" t="s">
        <v>248</v>
      </c>
      <c r="L225" s="10">
        <v>1</v>
      </c>
    </row>
    <row r="226" spans="1:12" x14ac:dyDescent="0.2">
      <c r="A226" s="10" t="s">
        <v>202</v>
      </c>
      <c r="D226" s="10" t="s">
        <v>246</v>
      </c>
      <c r="E226" s="18" t="s">
        <v>463</v>
      </c>
      <c r="F226" s="9">
        <v>45383</v>
      </c>
      <c r="G226" s="9">
        <v>46023</v>
      </c>
      <c r="H226" s="10">
        <v>22</v>
      </c>
      <c r="I226" s="10" t="s">
        <v>245</v>
      </c>
      <c r="J226" s="10" t="s">
        <v>247</v>
      </c>
      <c r="K226" s="10" t="s">
        <v>248</v>
      </c>
      <c r="L226" s="10">
        <v>1</v>
      </c>
    </row>
    <row r="227" spans="1:12" x14ac:dyDescent="0.2">
      <c r="A227" s="10" t="s">
        <v>203</v>
      </c>
      <c r="D227" s="10" t="s">
        <v>246</v>
      </c>
      <c r="E227" s="18" t="s">
        <v>464</v>
      </c>
      <c r="F227" s="9">
        <v>45383</v>
      </c>
      <c r="G227" s="9">
        <v>46023</v>
      </c>
      <c r="H227" s="10">
        <v>22</v>
      </c>
      <c r="I227" s="10" t="s">
        <v>245</v>
      </c>
      <c r="J227" s="10" t="s">
        <v>247</v>
      </c>
      <c r="K227" s="10" t="s">
        <v>248</v>
      </c>
      <c r="L227" s="10">
        <v>1</v>
      </c>
    </row>
    <row r="228" spans="1:12" x14ac:dyDescent="0.2">
      <c r="A228" s="10" t="s">
        <v>204</v>
      </c>
      <c r="D228" s="10" t="s">
        <v>246</v>
      </c>
      <c r="E228" s="18" t="s">
        <v>465</v>
      </c>
      <c r="F228" s="9">
        <v>45383</v>
      </c>
      <c r="G228" s="9">
        <v>46023</v>
      </c>
      <c r="H228" s="10">
        <v>22</v>
      </c>
      <c r="I228" s="10" t="s">
        <v>245</v>
      </c>
      <c r="J228" s="10" t="s">
        <v>247</v>
      </c>
      <c r="K228" s="10" t="s">
        <v>248</v>
      </c>
      <c r="L228" s="10">
        <v>1</v>
      </c>
    </row>
    <row r="229" spans="1:12" x14ac:dyDescent="0.2">
      <c r="A229" s="10" t="s">
        <v>205</v>
      </c>
      <c r="D229" s="10" t="s">
        <v>246</v>
      </c>
      <c r="E229" s="18" t="s">
        <v>466</v>
      </c>
      <c r="F229" s="9">
        <v>45383</v>
      </c>
      <c r="G229" s="9">
        <v>46023</v>
      </c>
      <c r="H229" s="10">
        <v>22</v>
      </c>
      <c r="I229" s="10" t="s">
        <v>245</v>
      </c>
      <c r="J229" s="10" t="s">
        <v>247</v>
      </c>
      <c r="K229" s="10" t="s">
        <v>248</v>
      </c>
      <c r="L229" s="10">
        <v>1</v>
      </c>
    </row>
    <row r="230" spans="1:12" x14ac:dyDescent="0.2">
      <c r="A230" s="10" t="s">
        <v>206</v>
      </c>
      <c r="D230" s="10" t="s">
        <v>246</v>
      </c>
      <c r="E230" s="18" t="s">
        <v>467</v>
      </c>
      <c r="F230" s="9">
        <v>45383</v>
      </c>
      <c r="G230" s="9">
        <v>46023</v>
      </c>
      <c r="H230" s="10">
        <v>22</v>
      </c>
      <c r="I230" s="10" t="s">
        <v>245</v>
      </c>
      <c r="J230" s="10" t="s">
        <v>247</v>
      </c>
      <c r="K230" s="10" t="s">
        <v>248</v>
      </c>
      <c r="L230" s="10">
        <v>1</v>
      </c>
    </row>
    <row r="231" spans="1:12" x14ac:dyDescent="0.2">
      <c r="A231" s="10" t="s">
        <v>207</v>
      </c>
      <c r="D231" s="10" t="s">
        <v>246</v>
      </c>
      <c r="E231" s="18" t="s">
        <v>468</v>
      </c>
      <c r="F231" s="9">
        <v>45383</v>
      </c>
      <c r="G231" s="9">
        <v>46023</v>
      </c>
      <c r="H231" s="10">
        <v>22</v>
      </c>
      <c r="I231" s="10" t="s">
        <v>245</v>
      </c>
      <c r="J231" s="10" t="s">
        <v>247</v>
      </c>
      <c r="K231" s="10" t="s">
        <v>248</v>
      </c>
      <c r="L231" s="10">
        <v>1</v>
      </c>
    </row>
    <row r="232" spans="1:12" x14ac:dyDescent="0.2">
      <c r="A232" s="10" t="s">
        <v>208</v>
      </c>
      <c r="D232" s="10" t="s">
        <v>246</v>
      </c>
      <c r="E232" s="18" t="s">
        <v>469</v>
      </c>
      <c r="F232" s="9">
        <v>45383</v>
      </c>
      <c r="G232" s="9">
        <v>46023</v>
      </c>
      <c r="H232" s="10">
        <v>22</v>
      </c>
      <c r="I232" s="10" t="s">
        <v>245</v>
      </c>
      <c r="J232" s="10" t="s">
        <v>247</v>
      </c>
      <c r="K232" s="10" t="s">
        <v>248</v>
      </c>
      <c r="L232" s="10">
        <v>1</v>
      </c>
    </row>
    <row r="233" spans="1:12" x14ac:dyDescent="0.2">
      <c r="A233" s="10" t="s">
        <v>209</v>
      </c>
      <c r="D233" s="10" t="s">
        <v>246</v>
      </c>
      <c r="E233" s="18" t="s">
        <v>470</v>
      </c>
      <c r="F233" s="9">
        <v>45383</v>
      </c>
      <c r="G233" s="9">
        <v>46023</v>
      </c>
      <c r="H233" s="10">
        <v>22</v>
      </c>
      <c r="I233" s="10" t="s">
        <v>245</v>
      </c>
      <c r="J233" s="10" t="s">
        <v>247</v>
      </c>
      <c r="K233" s="10" t="s">
        <v>248</v>
      </c>
      <c r="L233" s="10">
        <v>1</v>
      </c>
    </row>
    <row r="234" spans="1:12" x14ac:dyDescent="0.2">
      <c r="A234" s="10" t="s">
        <v>210</v>
      </c>
      <c r="D234" s="10" t="s">
        <v>246</v>
      </c>
      <c r="E234" s="18" t="s">
        <v>471</v>
      </c>
      <c r="F234" s="9">
        <v>45383</v>
      </c>
      <c r="G234" s="9">
        <v>46023</v>
      </c>
      <c r="H234" s="10">
        <v>22</v>
      </c>
      <c r="I234" s="10" t="s">
        <v>245</v>
      </c>
      <c r="J234" s="10" t="s">
        <v>247</v>
      </c>
      <c r="K234" s="10" t="s">
        <v>248</v>
      </c>
      <c r="L234" s="10">
        <v>1</v>
      </c>
    </row>
    <row r="235" spans="1:12" x14ac:dyDescent="0.2">
      <c r="A235" s="10" t="s">
        <v>211</v>
      </c>
      <c r="D235" s="10" t="s">
        <v>246</v>
      </c>
      <c r="E235" s="18" t="s">
        <v>472</v>
      </c>
      <c r="F235" s="9">
        <v>45383</v>
      </c>
      <c r="G235" s="9">
        <v>46023</v>
      </c>
      <c r="H235" s="10">
        <v>22</v>
      </c>
      <c r="I235" s="10" t="s">
        <v>245</v>
      </c>
      <c r="J235" s="10" t="s">
        <v>247</v>
      </c>
      <c r="K235" s="10" t="s">
        <v>248</v>
      </c>
      <c r="L235" s="10">
        <v>1</v>
      </c>
    </row>
    <row r="236" spans="1:12" x14ac:dyDescent="0.2">
      <c r="A236" s="10" t="s">
        <v>212</v>
      </c>
      <c r="D236" s="10" t="s">
        <v>246</v>
      </c>
      <c r="E236" s="18" t="s">
        <v>473</v>
      </c>
      <c r="F236" s="9">
        <v>45383</v>
      </c>
      <c r="G236" s="9">
        <v>46023</v>
      </c>
      <c r="H236" s="10">
        <v>22</v>
      </c>
      <c r="I236" s="10" t="s">
        <v>245</v>
      </c>
      <c r="J236" s="10" t="s">
        <v>247</v>
      </c>
      <c r="K236" s="10" t="s">
        <v>248</v>
      </c>
      <c r="L236" s="10">
        <v>1</v>
      </c>
    </row>
    <row r="237" spans="1:12" x14ac:dyDescent="0.2">
      <c r="A237" s="10" t="s">
        <v>213</v>
      </c>
      <c r="D237" s="10" t="s">
        <v>246</v>
      </c>
      <c r="E237" s="18" t="s">
        <v>474</v>
      </c>
      <c r="F237" s="9">
        <v>45383</v>
      </c>
      <c r="G237" s="9">
        <v>46023</v>
      </c>
      <c r="H237" s="10">
        <v>22</v>
      </c>
      <c r="I237" s="10" t="s">
        <v>245</v>
      </c>
      <c r="J237" s="10" t="s">
        <v>247</v>
      </c>
      <c r="K237" s="10" t="s">
        <v>248</v>
      </c>
      <c r="L237" s="10">
        <v>1</v>
      </c>
    </row>
    <row r="238" spans="1:12" x14ac:dyDescent="0.2">
      <c r="A238" s="10" t="s">
        <v>214</v>
      </c>
      <c r="D238" s="10" t="s">
        <v>246</v>
      </c>
      <c r="E238" s="18" t="s">
        <v>475</v>
      </c>
      <c r="F238" s="9">
        <v>45383</v>
      </c>
      <c r="G238" s="9">
        <v>46023</v>
      </c>
      <c r="H238" s="10">
        <v>22</v>
      </c>
      <c r="I238" s="10" t="s">
        <v>245</v>
      </c>
      <c r="J238" s="10" t="s">
        <v>247</v>
      </c>
      <c r="K238" s="10" t="s">
        <v>248</v>
      </c>
      <c r="L238" s="10">
        <v>1</v>
      </c>
    </row>
    <row r="239" spans="1:12" x14ac:dyDescent="0.2">
      <c r="A239" s="10" t="s">
        <v>215</v>
      </c>
      <c r="D239" s="10" t="s">
        <v>246</v>
      </c>
      <c r="E239" s="18" t="s">
        <v>476</v>
      </c>
      <c r="F239" s="9">
        <v>42979</v>
      </c>
      <c r="G239" s="9">
        <v>46023</v>
      </c>
      <c r="H239" s="10">
        <v>101</v>
      </c>
      <c r="I239" s="10" t="s">
        <v>245</v>
      </c>
      <c r="J239" s="10" t="s">
        <v>247</v>
      </c>
      <c r="K239" s="10" t="s">
        <v>248</v>
      </c>
      <c r="L239" s="10">
        <v>1</v>
      </c>
    </row>
    <row r="240" spans="1:12" x14ac:dyDescent="0.2">
      <c r="A240" s="10" t="s">
        <v>216</v>
      </c>
      <c r="D240" s="10" t="s">
        <v>246</v>
      </c>
      <c r="E240" s="18" t="s">
        <v>477</v>
      </c>
      <c r="F240" s="9">
        <v>45383</v>
      </c>
      <c r="G240" s="9">
        <v>46023</v>
      </c>
      <c r="H240" s="10">
        <v>22</v>
      </c>
      <c r="I240" s="10" t="s">
        <v>245</v>
      </c>
      <c r="J240" s="10" t="s">
        <v>247</v>
      </c>
      <c r="K240" s="10" t="s">
        <v>248</v>
      </c>
      <c r="L240" s="10">
        <v>1</v>
      </c>
    </row>
    <row r="241" spans="1:12" x14ac:dyDescent="0.2">
      <c r="A241" s="10" t="s">
        <v>217</v>
      </c>
      <c r="D241" s="10" t="s">
        <v>246</v>
      </c>
      <c r="E241" s="18" t="s">
        <v>478</v>
      </c>
      <c r="F241" s="9">
        <v>45383</v>
      </c>
      <c r="G241" s="9">
        <v>46023</v>
      </c>
      <c r="H241" s="10">
        <v>22</v>
      </c>
      <c r="I241" s="10" t="s">
        <v>245</v>
      </c>
      <c r="J241" s="10" t="s">
        <v>247</v>
      </c>
      <c r="K241" s="10" t="s">
        <v>248</v>
      </c>
      <c r="L241" s="10">
        <v>1</v>
      </c>
    </row>
    <row r="242" spans="1:12" x14ac:dyDescent="0.2">
      <c r="A242" s="10" t="s">
        <v>218</v>
      </c>
      <c r="D242" s="10" t="s">
        <v>246</v>
      </c>
      <c r="E242" s="18" t="s">
        <v>479</v>
      </c>
      <c r="F242" s="9">
        <v>45383</v>
      </c>
      <c r="G242" s="9">
        <v>46023</v>
      </c>
      <c r="H242" s="10">
        <v>22</v>
      </c>
      <c r="I242" s="10" t="s">
        <v>245</v>
      </c>
      <c r="J242" s="10" t="s">
        <v>247</v>
      </c>
      <c r="K242" s="10" t="s">
        <v>248</v>
      </c>
      <c r="L242" s="10">
        <v>1</v>
      </c>
    </row>
    <row r="243" spans="1:12" x14ac:dyDescent="0.2">
      <c r="A243" s="10" t="s">
        <v>218</v>
      </c>
      <c r="D243" s="10" t="s">
        <v>246</v>
      </c>
      <c r="E243" s="18" t="s">
        <v>480</v>
      </c>
      <c r="F243" s="9">
        <v>45383</v>
      </c>
      <c r="G243" s="9">
        <v>46023</v>
      </c>
      <c r="H243" s="10">
        <v>22</v>
      </c>
      <c r="I243" s="10" t="s">
        <v>245</v>
      </c>
      <c r="J243" s="10" t="s">
        <v>247</v>
      </c>
      <c r="K243" s="10" t="s">
        <v>248</v>
      </c>
      <c r="L243" s="10">
        <v>1</v>
      </c>
    </row>
    <row r="244" spans="1:12" x14ac:dyDescent="0.2">
      <c r="A244" s="10" t="s">
        <v>219</v>
      </c>
      <c r="D244" s="10" t="s">
        <v>246</v>
      </c>
      <c r="E244" s="18" t="s">
        <v>481</v>
      </c>
      <c r="F244" s="9">
        <v>45383</v>
      </c>
      <c r="G244" s="9">
        <v>46023</v>
      </c>
      <c r="H244" s="10">
        <v>22</v>
      </c>
      <c r="I244" s="10" t="s">
        <v>245</v>
      </c>
      <c r="J244" s="10" t="s">
        <v>247</v>
      </c>
      <c r="K244" s="10" t="s">
        <v>248</v>
      </c>
      <c r="L244" s="10">
        <v>1</v>
      </c>
    </row>
    <row r="245" spans="1:12" x14ac:dyDescent="0.2">
      <c r="A245" s="10" t="s">
        <v>219</v>
      </c>
      <c r="D245" s="10" t="s">
        <v>246</v>
      </c>
      <c r="E245" s="18" t="s">
        <v>482</v>
      </c>
      <c r="F245" s="9">
        <v>45383</v>
      </c>
      <c r="G245" s="9">
        <v>46023</v>
      </c>
      <c r="H245" s="10">
        <v>22</v>
      </c>
      <c r="I245" s="10" t="s">
        <v>245</v>
      </c>
      <c r="J245" s="10" t="s">
        <v>247</v>
      </c>
      <c r="K245" s="10" t="s">
        <v>248</v>
      </c>
      <c r="L245" s="10">
        <v>1</v>
      </c>
    </row>
    <row r="246" spans="1:12" x14ac:dyDescent="0.2">
      <c r="A246" s="10" t="s">
        <v>220</v>
      </c>
      <c r="D246" s="10" t="s">
        <v>246</v>
      </c>
      <c r="E246" s="18" t="s">
        <v>483</v>
      </c>
      <c r="F246" s="9">
        <v>44743</v>
      </c>
      <c r="G246" s="9">
        <v>46023</v>
      </c>
      <c r="H246" s="10">
        <v>43</v>
      </c>
      <c r="I246" s="10" t="s">
        <v>245</v>
      </c>
      <c r="J246" s="10" t="s">
        <v>247</v>
      </c>
      <c r="K246" s="10" t="s">
        <v>248</v>
      </c>
      <c r="L246" s="10">
        <v>1</v>
      </c>
    </row>
    <row r="247" spans="1:12" x14ac:dyDescent="0.2">
      <c r="A247" s="10" t="s">
        <v>221</v>
      </c>
      <c r="D247" s="10" t="s">
        <v>246</v>
      </c>
      <c r="E247" s="18" t="s">
        <v>484</v>
      </c>
      <c r="F247" s="9">
        <v>45383</v>
      </c>
      <c r="G247" s="9">
        <v>46023</v>
      </c>
      <c r="H247" s="10">
        <v>22</v>
      </c>
      <c r="I247" s="10" t="s">
        <v>245</v>
      </c>
      <c r="J247" s="10" t="s">
        <v>247</v>
      </c>
      <c r="K247" s="10" t="s">
        <v>248</v>
      </c>
      <c r="L247" s="10">
        <v>1</v>
      </c>
    </row>
    <row r="248" spans="1:12" x14ac:dyDescent="0.2">
      <c r="A248" s="10" t="s">
        <v>222</v>
      </c>
      <c r="D248" s="10" t="s">
        <v>246</v>
      </c>
      <c r="E248" s="18" t="s">
        <v>485</v>
      </c>
      <c r="F248" s="9">
        <v>45383</v>
      </c>
      <c r="G248" s="9">
        <v>46023</v>
      </c>
      <c r="H248" s="10">
        <v>22</v>
      </c>
      <c r="I248" s="10" t="s">
        <v>245</v>
      </c>
      <c r="J248" s="10" t="s">
        <v>247</v>
      </c>
      <c r="K248" s="10" t="s">
        <v>248</v>
      </c>
      <c r="L248" s="10">
        <v>1</v>
      </c>
    </row>
    <row r="249" spans="1:12" x14ac:dyDescent="0.2">
      <c r="A249" s="10" t="s">
        <v>223</v>
      </c>
      <c r="D249" s="10" t="s">
        <v>246</v>
      </c>
      <c r="E249" s="18" t="s">
        <v>486</v>
      </c>
      <c r="F249" s="9">
        <v>45383</v>
      </c>
      <c r="G249" s="9">
        <v>46023</v>
      </c>
      <c r="H249" s="10">
        <v>22</v>
      </c>
      <c r="I249" s="10" t="s">
        <v>245</v>
      </c>
      <c r="J249" s="10" t="s">
        <v>247</v>
      </c>
      <c r="K249" s="10" t="s">
        <v>248</v>
      </c>
      <c r="L249" s="10">
        <v>1</v>
      </c>
    </row>
    <row r="250" spans="1:12" x14ac:dyDescent="0.2">
      <c r="A250" s="10" t="s">
        <v>224</v>
      </c>
      <c r="D250" s="10" t="s">
        <v>246</v>
      </c>
      <c r="E250" s="18" t="s">
        <v>487</v>
      </c>
      <c r="F250" s="9">
        <v>45383</v>
      </c>
      <c r="G250" s="9">
        <v>46023</v>
      </c>
      <c r="H250" s="10">
        <v>22</v>
      </c>
      <c r="I250" s="10" t="s">
        <v>245</v>
      </c>
      <c r="J250" s="10" t="s">
        <v>247</v>
      </c>
      <c r="K250" s="10" t="s">
        <v>248</v>
      </c>
      <c r="L250" s="10">
        <v>1</v>
      </c>
    </row>
    <row r="251" spans="1:12" x14ac:dyDescent="0.2">
      <c r="A251" s="10" t="s">
        <v>225</v>
      </c>
      <c r="D251" s="10" t="s">
        <v>246</v>
      </c>
      <c r="E251" s="18" t="s">
        <v>488</v>
      </c>
      <c r="F251" s="9">
        <v>45383</v>
      </c>
      <c r="G251" s="9">
        <v>46023</v>
      </c>
      <c r="H251" s="10">
        <v>22</v>
      </c>
      <c r="I251" s="10" t="s">
        <v>245</v>
      </c>
      <c r="J251" s="10" t="s">
        <v>247</v>
      </c>
      <c r="K251" s="10" t="s">
        <v>248</v>
      </c>
      <c r="L251" s="10">
        <v>1</v>
      </c>
    </row>
    <row r="252" spans="1:12" x14ac:dyDescent="0.2">
      <c r="A252" s="10" t="s">
        <v>226</v>
      </c>
      <c r="D252" s="10" t="s">
        <v>246</v>
      </c>
      <c r="E252" s="18" t="s">
        <v>489</v>
      </c>
      <c r="F252" s="9">
        <v>45383</v>
      </c>
      <c r="G252" s="9">
        <v>46023</v>
      </c>
      <c r="H252" s="10">
        <v>22</v>
      </c>
      <c r="I252" s="10" t="s">
        <v>245</v>
      </c>
      <c r="J252" s="10" t="s">
        <v>247</v>
      </c>
      <c r="K252" s="10" t="s">
        <v>248</v>
      </c>
      <c r="L252" s="10">
        <v>1</v>
      </c>
    </row>
    <row r="253" spans="1:12" x14ac:dyDescent="0.2">
      <c r="A253" s="10" t="s">
        <v>227</v>
      </c>
      <c r="D253" s="10" t="s">
        <v>246</v>
      </c>
      <c r="E253" s="18" t="s">
        <v>490</v>
      </c>
      <c r="F253" s="9">
        <v>45383</v>
      </c>
      <c r="G253" s="9">
        <v>46023</v>
      </c>
      <c r="H253" s="10">
        <v>22</v>
      </c>
      <c r="I253" s="10" t="s">
        <v>245</v>
      </c>
      <c r="J253" s="10" t="s">
        <v>247</v>
      </c>
      <c r="K253" s="10" t="s">
        <v>248</v>
      </c>
      <c r="L253" s="10">
        <v>1</v>
      </c>
    </row>
    <row r="254" spans="1:12" x14ac:dyDescent="0.2">
      <c r="A254" s="10" t="s">
        <v>228</v>
      </c>
      <c r="D254" s="10" t="s">
        <v>246</v>
      </c>
      <c r="E254" s="18" t="s">
        <v>491</v>
      </c>
      <c r="F254" s="9">
        <v>45383</v>
      </c>
      <c r="G254" s="9">
        <v>46023</v>
      </c>
      <c r="H254" s="10">
        <v>22</v>
      </c>
      <c r="I254" s="10" t="s">
        <v>245</v>
      </c>
      <c r="J254" s="10" t="s">
        <v>247</v>
      </c>
      <c r="K254" s="10" t="s">
        <v>248</v>
      </c>
      <c r="L254" s="10">
        <v>1</v>
      </c>
    </row>
    <row r="255" spans="1:12" x14ac:dyDescent="0.2">
      <c r="A255" s="10" t="s">
        <v>229</v>
      </c>
      <c r="D255" s="10" t="s">
        <v>246</v>
      </c>
      <c r="E255" s="18" t="s">
        <v>492</v>
      </c>
      <c r="F255" s="9">
        <v>42979</v>
      </c>
      <c r="G255" s="9">
        <v>46023</v>
      </c>
      <c r="H255" s="10">
        <v>101</v>
      </c>
      <c r="I255" s="10" t="s">
        <v>245</v>
      </c>
      <c r="J255" s="10" t="s">
        <v>247</v>
      </c>
      <c r="K255" s="10" t="s">
        <v>248</v>
      </c>
      <c r="L255" s="10">
        <v>1</v>
      </c>
    </row>
    <row r="256" spans="1:12" x14ac:dyDescent="0.2">
      <c r="A256" s="10" t="s">
        <v>230</v>
      </c>
      <c r="D256" s="10" t="s">
        <v>246</v>
      </c>
      <c r="E256" s="18" t="s">
        <v>493</v>
      </c>
      <c r="F256" s="9">
        <v>42979</v>
      </c>
      <c r="G256" s="9">
        <v>46023</v>
      </c>
      <c r="H256" s="10">
        <v>101</v>
      </c>
      <c r="I256" s="10" t="s">
        <v>245</v>
      </c>
      <c r="J256" s="10" t="s">
        <v>247</v>
      </c>
      <c r="K256" s="10" t="s">
        <v>248</v>
      </c>
      <c r="L256" s="10">
        <v>1</v>
      </c>
    </row>
    <row r="257" spans="1:12" x14ac:dyDescent="0.2">
      <c r="A257" s="10" t="s">
        <v>231</v>
      </c>
      <c r="D257" s="10" t="s">
        <v>246</v>
      </c>
      <c r="E257" s="18" t="s">
        <v>494</v>
      </c>
      <c r="F257" s="9">
        <v>42979</v>
      </c>
      <c r="G257" s="9">
        <v>46023</v>
      </c>
      <c r="H257" s="10">
        <v>101</v>
      </c>
      <c r="I257" s="10" t="s">
        <v>245</v>
      </c>
      <c r="J257" s="10" t="s">
        <v>247</v>
      </c>
      <c r="K257" s="10" t="s">
        <v>248</v>
      </c>
      <c r="L257" s="10">
        <v>1</v>
      </c>
    </row>
    <row r="258" spans="1:12" x14ac:dyDescent="0.2">
      <c r="A258" s="10" t="s">
        <v>232</v>
      </c>
      <c r="D258" s="10" t="s">
        <v>246</v>
      </c>
      <c r="E258" s="18" t="s">
        <v>495</v>
      </c>
      <c r="F258" s="9">
        <v>45383</v>
      </c>
      <c r="G258" s="9">
        <v>46023</v>
      </c>
      <c r="H258" s="10">
        <v>22</v>
      </c>
      <c r="I258" s="10" t="s">
        <v>245</v>
      </c>
      <c r="J258" s="10" t="s">
        <v>247</v>
      </c>
      <c r="K258" s="10" t="s">
        <v>248</v>
      </c>
      <c r="L258" s="10">
        <v>1</v>
      </c>
    </row>
    <row r="259" spans="1:12" x14ac:dyDescent="0.2">
      <c r="A259" s="10" t="s">
        <v>233</v>
      </c>
      <c r="D259" s="10" t="s">
        <v>246</v>
      </c>
      <c r="E259" s="18" t="s">
        <v>496</v>
      </c>
      <c r="F259" s="9">
        <v>45383</v>
      </c>
      <c r="G259" s="9">
        <v>46023</v>
      </c>
      <c r="H259" s="10">
        <v>22</v>
      </c>
      <c r="I259" s="10" t="s">
        <v>245</v>
      </c>
      <c r="J259" s="10" t="s">
        <v>247</v>
      </c>
      <c r="K259" s="10" t="s">
        <v>248</v>
      </c>
      <c r="L259" s="10">
        <v>1</v>
      </c>
    </row>
    <row r="260" spans="1:12" x14ac:dyDescent="0.2">
      <c r="A260" s="10" t="s">
        <v>234</v>
      </c>
      <c r="D260" s="10" t="s">
        <v>246</v>
      </c>
      <c r="E260" s="18" t="s">
        <v>497</v>
      </c>
      <c r="F260" s="9">
        <v>45383</v>
      </c>
      <c r="G260" s="9">
        <v>46023</v>
      </c>
      <c r="H260" s="10">
        <v>22</v>
      </c>
      <c r="I260" s="10" t="s">
        <v>245</v>
      </c>
      <c r="J260" s="10" t="s">
        <v>247</v>
      </c>
      <c r="K260" s="10" t="s">
        <v>248</v>
      </c>
      <c r="L260" s="10">
        <v>1</v>
      </c>
    </row>
    <row r="261" spans="1:12" x14ac:dyDescent="0.2">
      <c r="A261" s="10" t="s">
        <v>235</v>
      </c>
      <c r="D261" s="10" t="s">
        <v>246</v>
      </c>
      <c r="E261" s="18" t="s">
        <v>498</v>
      </c>
      <c r="F261" s="9">
        <v>42979</v>
      </c>
      <c r="G261" s="9">
        <v>46023</v>
      </c>
      <c r="H261" s="10">
        <v>101</v>
      </c>
      <c r="I261" s="10" t="s">
        <v>245</v>
      </c>
      <c r="J261" s="10" t="s">
        <v>247</v>
      </c>
      <c r="K261" s="10" t="s">
        <v>248</v>
      </c>
      <c r="L261" s="10">
        <v>1</v>
      </c>
    </row>
    <row r="262" spans="1:12" x14ac:dyDescent="0.2">
      <c r="A262" s="10" t="s">
        <v>499</v>
      </c>
      <c r="D262" s="10" t="s">
        <v>246</v>
      </c>
      <c r="E262" s="18" t="s">
        <v>733</v>
      </c>
      <c r="F262" s="9">
        <v>45383</v>
      </c>
      <c r="G262" s="9">
        <v>46023</v>
      </c>
      <c r="H262" s="10">
        <v>22</v>
      </c>
      <c r="I262" s="10" t="s">
        <v>245</v>
      </c>
      <c r="J262" s="10" t="s">
        <v>247</v>
      </c>
      <c r="K262" s="10" t="s">
        <v>248</v>
      </c>
      <c r="L262" s="10">
        <v>1</v>
      </c>
    </row>
    <row r="263" spans="1:12" x14ac:dyDescent="0.2">
      <c r="A263" s="10" t="s">
        <v>500</v>
      </c>
      <c r="D263" s="10" t="s">
        <v>246</v>
      </c>
      <c r="E263" s="18" t="s">
        <v>734</v>
      </c>
      <c r="F263" s="9">
        <v>45383</v>
      </c>
      <c r="G263" s="9">
        <v>46023</v>
      </c>
      <c r="H263" s="10">
        <v>22</v>
      </c>
      <c r="I263" s="10" t="s">
        <v>245</v>
      </c>
      <c r="J263" s="10" t="s">
        <v>247</v>
      </c>
      <c r="K263" s="10" t="s">
        <v>248</v>
      </c>
      <c r="L263" s="10">
        <v>1</v>
      </c>
    </row>
    <row r="264" spans="1:12" x14ac:dyDescent="0.2">
      <c r="A264" s="10" t="s">
        <v>501</v>
      </c>
      <c r="D264" s="10" t="s">
        <v>246</v>
      </c>
      <c r="E264" s="18" t="s">
        <v>735</v>
      </c>
      <c r="F264" s="9">
        <v>45383</v>
      </c>
      <c r="G264" s="9">
        <v>46023</v>
      </c>
      <c r="H264" s="10">
        <v>22</v>
      </c>
      <c r="I264" s="10" t="s">
        <v>245</v>
      </c>
      <c r="J264" s="10" t="s">
        <v>247</v>
      </c>
      <c r="K264" s="10" t="s">
        <v>248</v>
      </c>
      <c r="L264" s="10">
        <v>1</v>
      </c>
    </row>
    <row r="265" spans="1:12" x14ac:dyDescent="0.2">
      <c r="A265" s="10" t="s">
        <v>502</v>
      </c>
      <c r="D265" s="10" t="s">
        <v>246</v>
      </c>
      <c r="E265" s="18" t="s">
        <v>736</v>
      </c>
      <c r="F265" s="9">
        <v>45383</v>
      </c>
      <c r="G265" s="9">
        <v>46023</v>
      </c>
      <c r="H265" s="10">
        <v>22</v>
      </c>
      <c r="I265" s="10" t="s">
        <v>245</v>
      </c>
      <c r="J265" s="10" t="s">
        <v>247</v>
      </c>
      <c r="K265" s="10" t="s">
        <v>248</v>
      </c>
      <c r="L265" s="10">
        <v>1</v>
      </c>
    </row>
    <row r="266" spans="1:12" x14ac:dyDescent="0.2">
      <c r="A266" s="10" t="s">
        <v>502</v>
      </c>
      <c r="D266" s="10" t="s">
        <v>246</v>
      </c>
      <c r="E266" s="18" t="s">
        <v>737</v>
      </c>
      <c r="F266" s="9">
        <v>45383</v>
      </c>
      <c r="G266" s="9">
        <v>46023</v>
      </c>
      <c r="H266" s="10">
        <v>22</v>
      </c>
      <c r="I266" s="10" t="s">
        <v>245</v>
      </c>
      <c r="J266" s="10" t="s">
        <v>247</v>
      </c>
      <c r="K266" s="10" t="s">
        <v>248</v>
      </c>
      <c r="L266" s="10">
        <v>1</v>
      </c>
    </row>
    <row r="267" spans="1:12" x14ac:dyDescent="0.2">
      <c r="A267" s="10" t="s">
        <v>503</v>
      </c>
      <c r="D267" s="10" t="s">
        <v>246</v>
      </c>
      <c r="E267" s="18" t="s">
        <v>738</v>
      </c>
      <c r="F267" s="9">
        <v>45383</v>
      </c>
      <c r="G267" s="9">
        <v>46023</v>
      </c>
      <c r="H267" s="10">
        <v>22</v>
      </c>
      <c r="I267" s="10" t="s">
        <v>245</v>
      </c>
      <c r="J267" s="10" t="s">
        <v>247</v>
      </c>
      <c r="K267" s="10" t="s">
        <v>248</v>
      </c>
      <c r="L267" s="10">
        <v>1</v>
      </c>
    </row>
    <row r="268" spans="1:12" x14ac:dyDescent="0.2">
      <c r="A268" s="10" t="s">
        <v>504</v>
      </c>
      <c r="D268" s="10" t="s">
        <v>246</v>
      </c>
      <c r="E268" s="18" t="s">
        <v>739</v>
      </c>
      <c r="F268" s="9">
        <v>42979</v>
      </c>
      <c r="G268" s="9">
        <v>46023</v>
      </c>
      <c r="H268" s="10">
        <v>101</v>
      </c>
      <c r="I268" s="10" t="s">
        <v>245</v>
      </c>
      <c r="J268" s="10" t="s">
        <v>247</v>
      </c>
      <c r="K268" s="10" t="s">
        <v>248</v>
      </c>
      <c r="L268" s="10">
        <v>1</v>
      </c>
    </row>
    <row r="269" spans="1:12" x14ac:dyDescent="0.2">
      <c r="A269" s="10" t="s">
        <v>505</v>
      </c>
      <c r="D269" s="10" t="s">
        <v>246</v>
      </c>
      <c r="E269" s="18" t="s">
        <v>740</v>
      </c>
      <c r="F269" s="9">
        <v>42979</v>
      </c>
      <c r="G269" s="9">
        <v>46023</v>
      </c>
      <c r="H269" s="10">
        <v>101</v>
      </c>
      <c r="I269" s="10" t="s">
        <v>245</v>
      </c>
      <c r="J269" s="10" t="s">
        <v>247</v>
      </c>
      <c r="K269" s="10" t="s">
        <v>248</v>
      </c>
      <c r="L269" s="10">
        <v>1</v>
      </c>
    </row>
    <row r="270" spans="1:12" x14ac:dyDescent="0.2">
      <c r="A270" s="10" t="s">
        <v>506</v>
      </c>
      <c r="D270" s="10" t="s">
        <v>246</v>
      </c>
      <c r="E270" s="18" t="s">
        <v>741</v>
      </c>
      <c r="F270" s="9">
        <v>45383</v>
      </c>
      <c r="G270" s="9">
        <v>46023</v>
      </c>
      <c r="H270" s="10">
        <v>22</v>
      </c>
      <c r="I270" s="10" t="s">
        <v>245</v>
      </c>
      <c r="J270" s="10" t="s">
        <v>247</v>
      </c>
      <c r="K270" s="10" t="s">
        <v>248</v>
      </c>
      <c r="L270" s="10">
        <v>1</v>
      </c>
    </row>
    <row r="271" spans="1:12" x14ac:dyDescent="0.2">
      <c r="A271" s="10" t="s">
        <v>507</v>
      </c>
      <c r="D271" s="10" t="s">
        <v>246</v>
      </c>
      <c r="E271" s="18" t="s">
        <v>742</v>
      </c>
      <c r="F271" s="9">
        <v>45383</v>
      </c>
      <c r="G271" s="9">
        <v>46023</v>
      </c>
      <c r="H271" s="10">
        <v>22</v>
      </c>
      <c r="I271" s="10" t="s">
        <v>245</v>
      </c>
      <c r="J271" s="10" t="s">
        <v>247</v>
      </c>
      <c r="K271" s="10" t="s">
        <v>248</v>
      </c>
      <c r="L271" s="10">
        <v>1</v>
      </c>
    </row>
    <row r="272" spans="1:12" x14ac:dyDescent="0.2">
      <c r="A272" s="10" t="s">
        <v>507</v>
      </c>
      <c r="D272" s="10" t="s">
        <v>246</v>
      </c>
      <c r="E272" s="18" t="s">
        <v>743</v>
      </c>
      <c r="F272" s="9">
        <v>45383</v>
      </c>
      <c r="G272" s="9">
        <v>46023</v>
      </c>
      <c r="H272" s="10">
        <v>22</v>
      </c>
      <c r="I272" s="10" t="s">
        <v>245</v>
      </c>
      <c r="J272" s="10" t="s">
        <v>247</v>
      </c>
      <c r="K272" s="10" t="s">
        <v>248</v>
      </c>
      <c r="L272" s="10">
        <v>1</v>
      </c>
    </row>
    <row r="273" spans="1:12" x14ac:dyDescent="0.2">
      <c r="A273" s="10" t="s">
        <v>508</v>
      </c>
      <c r="D273" s="10" t="s">
        <v>246</v>
      </c>
      <c r="E273" s="18" t="s">
        <v>744</v>
      </c>
      <c r="F273" s="9">
        <v>42979</v>
      </c>
      <c r="G273" s="9">
        <v>46023</v>
      </c>
      <c r="H273" s="10">
        <v>101</v>
      </c>
      <c r="I273" s="10" t="s">
        <v>245</v>
      </c>
      <c r="J273" s="10" t="s">
        <v>247</v>
      </c>
      <c r="K273" s="10" t="s">
        <v>248</v>
      </c>
      <c r="L273" s="10">
        <v>1</v>
      </c>
    </row>
    <row r="274" spans="1:12" x14ac:dyDescent="0.2">
      <c r="A274" s="10" t="s">
        <v>509</v>
      </c>
      <c r="D274" s="10" t="s">
        <v>246</v>
      </c>
      <c r="E274" s="18" t="s">
        <v>745</v>
      </c>
      <c r="F274" s="9">
        <v>42979</v>
      </c>
      <c r="G274" s="9">
        <v>46023</v>
      </c>
      <c r="H274" s="10">
        <v>101</v>
      </c>
      <c r="I274" s="10" t="s">
        <v>245</v>
      </c>
      <c r="J274" s="10" t="s">
        <v>247</v>
      </c>
      <c r="K274" s="10" t="s">
        <v>248</v>
      </c>
      <c r="L274" s="10">
        <v>1</v>
      </c>
    </row>
    <row r="275" spans="1:12" x14ac:dyDescent="0.2">
      <c r="A275" s="10" t="s">
        <v>510</v>
      </c>
      <c r="D275" s="10" t="s">
        <v>246</v>
      </c>
      <c r="E275" s="18" t="s">
        <v>746</v>
      </c>
      <c r="F275" s="9">
        <v>42979</v>
      </c>
      <c r="G275" s="9">
        <v>46023</v>
      </c>
      <c r="H275" s="10">
        <v>101</v>
      </c>
      <c r="I275" s="10" t="s">
        <v>245</v>
      </c>
      <c r="J275" s="10" t="s">
        <v>247</v>
      </c>
      <c r="K275" s="10" t="s">
        <v>248</v>
      </c>
      <c r="L275" s="10">
        <v>1</v>
      </c>
    </row>
    <row r="276" spans="1:12" x14ac:dyDescent="0.2">
      <c r="A276" s="10" t="s">
        <v>511</v>
      </c>
      <c r="D276" s="10" t="s">
        <v>246</v>
      </c>
      <c r="E276" s="18" t="s">
        <v>747</v>
      </c>
      <c r="F276" s="9">
        <v>45383</v>
      </c>
      <c r="G276" s="9">
        <v>46023</v>
      </c>
      <c r="H276" s="10">
        <v>22</v>
      </c>
      <c r="I276" s="10" t="s">
        <v>245</v>
      </c>
      <c r="J276" s="10" t="s">
        <v>247</v>
      </c>
      <c r="K276" s="10" t="s">
        <v>248</v>
      </c>
      <c r="L276" s="10">
        <v>1</v>
      </c>
    </row>
    <row r="277" spans="1:12" x14ac:dyDescent="0.2">
      <c r="A277" s="10" t="s">
        <v>512</v>
      </c>
      <c r="D277" s="10" t="s">
        <v>246</v>
      </c>
      <c r="E277" s="18" t="s">
        <v>748</v>
      </c>
      <c r="F277" s="9">
        <v>45383</v>
      </c>
      <c r="G277" s="9">
        <v>46023</v>
      </c>
      <c r="H277" s="10">
        <v>22</v>
      </c>
      <c r="I277" s="10" t="s">
        <v>245</v>
      </c>
      <c r="J277" s="10" t="s">
        <v>247</v>
      </c>
      <c r="K277" s="10" t="s">
        <v>248</v>
      </c>
      <c r="L277" s="10">
        <v>1</v>
      </c>
    </row>
    <row r="278" spans="1:12" x14ac:dyDescent="0.2">
      <c r="A278" s="10" t="s">
        <v>513</v>
      </c>
      <c r="D278" s="10" t="s">
        <v>246</v>
      </c>
      <c r="E278" s="18" t="s">
        <v>749</v>
      </c>
      <c r="F278" s="9">
        <v>42979</v>
      </c>
      <c r="G278" s="9">
        <v>46023</v>
      </c>
      <c r="H278" s="10">
        <v>101</v>
      </c>
      <c r="I278" s="10" t="s">
        <v>245</v>
      </c>
      <c r="J278" s="10" t="s">
        <v>247</v>
      </c>
      <c r="K278" s="10" t="s">
        <v>248</v>
      </c>
      <c r="L278" s="10">
        <v>1</v>
      </c>
    </row>
    <row r="279" spans="1:12" x14ac:dyDescent="0.2">
      <c r="A279" s="10" t="s">
        <v>514</v>
      </c>
      <c r="D279" s="10" t="s">
        <v>246</v>
      </c>
      <c r="E279" s="18" t="s">
        <v>750</v>
      </c>
      <c r="F279" s="9">
        <v>42979</v>
      </c>
      <c r="G279" s="9">
        <v>46023</v>
      </c>
      <c r="H279" s="10">
        <v>101</v>
      </c>
      <c r="I279" s="10" t="s">
        <v>245</v>
      </c>
      <c r="J279" s="10" t="s">
        <v>247</v>
      </c>
      <c r="K279" s="10" t="s">
        <v>248</v>
      </c>
      <c r="L279" s="10">
        <v>1</v>
      </c>
    </row>
    <row r="280" spans="1:12" x14ac:dyDescent="0.2">
      <c r="A280" s="10" t="s">
        <v>515</v>
      </c>
      <c r="D280" s="10" t="s">
        <v>246</v>
      </c>
      <c r="E280" s="18" t="s">
        <v>751</v>
      </c>
      <c r="F280" s="9">
        <v>42979</v>
      </c>
      <c r="G280" s="9">
        <v>46023</v>
      </c>
      <c r="H280" s="10">
        <v>101</v>
      </c>
      <c r="I280" s="10" t="s">
        <v>245</v>
      </c>
      <c r="J280" s="10" t="s">
        <v>247</v>
      </c>
      <c r="K280" s="10" t="s">
        <v>248</v>
      </c>
      <c r="L280" s="10">
        <v>1</v>
      </c>
    </row>
    <row r="281" spans="1:12" x14ac:dyDescent="0.2">
      <c r="A281" s="10" t="s">
        <v>516</v>
      </c>
      <c r="D281" s="10" t="s">
        <v>246</v>
      </c>
      <c r="E281" s="18" t="s">
        <v>752</v>
      </c>
      <c r="F281" s="9">
        <v>42979</v>
      </c>
      <c r="G281" s="9">
        <v>46023</v>
      </c>
      <c r="H281" s="10">
        <v>101</v>
      </c>
      <c r="I281" s="10" t="s">
        <v>245</v>
      </c>
      <c r="J281" s="10" t="s">
        <v>247</v>
      </c>
      <c r="K281" s="10" t="s">
        <v>248</v>
      </c>
      <c r="L281" s="10">
        <v>1</v>
      </c>
    </row>
    <row r="282" spans="1:12" x14ac:dyDescent="0.2">
      <c r="A282" s="10" t="s">
        <v>517</v>
      </c>
      <c r="D282" s="10" t="s">
        <v>246</v>
      </c>
      <c r="E282" s="18" t="s">
        <v>753</v>
      </c>
      <c r="F282" s="9">
        <v>42979</v>
      </c>
      <c r="G282" s="9">
        <v>46023</v>
      </c>
      <c r="H282" s="10">
        <v>101</v>
      </c>
      <c r="I282" s="10" t="s">
        <v>245</v>
      </c>
      <c r="J282" s="10" t="s">
        <v>247</v>
      </c>
      <c r="K282" s="10" t="s">
        <v>248</v>
      </c>
      <c r="L282" s="10">
        <v>1</v>
      </c>
    </row>
    <row r="283" spans="1:12" x14ac:dyDescent="0.2">
      <c r="A283" s="10" t="s">
        <v>518</v>
      </c>
      <c r="D283" s="10" t="s">
        <v>246</v>
      </c>
      <c r="E283" s="18" t="s">
        <v>754</v>
      </c>
      <c r="F283" s="9">
        <v>42979</v>
      </c>
      <c r="G283" s="9">
        <v>46023</v>
      </c>
      <c r="H283" s="10">
        <v>101</v>
      </c>
      <c r="I283" s="10" t="s">
        <v>245</v>
      </c>
      <c r="J283" s="10" t="s">
        <v>247</v>
      </c>
      <c r="K283" s="10" t="s">
        <v>248</v>
      </c>
      <c r="L283" s="10">
        <v>1</v>
      </c>
    </row>
    <row r="284" spans="1:12" x14ac:dyDescent="0.2">
      <c r="A284" s="10" t="s">
        <v>519</v>
      </c>
      <c r="D284" s="10" t="s">
        <v>246</v>
      </c>
      <c r="E284" s="18" t="s">
        <v>755</v>
      </c>
      <c r="F284" s="9">
        <v>42979</v>
      </c>
      <c r="G284" s="9">
        <v>46023</v>
      </c>
      <c r="H284" s="10">
        <v>101</v>
      </c>
      <c r="I284" s="10" t="s">
        <v>245</v>
      </c>
      <c r="J284" s="10" t="s">
        <v>247</v>
      </c>
      <c r="K284" s="10" t="s">
        <v>248</v>
      </c>
      <c r="L284" s="10">
        <v>1</v>
      </c>
    </row>
    <row r="285" spans="1:12" x14ac:dyDescent="0.2">
      <c r="A285" s="10" t="s">
        <v>520</v>
      </c>
      <c r="D285" s="10" t="s">
        <v>246</v>
      </c>
      <c r="E285" s="18" t="s">
        <v>756</v>
      </c>
      <c r="F285" s="9">
        <v>42979</v>
      </c>
      <c r="G285" s="9">
        <v>46023</v>
      </c>
      <c r="H285" s="10">
        <v>101</v>
      </c>
      <c r="I285" s="10" t="s">
        <v>245</v>
      </c>
      <c r="J285" s="10" t="s">
        <v>247</v>
      </c>
      <c r="K285" s="10" t="s">
        <v>248</v>
      </c>
      <c r="L285" s="10">
        <v>1</v>
      </c>
    </row>
    <row r="286" spans="1:12" x14ac:dyDescent="0.2">
      <c r="A286" s="10" t="s">
        <v>521</v>
      </c>
      <c r="D286" s="10" t="s">
        <v>246</v>
      </c>
      <c r="E286" s="18" t="s">
        <v>757</v>
      </c>
      <c r="F286" s="9">
        <v>42979</v>
      </c>
      <c r="G286" s="9">
        <v>46023</v>
      </c>
      <c r="H286" s="10">
        <v>101</v>
      </c>
      <c r="I286" s="10" t="s">
        <v>245</v>
      </c>
      <c r="J286" s="10" t="s">
        <v>247</v>
      </c>
      <c r="K286" s="10" t="s">
        <v>248</v>
      </c>
      <c r="L286" s="10">
        <v>1</v>
      </c>
    </row>
    <row r="287" spans="1:12" x14ac:dyDescent="0.2">
      <c r="A287" s="10" t="s">
        <v>522</v>
      </c>
      <c r="D287" s="10" t="s">
        <v>246</v>
      </c>
      <c r="E287" s="18" t="s">
        <v>758</v>
      </c>
      <c r="F287" s="9">
        <v>42979</v>
      </c>
      <c r="G287" s="9">
        <v>46023</v>
      </c>
      <c r="H287" s="10">
        <v>101</v>
      </c>
      <c r="I287" s="10" t="s">
        <v>245</v>
      </c>
      <c r="J287" s="10" t="s">
        <v>247</v>
      </c>
      <c r="K287" s="10" t="s">
        <v>248</v>
      </c>
      <c r="L287" s="10">
        <v>1</v>
      </c>
    </row>
    <row r="288" spans="1:12" x14ac:dyDescent="0.2">
      <c r="A288" s="10" t="s">
        <v>523</v>
      </c>
      <c r="D288" s="10" t="s">
        <v>246</v>
      </c>
      <c r="E288" s="18" t="s">
        <v>759</v>
      </c>
      <c r="F288" s="9">
        <v>42979</v>
      </c>
      <c r="G288" s="9">
        <v>46023</v>
      </c>
      <c r="H288" s="10">
        <v>101</v>
      </c>
      <c r="I288" s="10" t="s">
        <v>245</v>
      </c>
      <c r="J288" s="10" t="s">
        <v>247</v>
      </c>
      <c r="K288" s="10" t="s">
        <v>248</v>
      </c>
      <c r="L288" s="10">
        <v>1</v>
      </c>
    </row>
    <row r="289" spans="1:12" x14ac:dyDescent="0.2">
      <c r="A289" s="10" t="s">
        <v>524</v>
      </c>
      <c r="D289" s="10" t="s">
        <v>246</v>
      </c>
      <c r="E289" s="18" t="s">
        <v>760</v>
      </c>
      <c r="F289" s="9">
        <v>42979</v>
      </c>
      <c r="G289" s="9">
        <v>46023</v>
      </c>
      <c r="H289" s="10">
        <v>101</v>
      </c>
      <c r="I289" s="10" t="s">
        <v>245</v>
      </c>
      <c r="J289" s="10" t="s">
        <v>247</v>
      </c>
      <c r="K289" s="10" t="s">
        <v>248</v>
      </c>
      <c r="L289" s="10">
        <v>1</v>
      </c>
    </row>
    <row r="290" spans="1:12" x14ac:dyDescent="0.2">
      <c r="A290" s="10" t="s">
        <v>525</v>
      </c>
      <c r="D290" s="10" t="s">
        <v>246</v>
      </c>
      <c r="E290" s="18" t="s">
        <v>761</v>
      </c>
      <c r="F290" s="9">
        <v>42979</v>
      </c>
      <c r="G290" s="9">
        <v>46023</v>
      </c>
      <c r="H290" s="10">
        <v>101</v>
      </c>
      <c r="I290" s="10" t="s">
        <v>245</v>
      </c>
      <c r="J290" s="10" t="s">
        <v>247</v>
      </c>
      <c r="K290" s="10" t="s">
        <v>248</v>
      </c>
      <c r="L290" s="10">
        <v>1</v>
      </c>
    </row>
    <row r="291" spans="1:12" x14ac:dyDescent="0.2">
      <c r="A291" s="10" t="s">
        <v>526</v>
      </c>
      <c r="D291" s="10" t="s">
        <v>246</v>
      </c>
      <c r="E291" s="18" t="s">
        <v>762</v>
      </c>
      <c r="F291" s="9">
        <v>42979</v>
      </c>
      <c r="G291" s="9">
        <v>46023</v>
      </c>
      <c r="H291" s="10">
        <v>101</v>
      </c>
      <c r="I291" s="10" t="s">
        <v>245</v>
      </c>
      <c r="J291" s="10" t="s">
        <v>247</v>
      </c>
      <c r="K291" s="10" t="s">
        <v>248</v>
      </c>
      <c r="L291" s="10">
        <v>1</v>
      </c>
    </row>
    <row r="292" spans="1:12" x14ac:dyDescent="0.2">
      <c r="A292" s="10" t="s">
        <v>527</v>
      </c>
      <c r="D292" s="10" t="s">
        <v>246</v>
      </c>
      <c r="E292" s="18" t="s">
        <v>763</v>
      </c>
      <c r="F292" s="9">
        <v>42979</v>
      </c>
      <c r="G292" s="9">
        <v>46023</v>
      </c>
      <c r="H292" s="10">
        <v>101</v>
      </c>
      <c r="I292" s="10" t="s">
        <v>245</v>
      </c>
      <c r="J292" s="10" t="s">
        <v>247</v>
      </c>
      <c r="K292" s="10" t="s">
        <v>248</v>
      </c>
      <c r="L292" s="10">
        <v>1</v>
      </c>
    </row>
    <row r="293" spans="1:12" x14ac:dyDescent="0.2">
      <c r="A293" s="10" t="s">
        <v>528</v>
      </c>
      <c r="D293" s="10" t="s">
        <v>246</v>
      </c>
      <c r="E293" s="18" t="s">
        <v>764</v>
      </c>
      <c r="F293" s="9">
        <v>42979</v>
      </c>
      <c r="G293" s="9">
        <v>46023</v>
      </c>
      <c r="H293" s="10">
        <v>101</v>
      </c>
      <c r="I293" s="10" t="s">
        <v>245</v>
      </c>
      <c r="J293" s="10" t="s">
        <v>247</v>
      </c>
      <c r="K293" s="10" t="s">
        <v>248</v>
      </c>
      <c r="L293" s="10">
        <v>1</v>
      </c>
    </row>
    <row r="294" spans="1:12" x14ac:dyDescent="0.2">
      <c r="A294" s="10" t="s">
        <v>529</v>
      </c>
      <c r="D294" s="10" t="s">
        <v>246</v>
      </c>
      <c r="E294" s="18" t="s">
        <v>765</v>
      </c>
      <c r="F294" s="9">
        <v>42979</v>
      </c>
      <c r="G294" s="9">
        <v>46023</v>
      </c>
      <c r="H294" s="10">
        <v>101</v>
      </c>
      <c r="I294" s="10" t="s">
        <v>245</v>
      </c>
      <c r="J294" s="10" t="s">
        <v>247</v>
      </c>
      <c r="K294" s="10" t="s">
        <v>248</v>
      </c>
      <c r="L294" s="10">
        <v>1</v>
      </c>
    </row>
    <row r="295" spans="1:12" x14ac:dyDescent="0.2">
      <c r="A295" s="10" t="s">
        <v>530</v>
      </c>
      <c r="D295" s="10" t="s">
        <v>246</v>
      </c>
      <c r="E295" s="18" t="s">
        <v>766</v>
      </c>
      <c r="F295" s="9">
        <v>42979</v>
      </c>
      <c r="G295" s="9">
        <v>46023</v>
      </c>
      <c r="H295" s="10">
        <v>101</v>
      </c>
      <c r="I295" s="10" t="s">
        <v>245</v>
      </c>
      <c r="J295" s="10" t="s">
        <v>247</v>
      </c>
      <c r="K295" s="10" t="s">
        <v>248</v>
      </c>
      <c r="L295" s="10">
        <v>1</v>
      </c>
    </row>
    <row r="296" spans="1:12" x14ac:dyDescent="0.2">
      <c r="A296" s="10" t="s">
        <v>531</v>
      </c>
      <c r="D296" s="10" t="s">
        <v>246</v>
      </c>
      <c r="E296" s="18" t="s">
        <v>767</v>
      </c>
      <c r="F296" s="9">
        <v>42979</v>
      </c>
      <c r="G296" s="9">
        <v>46023</v>
      </c>
      <c r="H296" s="10">
        <v>101</v>
      </c>
      <c r="I296" s="10" t="s">
        <v>245</v>
      </c>
      <c r="J296" s="10" t="s">
        <v>247</v>
      </c>
      <c r="K296" s="10" t="s">
        <v>248</v>
      </c>
      <c r="L296" s="10">
        <v>1</v>
      </c>
    </row>
    <row r="297" spans="1:12" x14ac:dyDescent="0.2">
      <c r="A297" s="10" t="s">
        <v>532</v>
      </c>
      <c r="D297" s="10" t="s">
        <v>246</v>
      </c>
      <c r="E297" s="18" t="s">
        <v>768</v>
      </c>
      <c r="F297" s="9">
        <v>42979</v>
      </c>
      <c r="G297" s="9">
        <v>46023</v>
      </c>
      <c r="H297" s="10">
        <v>101</v>
      </c>
      <c r="I297" s="10" t="s">
        <v>245</v>
      </c>
      <c r="J297" s="10" t="s">
        <v>247</v>
      </c>
      <c r="K297" s="10" t="s">
        <v>248</v>
      </c>
      <c r="L297" s="10">
        <v>1</v>
      </c>
    </row>
    <row r="298" spans="1:12" x14ac:dyDescent="0.2">
      <c r="A298" s="10" t="s">
        <v>533</v>
      </c>
      <c r="D298" s="10" t="s">
        <v>246</v>
      </c>
      <c r="E298" s="18" t="s">
        <v>769</v>
      </c>
      <c r="F298" s="9">
        <v>42979</v>
      </c>
      <c r="G298" s="9">
        <v>46023</v>
      </c>
      <c r="H298" s="10">
        <v>101</v>
      </c>
      <c r="I298" s="10" t="s">
        <v>245</v>
      </c>
      <c r="J298" s="10" t="s">
        <v>247</v>
      </c>
      <c r="K298" s="10" t="s">
        <v>248</v>
      </c>
      <c r="L298" s="10">
        <v>1</v>
      </c>
    </row>
    <row r="299" spans="1:12" x14ac:dyDescent="0.2">
      <c r="A299" s="10" t="s">
        <v>534</v>
      </c>
      <c r="D299" s="10" t="s">
        <v>246</v>
      </c>
      <c r="E299" s="18" t="s">
        <v>770</v>
      </c>
      <c r="F299" s="9">
        <v>42979</v>
      </c>
      <c r="G299" s="9">
        <v>46023</v>
      </c>
      <c r="H299" s="10">
        <v>101</v>
      </c>
      <c r="I299" s="10" t="s">
        <v>245</v>
      </c>
      <c r="J299" s="10" t="s">
        <v>247</v>
      </c>
      <c r="K299" s="10" t="s">
        <v>248</v>
      </c>
      <c r="L299" s="10">
        <v>1</v>
      </c>
    </row>
    <row r="300" spans="1:12" x14ac:dyDescent="0.2">
      <c r="A300" s="10" t="s">
        <v>535</v>
      </c>
      <c r="D300" s="10" t="s">
        <v>246</v>
      </c>
      <c r="E300" s="18" t="s">
        <v>771</v>
      </c>
      <c r="F300" s="9">
        <v>42979</v>
      </c>
      <c r="G300" s="9">
        <v>46023</v>
      </c>
      <c r="H300" s="10">
        <v>101</v>
      </c>
      <c r="I300" s="10" t="s">
        <v>245</v>
      </c>
      <c r="J300" s="10" t="s">
        <v>247</v>
      </c>
      <c r="K300" s="10" t="s">
        <v>248</v>
      </c>
      <c r="L300" s="10">
        <v>1</v>
      </c>
    </row>
    <row r="301" spans="1:12" x14ac:dyDescent="0.2">
      <c r="A301" s="10" t="s">
        <v>536</v>
      </c>
      <c r="D301" s="10" t="s">
        <v>246</v>
      </c>
      <c r="E301" s="18" t="s">
        <v>772</v>
      </c>
      <c r="F301" s="9">
        <v>42979</v>
      </c>
      <c r="G301" s="9">
        <v>46023</v>
      </c>
      <c r="H301" s="10">
        <v>101</v>
      </c>
      <c r="I301" s="10" t="s">
        <v>245</v>
      </c>
      <c r="J301" s="10" t="s">
        <v>247</v>
      </c>
      <c r="K301" s="10" t="s">
        <v>248</v>
      </c>
      <c r="L301" s="10">
        <v>1</v>
      </c>
    </row>
    <row r="302" spans="1:12" x14ac:dyDescent="0.2">
      <c r="A302" s="10" t="s">
        <v>537</v>
      </c>
      <c r="D302" s="10" t="s">
        <v>246</v>
      </c>
      <c r="E302" s="18" t="s">
        <v>773</v>
      </c>
      <c r="F302" s="9">
        <v>42979</v>
      </c>
      <c r="G302" s="9">
        <v>46023</v>
      </c>
      <c r="H302" s="10">
        <v>101</v>
      </c>
      <c r="I302" s="10" t="s">
        <v>245</v>
      </c>
      <c r="J302" s="10" t="s">
        <v>247</v>
      </c>
      <c r="K302" s="10" t="s">
        <v>248</v>
      </c>
      <c r="L302" s="10">
        <v>1</v>
      </c>
    </row>
    <row r="303" spans="1:12" x14ac:dyDescent="0.2">
      <c r="A303" s="10" t="s">
        <v>538</v>
      </c>
      <c r="D303" s="10" t="s">
        <v>246</v>
      </c>
      <c r="E303" s="18" t="s">
        <v>774</v>
      </c>
      <c r="F303" s="9">
        <v>42979</v>
      </c>
      <c r="G303" s="9">
        <v>46023</v>
      </c>
      <c r="H303" s="10">
        <v>101</v>
      </c>
      <c r="I303" s="10" t="s">
        <v>245</v>
      </c>
      <c r="J303" s="10" t="s">
        <v>247</v>
      </c>
      <c r="K303" s="10" t="s">
        <v>248</v>
      </c>
      <c r="L303" s="10">
        <v>1</v>
      </c>
    </row>
    <row r="304" spans="1:12" x14ac:dyDescent="0.2">
      <c r="A304" s="10" t="s">
        <v>539</v>
      </c>
      <c r="D304" s="10" t="s">
        <v>246</v>
      </c>
      <c r="E304" s="18" t="s">
        <v>775</v>
      </c>
      <c r="F304" s="9">
        <v>42979</v>
      </c>
      <c r="G304" s="9">
        <v>46023</v>
      </c>
      <c r="H304" s="10">
        <v>101</v>
      </c>
      <c r="I304" s="10" t="s">
        <v>245</v>
      </c>
      <c r="J304" s="10" t="s">
        <v>247</v>
      </c>
      <c r="K304" s="10" t="s">
        <v>248</v>
      </c>
      <c r="L304" s="10">
        <v>1</v>
      </c>
    </row>
    <row r="305" spans="1:12" x14ac:dyDescent="0.2">
      <c r="A305" s="10" t="s">
        <v>540</v>
      </c>
      <c r="D305" s="10" t="s">
        <v>246</v>
      </c>
      <c r="E305" s="18" t="s">
        <v>776</v>
      </c>
      <c r="F305" s="9">
        <v>42979</v>
      </c>
      <c r="G305" s="9">
        <v>46023</v>
      </c>
      <c r="H305" s="10">
        <v>101</v>
      </c>
      <c r="I305" s="10" t="s">
        <v>245</v>
      </c>
      <c r="J305" s="10" t="s">
        <v>247</v>
      </c>
      <c r="K305" s="10" t="s">
        <v>248</v>
      </c>
      <c r="L305" s="10">
        <v>1</v>
      </c>
    </row>
    <row r="306" spans="1:12" x14ac:dyDescent="0.2">
      <c r="A306" s="10" t="s">
        <v>541</v>
      </c>
      <c r="D306" s="10" t="s">
        <v>246</v>
      </c>
      <c r="E306" s="18" t="s">
        <v>777</v>
      </c>
      <c r="F306" s="9">
        <v>42979</v>
      </c>
      <c r="G306" s="9">
        <v>46023</v>
      </c>
      <c r="H306" s="10">
        <v>101</v>
      </c>
      <c r="I306" s="10" t="s">
        <v>245</v>
      </c>
      <c r="J306" s="10" t="s">
        <v>247</v>
      </c>
      <c r="K306" s="10" t="s">
        <v>248</v>
      </c>
      <c r="L306" s="10">
        <v>1</v>
      </c>
    </row>
    <row r="307" spans="1:12" x14ac:dyDescent="0.2">
      <c r="A307" s="10" t="s">
        <v>542</v>
      </c>
      <c r="D307" s="10" t="s">
        <v>246</v>
      </c>
      <c r="E307" s="18" t="s">
        <v>778</v>
      </c>
      <c r="F307" s="9">
        <v>45383</v>
      </c>
      <c r="G307" s="9">
        <v>46023</v>
      </c>
      <c r="H307" s="10">
        <v>22</v>
      </c>
      <c r="I307" s="10" t="s">
        <v>245</v>
      </c>
      <c r="J307" s="10" t="s">
        <v>247</v>
      </c>
      <c r="K307" s="10" t="s">
        <v>248</v>
      </c>
      <c r="L307" s="10">
        <v>1</v>
      </c>
    </row>
    <row r="308" spans="1:12" x14ac:dyDescent="0.2">
      <c r="A308" s="10" t="s">
        <v>543</v>
      </c>
      <c r="D308" s="10" t="s">
        <v>246</v>
      </c>
      <c r="E308" s="18" t="s">
        <v>779</v>
      </c>
      <c r="F308" s="9">
        <v>45383</v>
      </c>
      <c r="G308" s="9">
        <v>46023</v>
      </c>
      <c r="H308" s="10">
        <v>22</v>
      </c>
      <c r="I308" s="10" t="s">
        <v>245</v>
      </c>
      <c r="J308" s="10" t="s">
        <v>247</v>
      </c>
      <c r="K308" s="10" t="s">
        <v>248</v>
      </c>
      <c r="L308" s="10">
        <v>1</v>
      </c>
    </row>
    <row r="309" spans="1:12" x14ac:dyDescent="0.2">
      <c r="A309" s="10" t="s">
        <v>544</v>
      </c>
      <c r="D309" s="10" t="s">
        <v>246</v>
      </c>
      <c r="E309" s="18" t="s">
        <v>780</v>
      </c>
      <c r="F309" s="9">
        <v>45383</v>
      </c>
      <c r="G309" s="9">
        <v>46023</v>
      </c>
      <c r="H309" s="10">
        <v>22</v>
      </c>
      <c r="I309" s="10" t="s">
        <v>245</v>
      </c>
      <c r="J309" s="10" t="s">
        <v>247</v>
      </c>
      <c r="K309" s="10" t="s">
        <v>248</v>
      </c>
      <c r="L309" s="10">
        <v>1</v>
      </c>
    </row>
    <row r="310" spans="1:12" x14ac:dyDescent="0.2">
      <c r="A310" s="10" t="s">
        <v>545</v>
      </c>
      <c r="D310" s="10" t="s">
        <v>246</v>
      </c>
      <c r="E310" s="18" t="s">
        <v>781</v>
      </c>
      <c r="F310" s="9">
        <v>45383</v>
      </c>
      <c r="G310" s="9">
        <v>46023</v>
      </c>
      <c r="H310" s="10">
        <v>22</v>
      </c>
      <c r="I310" s="10" t="s">
        <v>245</v>
      </c>
      <c r="J310" s="10" t="s">
        <v>247</v>
      </c>
      <c r="K310" s="10" t="s">
        <v>248</v>
      </c>
      <c r="L310" s="10">
        <v>1</v>
      </c>
    </row>
    <row r="311" spans="1:12" x14ac:dyDescent="0.2">
      <c r="A311" s="10" t="s">
        <v>546</v>
      </c>
      <c r="D311" s="10" t="s">
        <v>246</v>
      </c>
      <c r="E311" s="18" t="s">
        <v>782</v>
      </c>
      <c r="F311" s="9">
        <v>45383</v>
      </c>
      <c r="G311" s="9">
        <v>46023</v>
      </c>
      <c r="H311" s="10">
        <v>22</v>
      </c>
      <c r="I311" s="10" t="s">
        <v>245</v>
      </c>
      <c r="J311" s="10" t="s">
        <v>247</v>
      </c>
      <c r="K311" s="10" t="s">
        <v>248</v>
      </c>
      <c r="L311" s="10">
        <v>1</v>
      </c>
    </row>
    <row r="312" spans="1:12" x14ac:dyDescent="0.2">
      <c r="A312" s="10" t="s">
        <v>547</v>
      </c>
      <c r="D312" s="10" t="s">
        <v>246</v>
      </c>
      <c r="E312" s="18" t="s">
        <v>783</v>
      </c>
      <c r="F312" s="9">
        <v>42979</v>
      </c>
      <c r="G312" s="9">
        <v>46023</v>
      </c>
      <c r="H312" s="10">
        <v>101</v>
      </c>
      <c r="I312" s="10" t="s">
        <v>245</v>
      </c>
      <c r="J312" s="10" t="s">
        <v>247</v>
      </c>
      <c r="K312" s="10" t="s">
        <v>248</v>
      </c>
      <c r="L312" s="10">
        <v>1</v>
      </c>
    </row>
    <row r="313" spans="1:12" x14ac:dyDescent="0.2">
      <c r="A313" s="10" t="s">
        <v>548</v>
      </c>
      <c r="D313" s="10" t="s">
        <v>246</v>
      </c>
      <c r="E313" s="18" t="s">
        <v>784</v>
      </c>
      <c r="F313" s="9">
        <v>45383</v>
      </c>
      <c r="G313" s="9">
        <v>46023</v>
      </c>
      <c r="H313" s="10">
        <v>22</v>
      </c>
      <c r="I313" s="10" t="s">
        <v>245</v>
      </c>
      <c r="J313" s="10" t="s">
        <v>247</v>
      </c>
      <c r="K313" s="10" t="s">
        <v>248</v>
      </c>
      <c r="L313" s="10">
        <v>1</v>
      </c>
    </row>
    <row r="314" spans="1:12" x14ac:dyDescent="0.2">
      <c r="A314" s="10" t="s">
        <v>549</v>
      </c>
      <c r="D314" s="10" t="s">
        <v>246</v>
      </c>
      <c r="E314" s="18" t="s">
        <v>785</v>
      </c>
      <c r="F314" s="9">
        <v>42979</v>
      </c>
      <c r="G314" s="9">
        <v>46023</v>
      </c>
      <c r="H314" s="10">
        <v>101</v>
      </c>
      <c r="I314" s="10" t="s">
        <v>245</v>
      </c>
      <c r="J314" s="10" t="s">
        <v>247</v>
      </c>
      <c r="K314" s="10" t="s">
        <v>248</v>
      </c>
      <c r="L314" s="10">
        <v>1</v>
      </c>
    </row>
    <row r="315" spans="1:12" x14ac:dyDescent="0.2">
      <c r="A315" s="10" t="s">
        <v>550</v>
      </c>
      <c r="D315" s="10" t="s">
        <v>246</v>
      </c>
      <c r="E315" s="18" t="s">
        <v>786</v>
      </c>
      <c r="F315" s="9">
        <v>42979</v>
      </c>
      <c r="G315" s="9">
        <v>46023</v>
      </c>
      <c r="H315" s="10">
        <v>101</v>
      </c>
      <c r="I315" s="10" t="s">
        <v>245</v>
      </c>
      <c r="J315" s="10" t="s">
        <v>247</v>
      </c>
      <c r="K315" s="10" t="s">
        <v>248</v>
      </c>
      <c r="L315" s="10">
        <v>1</v>
      </c>
    </row>
    <row r="316" spans="1:12" x14ac:dyDescent="0.2">
      <c r="A316" s="10" t="s">
        <v>550</v>
      </c>
      <c r="D316" s="10" t="s">
        <v>246</v>
      </c>
      <c r="E316" s="18" t="s">
        <v>787</v>
      </c>
      <c r="F316" s="9">
        <v>42979</v>
      </c>
      <c r="G316" s="9">
        <v>46023</v>
      </c>
      <c r="H316" s="10">
        <v>101</v>
      </c>
      <c r="I316" s="10" t="s">
        <v>245</v>
      </c>
      <c r="J316" s="10" t="s">
        <v>247</v>
      </c>
      <c r="K316" s="10" t="s">
        <v>248</v>
      </c>
      <c r="L316" s="10">
        <v>1</v>
      </c>
    </row>
    <row r="317" spans="1:12" x14ac:dyDescent="0.2">
      <c r="A317" s="10" t="s">
        <v>551</v>
      </c>
      <c r="D317" s="10" t="s">
        <v>246</v>
      </c>
      <c r="E317" s="18" t="s">
        <v>788</v>
      </c>
      <c r="F317" s="9">
        <v>45383</v>
      </c>
      <c r="G317" s="9">
        <v>46023</v>
      </c>
      <c r="H317" s="10">
        <v>22</v>
      </c>
      <c r="I317" s="10" t="s">
        <v>245</v>
      </c>
      <c r="J317" s="10" t="s">
        <v>247</v>
      </c>
      <c r="K317" s="10" t="s">
        <v>248</v>
      </c>
      <c r="L317" s="10">
        <v>1</v>
      </c>
    </row>
    <row r="318" spans="1:12" x14ac:dyDescent="0.2">
      <c r="A318" s="10" t="s">
        <v>552</v>
      </c>
      <c r="D318" s="10" t="s">
        <v>246</v>
      </c>
      <c r="E318" s="18" t="s">
        <v>789</v>
      </c>
      <c r="F318" s="9">
        <v>45383</v>
      </c>
      <c r="G318" s="9">
        <v>46023</v>
      </c>
      <c r="H318" s="10">
        <v>22</v>
      </c>
      <c r="I318" s="10" t="s">
        <v>245</v>
      </c>
      <c r="J318" s="10" t="s">
        <v>247</v>
      </c>
      <c r="K318" s="10" t="s">
        <v>248</v>
      </c>
      <c r="L318" s="10">
        <v>1</v>
      </c>
    </row>
    <row r="319" spans="1:12" x14ac:dyDescent="0.2">
      <c r="A319" s="10" t="s">
        <v>553</v>
      </c>
      <c r="D319" s="10" t="s">
        <v>246</v>
      </c>
      <c r="E319" s="18" t="s">
        <v>790</v>
      </c>
      <c r="F319" s="9">
        <v>45383</v>
      </c>
      <c r="G319" s="9">
        <v>46023</v>
      </c>
      <c r="H319" s="10">
        <v>22</v>
      </c>
      <c r="I319" s="10" t="s">
        <v>245</v>
      </c>
      <c r="J319" s="10" t="s">
        <v>247</v>
      </c>
      <c r="K319" s="10" t="s">
        <v>248</v>
      </c>
      <c r="L319" s="10">
        <v>1</v>
      </c>
    </row>
    <row r="320" spans="1:12" x14ac:dyDescent="0.2">
      <c r="A320" s="10" t="s">
        <v>554</v>
      </c>
      <c r="D320" s="10" t="s">
        <v>246</v>
      </c>
      <c r="E320" s="18" t="s">
        <v>791</v>
      </c>
      <c r="F320" s="9">
        <v>45383</v>
      </c>
      <c r="G320" s="9">
        <v>46023</v>
      </c>
      <c r="H320" s="10">
        <v>22</v>
      </c>
      <c r="I320" s="10" t="s">
        <v>245</v>
      </c>
      <c r="J320" s="10" t="s">
        <v>247</v>
      </c>
      <c r="K320" s="10" t="s">
        <v>248</v>
      </c>
      <c r="L320" s="10">
        <v>1</v>
      </c>
    </row>
    <row r="321" spans="1:12" x14ac:dyDescent="0.2">
      <c r="A321" s="10" t="s">
        <v>555</v>
      </c>
      <c r="D321" s="10" t="s">
        <v>246</v>
      </c>
      <c r="E321" s="18" t="s">
        <v>792</v>
      </c>
      <c r="F321" s="9">
        <v>45383</v>
      </c>
      <c r="G321" s="9">
        <v>46023</v>
      </c>
      <c r="H321" s="10">
        <v>22</v>
      </c>
      <c r="I321" s="10" t="s">
        <v>245</v>
      </c>
      <c r="J321" s="10" t="s">
        <v>247</v>
      </c>
      <c r="K321" s="10" t="s">
        <v>248</v>
      </c>
      <c r="L321" s="10">
        <v>1</v>
      </c>
    </row>
    <row r="322" spans="1:12" x14ac:dyDescent="0.2">
      <c r="A322" s="10" t="s">
        <v>556</v>
      </c>
      <c r="D322" s="10" t="s">
        <v>246</v>
      </c>
      <c r="E322" s="18" t="s">
        <v>793</v>
      </c>
      <c r="F322" s="9">
        <v>45383</v>
      </c>
      <c r="G322" s="9">
        <v>46023</v>
      </c>
      <c r="H322" s="10">
        <v>22</v>
      </c>
      <c r="I322" s="10" t="s">
        <v>245</v>
      </c>
      <c r="J322" s="10" t="s">
        <v>247</v>
      </c>
      <c r="K322" s="10" t="s">
        <v>248</v>
      </c>
      <c r="L322" s="10">
        <v>1</v>
      </c>
    </row>
    <row r="323" spans="1:12" x14ac:dyDescent="0.2">
      <c r="A323" s="10" t="s">
        <v>557</v>
      </c>
      <c r="D323" s="10" t="s">
        <v>246</v>
      </c>
      <c r="E323" s="18" t="s">
        <v>794</v>
      </c>
      <c r="F323" s="9">
        <v>45383</v>
      </c>
      <c r="G323" s="9">
        <v>46023</v>
      </c>
      <c r="H323" s="10">
        <v>22</v>
      </c>
      <c r="I323" s="10" t="s">
        <v>245</v>
      </c>
      <c r="J323" s="10" t="s">
        <v>247</v>
      </c>
      <c r="K323" s="10" t="s">
        <v>248</v>
      </c>
      <c r="L323" s="10">
        <v>1</v>
      </c>
    </row>
    <row r="324" spans="1:12" x14ac:dyDescent="0.2">
      <c r="A324" s="10" t="s">
        <v>558</v>
      </c>
      <c r="D324" s="10" t="s">
        <v>246</v>
      </c>
      <c r="E324" s="18" t="s">
        <v>795</v>
      </c>
      <c r="F324" s="9">
        <v>45383</v>
      </c>
      <c r="G324" s="9">
        <v>46023</v>
      </c>
      <c r="H324" s="10">
        <v>22</v>
      </c>
      <c r="I324" s="10" t="s">
        <v>245</v>
      </c>
      <c r="J324" s="10" t="s">
        <v>247</v>
      </c>
      <c r="K324" s="10" t="s">
        <v>248</v>
      </c>
      <c r="L324" s="10">
        <v>1</v>
      </c>
    </row>
    <row r="325" spans="1:12" x14ac:dyDescent="0.2">
      <c r="A325" s="10" t="s">
        <v>559</v>
      </c>
      <c r="D325" s="10" t="s">
        <v>246</v>
      </c>
      <c r="E325" s="18" t="s">
        <v>796</v>
      </c>
      <c r="F325" s="9">
        <v>45383</v>
      </c>
      <c r="G325" s="9">
        <v>46023</v>
      </c>
      <c r="H325" s="10">
        <v>22</v>
      </c>
      <c r="I325" s="10" t="s">
        <v>245</v>
      </c>
      <c r="J325" s="10" t="s">
        <v>247</v>
      </c>
      <c r="K325" s="10" t="s">
        <v>248</v>
      </c>
      <c r="L325" s="10">
        <v>1</v>
      </c>
    </row>
    <row r="326" spans="1:12" x14ac:dyDescent="0.2">
      <c r="A326" s="10" t="s">
        <v>560</v>
      </c>
      <c r="D326" s="10" t="s">
        <v>246</v>
      </c>
      <c r="E326" s="18" t="s">
        <v>797</v>
      </c>
      <c r="F326" s="9">
        <v>45383</v>
      </c>
      <c r="G326" s="9">
        <v>46023</v>
      </c>
      <c r="H326" s="10">
        <v>22</v>
      </c>
      <c r="I326" s="10" t="s">
        <v>245</v>
      </c>
      <c r="J326" s="10" t="s">
        <v>247</v>
      </c>
      <c r="K326" s="10" t="s">
        <v>248</v>
      </c>
      <c r="L326" s="10">
        <v>1</v>
      </c>
    </row>
    <row r="327" spans="1:12" x14ac:dyDescent="0.2">
      <c r="A327" s="10" t="s">
        <v>561</v>
      </c>
      <c r="D327" s="10" t="s">
        <v>246</v>
      </c>
      <c r="E327" s="18" t="s">
        <v>798</v>
      </c>
      <c r="F327" s="9">
        <v>45383</v>
      </c>
      <c r="G327" s="9">
        <v>46023</v>
      </c>
      <c r="H327" s="10">
        <v>22</v>
      </c>
      <c r="I327" s="10" t="s">
        <v>245</v>
      </c>
      <c r="J327" s="10" t="s">
        <v>247</v>
      </c>
      <c r="K327" s="10" t="s">
        <v>248</v>
      </c>
      <c r="L327" s="10">
        <v>1</v>
      </c>
    </row>
    <row r="328" spans="1:12" x14ac:dyDescent="0.2">
      <c r="A328" s="10" t="s">
        <v>562</v>
      </c>
      <c r="D328" s="10" t="s">
        <v>246</v>
      </c>
      <c r="E328" s="18" t="s">
        <v>799</v>
      </c>
      <c r="F328" s="9">
        <v>45383</v>
      </c>
      <c r="G328" s="9">
        <v>46023</v>
      </c>
      <c r="H328" s="10">
        <v>22</v>
      </c>
      <c r="I328" s="10" t="s">
        <v>245</v>
      </c>
      <c r="J328" s="10" t="s">
        <v>247</v>
      </c>
      <c r="K328" s="10" t="s">
        <v>248</v>
      </c>
      <c r="L328" s="10">
        <v>1</v>
      </c>
    </row>
    <row r="329" spans="1:12" x14ac:dyDescent="0.2">
      <c r="A329" s="10" t="s">
        <v>563</v>
      </c>
      <c r="D329" s="10" t="s">
        <v>246</v>
      </c>
      <c r="E329" s="18" t="s">
        <v>800</v>
      </c>
      <c r="F329" s="9">
        <v>45383</v>
      </c>
      <c r="G329" s="9">
        <v>46023</v>
      </c>
      <c r="H329" s="10">
        <v>22</v>
      </c>
      <c r="I329" s="10" t="s">
        <v>245</v>
      </c>
      <c r="J329" s="10" t="s">
        <v>247</v>
      </c>
      <c r="K329" s="10" t="s">
        <v>248</v>
      </c>
      <c r="L329" s="10">
        <v>1</v>
      </c>
    </row>
    <row r="330" spans="1:12" x14ac:dyDescent="0.2">
      <c r="A330" s="10" t="s">
        <v>564</v>
      </c>
      <c r="D330" s="10" t="s">
        <v>246</v>
      </c>
      <c r="E330" s="18" t="s">
        <v>801</v>
      </c>
      <c r="F330" s="9">
        <v>44743</v>
      </c>
      <c r="G330" s="9">
        <v>46023</v>
      </c>
      <c r="H330" s="10">
        <v>43</v>
      </c>
      <c r="I330" s="10" t="s">
        <v>245</v>
      </c>
      <c r="J330" s="10" t="s">
        <v>247</v>
      </c>
      <c r="K330" s="10" t="s">
        <v>248</v>
      </c>
      <c r="L330" s="10">
        <v>1</v>
      </c>
    </row>
    <row r="331" spans="1:12" x14ac:dyDescent="0.2">
      <c r="A331" s="10" t="s">
        <v>564</v>
      </c>
      <c r="D331" s="10" t="s">
        <v>246</v>
      </c>
      <c r="E331" s="18" t="s">
        <v>802</v>
      </c>
      <c r="F331" s="9">
        <v>44743</v>
      </c>
      <c r="G331" s="9">
        <v>46023</v>
      </c>
      <c r="H331" s="10">
        <v>43</v>
      </c>
      <c r="I331" s="10" t="s">
        <v>245</v>
      </c>
      <c r="J331" s="10" t="s">
        <v>247</v>
      </c>
      <c r="K331" s="10" t="s">
        <v>248</v>
      </c>
      <c r="L331" s="10">
        <v>1</v>
      </c>
    </row>
    <row r="332" spans="1:12" x14ac:dyDescent="0.2">
      <c r="A332" s="10" t="s">
        <v>565</v>
      </c>
      <c r="D332" s="10" t="s">
        <v>246</v>
      </c>
      <c r="E332" s="18" t="s">
        <v>803</v>
      </c>
      <c r="F332" s="9">
        <v>42979</v>
      </c>
      <c r="G332" s="9">
        <v>46023</v>
      </c>
      <c r="H332" s="10">
        <v>101</v>
      </c>
      <c r="I332" s="10" t="s">
        <v>245</v>
      </c>
      <c r="J332" s="10" t="s">
        <v>247</v>
      </c>
      <c r="K332" s="10" t="s">
        <v>248</v>
      </c>
      <c r="L332" s="10">
        <v>1</v>
      </c>
    </row>
    <row r="333" spans="1:12" x14ac:dyDescent="0.2">
      <c r="A333" s="10" t="s">
        <v>565</v>
      </c>
      <c r="D333" s="10" t="s">
        <v>246</v>
      </c>
      <c r="E333" s="18" t="s">
        <v>804</v>
      </c>
      <c r="F333" s="9">
        <v>42979</v>
      </c>
      <c r="G333" s="9">
        <v>46023</v>
      </c>
      <c r="H333" s="10">
        <v>101</v>
      </c>
      <c r="I333" s="10" t="s">
        <v>245</v>
      </c>
      <c r="J333" s="10" t="s">
        <v>247</v>
      </c>
      <c r="K333" s="10" t="s">
        <v>248</v>
      </c>
      <c r="L333" s="10">
        <v>1</v>
      </c>
    </row>
    <row r="334" spans="1:12" x14ac:dyDescent="0.2">
      <c r="A334" s="10" t="s">
        <v>566</v>
      </c>
      <c r="D334" s="10" t="s">
        <v>246</v>
      </c>
      <c r="E334" s="18" t="s">
        <v>805</v>
      </c>
      <c r="F334" s="9">
        <v>45383</v>
      </c>
      <c r="G334" s="9">
        <v>46023</v>
      </c>
      <c r="H334" s="10">
        <v>22</v>
      </c>
      <c r="I334" s="10" t="s">
        <v>245</v>
      </c>
      <c r="J334" s="10" t="s">
        <v>247</v>
      </c>
      <c r="K334" s="10" t="s">
        <v>248</v>
      </c>
      <c r="L334" s="10">
        <v>1</v>
      </c>
    </row>
    <row r="335" spans="1:12" x14ac:dyDescent="0.2">
      <c r="A335" s="10" t="s">
        <v>567</v>
      </c>
      <c r="D335" s="10" t="s">
        <v>246</v>
      </c>
      <c r="E335" s="18" t="s">
        <v>806</v>
      </c>
      <c r="F335" s="9">
        <v>45383</v>
      </c>
      <c r="G335" s="9">
        <v>46023</v>
      </c>
      <c r="H335" s="10">
        <v>22</v>
      </c>
      <c r="I335" s="10" t="s">
        <v>245</v>
      </c>
      <c r="J335" s="10" t="s">
        <v>247</v>
      </c>
      <c r="K335" s="10" t="s">
        <v>248</v>
      </c>
      <c r="L335" s="10">
        <v>1</v>
      </c>
    </row>
    <row r="336" spans="1:12" x14ac:dyDescent="0.2">
      <c r="A336" s="10" t="s">
        <v>568</v>
      </c>
      <c r="D336" s="10" t="s">
        <v>246</v>
      </c>
      <c r="E336" s="18" t="s">
        <v>807</v>
      </c>
      <c r="F336" s="9">
        <v>42979</v>
      </c>
      <c r="G336" s="9">
        <v>46023</v>
      </c>
      <c r="H336" s="10">
        <v>101</v>
      </c>
      <c r="I336" s="10" t="s">
        <v>245</v>
      </c>
      <c r="J336" s="10" t="s">
        <v>247</v>
      </c>
      <c r="K336" s="10" t="s">
        <v>248</v>
      </c>
      <c r="L336" s="10">
        <v>1</v>
      </c>
    </row>
    <row r="337" spans="1:12" x14ac:dyDescent="0.2">
      <c r="A337" s="10" t="s">
        <v>569</v>
      </c>
      <c r="D337" s="10" t="s">
        <v>246</v>
      </c>
      <c r="E337" s="18" t="s">
        <v>808</v>
      </c>
      <c r="F337" s="9">
        <v>45383</v>
      </c>
      <c r="G337" s="9">
        <v>46023</v>
      </c>
      <c r="H337" s="10">
        <v>22</v>
      </c>
      <c r="I337" s="10" t="s">
        <v>245</v>
      </c>
      <c r="J337" s="10" t="s">
        <v>247</v>
      </c>
      <c r="K337" s="10" t="s">
        <v>248</v>
      </c>
      <c r="L337" s="10">
        <v>1</v>
      </c>
    </row>
    <row r="338" spans="1:12" x14ac:dyDescent="0.2">
      <c r="A338" s="10" t="s">
        <v>570</v>
      </c>
      <c r="D338" s="10" t="s">
        <v>246</v>
      </c>
      <c r="E338" s="18" t="s">
        <v>809</v>
      </c>
      <c r="F338" s="9">
        <v>45383</v>
      </c>
      <c r="G338" s="9">
        <v>46023</v>
      </c>
      <c r="H338" s="10">
        <v>22</v>
      </c>
      <c r="I338" s="10" t="s">
        <v>245</v>
      </c>
      <c r="J338" s="10" t="s">
        <v>247</v>
      </c>
      <c r="K338" s="10" t="s">
        <v>248</v>
      </c>
      <c r="L338" s="10">
        <v>1</v>
      </c>
    </row>
    <row r="339" spans="1:12" x14ac:dyDescent="0.2">
      <c r="A339" s="10" t="s">
        <v>571</v>
      </c>
      <c r="D339" s="10" t="s">
        <v>246</v>
      </c>
      <c r="E339" s="18" t="s">
        <v>810</v>
      </c>
      <c r="F339" s="9">
        <v>44470</v>
      </c>
      <c r="G339" s="9">
        <v>46023</v>
      </c>
      <c r="H339" s="10">
        <v>52</v>
      </c>
      <c r="I339" s="10" t="s">
        <v>245</v>
      </c>
      <c r="J339" s="10" t="s">
        <v>247</v>
      </c>
      <c r="K339" s="10" t="s">
        <v>248</v>
      </c>
      <c r="L339" s="10">
        <v>1</v>
      </c>
    </row>
    <row r="340" spans="1:12" x14ac:dyDescent="0.2">
      <c r="A340" s="10" t="s">
        <v>572</v>
      </c>
      <c r="D340" s="10" t="s">
        <v>246</v>
      </c>
      <c r="E340" s="18" t="s">
        <v>811</v>
      </c>
      <c r="F340" s="9">
        <v>44470</v>
      </c>
      <c r="G340" s="9">
        <v>46023</v>
      </c>
      <c r="H340" s="10">
        <v>52</v>
      </c>
      <c r="I340" s="10" t="s">
        <v>245</v>
      </c>
      <c r="J340" s="10" t="s">
        <v>247</v>
      </c>
      <c r="K340" s="10" t="s">
        <v>248</v>
      </c>
      <c r="L340" s="10">
        <v>1</v>
      </c>
    </row>
    <row r="341" spans="1:12" x14ac:dyDescent="0.2">
      <c r="A341" s="10" t="s">
        <v>573</v>
      </c>
      <c r="D341" s="10" t="s">
        <v>246</v>
      </c>
      <c r="E341" s="18" t="s">
        <v>812</v>
      </c>
      <c r="F341" s="9">
        <v>45383</v>
      </c>
      <c r="G341" s="9">
        <v>46023</v>
      </c>
      <c r="H341" s="10">
        <v>22</v>
      </c>
      <c r="I341" s="10" t="s">
        <v>245</v>
      </c>
      <c r="J341" s="10" t="s">
        <v>247</v>
      </c>
      <c r="K341" s="10" t="s">
        <v>248</v>
      </c>
      <c r="L341" s="10">
        <v>1</v>
      </c>
    </row>
    <row r="342" spans="1:12" x14ac:dyDescent="0.2">
      <c r="A342" s="10" t="s">
        <v>574</v>
      </c>
      <c r="D342" s="10" t="s">
        <v>246</v>
      </c>
      <c r="E342" s="18" t="s">
        <v>813</v>
      </c>
      <c r="F342" s="9">
        <v>45383</v>
      </c>
      <c r="G342" s="9">
        <v>46023</v>
      </c>
      <c r="H342" s="10">
        <v>22</v>
      </c>
      <c r="I342" s="10" t="s">
        <v>245</v>
      </c>
      <c r="J342" s="10" t="s">
        <v>247</v>
      </c>
      <c r="K342" s="10" t="s">
        <v>248</v>
      </c>
      <c r="L342" s="10">
        <v>1</v>
      </c>
    </row>
    <row r="343" spans="1:12" x14ac:dyDescent="0.2">
      <c r="A343" s="10" t="s">
        <v>575</v>
      </c>
      <c r="D343" s="10" t="s">
        <v>246</v>
      </c>
      <c r="E343" s="18" t="s">
        <v>814</v>
      </c>
      <c r="F343" s="9">
        <v>45383</v>
      </c>
      <c r="G343" s="9">
        <v>46023</v>
      </c>
      <c r="H343" s="10">
        <v>22</v>
      </c>
      <c r="I343" s="10" t="s">
        <v>245</v>
      </c>
      <c r="J343" s="10" t="s">
        <v>247</v>
      </c>
      <c r="K343" s="10" t="s">
        <v>248</v>
      </c>
      <c r="L343" s="10">
        <v>1</v>
      </c>
    </row>
    <row r="344" spans="1:12" x14ac:dyDescent="0.2">
      <c r="A344" s="10" t="s">
        <v>576</v>
      </c>
      <c r="D344" s="10" t="s">
        <v>246</v>
      </c>
      <c r="E344" s="18" t="s">
        <v>815</v>
      </c>
      <c r="F344" s="9">
        <v>45383</v>
      </c>
      <c r="G344" s="9">
        <v>46023</v>
      </c>
      <c r="H344" s="10">
        <v>22</v>
      </c>
      <c r="I344" s="10" t="s">
        <v>245</v>
      </c>
      <c r="J344" s="10" t="s">
        <v>247</v>
      </c>
      <c r="K344" s="10" t="s">
        <v>248</v>
      </c>
      <c r="L344" s="10">
        <v>1</v>
      </c>
    </row>
    <row r="345" spans="1:12" x14ac:dyDescent="0.2">
      <c r="A345" s="10" t="s">
        <v>577</v>
      </c>
      <c r="D345" s="10" t="s">
        <v>246</v>
      </c>
      <c r="E345" s="18" t="s">
        <v>816</v>
      </c>
      <c r="F345" s="9">
        <v>45383</v>
      </c>
      <c r="G345" s="9">
        <v>46023</v>
      </c>
      <c r="H345" s="10">
        <v>22</v>
      </c>
      <c r="I345" s="10" t="s">
        <v>245</v>
      </c>
      <c r="J345" s="10" t="s">
        <v>247</v>
      </c>
      <c r="K345" s="10" t="s">
        <v>248</v>
      </c>
      <c r="L345" s="10">
        <v>1</v>
      </c>
    </row>
    <row r="346" spans="1:12" x14ac:dyDescent="0.2">
      <c r="A346" s="10" t="s">
        <v>577</v>
      </c>
      <c r="D346" s="10" t="s">
        <v>246</v>
      </c>
      <c r="E346" s="18" t="s">
        <v>817</v>
      </c>
      <c r="F346" s="9">
        <v>45383</v>
      </c>
      <c r="G346" s="9">
        <v>46023</v>
      </c>
      <c r="H346" s="10">
        <v>22</v>
      </c>
      <c r="I346" s="10" t="s">
        <v>245</v>
      </c>
      <c r="J346" s="10" t="s">
        <v>247</v>
      </c>
      <c r="K346" s="10" t="s">
        <v>248</v>
      </c>
      <c r="L346" s="10">
        <v>1</v>
      </c>
    </row>
    <row r="347" spans="1:12" x14ac:dyDescent="0.2">
      <c r="A347" s="10" t="s">
        <v>578</v>
      </c>
      <c r="D347" s="10" t="s">
        <v>246</v>
      </c>
      <c r="E347" s="18" t="s">
        <v>818</v>
      </c>
      <c r="F347" s="9">
        <v>45383</v>
      </c>
      <c r="G347" s="9">
        <v>46023</v>
      </c>
      <c r="H347" s="10">
        <v>22</v>
      </c>
      <c r="I347" s="10" t="s">
        <v>245</v>
      </c>
      <c r="J347" s="10" t="s">
        <v>247</v>
      </c>
      <c r="K347" s="10" t="s">
        <v>248</v>
      </c>
      <c r="L347" s="10">
        <v>1</v>
      </c>
    </row>
    <row r="348" spans="1:12" x14ac:dyDescent="0.2">
      <c r="A348" s="10" t="s">
        <v>579</v>
      </c>
      <c r="D348" s="10" t="s">
        <v>246</v>
      </c>
      <c r="E348" s="18" t="s">
        <v>819</v>
      </c>
      <c r="F348" s="9">
        <v>45383</v>
      </c>
      <c r="G348" s="9">
        <v>46023</v>
      </c>
      <c r="H348" s="10">
        <v>22</v>
      </c>
      <c r="I348" s="10" t="s">
        <v>245</v>
      </c>
      <c r="J348" s="10" t="s">
        <v>247</v>
      </c>
      <c r="K348" s="10" t="s">
        <v>248</v>
      </c>
      <c r="L348" s="10">
        <v>1</v>
      </c>
    </row>
    <row r="349" spans="1:12" x14ac:dyDescent="0.2">
      <c r="A349" s="10" t="s">
        <v>580</v>
      </c>
      <c r="D349" s="10" t="s">
        <v>246</v>
      </c>
      <c r="E349" s="18" t="s">
        <v>820</v>
      </c>
      <c r="F349" s="9">
        <v>45383</v>
      </c>
      <c r="G349" s="9">
        <v>46023</v>
      </c>
      <c r="H349" s="10">
        <v>22</v>
      </c>
      <c r="I349" s="10" t="s">
        <v>245</v>
      </c>
      <c r="J349" s="10" t="s">
        <v>247</v>
      </c>
      <c r="K349" s="10" t="s">
        <v>248</v>
      </c>
      <c r="L349" s="10">
        <v>1</v>
      </c>
    </row>
    <row r="350" spans="1:12" x14ac:dyDescent="0.2">
      <c r="A350" s="10" t="s">
        <v>581</v>
      </c>
      <c r="D350" s="10" t="s">
        <v>246</v>
      </c>
      <c r="E350" s="18" t="s">
        <v>821</v>
      </c>
      <c r="F350" s="9">
        <v>45383</v>
      </c>
      <c r="G350" s="9">
        <v>46023</v>
      </c>
      <c r="H350" s="10">
        <v>22</v>
      </c>
      <c r="I350" s="10" t="s">
        <v>245</v>
      </c>
      <c r="J350" s="10" t="s">
        <v>247</v>
      </c>
      <c r="K350" s="10" t="s">
        <v>248</v>
      </c>
      <c r="L350" s="10">
        <v>1</v>
      </c>
    </row>
    <row r="351" spans="1:12" x14ac:dyDescent="0.2">
      <c r="A351" s="10" t="s">
        <v>582</v>
      </c>
      <c r="D351" s="10" t="s">
        <v>246</v>
      </c>
      <c r="E351" s="18" t="s">
        <v>822</v>
      </c>
      <c r="F351" s="9">
        <v>45383</v>
      </c>
      <c r="G351" s="9">
        <v>46023</v>
      </c>
      <c r="H351" s="10">
        <v>22</v>
      </c>
      <c r="I351" s="10" t="s">
        <v>245</v>
      </c>
      <c r="J351" s="10" t="s">
        <v>247</v>
      </c>
      <c r="K351" s="10" t="s">
        <v>248</v>
      </c>
      <c r="L351" s="10">
        <v>1</v>
      </c>
    </row>
    <row r="352" spans="1:12" x14ac:dyDescent="0.2">
      <c r="A352" s="10" t="s">
        <v>583</v>
      </c>
      <c r="D352" s="10" t="s">
        <v>246</v>
      </c>
      <c r="E352" s="18" t="s">
        <v>823</v>
      </c>
      <c r="F352" s="9">
        <v>42979</v>
      </c>
      <c r="G352" s="9">
        <v>46023</v>
      </c>
      <c r="H352" s="10">
        <v>101</v>
      </c>
      <c r="I352" s="10" t="s">
        <v>245</v>
      </c>
      <c r="J352" s="10" t="s">
        <v>247</v>
      </c>
      <c r="K352" s="10" t="s">
        <v>248</v>
      </c>
      <c r="L352" s="10">
        <v>1</v>
      </c>
    </row>
    <row r="353" spans="1:12" x14ac:dyDescent="0.2">
      <c r="A353" s="10" t="s">
        <v>584</v>
      </c>
      <c r="D353" s="10" t="s">
        <v>246</v>
      </c>
      <c r="E353" s="18" t="s">
        <v>824</v>
      </c>
      <c r="F353" s="9">
        <v>42979</v>
      </c>
      <c r="G353" s="9">
        <v>46023</v>
      </c>
      <c r="H353" s="10">
        <v>101</v>
      </c>
      <c r="I353" s="10" t="s">
        <v>245</v>
      </c>
      <c r="J353" s="10" t="s">
        <v>247</v>
      </c>
      <c r="K353" s="10" t="s">
        <v>248</v>
      </c>
      <c r="L353" s="10">
        <v>1</v>
      </c>
    </row>
    <row r="354" spans="1:12" x14ac:dyDescent="0.2">
      <c r="A354" s="10" t="s">
        <v>585</v>
      </c>
      <c r="D354" s="10" t="s">
        <v>246</v>
      </c>
      <c r="E354" s="18" t="s">
        <v>825</v>
      </c>
      <c r="F354" s="9">
        <v>42979</v>
      </c>
      <c r="G354" s="9">
        <v>46023</v>
      </c>
      <c r="H354" s="10">
        <v>101</v>
      </c>
      <c r="I354" s="10" t="s">
        <v>245</v>
      </c>
      <c r="J354" s="10" t="s">
        <v>247</v>
      </c>
      <c r="K354" s="10" t="s">
        <v>248</v>
      </c>
      <c r="L354" s="10">
        <v>1</v>
      </c>
    </row>
    <row r="355" spans="1:12" x14ac:dyDescent="0.2">
      <c r="A355" s="10" t="s">
        <v>586</v>
      </c>
      <c r="D355" s="10" t="s">
        <v>246</v>
      </c>
      <c r="E355" s="18" t="s">
        <v>826</v>
      </c>
      <c r="F355" s="9">
        <v>42979</v>
      </c>
      <c r="G355" s="9">
        <v>46023</v>
      </c>
      <c r="H355" s="10">
        <v>101</v>
      </c>
      <c r="I355" s="10" t="s">
        <v>245</v>
      </c>
      <c r="J355" s="10" t="s">
        <v>247</v>
      </c>
      <c r="K355" s="10" t="s">
        <v>248</v>
      </c>
      <c r="L355" s="10">
        <v>1</v>
      </c>
    </row>
    <row r="356" spans="1:12" x14ac:dyDescent="0.2">
      <c r="A356" s="10" t="s">
        <v>587</v>
      </c>
      <c r="D356" s="10" t="s">
        <v>246</v>
      </c>
      <c r="E356" s="18" t="s">
        <v>827</v>
      </c>
      <c r="F356" s="9">
        <v>45383</v>
      </c>
      <c r="G356" s="9">
        <v>46023</v>
      </c>
      <c r="H356" s="10">
        <v>22</v>
      </c>
      <c r="I356" s="10" t="s">
        <v>245</v>
      </c>
      <c r="J356" s="10" t="s">
        <v>247</v>
      </c>
      <c r="K356" s="10" t="s">
        <v>248</v>
      </c>
      <c r="L356" s="10">
        <v>1</v>
      </c>
    </row>
    <row r="357" spans="1:12" x14ac:dyDescent="0.2">
      <c r="A357" s="10" t="s">
        <v>588</v>
      </c>
      <c r="D357" s="10" t="s">
        <v>246</v>
      </c>
      <c r="E357" s="18" t="s">
        <v>828</v>
      </c>
      <c r="F357" s="9">
        <v>45383</v>
      </c>
      <c r="G357" s="9">
        <v>46023</v>
      </c>
      <c r="H357" s="10">
        <v>22</v>
      </c>
      <c r="I357" s="10" t="s">
        <v>245</v>
      </c>
      <c r="J357" s="10" t="s">
        <v>247</v>
      </c>
      <c r="K357" s="10" t="s">
        <v>248</v>
      </c>
      <c r="L357" s="10">
        <v>1</v>
      </c>
    </row>
    <row r="358" spans="1:12" x14ac:dyDescent="0.2">
      <c r="A358" s="10" t="s">
        <v>589</v>
      </c>
      <c r="D358" s="10" t="s">
        <v>246</v>
      </c>
      <c r="E358" s="18" t="s">
        <v>829</v>
      </c>
      <c r="F358" s="9">
        <v>45383</v>
      </c>
      <c r="G358" s="9">
        <v>46023</v>
      </c>
      <c r="H358" s="10">
        <v>22</v>
      </c>
      <c r="I358" s="10" t="s">
        <v>245</v>
      </c>
      <c r="J358" s="10" t="s">
        <v>247</v>
      </c>
      <c r="K358" s="10" t="s">
        <v>248</v>
      </c>
      <c r="L358" s="10">
        <v>1</v>
      </c>
    </row>
    <row r="359" spans="1:12" x14ac:dyDescent="0.2">
      <c r="A359" s="10" t="s">
        <v>590</v>
      </c>
      <c r="D359" s="10" t="s">
        <v>246</v>
      </c>
      <c r="E359" s="18" t="s">
        <v>830</v>
      </c>
      <c r="F359" s="9">
        <v>45383</v>
      </c>
      <c r="G359" s="9">
        <v>46023</v>
      </c>
      <c r="H359" s="10">
        <v>22</v>
      </c>
      <c r="I359" s="10" t="s">
        <v>245</v>
      </c>
      <c r="J359" s="10" t="s">
        <v>247</v>
      </c>
      <c r="K359" s="10" t="s">
        <v>248</v>
      </c>
      <c r="L359" s="10">
        <v>1</v>
      </c>
    </row>
    <row r="360" spans="1:12" x14ac:dyDescent="0.2">
      <c r="A360" s="10" t="s">
        <v>591</v>
      </c>
      <c r="D360" s="10" t="s">
        <v>246</v>
      </c>
      <c r="E360" s="18" t="s">
        <v>831</v>
      </c>
      <c r="F360" s="9">
        <v>45383</v>
      </c>
      <c r="G360" s="9">
        <v>46023</v>
      </c>
      <c r="H360" s="10">
        <v>22</v>
      </c>
      <c r="I360" s="10" t="s">
        <v>245</v>
      </c>
      <c r="J360" s="10" t="s">
        <v>247</v>
      </c>
      <c r="K360" s="10" t="s">
        <v>248</v>
      </c>
      <c r="L360" s="10">
        <v>1</v>
      </c>
    </row>
    <row r="361" spans="1:12" x14ac:dyDescent="0.2">
      <c r="A361" s="10" t="s">
        <v>592</v>
      </c>
      <c r="D361" s="10" t="s">
        <v>246</v>
      </c>
      <c r="E361" s="18" t="s">
        <v>832</v>
      </c>
      <c r="F361" s="9">
        <v>45383</v>
      </c>
      <c r="G361" s="9">
        <v>46023</v>
      </c>
      <c r="H361" s="10">
        <v>22</v>
      </c>
      <c r="I361" s="10" t="s">
        <v>245</v>
      </c>
      <c r="J361" s="10" t="s">
        <v>247</v>
      </c>
      <c r="K361" s="10" t="s">
        <v>248</v>
      </c>
      <c r="L361" s="10">
        <v>1</v>
      </c>
    </row>
    <row r="362" spans="1:12" x14ac:dyDescent="0.2">
      <c r="A362" s="10" t="s">
        <v>593</v>
      </c>
      <c r="D362" s="10" t="s">
        <v>246</v>
      </c>
      <c r="E362" s="18" t="s">
        <v>833</v>
      </c>
      <c r="F362" s="9">
        <v>45383</v>
      </c>
      <c r="G362" s="9">
        <v>46023</v>
      </c>
      <c r="H362" s="10">
        <v>22</v>
      </c>
      <c r="I362" s="10" t="s">
        <v>245</v>
      </c>
      <c r="J362" s="10" t="s">
        <v>247</v>
      </c>
      <c r="K362" s="10" t="s">
        <v>248</v>
      </c>
      <c r="L362" s="10">
        <v>1</v>
      </c>
    </row>
    <row r="363" spans="1:12" x14ac:dyDescent="0.2">
      <c r="A363" s="10" t="s">
        <v>594</v>
      </c>
      <c r="D363" s="10" t="s">
        <v>246</v>
      </c>
      <c r="E363" s="18" t="s">
        <v>834</v>
      </c>
      <c r="F363" s="9">
        <v>45383</v>
      </c>
      <c r="G363" s="9">
        <v>46023</v>
      </c>
      <c r="H363" s="10">
        <v>22</v>
      </c>
      <c r="I363" s="10" t="s">
        <v>245</v>
      </c>
      <c r="J363" s="10" t="s">
        <v>247</v>
      </c>
      <c r="K363" s="10" t="s">
        <v>248</v>
      </c>
      <c r="L363" s="10">
        <v>1</v>
      </c>
    </row>
    <row r="364" spans="1:12" x14ac:dyDescent="0.2">
      <c r="A364" s="10" t="s">
        <v>595</v>
      </c>
      <c r="D364" s="10" t="s">
        <v>246</v>
      </c>
      <c r="E364" s="18" t="s">
        <v>835</v>
      </c>
      <c r="F364" s="9">
        <v>45383</v>
      </c>
      <c r="G364" s="9">
        <v>46023</v>
      </c>
      <c r="H364" s="10">
        <v>22</v>
      </c>
      <c r="I364" s="10" t="s">
        <v>245</v>
      </c>
      <c r="J364" s="10" t="s">
        <v>247</v>
      </c>
      <c r="K364" s="10" t="s">
        <v>248</v>
      </c>
      <c r="L364" s="10">
        <v>1</v>
      </c>
    </row>
    <row r="365" spans="1:12" x14ac:dyDescent="0.2">
      <c r="A365" s="10" t="s">
        <v>596</v>
      </c>
      <c r="D365" s="10" t="s">
        <v>246</v>
      </c>
      <c r="E365" s="18" t="s">
        <v>836</v>
      </c>
      <c r="F365" s="9">
        <v>45383</v>
      </c>
      <c r="G365" s="9">
        <v>46023</v>
      </c>
      <c r="H365" s="10">
        <v>22</v>
      </c>
      <c r="I365" s="10" t="s">
        <v>245</v>
      </c>
      <c r="J365" s="10" t="s">
        <v>247</v>
      </c>
      <c r="K365" s="10" t="s">
        <v>248</v>
      </c>
      <c r="L365" s="10">
        <v>1</v>
      </c>
    </row>
    <row r="366" spans="1:12" x14ac:dyDescent="0.2">
      <c r="A366" s="10" t="s">
        <v>597</v>
      </c>
      <c r="D366" s="10" t="s">
        <v>246</v>
      </c>
      <c r="E366" s="18" t="s">
        <v>837</v>
      </c>
      <c r="F366" s="9">
        <v>45383</v>
      </c>
      <c r="G366" s="9">
        <v>46023</v>
      </c>
      <c r="H366" s="10">
        <v>22</v>
      </c>
      <c r="I366" s="10" t="s">
        <v>245</v>
      </c>
      <c r="J366" s="10" t="s">
        <v>247</v>
      </c>
      <c r="K366" s="10" t="s">
        <v>248</v>
      </c>
      <c r="L366" s="10">
        <v>1</v>
      </c>
    </row>
    <row r="367" spans="1:12" x14ac:dyDescent="0.2">
      <c r="A367" s="10" t="s">
        <v>598</v>
      </c>
      <c r="D367" s="10" t="s">
        <v>246</v>
      </c>
      <c r="E367" s="18" t="s">
        <v>838</v>
      </c>
      <c r="F367" s="9">
        <v>45383</v>
      </c>
      <c r="G367" s="9">
        <v>46023</v>
      </c>
      <c r="H367" s="10">
        <v>22</v>
      </c>
      <c r="I367" s="10" t="s">
        <v>245</v>
      </c>
      <c r="J367" s="10" t="s">
        <v>247</v>
      </c>
      <c r="K367" s="10" t="s">
        <v>248</v>
      </c>
      <c r="L367" s="10">
        <v>1</v>
      </c>
    </row>
    <row r="368" spans="1:12" x14ac:dyDescent="0.2">
      <c r="A368" s="10" t="s">
        <v>599</v>
      </c>
      <c r="D368" s="10" t="s">
        <v>246</v>
      </c>
      <c r="E368" s="18" t="s">
        <v>839</v>
      </c>
      <c r="F368" s="9">
        <v>45383</v>
      </c>
      <c r="G368" s="9">
        <v>46023</v>
      </c>
      <c r="H368" s="10">
        <v>22</v>
      </c>
      <c r="I368" s="10" t="s">
        <v>245</v>
      </c>
      <c r="J368" s="10" t="s">
        <v>247</v>
      </c>
      <c r="K368" s="10" t="s">
        <v>248</v>
      </c>
      <c r="L368" s="10">
        <v>1</v>
      </c>
    </row>
    <row r="369" spans="1:12" x14ac:dyDescent="0.2">
      <c r="A369" s="10" t="s">
        <v>600</v>
      </c>
      <c r="D369" s="10" t="s">
        <v>246</v>
      </c>
      <c r="E369" s="18" t="s">
        <v>840</v>
      </c>
      <c r="F369" s="9">
        <v>45383</v>
      </c>
      <c r="G369" s="9">
        <v>46023</v>
      </c>
      <c r="H369" s="10">
        <v>22</v>
      </c>
      <c r="I369" s="10" t="s">
        <v>245</v>
      </c>
      <c r="J369" s="10" t="s">
        <v>247</v>
      </c>
      <c r="K369" s="10" t="s">
        <v>248</v>
      </c>
      <c r="L369" s="10">
        <v>1</v>
      </c>
    </row>
    <row r="370" spans="1:12" x14ac:dyDescent="0.2">
      <c r="A370" s="10" t="s">
        <v>601</v>
      </c>
      <c r="D370" s="10" t="s">
        <v>246</v>
      </c>
      <c r="E370" s="18" t="s">
        <v>841</v>
      </c>
      <c r="F370" s="9">
        <v>45383</v>
      </c>
      <c r="G370" s="9">
        <v>46023</v>
      </c>
      <c r="H370" s="10">
        <v>22</v>
      </c>
      <c r="I370" s="10" t="s">
        <v>245</v>
      </c>
      <c r="J370" s="10" t="s">
        <v>247</v>
      </c>
      <c r="K370" s="10" t="s">
        <v>248</v>
      </c>
      <c r="L370" s="10">
        <v>1</v>
      </c>
    </row>
    <row r="371" spans="1:12" x14ac:dyDescent="0.2">
      <c r="A371" s="10" t="s">
        <v>602</v>
      </c>
      <c r="D371" s="10" t="s">
        <v>246</v>
      </c>
      <c r="E371" s="18" t="s">
        <v>842</v>
      </c>
      <c r="F371" s="9">
        <v>42979</v>
      </c>
      <c r="G371" s="9">
        <v>46023</v>
      </c>
      <c r="H371" s="10">
        <v>101</v>
      </c>
      <c r="I371" s="10" t="s">
        <v>245</v>
      </c>
      <c r="J371" s="10" t="s">
        <v>247</v>
      </c>
      <c r="K371" s="10" t="s">
        <v>248</v>
      </c>
      <c r="L371" s="10">
        <v>1</v>
      </c>
    </row>
    <row r="372" spans="1:12" x14ac:dyDescent="0.2">
      <c r="A372" s="10" t="s">
        <v>603</v>
      </c>
      <c r="D372" s="10" t="s">
        <v>246</v>
      </c>
      <c r="E372" s="18" t="s">
        <v>843</v>
      </c>
      <c r="F372" s="9">
        <v>45383</v>
      </c>
      <c r="G372" s="9">
        <v>46023</v>
      </c>
      <c r="H372" s="10">
        <v>22</v>
      </c>
      <c r="I372" s="10" t="s">
        <v>245</v>
      </c>
      <c r="J372" s="10" t="s">
        <v>247</v>
      </c>
      <c r="K372" s="10" t="s">
        <v>248</v>
      </c>
      <c r="L372" s="10">
        <v>1</v>
      </c>
    </row>
    <row r="373" spans="1:12" x14ac:dyDescent="0.2">
      <c r="A373" s="10" t="s">
        <v>604</v>
      </c>
      <c r="D373" s="10" t="s">
        <v>246</v>
      </c>
      <c r="E373" s="18" t="s">
        <v>844</v>
      </c>
      <c r="F373" s="9">
        <v>45383</v>
      </c>
      <c r="G373" s="9">
        <v>46023</v>
      </c>
      <c r="H373" s="10">
        <v>22</v>
      </c>
      <c r="I373" s="10" t="s">
        <v>245</v>
      </c>
      <c r="J373" s="10" t="s">
        <v>247</v>
      </c>
      <c r="K373" s="10" t="s">
        <v>248</v>
      </c>
      <c r="L373" s="10">
        <v>1</v>
      </c>
    </row>
    <row r="374" spans="1:12" x14ac:dyDescent="0.2">
      <c r="A374" s="10" t="s">
        <v>605</v>
      </c>
      <c r="D374" s="10" t="s">
        <v>246</v>
      </c>
      <c r="E374" s="18" t="s">
        <v>845</v>
      </c>
      <c r="F374" s="9">
        <v>45383</v>
      </c>
      <c r="G374" s="9">
        <v>46023</v>
      </c>
      <c r="H374" s="10">
        <v>22</v>
      </c>
      <c r="I374" s="10" t="s">
        <v>245</v>
      </c>
      <c r="J374" s="10" t="s">
        <v>247</v>
      </c>
      <c r="K374" s="10" t="s">
        <v>248</v>
      </c>
      <c r="L374" s="10">
        <v>1</v>
      </c>
    </row>
    <row r="375" spans="1:12" x14ac:dyDescent="0.2">
      <c r="A375" s="10" t="s">
        <v>605</v>
      </c>
      <c r="D375" s="10" t="s">
        <v>246</v>
      </c>
      <c r="E375" s="18" t="s">
        <v>846</v>
      </c>
      <c r="F375" s="9">
        <v>45383</v>
      </c>
      <c r="G375" s="9">
        <v>46023</v>
      </c>
      <c r="H375" s="10">
        <v>22</v>
      </c>
      <c r="I375" s="10" t="s">
        <v>245</v>
      </c>
      <c r="J375" s="10" t="s">
        <v>247</v>
      </c>
      <c r="K375" s="10" t="s">
        <v>248</v>
      </c>
      <c r="L375" s="10">
        <v>1</v>
      </c>
    </row>
    <row r="376" spans="1:12" x14ac:dyDescent="0.2">
      <c r="A376" s="10" t="s">
        <v>606</v>
      </c>
      <c r="D376" s="10" t="s">
        <v>246</v>
      </c>
      <c r="E376" s="18" t="s">
        <v>847</v>
      </c>
      <c r="F376" s="9">
        <v>45383</v>
      </c>
      <c r="G376" s="9">
        <v>46023</v>
      </c>
      <c r="H376" s="10">
        <v>22</v>
      </c>
      <c r="I376" s="10" t="s">
        <v>245</v>
      </c>
      <c r="J376" s="10" t="s">
        <v>247</v>
      </c>
      <c r="K376" s="10" t="s">
        <v>248</v>
      </c>
      <c r="L376" s="10">
        <v>1</v>
      </c>
    </row>
    <row r="377" spans="1:12" x14ac:dyDescent="0.2">
      <c r="A377" s="10" t="s">
        <v>606</v>
      </c>
      <c r="D377" s="10" t="s">
        <v>246</v>
      </c>
      <c r="E377" s="18" t="s">
        <v>848</v>
      </c>
      <c r="F377" s="9">
        <v>45383</v>
      </c>
      <c r="G377" s="9">
        <v>46023</v>
      </c>
      <c r="H377" s="10">
        <v>22</v>
      </c>
      <c r="I377" s="10" t="s">
        <v>245</v>
      </c>
      <c r="J377" s="10" t="s">
        <v>247</v>
      </c>
      <c r="K377" s="10" t="s">
        <v>248</v>
      </c>
      <c r="L377" s="10">
        <v>1</v>
      </c>
    </row>
    <row r="378" spans="1:12" x14ac:dyDescent="0.2">
      <c r="A378" s="10" t="s">
        <v>607</v>
      </c>
      <c r="D378" s="10" t="s">
        <v>246</v>
      </c>
      <c r="E378" s="18" t="s">
        <v>849</v>
      </c>
      <c r="F378" s="9">
        <v>44743</v>
      </c>
      <c r="G378" s="9">
        <v>46023</v>
      </c>
      <c r="H378" s="10">
        <v>43</v>
      </c>
      <c r="I378" s="10" t="s">
        <v>245</v>
      </c>
      <c r="J378" s="10" t="s">
        <v>247</v>
      </c>
      <c r="K378" s="10" t="s">
        <v>248</v>
      </c>
      <c r="L378" s="10">
        <v>1</v>
      </c>
    </row>
    <row r="379" spans="1:12" x14ac:dyDescent="0.2">
      <c r="A379" s="10" t="s">
        <v>608</v>
      </c>
      <c r="D379" s="10" t="s">
        <v>246</v>
      </c>
      <c r="E379" s="18" t="s">
        <v>850</v>
      </c>
      <c r="F379" s="9">
        <v>45383</v>
      </c>
      <c r="G379" s="9">
        <v>46023</v>
      </c>
      <c r="H379" s="10">
        <v>22</v>
      </c>
      <c r="I379" s="10" t="s">
        <v>245</v>
      </c>
      <c r="J379" s="10" t="s">
        <v>247</v>
      </c>
      <c r="K379" s="10" t="s">
        <v>248</v>
      </c>
      <c r="L379" s="10">
        <v>1</v>
      </c>
    </row>
    <row r="380" spans="1:12" x14ac:dyDescent="0.2">
      <c r="A380" s="10" t="s">
        <v>609</v>
      </c>
      <c r="D380" s="10" t="s">
        <v>246</v>
      </c>
      <c r="E380" s="18" t="s">
        <v>851</v>
      </c>
      <c r="F380" s="9">
        <v>45383</v>
      </c>
      <c r="G380" s="9">
        <v>46023</v>
      </c>
      <c r="H380" s="10">
        <v>22</v>
      </c>
      <c r="I380" s="10" t="s">
        <v>245</v>
      </c>
      <c r="J380" s="10" t="s">
        <v>247</v>
      </c>
      <c r="K380" s="10" t="s">
        <v>248</v>
      </c>
      <c r="L380" s="10">
        <v>1</v>
      </c>
    </row>
    <row r="381" spans="1:12" x14ac:dyDescent="0.2">
      <c r="A381" s="10" t="s">
        <v>610</v>
      </c>
      <c r="D381" s="10" t="s">
        <v>246</v>
      </c>
      <c r="E381" s="18" t="s">
        <v>852</v>
      </c>
      <c r="F381" s="9">
        <v>45383</v>
      </c>
      <c r="G381" s="9">
        <v>46023</v>
      </c>
      <c r="H381" s="10">
        <v>22</v>
      </c>
      <c r="I381" s="10" t="s">
        <v>245</v>
      </c>
      <c r="J381" s="10" t="s">
        <v>247</v>
      </c>
      <c r="K381" s="10" t="s">
        <v>248</v>
      </c>
      <c r="L381" s="10">
        <v>1</v>
      </c>
    </row>
    <row r="382" spans="1:12" x14ac:dyDescent="0.2">
      <c r="A382" s="10" t="s">
        <v>611</v>
      </c>
      <c r="D382" s="10" t="s">
        <v>246</v>
      </c>
      <c r="E382" s="18" t="s">
        <v>853</v>
      </c>
      <c r="F382" s="9">
        <v>45383</v>
      </c>
      <c r="G382" s="9">
        <v>46023</v>
      </c>
      <c r="H382" s="10">
        <v>22</v>
      </c>
      <c r="I382" s="10" t="s">
        <v>245</v>
      </c>
      <c r="J382" s="10" t="s">
        <v>247</v>
      </c>
      <c r="K382" s="10" t="s">
        <v>248</v>
      </c>
      <c r="L382" s="10">
        <v>1</v>
      </c>
    </row>
    <row r="383" spans="1:12" x14ac:dyDescent="0.2">
      <c r="A383" s="10" t="s">
        <v>612</v>
      </c>
      <c r="D383" s="10" t="s">
        <v>246</v>
      </c>
      <c r="E383" s="18" t="s">
        <v>854</v>
      </c>
      <c r="F383" s="9">
        <v>45383</v>
      </c>
      <c r="G383" s="9">
        <v>46023</v>
      </c>
      <c r="H383" s="10">
        <v>22</v>
      </c>
      <c r="I383" s="10" t="s">
        <v>245</v>
      </c>
      <c r="J383" s="10" t="s">
        <v>247</v>
      </c>
      <c r="K383" s="10" t="s">
        <v>248</v>
      </c>
      <c r="L383" s="10">
        <v>1</v>
      </c>
    </row>
    <row r="384" spans="1:12" x14ac:dyDescent="0.2">
      <c r="A384" s="10" t="s">
        <v>613</v>
      </c>
      <c r="D384" s="10" t="s">
        <v>246</v>
      </c>
      <c r="E384" s="18" t="s">
        <v>855</v>
      </c>
      <c r="F384" s="9">
        <v>45383</v>
      </c>
      <c r="G384" s="9">
        <v>46023</v>
      </c>
      <c r="H384" s="10">
        <v>22</v>
      </c>
      <c r="I384" s="10" t="s">
        <v>245</v>
      </c>
      <c r="J384" s="10" t="s">
        <v>247</v>
      </c>
      <c r="K384" s="10" t="s">
        <v>248</v>
      </c>
      <c r="L384" s="10">
        <v>1</v>
      </c>
    </row>
    <row r="385" spans="1:12" x14ac:dyDescent="0.2">
      <c r="A385" s="10" t="s">
        <v>614</v>
      </c>
      <c r="D385" s="10" t="s">
        <v>246</v>
      </c>
      <c r="E385" s="18" t="s">
        <v>856</v>
      </c>
      <c r="F385" s="9">
        <v>45383</v>
      </c>
      <c r="G385" s="9">
        <v>46023</v>
      </c>
      <c r="H385" s="10">
        <v>22</v>
      </c>
      <c r="I385" s="10" t="s">
        <v>245</v>
      </c>
      <c r="J385" s="10" t="s">
        <v>247</v>
      </c>
      <c r="K385" s="10" t="s">
        <v>248</v>
      </c>
      <c r="L385" s="10">
        <v>1</v>
      </c>
    </row>
    <row r="386" spans="1:12" x14ac:dyDescent="0.2">
      <c r="A386" s="10" t="s">
        <v>615</v>
      </c>
      <c r="D386" s="10" t="s">
        <v>246</v>
      </c>
      <c r="E386" s="18" t="s">
        <v>857</v>
      </c>
      <c r="F386" s="9">
        <v>45383</v>
      </c>
      <c r="G386" s="9">
        <v>46023</v>
      </c>
      <c r="H386" s="10">
        <v>22</v>
      </c>
      <c r="I386" s="10" t="s">
        <v>245</v>
      </c>
      <c r="J386" s="10" t="s">
        <v>247</v>
      </c>
      <c r="K386" s="10" t="s">
        <v>248</v>
      </c>
      <c r="L386" s="10">
        <v>1</v>
      </c>
    </row>
    <row r="387" spans="1:12" x14ac:dyDescent="0.2">
      <c r="A387" s="10" t="s">
        <v>616</v>
      </c>
      <c r="D387" s="10" t="s">
        <v>246</v>
      </c>
      <c r="E387" s="18" t="s">
        <v>858</v>
      </c>
      <c r="F387" s="9">
        <v>42979</v>
      </c>
      <c r="G387" s="9">
        <v>46023</v>
      </c>
      <c r="H387" s="10">
        <v>101</v>
      </c>
      <c r="I387" s="10" t="s">
        <v>245</v>
      </c>
      <c r="J387" s="10" t="s">
        <v>247</v>
      </c>
      <c r="K387" s="10" t="s">
        <v>248</v>
      </c>
      <c r="L387" s="10">
        <v>1</v>
      </c>
    </row>
    <row r="388" spans="1:12" x14ac:dyDescent="0.2">
      <c r="A388" s="10" t="s">
        <v>617</v>
      </c>
      <c r="D388" s="10" t="s">
        <v>246</v>
      </c>
      <c r="E388" s="18" t="s">
        <v>859</v>
      </c>
      <c r="F388" s="9">
        <v>42979</v>
      </c>
      <c r="G388" s="9">
        <v>46023</v>
      </c>
      <c r="H388" s="10">
        <v>101</v>
      </c>
      <c r="I388" s="10" t="s">
        <v>245</v>
      </c>
      <c r="J388" s="10" t="s">
        <v>247</v>
      </c>
      <c r="K388" s="10" t="s">
        <v>248</v>
      </c>
      <c r="L388" s="10">
        <v>1</v>
      </c>
    </row>
    <row r="389" spans="1:12" x14ac:dyDescent="0.2">
      <c r="A389" s="10" t="s">
        <v>618</v>
      </c>
      <c r="D389" s="10" t="s">
        <v>246</v>
      </c>
      <c r="E389" s="18" t="s">
        <v>860</v>
      </c>
      <c r="F389" s="9">
        <v>42979</v>
      </c>
      <c r="G389" s="9">
        <v>46023</v>
      </c>
      <c r="H389" s="10">
        <v>101</v>
      </c>
      <c r="I389" s="10" t="s">
        <v>245</v>
      </c>
      <c r="J389" s="10" t="s">
        <v>247</v>
      </c>
      <c r="K389" s="10" t="s">
        <v>248</v>
      </c>
      <c r="L389" s="10">
        <v>1</v>
      </c>
    </row>
    <row r="390" spans="1:12" x14ac:dyDescent="0.2">
      <c r="A390" s="10" t="s">
        <v>619</v>
      </c>
      <c r="D390" s="10" t="s">
        <v>246</v>
      </c>
      <c r="E390" s="18" t="s">
        <v>861</v>
      </c>
      <c r="F390" s="9">
        <v>45383</v>
      </c>
      <c r="G390" s="9">
        <v>46023</v>
      </c>
      <c r="H390" s="10">
        <v>22</v>
      </c>
      <c r="I390" s="10" t="s">
        <v>245</v>
      </c>
      <c r="J390" s="10" t="s">
        <v>247</v>
      </c>
      <c r="K390" s="10" t="s">
        <v>248</v>
      </c>
      <c r="L390" s="10">
        <v>1</v>
      </c>
    </row>
    <row r="391" spans="1:12" x14ac:dyDescent="0.2">
      <c r="A391" s="10" t="s">
        <v>620</v>
      </c>
      <c r="D391" s="10" t="s">
        <v>246</v>
      </c>
      <c r="E391" s="18" t="s">
        <v>862</v>
      </c>
      <c r="F391" s="9">
        <v>45383</v>
      </c>
      <c r="G391" s="9">
        <v>46023</v>
      </c>
      <c r="H391" s="10">
        <v>22</v>
      </c>
      <c r="I391" s="10" t="s">
        <v>245</v>
      </c>
      <c r="J391" s="10" t="s">
        <v>247</v>
      </c>
      <c r="K391" s="10" t="s">
        <v>248</v>
      </c>
      <c r="L391" s="10">
        <v>1</v>
      </c>
    </row>
    <row r="392" spans="1:12" x14ac:dyDescent="0.2">
      <c r="A392" s="10" t="s">
        <v>621</v>
      </c>
      <c r="D392" s="10" t="s">
        <v>246</v>
      </c>
      <c r="E392" s="18" t="s">
        <v>863</v>
      </c>
      <c r="F392" s="9">
        <v>45383</v>
      </c>
      <c r="G392" s="9">
        <v>46023</v>
      </c>
      <c r="H392" s="10">
        <v>22</v>
      </c>
      <c r="I392" s="10" t="s">
        <v>245</v>
      </c>
      <c r="J392" s="10" t="s">
        <v>247</v>
      </c>
      <c r="K392" s="10" t="s">
        <v>248</v>
      </c>
      <c r="L392" s="10">
        <v>1</v>
      </c>
    </row>
    <row r="393" spans="1:12" x14ac:dyDescent="0.2">
      <c r="A393" s="10" t="s">
        <v>622</v>
      </c>
      <c r="D393" s="10" t="s">
        <v>246</v>
      </c>
      <c r="E393" s="18" t="s">
        <v>864</v>
      </c>
      <c r="F393" s="9">
        <v>42979</v>
      </c>
      <c r="G393" s="9">
        <v>46023</v>
      </c>
      <c r="H393" s="10">
        <v>101</v>
      </c>
      <c r="I393" s="10" t="s">
        <v>245</v>
      </c>
      <c r="J393" s="10" t="s">
        <v>247</v>
      </c>
      <c r="K393" s="10" t="s">
        <v>248</v>
      </c>
      <c r="L393" s="10">
        <v>1</v>
      </c>
    </row>
    <row r="394" spans="1:12" x14ac:dyDescent="0.2">
      <c r="A394" s="10" t="s">
        <v>623</v>
      </c>
      <c r="D394" s="10" t="s">
        <v>246</v>
      </c>
      <c r="E394" s="18" t="s">
        <v>865</v>
      </c>
      <c r="F394" s="9">
        <v>45383</v>
      </c>
      <c r="G394" s="9">
        <v>46023</v>
      </c>
      <c r="H394" s="10">
        <v>22</v>
      </c>
      <c r="I394" s="10" t="s">
        <v>245</v>
      </c>
      <c r="J394" s="10" t="s">
        <v>247</v>
      </c>
      <c r="K394" s="10" t="s">
        <v>248</v>
      </c>
      <c r="L394" s="10">
        <v>1</v>
      </c>
    </row>
    <row r="395" spans="1:12" x14ac:dyDescent="0.2">
      <c r="A395" s="10" t="s">
        <v>624</v>
      </c>
      <c r="D395" s="10" t="s">
        <v>246</v>
      </c>
      <c r="E395" s="18" t="s">
        <v>866</v>
      </c>
      <c r="F395" s="9">
        <v>45383</v>
      </c>
      <c r="G395" s="9">
        <v>46023</v>
      </c>
      <c r="H395" s="10">
        <v>22</v>
      </c>
      <c r="I395" s="10" t="s">
        <v>245</v>
      </c>
      <c r="J395" s="10" t="s">
        <v>247</v>
      </c>
      <c r="K395" s="10" t="s">
        <v>248</v>
      </c>
      <c r="L395" s="10">
        <v>1</v>
      </c>
    </row>
    <row r="396" spans="1:12" x14ac:dyDescent="0.2">
      <c r="A396" s="10" t="s">
        <v>625</v>
      </c>
      <c r="D396" s="10" t="s">
        <v>246</v>
      </c>
      <c r="E396" s="18" t="s">
        <v>867</v>
      </c>
      <c r="F396" s="9">
        <v>45383</v>
      </c>
      <c r="G396" s="9">
        <v>46023</v>
      </c>
      <c r="H396" s="10">
        <v>22</v>
      </c>
      <c r="I396" s="10" t="s">
        <v>245</v>
      </c>
      <c r="J396" s="10" t="s">
        <v>247</v>
      </c>
      <c r="K396" s="10" t="s">
        <v>248</v>
      </c>
      <c r="L396" s="10">
        <v>1</v>
      </c>
    </row>
    <row r="397" spans="1:12" x14ac:dyDescent="0.2">
      <c r="A397" s="10" t="s">
        <v>626</v>
      </c>
      <c r="D397" s="10" t="s">
        <v>246</v>
      </c>
      <c r="E397" s="18" t="s">
        <v>868</v>
      </c>
      <c r="F397" s="9">
        <v>45383</v>
      </c>
      <c r="G397" s="9">
        <v>46023</v>
      </c>
      <c r="H397" s="10">
        <v>22</v>
      </c>
      <c r="I397" s="10" t="s">
        <v>245</v>
      </c>
      <c r="J397" s="10" t="s">
        <v>247</v>
      </c>
      <c r="K397" s="10" t="s">
        <v>248</v>
      </c>
      <c r="L397" s="10">
        <v>1</v>
      </c>
    </row>
    <row r="398" spans="1:12" x14ac:dyDescent="0.2">
      <c r="A398" s="10" t="s">
        <v>626</v>
      </c>
      <c r="D398" s="10" t="s">
        <v>246</v>
      </c>
      <c r="E398" s="18" t="s">
        <v>869</v>
      </c>
      <c r="F398" s="9">
        <v>45383</v>
      </c>
      <c r="G398" s="9">
        <v>46023</v>
      </c>
      <c r="H398" s="10">
        <v>22</v>
      </c>
      <c r="I398" s="10" t="s">
        <v>245</v>
      </c>
      <c r="J398" s="10" t="s">
        <v>247</v>
      </c>
      <c r="K398" s="10" t="s">
        <v>248</v>
      </c>
      <c r="L398" s="10">
        <v>1</v>
      </c>
    </row>
    <row r="399" spans="1:12" x14ac:dyDescent="0.2">
      <c r="A399" s="10" t="s">
        <v>627</v>
      </c>
      <c r="D399" s="10" t="s">
        <v>246</v>
      </c>
      <c r="E399" s="18" t="s">
        <v>870</v>
      </c>
      <c r="F399" s="9">
        <v>45383</v>
      </c>
      <c r="G399" s="9">
        <v>46023</v>
      </c>
      <c r="H399" s="10">
        <v>22</v>
      </c>
      <c r="I399" s="10" t="s">
        <v>245</v>
      </c>
      <c r="J399" s="10" t="s">
        <v>247</v>
      </c>
      <c r="K399" s="10" t="s">
        <v>248</v>
      </c>
      <c r="L399" s="10">
        <v>1</v>
      </c>
    </row>
    <row r="400" spans="1:12" x14ac:dyDescent="0.2">
      <c r="A400" s="10" t="s">
        <v>628</v>
      </c>
      <c r="D400" s="10" t="s">
        <v>246</v>
      </c>
      <c r="E400" s="18" t="s">
        <v>871</v>
      </c>
      <c r="F400" s="9">
        <v>42979</v>
      </c>
      <c r="G400" s="9">
        <v>46023</v>
      </c>
      <c r="H400" s="10">
        <v>101</v>
      </c>
      <c r="I400" s="10" t="s">
        <v>245</v>
      </c>
      <c r="J400" s="10" t="s">
        <v>247</v>
      </c>
      <c r="K400" s="10" t="s">
        <v>248</v>
      </c>
      <c r="L400" s="10">
        <v>1</v>
      </c>
    </row>
    <row r="401" spans="1:12" x14ac:dyDescent="0.2">
      <c r="A401" s="10" t="s">
        <v>629</v>
      </c>
      <c r="D401" s="10" t="s">
        <v>246</v>
      </c>
      <c r="E401" s="18" t="s">
        <v>872</v>
      </c>
      <c r="F401" s="9">
        <v>42979</v>
      </c>
      <c r="G401" s="9">
        <v>46023</v>
      </c>
      <c r="H401" s="10">
        <v>101</v>
      </c>
      <c r="I401" s="10" t="s">
        <v>245</v>
      </c>
      <c r="J401" s="10" t="s">
        <v>247</v>
      </c>
      <c r="K401" s="10" t="s">
        <v>248</v>
      </c>
      <c r="L401" s="10">
        <v>1</v>
      </c>
    </row>
    <row r="402" spans="1:12" x14ac:dyDescent="0.2">
      <c r="A402" s="10" t="s">
        <v>630</v>
      </c>
      <c r="D402" s="10" t="s">
        <v>246</v>
      </c>
      <c r="E402" s="18" t="s">
        <v>873</v>
      </c>
      <c r="F402" s="9">
        <v>45383</v>
      </c>
      <c r="G402" s="9">
        <v>46023</v>
      </c>
      <c r="H402" s="10">
        <v>22</v>
      </c>
      <c r="I402" s="10" t="s">
        <v>245</v>
      </c>
      <c r="J402" s="10" t="s">
        <v>247</v>
      </c>
      <c r="K402" s="10" t="s">
        <v>248</v>
      </c>
      <c r="L402" s="10">
        <v>1</v>
      </c>
    </row>
    <row r="403" spans="1:12" x14ac:dyDescent="0.2">
      <c r="A403" s="10" t="s">
        <v>631</v>
      </c>
      <c r="D403" s="10" t="s">
        <v>246</v>
      </c>
      <c r="E403" s="18" t="s">
        <v>874</v>
      </c>
      <c r="F403" s="9">
        <v>45383</v>
      </c>
      <c r="G403" s="9">
        <v>46023</v>
      </c>
      <c r="H403" s="10">
        <v>22</v>
      </c>
      <c r="I403" s="10" t="s">
        <v>245</v>
      </c>
      <c r="J403" s="10" t="s">
        <v>247</v>
      </c>
      <c r="K403" s="10" t="s">
        <v>248</v>
      </c>
      <c r="L403" s="10">
        <v>1</v>
      </c>
    </row>
    <row r="404" spans="1:12" x14ac:dyDescent="0.2">
      <c r="A404" s="10" t="s">
        <v>631</v>
      </c>
      <c r="D404" s="10" t="s">
        <v>246</v>
      </c>
      <c r="E404" s="18" t="s">
        <v>875</v>
      </c>
      <c r="F404" s="9">
        <v>45383</v>
      </c>
      <c r="G404" s="9">
        <v>46023</v>
      </c>
      <c r="H404" s="10">
        <v>22</v>
      </c>
      <c r="I404" s="10" t="s">
        <v>245</v>
      </c>
      <c r="J404" s="10" t="s">
        <v>247</v>
      </c>
      <c r="K404" s="10" t="s">
        <v>248</v>
      </c>
      <c r="L404" s="10">
        <v>1</v>
      </c>
    </row>
    <row r="405" spans="1:12" x14ac:dyDescent="0.2">
      <c r="A405" s="10" t="s">
        <v>632</v>
      </c>
      <c r="D405" s="10" t="s">
        <v>246</v>
      </c>
      <c r="E405" s="18" t="s">
        <v>876</v>
      </c>
      <c r="F405" s="9">
        <v>42979</v>
      </c>
      <c r="G405" s="9">
        <v>46023</v>
      </c>
      <c r="H405" s="10">
        <v>101</v>
      </c>
      <c r="I405" s="10" t="s">
        <v>245</v>
      </c>
      <c r="J405" s="10" t="s">
        <v>247</v>
      </c>
      <c r="K405" s="10" t="s">
        <v>248</v>
      </c>
      <c r="L405" s="10">
        <v>1</v>
      </c>
    </row>
    <row r="406" spans="1:12" x14ac:dyDescent="0.2">
      <c r="A406" s="10" t="s">
        <v>633</v>
      </c>
      <c r="D406" s="10" t="s">
        <v>246</v>
      </c>
      <c r="E406" s="18" t="s">
        <v>877</v>
      </c>
      <c r="F406" s="9">
        <v>42979</v>
      </c>
      <c r="G406" s="9">
        <v>46023</v>
      </c>
      <c r="H406" s="10">
        <v>101</v>
      </c>
      <c r="I406" s="10" t="s">
        <v>245</v>
      </c>
      <c r="J406" s="10" t="s">
        <v>247</v>
      </c>
      <c r="K406" s="10" t="s">
        <v>248</v>
      </c>
      <c r="L406" s="10">
        <v>1</v>
      </c>
    </row>
    <row r="407" spans="1:12" x14ac:dyDescent="0.2">
      <c r="A407" s="10" t="s">
        <v>634</v>
      </c>
      <c r="D407" s="10" t="s">
        <v>246</v>
      </c>
      <c r="E407" s="18" t="s">
        <v>878</v>
      </c>
      <c r="F407" s="9">
        <v>42979</v>
      </c>
      <c r="G407" s="9">
        <v>46023</v>
      </c>
      <c r="H407" s="10">
        <v>101</v>
      </c>
      <c r="I407" s="10" t="s">
        <v>245</v>
      </c>
      <c r="J407" s="10" t="s">
        <v>247</v>
      </c>
      <c r="K407" s="10" t="s">
        <v>248</v>
      </c>
      <c r="L407" s="10">
        <v>1</v>
      </c>
    </row>
    <row r="408" spans="1:12" x14ac:dyDescent="0.2">
      <c r="A408" s="10" t="s">
        <v>635</v>
      </c>
      <c r="D408" s="10" t="s">
        <v>246</v>
      </c>
      <c r="E408" s="18" t="s">
        <v>879</v>
      </c>
      <c r="F408" s="9">
        <v>45383</v>
      </c>
      <c r="G408" s="9">
        <v>46023</v>
      </c>
      <c r="H408" s="10">
        <v>22</v>
      </c>
      <c r="I408" s="10" t="s">
        <v>245</v>
      </c>
      <c r="J408" s="10" t="s">
        <v>247</v>
      </c>
      <c r="K408" s="10" t="s">
        <v>248</v>
      </c>
      <c r="L408" s="10">
        <v>1</v>
      </c>
    </row>
    <row r="409" spans="1:12" x14ac:dyDescent="0.2">
      <c r="A409" s="10" t="s">
        <v>636</v>
      </c>
      <c r="D409" s="10" t="s">
        <v>246</v>
      </c>
      <c r="E409" s="18" t="s">
        <v>880</v>
      </c>
      <c r="F409" s="9">
        <v>45383</v>
      </c>
      <c r="G409" s="9">
        <v>46023</v>
      </c>
      <c r="H409" s="10">
        <v>22</v>
      </c>
      <c r="I409" s="10" t="s">
        <v>245</v>
      </c>
      <c r="J409" s="10" t="s">
        <v>247</v>
      </c>
      <c r="K409" s="10" t="s">
        <v>248</v>
      </c>
      <c r="L409" s="10">
        <v>1</v>
      </c>
    </row>
    <row r="410" spans="1:12" x14ac:dyDescent="0.2">
      <c r="A410" s="10" t="s">
        <v>637</v>
      </c>
      <c r="D410" s="10" t="s">
        <v>246</v>
      </c>
      <c r="E410" s="18" t="s">
        <v>881</v>
      </c>
      <c r="F410" s="9">
        <v>42979</v>
      </c>
      <c r="G410" s="9">
        <v>46023</v>
      </c>
      <c r="H410" s="10">
        <v>101</v>
      </c>
      <c r="I410" s="10" t="s">
        <v>245</v>
      </c>
      <c r="J410" s="10" t="s">
        <v>247</v>
      </c>
      <c r="K410" s="10" t="s">
        <v>248</v>
      </c>
      <c r="L410" s="10">
        <v>1</v>
      </c>
    </row>
    <row r="411" spans="1:12" x14ac:dyDescent="0.2">
      <c r="A411" s="10" t="s">
        <v>638</v>
      </c>
      <c r="D411" s="10" t="s">
        <v>246</v>
      </c>
      <c r="E411" s="18" t="s">
        <v>882</v>
      </c>
      <c r="F411" s="9">
        <v>42979</v>
      </c>
      <c r="G411" s="9">
        <v>46023</v>
      </c>
      <c r="H411" s="10">
        <v>101</v>
      </c>
      <c r="I411" s="10" t="s">
        <v>245</v>
      </c>
      <c r="J411" s="10" t="s">
        <v>247</v>
      </c>
      <c r="K411" s="10" t="s">
        <v>248</v>
      </c>
      <c r="L411" s="10">
        <v>1</v>
      </c>
    </row>
    <row r="412" spans="1:12" x14ac:dyDescent="0.2">
      <c r="A412" s="10" t="s">
        <v>639</v>
      </c>
      <c r="D412" s="10" t="s">
        <v>246</v>
      </c>
      <c r="E412" s="18" t="s">
        <v>883</v>
      </c>
      <c r="F412" s="9">
        <v>42979</v>
      </c>
      <c r="G412" s="9">
        <v>46023</v>
      </c>
      <c r="H412" s="10">
        <v>101</v>
      </c>
      <c r="I412" s="10" t="s">
        <v>245</v>
      </c>
      <c r="J412" s="10" t="s">
        <v>247</v>
      </c>
      <c r="K412" s="10" t="s">
        <v>248</v>
      </c>
      <c r="L412" s="10">
        <v>1</v>
      </c>
    </row>
    <row r="413" spans="1:12" x14ac:dyDescent="0.2">
      <c r="A413" s="10" t="s">
        <v>640</v>
      </c>
      <c r="D413" s="10" t="s">
        <v>246</v>
      </c>
      <c r="E413" s="18" t="s">
        <v>884</v>
      </c>
      <c r="F413" s="9">
        <v>42979</v>
      </c>
      <c r="G413" s="9">
        <v>46023</v>
      </c>
      <c r="H413" s="10">
        <v>101</v>
      </c>
      <c r="I413" s="10" t="s">
        <v>245</v>
      </c>
      <c r="J413" s="10" t="s">
        <v>247</v>
      </c>
      <c r="K413" s="10" t="s">
        <v>248</v>
      </c>
      <c r="L413" s="10">
        <v>1</v>
      </c>
    </row>
    <row r="414" spans="1:12" x14ac:dyDescent="0.2">
      <c r="A414" s="10" t="s">
        <v>641</v>
      </c>
      <c r="D414" s="10" t="s">
        <v>246</v>
      </c>
      <c r="E414" s="18" t="s">
        <v>885</v>
      </c>
      <c r="F414" s="9">
        <v>42979</v>
      </c>
      <c r="G414" s="9">
        <v>46023</v>
      </c>
      <c r="H414" s="10">
        <v>101</v>
      </c>
      <c r="I414" s="10" t="s">
        <v>245</v>
      </c>
      <c r="J414" s="10" t="s">
        <v>247</v>
      </c>
      <c r="K414" s="10" t="s">
        <v>248</v>
      </c>
      <c r="L414" s="10">
        <v>1</v>
      </c>
    </row>
    <row r="415" spans="1:12" x14ac:dyDescent="0.2">
      <c r="A415" s="10" t="s">
        <v>642</v>
      </c>
      <c r="D415" s="10" t="s">
        <v>246</v>
      </c>
      <c r="E415" s="18" t="s">
        <v>886</v>
      </c>
      <c r="F415" s="9">
        <v>42979</v>
      </c>
      <c r="G415" s="9">
        <v>46023</v>
      </c>
      <c r="H415" s="10">
        <v>101</v>
      </c>
      <c r="I415" s="10" t="s">
        <v>245</v>
      </c>
      <c r="J415" s="10" t="s">
        <v>247</v>
      </c>
      <c r="K415" s="10" t="s">
        <v>248</v>
      </c>
      <c r="L415" s="10">
        <v>1</v>
      </c>
    </row>
    <row r="416" spans="1:12" x14ac:dyDescent="0.2">
      <c r="A416" s="10" t="s">
        <v>643</v>
      </c>
      <c r="D416" s="10" t="s">
        <v>246</v>
      </c>
      <c r="E416" s="18" t="s">
        <v>887</v>
      </c>
      <c r="F416" s="9">
        <v>42979</v>
      </c>
      <c r="G416" s="9">
        <v>46023</v>
      </c>
      <c r="H416" s="10">
        <v>101</v>
      </c>
      <c r="I416" s="10" t="s">
        <v>245</v>
      </c>
      <c r="J416" s="10" t="s">
        <v>247</v>
      </c>
      <c r="K416" s="10" t="s">
        <v>248</v>
      </c>
      <c r="L416" s="10">
        <v>1</v>
      </c>
    </row>
    <row r="417" spans="1:12" x14ac:dyDescent="0.2">
      <c r="A417" s="10" t="s">
        <v>644</v>
      </c>
      <c r="D417" s="10" t="s">
        <v>246</v>
      </c>
      <c r="E417" s="18" t="s">
        <v>888</v>
      </c>
      <c r="F417" s="9">
        <v>42979</v>
      </c>
      <c r="G417" s="9">
        <v>46023</v>
      </c>
      <c r="H417" s="10">
        <v>101</v>
      </c>
      <c r="I417" s="10" t="s">
        <v>245</v>
      </c>
      <c r="J417" s="10" t="s">
        <v>247</v>
      </c>
      <c r="K417" s="10" t="s">
        <v>248</v>
      </c>
      <c r="L417" s="10">
        <v>1</v>
      </c>
    </row>
    <row r="418" spans="1:12" x14ac:dyDescent="0.2">
      <c r="A418" s="10" t="s">
        <v>645</v>
      </c>
      <c r="D418" s="10" t="s">
        <v>246</v>
      </c>
      <c r="E418" s="18" t="s">
        <v>889</v>
      </c>
      <c r="F418" s="9">
        <v>42979</v>
      </c>
      <c r="G418" s="9">
        <v>46023</v>
      </c>
      <c r="H418" s="10">
        <v>101</v>
      </c>
      <c r="I418" s="10" t="s">
        <v>245</v>
      </c>
      <c r="J418" s="10" t="s">
        <v>247</v>
      </c>
      <c r="K418" s="10" t="s">
        <v>248</v>
      </c>
      <c r="L418" s="10">
        <v>1</v>
      </c>
    </row>
    <row r="419" spans="1:12" x14ac:dyDescent="0.2">
      <c r="A419" s="10" t="s">
        <v>646</v>
      </c>
      <c r="D419" s="10" t="s">
        <v>246</v>
      </c>
      <c r="E419" s="18" t="s">
        <v>890</v>
      </c>
      <c r="F419" s="9">
        <v>42979</v>
      </c>
      <c r="G419" s="9">
        <v>46023</v>
      </c>
      <c r="H419" s="10">
        <v>101</v>
      </c>
      <c r="I419" s="10" t="s">
        <v>245</v>
      </c>
      <c r="J419" s="10" t="s">
        <v>247</v>
      </c>
      <c r="K419" s="10" t="s">
        <v>248</v>
      </c>
      <c r="L419" s="10">
        <v>1</v>
      </c>
    </row>
    <row r="420" spans="1:12" x14ac:dyDescent="0.2">
      <c r="A420" s="10" t="s">
        <v>647</v>
      </c>
      <c r="D420" s="10" t="s">
        <v>246</v>
      </c>
      <c r="E420" s="18" t="s">
        <v>891</v>
      </c>
      <c r="F420" s="9">
        <v>42979</v>
      </c>
      <c r="G420" s="9">
        <v>46023</v>
      </c>
      <c r="H420" s="10">
        <v>101</v>
      </c>
      <c r="I420" s="10" t="s">
        <v>245</v>
      </c>
      <c r="J420" s="10" t="s">
        <v>247</v>
      </c>
      <c r="K420" s="10" t="s">
        <v>248</v>
      </c>
      <c r="L420" s="10">
        <v>1</v>
      </c>
    </row>
    <row r="421" spans="1:12" x14ac:dyDescent="0.2">
      <c r="A421" s="10" t="s">
        <v>648</v>
      </c>
      <c r="D421" s="10" t="s">
        <v>246</v>
      </c>
      <c r="E421" s="18" t="s">
        <v>892</v>
      </c>
      <c r="F421" s="9">
        <v>42979</v>
      </c>
      <c r="G421" s="9">
        <v>46023</v>
      </c>
      <c r="H421" s="10">
        <v>101</v>
      </c>
      <c r="I421" s="10" t="s">
        <v>245</v>
      </c>
      <c r="J421" s="10" t="s">
        <v>247</v>
      </c>
      <c r="K421" s="10" t="s">
        <v>248</v>
      </c>
      <c r="L421" s="10">
        <v>1</v>
      </c>
    </row>
    <row r="422" spans="1:12" x14ac:dyDescent="0.2">
      <c r="A422" s="10" t="s">
        <v>649</v>
      </c>
      <c r="D422" s="10" t="s">
        <v>246</v>
      </c>
      <c r="E422" s="18" t="s">
        <v>893</v>
      </c>
      <c r="F422" s="9">
        <v>42979</v>
      </c>
      <c r="G422" s="9">
        <v>46023</v>
      </c>
      <c r="H422" s="10">
        <v>101</v>
      </c>
      <c r="I422" s="10" t="s">
        <v>245</v>
      </c>
      <c r="J422" s="10" t="s">
        <v>247</v>
      </c>
      <c r="K422" s="10" t="s">
        <v>248</v>
      </c>
      <c r="L422" s="10">
        <v>1</v>
      </c>
    </row>
    <row r="423" spans="1:12" x14ac:dyDescent="0.2">
      <c r="A423" s="10" t="s">
        <v>650</v>
      </c>
      <c r="D423" s="10" t="s">
        <v>246</v>
      </c>
      <c r="E423" s="18" t="s">
        <v>894</v>
      </c>
      <c r="F423" s="9">
        <v>42979</v>
      </c>
      <c r="G423" s="9">
        <v>46023</v>
      </c>
      <c r="H423" s="10">
        <v>101</v>
      </c>
      <c r="I423" s="10" t="s">
        <v>245</v>
      </c>
      <c r="J423" s="10" t="s">
        <v>247</v>
      </c>
      <c r="K423" s="10" t="s">
        <v>248</v>
      </c>
      <c r="L423" s="10">
        <v>1</v>
      </c>
    </row>
    <row r="424" spans="1:12" x14ac:dyDescent="0.2">
      <c r="A424" s="10" t="s">
        <v>651</v>
      </c>
      <c r="D424" s="10" t="s">
        <v>246</v>
      </c>
      <c r="E424" s="18" t="s">
        <v>895</v>
      </c>
      <c r="F424" s="9">
        <v>42979</v>
      </c>
      <c r="G424" s="9">
        <v>46023</v>
      </c>
      <c r="H424" s="10">
        <v>101</v>
      </c>
      <c r="I424" s="10" t="s">
        <v>245</v>
      </c>
      <c r="J424" s="10" t="s">
        <v>247</v>
      </c>
      <c r="K424" s="10" t="s">
        <v>248</v>
      </c>
      <c r="L424" s="10">
        <v>1</v>
      </c>
    </row>
    <row r="425" spans="1:12" x14ac:dyDescent="0.2">
      <c r="A425" s="10" t="s">
        <v>652</v>
      </c>
      <c r="D425" s="10" t="s">
        <v>246</v>
      </c>
      <c r="E425" s="18" t="s">
        <v>896</v>
      </c>
      <c r="F425" s="9">
        <v>42979</v>
      </c>
      <c r="G425" s="9">
        <v>46023</v>
      </c>
      <c r="H425" s="10">
        <v>101</v>
      </c>
      <c r="I425" s="10" t="s">
        <v>245</v>
      </c>
      <c r="J425" s="10" t="s">
        <v>247</v>
      </c>
      <c r="K425" s="10" t="s">
        <v>248</v>
      </c>
      <c r="L425" s="10">
        <v>1</v>
      </c>
    </row>
    <row r="426" spans="1:12" x14ac:dyDescent="0.2">
      <c r="A426" s="10" t="s">
        <v>653</v>
      </c>
      <c r="D426" s="10" t="s">
        <v>246</v>
      </c>
      <c r="E426" s="18" t="s">
        <v>897</v>
      </c>
      <c r="F426" s="9">
        <v>42979</v>
      </c>
      <c r="G426" s="9">
        <v>46023</v>
      </c>
      <c r="H426" s="10">
        <v>101</v>
      </c>
      <c r="I426" s="10" t="s">
        <v>245</v>
      </c>
      <c r="J426" s="10" t="s">
        <v>247</v>
      </c>
      <c r="K426" s="10" t="s">
        <v>248</v>
      </c>
      <c r="L426" s="10">
        <v>1</v>
      </c>
    </row>
    <row r="427" spans="1:12" x14ac:dyDescent="0.2">
      <c r="A427" s="10" t="s">
        <v>654</v>
      </c>
      <c r="D427" s="10" t="s">
        <v>246</v>
      </c>
      <c r="E427" s="18" t="s">
        <v>898</v>
      </c>
      <c r="F427" s="9">
        <v>42979</v>
      </c>
      <c r="G427" s="9">
        <v>46023</v>
      </c>
      <c r="H427" s="10">
        <v>101</v>
      </c>
      <c r="I427" s="10" t="s">
        <v>245</v>
      </c>
      <c r="J427" s="10" t="s">
        <v>247</v>
      </c>
      <c r="K427" s="10" t="s">
        <v>248</v>
      </c>
      <c r="L427" s="10">
        <v>1</v>
      </c>
    </row>
    <row r="428" spans="1:12" x14ac:dyDescent="0.2">
      <c r="A428" s="10" t="s">
        <v>655</v>
      </c>
      <c r="D428" s="10" t="s">
        <v>246</v>
      </c>
      <c r="E428" s="18" t="s">
        <v>899</v>
      </c>
      <c r="F428" s="9">
        <v>42979</v>
      </c>
      <c r="G428" s="9">
        <v>46023</v>
      </c>
      <c r="H428" s="10">
        <v>101</v>
      </c>
      <c r="I428" s="10" t="s">
        <v>245</v>
      </c>
      <c r="J428" s="10" t="s">
        <v>247</v>
      </c>
      <c r="K428" s="10" t="s">
        <v>248</v>
      </c>
      <c r="L428" s="10">
        <v>1</v>
      </c>
    </row>
    <row r="429" spans="1:12" x14ac:dyDescent="0.2">
      <c r="A429" s="10" t="s">
        <v>656</v>
      </c>
      <c r="D429" s="10" t="s">
        <v>246</v>
      </c>
      <c r="E429" s="18" t="s">
        <v>900</v>
      </c>
      <c r="F429" s="9">
        <v>42979</v>
      </c>
      <c r="G429" s="9">
        <v>46023</v>
      </c>
      <c r="H429" s="10">
        <v>101</v>
      </c>
      <c r="I429" s="10" t="s">
        <v>245</v>
      </c>
      <c r="J429" s="10" t="s">
        <v>247</v>
      </c>
      <c r="K429" s="10" t="s">
        <v>248</v>
      </c>
      <c r="L429" s="10">
        <v>1</v>
      </c>
    </row>
    <row r="430" spans="1:12" x14ac:dyDescent="0.2">
      <c r="A430" s="10" t="s">
        <v>657</v>
      </c>
      <c r="D430" s="10" t="s">
        <v>246</v>
      </c>
      <c r="E430" s="18" t="s">
        <v>901</v>
      </c>
      <c r="F430" s="9">
        <v>42979</v>
      </c>
      <c r="G430" s="9">
        <v>46023</v>
      </c>
      <c r="H430" s="10">
        <v>101</v>
      </c>
      <c r="I430" s="10" t="s">
        <v>245</v>
      </c>
      <c r="J430" s="10" t="s">
        <v>247</v>
      </c>
      <c r="K430" s="10" t="s">
        <v>248</v>
      </c>
      <c r="L430" s="10">
        <v>1</v>
      </c>
    </row>
    <row r="431" spans="1:12" x14ac:dyDescent="0.2">
      <c r="A431" s="10" t="s">
        <v>658</v>
      </c>
      <c r="D431" s="10" t="s">
        <v>246</v>
      </c>
      <c r="E431" s="18" t="s">
        <v>902</v>
      </c>
      <c r="F431" s="9">
        <v>42979</v>
      </c>
      <c r="G431" s="9">
        <v>46023</v>
      </c>
      <c r="H431" s="10">
        <v>101</v>
      </c>
      <c r="I431" s="10" t="s">
        <v>245</v>
      </c>
      <c r="J431" s="10" t="s">
        <v>247</v>
      </c>
      <c r="K431" s="10" t="s">
        <v>248</v>
      </c>
      <c r="L431" s="10">
        <v>1</v>
      </c>
    </row>
    <row r="432" spans="1:12" x14ac:dyDescent="0.2">
      <c r="A432" s="10" t="s">
        <v>659</v>
      </c>
      <c r="D432" s="10" t="s">
        <v>246</v>
      </c>
      <c r="E432" s="18" t="s">
        <v>903</v>
      </c>
      <c r="F432" s="9">
        <v>42979</v>
      </c>
      <c r="G432" s="9">
        <v>46023</v>
      </c>
      <c r="H432" s="10">
        <v>101</v>
      </c>
      <c r="I432" s="10" t="s">
        <v>245</v>
      </c>
      <c r="J432" s="10" t="s">
        <v>247</v>
      </c>
      <c r="K432" s="10" t="s">
        <v>248</v>
      </c>
      <c r="L432" s="10">
        <v>1</v>
      </c>
    </row>
    <row r="433" spans="1:12" x14ac:dyDescent="0.2">
      <c r="A433" s="10" t="s">
        <v>660</v>
      </c>
      <c r="D433" s="10" t="s">
        <v>246</v>
      </c>
      <c r="E433" s="18" t="s">
        <v>904</v>
      </c>
      <c r="F433" s="9">
        <v>42979</v>
      </c>
      <c r="G433" s="9">
        <v>46023</v>
      </c>
      <c r="H433" s="10">
        <v>101</v>
      </c>
      <c r="I433" s="10" t="s">
        <v>245</v>
      </c>
      <c r="J433" s="10" t="s">
        <v>247</v>
      </c>
      <c r="K433" s="10" t="s">
        <v>248</v>
      </c>
      <c r="L433" s="10">
        <v>1</v>
      </c>
    </row>
    <row r="434" spans="1:12" x14ac:dyDescent="0.2">
      <c r="A434" s="10" t="s">
        <v>661</v>
      </c>
      <c r="D434" s="10" t="s">
        <v>246</v>
      </c>
      <c r="E434" s="18" t="s">
        <v>905</v>
      </c>
      <c r="F434" s="9">
        <v>42979</v>
      </c>
      <c r="G434" s="9">
        <v>46023</v>
      </c>
      <c r="H434" s="10">
        <v>101</v>
      </c>
      <c r="I434" s="10" t="s">
        <v>245</v>
      </c>
      <c r="J434" s="10" t="s">
        <v>247</v>
      </c>
      <c r="K434" s="10" t="s">
        <v>248</v>
      </c>
      <c r="L434" s="10">
        <v>1</v>
      </c>
    </row>
    <row r="435" spans="1:12" x14ac:dyDescent="0.2">
      <c r="A435" s="10" t="s">
        <v>662</v>
      </c>
      <c r="D435" s="10" t="s">
        <v>246</v>
      </c>
      <c r="E435" s="18" t="s">
        <v>906</v>
      </c>
      <c r="F435" s="9">
        <v>42979</v>
      </c>
      <c r="G435" s="9">
        <v>46023</v>
      </c>
      <c r="H435" s="10">
        <v>101</v>
      </c>
      <c r="I435" s="10" t="s">
        <v>245</v>
      </c>
      <c r="J435" s="10" t="s">
        <v>247</v>
      </c>
      <c r="K435" s="10" t="s">
        <v>248</v>
      </c>
      <c r="L435" s="10">
        <v>1</v>
      </c>
    </row>
    <row r="436" spans="1:12" x14ac:dyDescent="0.2">
      <c r="A436" s="10" t="s">
        <v>663</v>
      </c>
      <c r="D436" s="10" t="s">
        <v>246</v>
      </c>
      <c r="E436" s="18" t="s">
        <v>907</v>
      </c>
      <c r="F436" s="9">
        <v>42979</v>
      </c>
      <c r="G436" s="9">
        <v>46023</v>
      </c>
      <c r="H436" s="10">
        <v>101</v>
      </c>
      <c r="I436" s="10" t="s">
        <v>245</v>
      </c>
      <c r="J436" s="10" t="s">
        <v>247</v>
      </c>
      <c r="K436" s="10" t="s">
        <v>248</v>
      </c>
      <c r="L436" s="10">
        <v>1</v>
      </c>
    </row>
    <row r="437" spans="1:12" x14ac:dyDescent="0.2">
      <c r="A437" s="10" t="s">
        <v>664</v>
      </c>
      <c r="D437" s="10" t="s">
        <v>246</v>
      </c>
      <c r="E437" s="18" t="s">
        <v>908</v>
      </c>
      <c r="F437" s="9">
        <v>42979</v>
      </c>
      <c r="G437" s="9">
        <v>46023</v>
      </c>
      <c r="H437" s="10">
        <v>101</v>
      </c>
      <c r="I437" s="10" t="s">
        <v>245</v>
      </c>
      <c r="J437" s="10" t="s">
        <v>247</v>
      </c>
      <c r="K437" s="10" t="s">
        <v>248</v>
      </c>
      <c r="L437" s="10">
        <v>1</v>
      </c>
    </row>
    <row r="438" spans="1:12" x14ac:dyDescent="0.2">
      <c r="A438" s="10" t="s">
        <v>665</v>
      </c>
      <c r="D438" s="10" t="s">
        <v>246</v>
      </c>
      <c r="E438" s="18" t="s">
        <v>909</v>
      </c>
      <c r="F438" s="9">
        <v>42979</v>
      </c>
      <c r="G438" s="9">
        <v>46023</v>
      </c>
      <c r="H438" s="10">
        <v>101</v>
      </c>
      <c r="I438" s="10" t="s">
        <v>245</v>
      </c>
      <c r="J438" s="10" t="s">
        <v>247</v>
      </c>
      <c r="K438" s="10" t="s">
        <v>248</v>
      </c>
      <c r="L438" s="10">
        <v>1</v>
      </c>
    </row>
    <row r="439" spans="1:12" x14ac:dyDescent="0.2">
      <c r="A439" s="10" t="s">
        <v>666</v>
      </c>
      <c r="D439" s="10" t="s">
        <v>246</v>
      </c>
      <c r="E439" s="18" t="s">
        <v>910</v>
      </c>
      <c r="F439" s="9">
        <v>45383</v>
      </c>
      <c r="G439" s="9">
        <v>46023</v>
      </c>
      <c r="H439" s="10">
        <v>22</v>
      </c>
      <c r="I439" s="10" t="s">
        <v>245</v>
      </c>
      <c r="J439" s="10" t="s">
        <v>247</v>
      </c>
      <c r="K439" s="10" t="s">
        <v>248</v>
      </c>
      <c r="L439" s="10">
        <v>1</v>
      </c>
    </row>
    <row r="440" spans="1:12" x14ac:dyDescent="0.2">
      <c r="A440" s="10" t="s">
        <v>667</v>
      </c>
      <c r="D440" s="10" t="s">
        <v>246</v>
      </c>
      <c r="E440" s="18" t="s">
        <v>911</v>
      </c>
      <c r="F440" s="9">
        <v>45383</v>
      </c>
      <c r="G440" s="9">
        <v>46023</v>
      </c>
      <c r="H440" s="10">
        <v>22</v>
      </c>
      <c r="I440" s="10" t="s">
        <v>245</v>
      </c>
      <c r="J440" s="10" t="s">
        <v>247</v>
      </c>
      <c r="K440" s="10" t="s">
        <v>248</v>
      </c>
      <c r="L440" s="10">
        <v>1</v>
      </c>
    </row>
    <row r="441" spans="1:12" x14ac:dyDescent="0.2">
      <c r="A441" s="10" t="s">
        <v>668</v>
      </c>
      <c r="D441" s="10" t="s">
        <v>246</v>
      </c>
      <c r="E441" s="18" t="s">
        <v>912</v>
      </c>
      <c r="F441" s="9">
        <v>45383</v>
      </c>
      <c r="G441" s="9">
        <v>46023</v>
      </c>
      <c r="H441" s="10">
        <v>22</v>
      </c>
      <c r="I441" s="10" t="s">
        <v>245</v>
      </c>
      <c r="J441" s="10" t="s">
        <v>247</v>
      </c>
      <c r="K441" s="10" t="s">
        <v>248</v>
      </c>
      <c r="L441" s="10">
        <v>1</v>
      </c>
    </row>
    <row r="442" spans="1:12" x14ac:dyDescent="0.2">
      <c r="A442" s="10" t="s">
        <v>669</v>
      </c>
      <c r="D442" s="10" t="s">
        <v>246</v>
      </c>
      <c r="E442" s="18" t="s">
        <v>913</v>
      </c>
      <c r="F442" s="9">
        <v>45383</v>
      </c>
      <c r="G442" s="9">
        <v>46023</v>
      </c>
      <c r="H442" s="10">
        <v>22</v>
      </c>
      <c r="I442" s="10" t="s">
        <v>245</v>
      </c>
      <c r="J442" s="10" t="s">
        <v>247</v>
      </c>
      <c r="K442" s="10" t="s">
        <v>248</v>
      </c>
      <c r="L442" s="10">
        <v>1</v>
      </c>
    </row>
    <row r="443" spans="1:12" x14ac:dyDescent="0.2">
      <c r="A443" s="10" t="s">
        <v>670</v>
      </c>
      <c r="D443" s="10" t="s">
        <v>246</v>
      </c>
      <c r="E443" s="18" t="s">
        <v>914</v>
      </c>
      <c r="F443" s="9">
        <v>45383</v>
      </c>
      <c r="G443" s="9">
        <v>46023</v>
      </c>
      <c r="H443" s="10">
        <v>22</v>
      </c>
      <c r="I443" s="10" t="s">
        <v>245</v>
      </c>
      <c r="J443" s="10" t="s">
        <v>247</v>
      </c>
      <c r="K443" s="10" t="s">
        <v>248</v>
      </c>
      <c r="L443" s="10">
        <v>1</v>
      </c>
    </row>
    <row r="444" spans="1:12" x14ac:dyDescent="0.2">
      <c r="A444" s="10" t="s">
        <v>671</v>
      </c>
      <c r="D444" s="10" t="s">
        <v>246</v>
      </c>
      <c r="E444" s="18" t="s">
        <v>915</v>
      </c>
      <c r="F444" s="9">
        <v>42979</v>
      </c>
      <c r="G444" s="9">
        <v>46023</v>
      </c>
      <c r="H444" s="10">
        <v>101</v>
      </c>
      <c r="I444" s="10" t="s">
        <v>245</v>
      </c>
      <c r="J444" s="10" t="s">
        <v>247</v>
      </c>
      <c r="K444" s="10" t="s">
        <v>248</v>
      </c>
      <c r="L444" s="10">
        <v>1</v>
      </c>
    </row>
    <row r="445" spans="1:12" x14ac:dyDescent="0.2">
      <c r="A445" s="10" t="s">
        <v>672</v>
      </c>
      <c r="D445" s="10" t="s">
        <v>246</v>
      </c>
      <c r="E445" s="18" t="s">
        <v>916</v>
      </c>
      <c r="F445" s="9">
        <v>45383</v>
      </c>
      <c r="G445" s="9">
        <v>46023</v>
      </c>
      <c r="H445" s="10">
        <v>22</v>
      </c>
      <c r="I445" s="10" t="s">
        <v>245</v>
      </c>
      <c r="J445" s="10" t="s">
        <v>247</v>
      </c>
      <c r="K445" s="10" t="s">
        <v>248</v>
      </c>
      <c r="L445" s="10">
        <v>1</v>
      </c>
    </row>
    <row r="446" spans="1:12" x14ac:dyDescent="0.2">
      <c r="A446" s="10" t="s">
        <v>673</v>
      </c>
      <c r="D446" s="10" t="s">
        <v>246</v>
      </c>
      <c r="E446" s="18" t="s">
        <v>917</v>
      </c>
      <c r="F446" s="9">
        <v>42979</v>
      </c>
      <c r="G446" s="9">
        <v>46023</v>
      </c>
      <c r="H446" s="10">
        <v>101</v>
      </c>
      <c r="I446" s="10" t="s">
        <v>245</v>
      </c>
      <c r="J446" s="10" t="s">
        <v>247</v>
      </c>
      <c r="K446" s="10" t="s">
        <v>248</v>
      </c>
      <c r="L446" s="10">
        <v>1</v>
      </c>
    </row>
    <row r="447" spans="1:12" x14ac:dyDescent="0.2">
      <c r="A447" s="10" t="s">
        <v>674</v>
      </c>
      <c r="D447" s="10" t="s">
        <v>246</v>
      </c>
      <c r="E447" s="18" t="s">
        <v>918</v>
      </c>
      <c r="F447" s="9">
        <v>42979</v>
      </c>
      <c r="G447" s="9">
        <v>46023</v>
      </c>
      <c r="H447" s="10">
        <v>101</v>
      </c>
      <c r="I447" s="10" t="s">
        <v>245</v>
      </c>
      <c r="J447" s="10" t="s">
        <v>247</v>
      </c>
      <c r="K447" s="10" t="s">
        <v>248</v>
      </c>
      <c r="L447" s="10">
        <v>1</v>
      </c>
    </row>
    <row r="448" spans="1:12" x14ac:dyDescent="0.2">
      <c r="A448" s="10" t="s">
        <v>674</v>
      </c>
      <c r="D448" s="10" t="s">
        <v>246</v>
      </c>
      <c r="E448" s="18" t="s">
        <v>919</v>
      </c>
      <c r="F448" s="9">
        <v>42979</v>
      </c>
      <c r="G448" s="9">
        <v>46023</v>
      </c>
      <c r="H448" s="10">
        <v>101</v>
      </c>
      <c r="I448" s="10" t="s">
        <v>245</v>
      </c>
      <c r="J448" s="10" t="s">
        <v>247</v>
      </c>
      <c r="K448" s="10" t="s">
        <v>248</v>
      </c>
      <c r="L448" s="10">
        <v>1</v>
      </c>
    </row>
    <row r="449" spans="1:12" x14ac:dyDescent="0.2">
      <c r="A449" s="10" t="s">
        <v>675</v>
      </c>
      <c r="D449" s="10" t="s">
        <v>246</v>
      </c>
      <c r="E449" s="18" t="s">
        <v>920</v>
      </c>
      <c r="F449" s="9">
        <v>45383</v>
      </c>
      <c r="G449" s="9">
        <v>46023</v>
      </c>
      <c r="H449" s="10">
        <v>22</v>
      </c>
      <c r="I449" s="10" t="s">
        <v>245</v>
      </c>
      <c r="J449" s="10" t="s">
        <v>247</v>
      </c>
      <c r="K449" s="10" t="s">
        <v>248</v>
      </c>
      <c r="L449" s="10">
        <v>1</v>
      </c>
    </row>
    <row r="450" spans="1:12" x14ac:dyDescent="0.2">
      <c r="A450" s="10" t="s">
        <v>676</v>
      </c>
      <c r="D450" s="10" t="s">
        <v>246</v>
      </c>
      <c r="E450" s="18" t="s">
        <v>921</v>
      </c>
      <c r="F450" s="9">
        <v>45383</v>
      </c>
      <c r="G450" s="9">
        <v>46023</v>
      </c>
      <c r="H450" s="10">
        <v>22</v>
      </c>
      <c r="I450" s="10" t="s">
        <v>245</v>
      </c>
      <c r="J450" s="10" t="s">
        <v>247</v>
      </c>
      <c r="K450" s="10" t="s">
        <v>248</v>
      </c>
      <c r="L450" s="10">
        <v>1</v>
      </c>
    </row>
    <row r="451" spans="1:12" x14ac:dyDescent="0.2">
      <c r="A451" s="10" t="s">
        <v>677</v>
      </c>
      <c r="D451" s="10" t="s">
        <v>246</v>
      </c>
      <c r="E451" s="18" t="s">
        <v>922</v>
      </c>
      <c r="F451" s="9">
        <v>45383</v>
      </c>
      <c r="G451" s="9">
        <v>46023</v>
      </c>
      <c r="H451" s="10">
        <v>22</v>
      </c>
      <c r="I451" s="10" t="s">
        <v>245</v>
      </c>
      <c r="J451" s="10" t="s">
        <v>247</v>
      </c>
      <c r="K451" s="10" t="s">
        <v>248</v>
      </c>
      <c r="L451" s="10">
        <v>1</v>
      </c>
    </row>
    <row r="452" spans="1:12" x14ac:dyDescent="0.2">
      <c r="A452" s="10" t="s">
        <v>678</v>
      </c>
      <c r="D452" s="10" t="s">
        <v>246</v>
      </c>
      <c r="E452" s="18" t="s">
        <v>923</v>
      </c>
      <c r="F452" s="9">
        <v>45383</v>
      </c>
      <c r="G452" s="9">
        <v>46023</v>
      </c>
      <c r="H452" s="10">
        <v>22</v>
      </c>
      <c r="I452" s="10" t="s">
        <v>245</v>
      </c>
      <c r="J452" s="10" t="s">
        <v>247</v>
      </c>
      <c r="K452" s="10" t="s">
        <v>248</v>
      </c>
      <c r="L452" s="10">
        <v>1</v>
      </c>
    </row>
    <row r="453" spans="1:12" x14ac:dyDescent="0.2">
      <c r="A453" s="10" t="s">
        <v>679</v>
      </c>
      <c r="D453" s="10" t="s">
        <v>246</v>
      </c>
      <c r="E453" s="18" t="s">
        <v>924</v>
      </c>
      <c r="F453" s="9">
        <v>45383</v>
      </c>
      <c r="G453" s="9">
        <v>46023</v>
      </c>
      <c r="H453" s="10">
        <v>22</v>
      </c>
      <c r="I453" s="10" t="s">
        <v>245</v>
      </c>
      <c r="J453" s="10" t="s">
        <v>247</v>
      </c>
      <c r="K453" s="10" t="s">
        <v>248</v>
      </c>
      <c r="L453" s="10">
        <v>1</v>
      </c>
    </row>
    <row r="454" spans="1:12" x14ac:dyDescent="0.2">
      <c r="A454" s="10" t="s">
        <v>680</v>
      </c>
      <c r="D454" s="10" t="s">
        <v>246</v>
      </c>
      <c r="E454" s="18" t="s">
        <v>925</v>
      </c>
      <c r="F454" s="9">
        <v>45383</v>
      </c>
      <c r="G454" s="9">
        <v>46023</v>
      </c>
      <c r="H454" s="10">
        <v>22</v>
      </c>
      <c r="I454" s="10" t="s">
        <v>245</v>
      </c>
      <c r="J454" s="10" t="s">
        <v>247</v>
      </c>
      <c r="K454" s="10" t="s">
        <v>248</v>
      </c>
      <c r="L454" s="10">
        <v>1</v>
      </c>
    </row>
    <row r="455" spans="1:12" x14ac:dyDescent="0.2">
      <c r="A455" s="10" t="s">
        <v>681</v>
      </c>
      <c r="D455" s="10" t="s">
        <v>246</v>
      </c>
      <c r="E455" s="18" t="s">
        <v>926</v>
      </c>
      <c r="F455" s="9">
        <v>45383</v>
      </c>
      <c r="G455" s="9">
        <v>46023</v>
      </c>
      <c r="H455" s="10">
        <v>22</v>
      </c>
      <c r="I455" s="10" t="s">
        <v>245</v>
      </c>
      <c r="J455" s="10" t="s">
        <v>247</v>
      </c>
      <c r="K455" s="10" t="s">
        <v>248</v>
      </c>
      <c r="L455" s="10">
        <v>1</v>
      </c>
    </row>
    <row r="456" spans="1:12" x14ac:dyDescent="0.2">
      <c r="A456" s="10" t="s">
        <v>682</v>
      </c>
      <c r="D456" s="10" t="s">
        <v>246</v>
      </c>
      <c r="E456" s="18" t="s">
        <v>927</v>
      </c>
      <c r="F456" s="9">
        <v>45383</v>
      </c>
      <c r="G456" s="9">
        <v>46023</v>
      </c>
      <c r="H456" s="10">
        <v>22</v>
      </c>
      <c r="I456" s="10" t="s">
        <v>245</v>
      </c>
      <c r="J456" s="10" t="s">
        <v>247</v>
      </c>
      <c r="K456" s="10" t="s">
        <v>248</v>
      </c>
      <c r="L456" s="10">
        <v>1</v>
      </c>
    </row>
    <row r="457" spans="1:12" x14ac:dyDescent="0.2">
      <c r="A457" s="10" t="s">
        <v>683</v>
      </c>
      <c r="D457" s="10" t="s">
        <v>246</v>
      </c>
      <c r="E457" s="18" t="s">
        <v>928</v>
      </c>
      <c r="F457" s="9">
        <v>45383</v>
      </c>
      <c r="G457" s="9">
        <v>46023</v>
      </c>
      <c r="H457" s="10">
        <v>22</v>
      </c>
      <c r="I457" s="10" t="s">
        <v>245</v>
      </c>
      <c r="J457" s="10" t="s">
        <v>247</v>
      </c>
      <c r="K457" s="10" t="s">
        <v>248</v>
      </c>
      <c r="L457" s="10">
        <v>1</v>
      </c>
    </row>
    <row r="458" spans="1:12" x14ac:dyDescent="0.2">
      <c r="A458" s="10" t="s">
        <v>684</v>
      </c>
      <c r="D458" s="10" t="s">
        <v>246</v>
      </c>
      <c r="E458" s="18" t="s">
        <v>929</v>
      </c>
      <c r="F458" s="9">
        <v>45383</v>
      </c>
      <c r="G458" s="9">
        <v>46023</v>
      </c>
      <c r="H458" s="10">
        <v>22</v>
      </c>
      <c r="I458" s="10" t="s">
        <v>245</v>
      </c>
      <c r="J458" s="10" t="s">
        <v>247</v>
      </c>
      <c r="K458" s="10" t="s">
        <v>248</v>
      </c>
      <c r="L458" s="10">
        <v>1</v>
      </c>
    </row>
    <row r="459" spans="1:12" x14ac:dyDescent="0.2">
      <c r="A459" s="10" t="s">
        <v>685</v>
      </c>
      <c r="D459" s="10" t="s">
        <v>246</v>
      </c>
      <c r="E459" s="18" t="s">
        <v>930</v>
      </c>
      <c r="F459" s="9">
        <v>45383</v>
      </c>
      <c r="G459" s="9">
        <v>46023</v>
      </c>
      <c r="H459" s="10">
        <v>22</v>
      </c>
      <c r="I459" s="10" t="s">
        <v>245</v>
      </c>
      <c r="J459" s="10" t="s">
        <v>247</v>
      </c>
      <c r="K459" s="10" t="s">
        <v>248</v>
      </c>
      <c r="L459" s="10">
        <v>1</v>
      </c>
    </row>
    <row r="460" spans="1:12" x14ac:dyDescent="0.2">
      <c r="A460" s="10" t="s">
        <v>686</v>
      </c>
      <c r="D460" s="10" t="s">
        <v>246</v>
      </c>
      <c r="E460" s="18" t="s">
        <v>931</v>
      </c>
      <c r="F460" s="9">
        <v>45383</v>
      </c>
      <c r="G460" s="9">
        <v>46023</v>
      </c>
      <c r="H460" s="10">
        <v>22</v>
      </c>
      <c r="I460" s="10" t="s">
        <v>245</v>
      </c>
      <c r="J460" s="10" t="s">
        <v>247</v>
      </c>
      <c r="K460" s="10" t="s">
        <v>248</v>
      </c>
      <c r="L460" s="10">
        <v>1</v>
      </c>
    </row>
    <row r="461" spans="1:12" x14ac:dyDescent="0.2">
      <c r="A461" s="10" t="s">
        <v>687</v>
      </c>
      <c r="D461" s="10" t="s">
        <v>246</v>
      </c>
      <c r="E461" s="18" t="s">
        <v>932</v>
      </c>
      <c r="F461" s="9">
        <v>45383</v>
      </c>
      <c r="G461" s="9">
        <v>46023</v>
      </c>
      <c r="H461" s="10">
        <v>22</v>
      </c>
      <c r="I461" s="10" t="s">
        <v>245</v>
      </c>
      <c r="J461" s="10" t="s">
        <v>247</v>
      </c>
      <c r="K461" s="10" t="s">
        <v>248</v>
      </c>
      <c r="L461" s="10">
        <v>1</v>
      </c>
    </row>
    <row r="462" spans="1:12" x14ac:dyDescent="0.2">
      <c r="A462" s="10" t="s">
        <v>688</v>
      </c>
      <c r="D462" s="10" t="s">
        <v>246</v>
      </c>
      <c r="E462" s="18" t="s">
        <v>933</v>
      </c>
      <c r="F462" s="9">
        <v>44743</v>
      </c>
      <c r="G462" s="9">
        <v>46023</v>
      </c>
      <c r="H462" s="10">
        <v>43</v>
      </c>
      <c r="I462" s="10" t="s">
        <v>245</v>
      </c>
      <c r="J462" s="10" t="s">
        <v>247</v>
      </c>
      <c r="K462" s="10" t="s">
        <v>248</v>
      </c>
      <c r="L462" s="10">
        <v>1</v>
      </c>
    </row>
    <row r="463" spans="1:12" x14ac:dyDescent="0.2">
      <c r="A463" s="10" t="s">
        <v>688</v>
      </c>
      <c r="D463" s="10" t="s">
        <v>246</v>
      </c>
      <c r="E463" s="18" t="s">
        <v>934</v>
      </c>
      <c r="F463" s="9">
        <v>44743</v>
      </c>
      <c r="G463" s="9">
        <v>46023</v>
      </c>
      <c r="H463" s="10">
        <v>43</v>
      </c>
      <c r="I463" s="10" t="s">
        <v>245</v>
      </c>
      <c r="J463" s="10" t="s">
        <v>247</v>
      </c>
      <c r="K463" s="10" t="s">
        <v>248</v>
      </c>
      <c r="L463" s="10">
        <v>1</v>
      </c>
    </row>
    <row r="464" spans="1:12" x14ac:dyDescent="0.2">
      <c r="A464" s="10" t="s">
        <v>689</v>
      </c>
      <c r="D464" s="10" t="s">
        <v>246</v>
      </c>
      <c r="E464" s="18" t="s">
        <v>935</v>
      </c>
      <c r="F464" s="9">
        <v>42979</v>
      </c>
      <c r="G464" s="9">
        <v>46023</v>
      </c>
      <c r="H464" s="10">
        <v>101</v>
      </c>
      <c r="I464" s="10" t="s">
        <v>245</v>
      </c>
      <c r="J464" s="10" t="s">
        <v>247</v>
      </c>
      <c r="K464" s="10" t="s">
        <v>248</v>
      </c>
      <c r="L464" s="10">
        <v>1</v>
      </c>
    </row>
    <row r="465" spans="1:12" x14ac:dyDescent="0.2">
      <c r="A465" s="10" t="s">
        <v>689</v>
      </c>
      <c r="D465" s="10" t="s">
        <v>246</v>
      </c>
      <c r="E465" s="18" t="s">
        <v>936</v>
      </c>
      <c r="F465" s="9">
        <v>42979</v>
      </c>
      <c r="G465" s="9">
        <v>46023</v>
      </c>
      <c r="H465" s="10">
        <v>101</v>
      </c>
      <c r="I465" s="10" t="s">
        <v>245</v>
      </c>
      <c r="J465" s="10" t="s">
        <v>247</v>
      </c>
      <c r="K465" s="10" t="s">
        <v>248</v>
      </c>
      <c r="L465" s="10">
        <v>1</v>
      </c>
    </row>
    <row r="466" spans="1:12" x14ac:dyDescent="0.2">
      <c r="A466" s="10" t="s">
        <v>690</v>
      </c>
      <c r="D466" s="10" t="s">
        <v>246</v>
      </c>
      <c r="E466" s="18" t="s">
        <v>937</v>
      </c>
      <c r="F466" s="9">
        <v>45383</v>
      </c>
      <c r="G466" s="9">
        <v>46023</v>
      </c>
      <c r="H466" s="10">
        <v>22</v>
      </c>
      <c r="I466" s="10" t="s">
        <v>245</v>
      </c>
      <c r="J466" s="10" t="s">
        <v>247</v>
      </c>
      <c r="K466" s="10" t="s">
        <v>248</v>
      </c>
      <c r="L466" s="10">
        <v>1</v>
      </c>
    </row>
    <row r="467" spans="1:12" x14ac:dyDescent="0.2">
      <c r="A467" s="10" t="s">
        <v>691</v>
      </c>
      <c r="D467" s="10" t="s">
        <v>246</v>
      </c>
      <c r="E467" s="18" t="s">
        <v>938</v>
      </c>
      <c r="F467" s="9">
        <v>45383</v>
      </c>
      <c r="G467" s="9">
        <v>46023</v>
      </c>
      <c r="H467" s="10">
        <v>22</v>
      </c>
      <c r="I467" s="10" t="s">
        <v>245</v>
      </c>
      <c r="J467" s="10" t="s">
        <v>247</v>
      </c>
      <c r="K467" s="10" t="s">
        <v>248</v>
      </c>
      <c r="L467" s="10">
        <v>1</v>
      </c>
    </row>
    <row r="468" spans="1:12" x14ac:dyDescent="0.2">
      <c r="A468" s="10" t="s">
        <v>692</v>
      </c>
      <c r="D468" s="10" t="s">
        <v>246</v>
      </c>
      <c r="E468" s="18" t="s">
        <v>939</v>
      </c>
      <c r="F468" s="9">
        <v>42979</v>
      </c>
      <c r="G468" s="9">
        <v>46023</v>
      </c>
      <c r="H468" s="10">
        <v>101</v>
      </c>
      <c r="I468" s="10" t="s">
        <v>245</v>
      </c>
      <c r="J468" s="10" t="s">
        <v>247</v>
      </c>
      <c r="K468" s="10" t="s">
        <v>248</v>
      </c>
      <c r="L468" s="10">
        <v>1</v>
      </c>
    </row>
    <row r="469" spans="1:12" x14ac:dyDescent="0.2">
      <c r="A469" s="10" t="s">
        <v>693</v>
      </c>
      <c r="D469" s="10" t="s">
        <v>246</v>
      </c>
      <c r="E469" s="18" t="s">
        <v>940</v>
      </c>
      <c r="F469" s="9">
        <v>45383</v>
      </c>
      <c r="G469" s="9">
        <v>46023</v>
      </c>
      <c r="H469" s="10">
        <v>22</v>
      </c>
      <c r="I469" s="10" t="s">
        <v>245</v>
      </c>
      <c r="J469" s="10" t="s">
        <v>247</v>
      </c>
      <c r="K469" s="10" t="s">
        <v>248</v>
      </c>
      <c r="L469" s="10">
        <v>1</v>
      </c>
    </row>
    <row r="470" spans="1:12" x14ac:dyDescent="0.2">
      <c r="A470" s="10" t="s">
        <v>694</v>
      </c>
      <c r="D470" s="10" t="s">
        <v>246</v>
      </c>
      <c r="E470" s="18" t="s">
        <v>941</v>
      </c>
      <c r="F470" s="9">
        <v>45383</v>
      </c>
      <c r="G470" s="9">
        <v>46023</v>
      </c>
      <c r="H470" s="10">
        <v>22</v>
      </c>
      <c r="I470" s="10" t="s">
        <v>245</v>
      </c>
      <c r="J470" s="10" t="s">
        <v>247</v>
      </c>
      <c r="K470" s="10" t="s">
        <v>248</v>
      </c>
      <c r="L470" s="10">
        <v>1</v>
      </c>
    </row>
    <row r="471" spans="1:12" x14ac:dyDescent="0.2">
      <c r="A471" s="10" t="s">
        <v>695</v>
      </c>
      <c r="D471" s="10" t="s">
        <v>246</v>
      </c>
      <c r="E471" s="18" t="s">
        <v>942</v>
      </c>
      <c r="F471" s="9">
        <v>44470</v>
      </c>
      <c r="G471" s="9">
        <v>46023</v>
      </c>
      <c r="H471" s="10">
        <v>52</v>
      </c>
      <c r="I471" s="10" t="s">
        <v>245</v>
      </c>
      <c r="J471" s="10" t="s">
        <v>247</v>
      </c>
      <c r="K471" s="10" t="s">
        <v>248</v>
      </c>
      <c r="L471" s="10">
        <v>1</v>
      </c>
    </row>
    <row r="472" spans="1:12" x14ac:dyDescent="0.2">
      <c r="A472" s="10" t="s">
        <v>696</v>
      </c>
      <c r="D472" s="10" t="s">
        <v>246</v>
      </c>
      <c r="E472" s="18" t="s">
        <v>943</v>
      </c>
      <c r="F472" s="9">
        <v>44470</v>
      </c>
      <c r="G472" s="9">
        <v>46023</v>
      </c>
      <c r="H472" s="10">
        <v>52</v>
      </c>
      <c r="I472" s="10" t="s">
        <v>245</v>
      </c>
      <c r="J472" s="10" t="s">
        <v>247</v>
      </c>
      <c r="K472" s="10" t="s">
        <v>248</v>
      </c>
      <c r="L472" s="10">
        <v>1</v>
      </c>
    </row>
    <row r="473" spans="1:12" x14ac:dyDescent="0.2">
      <c r="A473" s="10" t="s">
        <v>697</v>
      </c>
      <c r="D473" s="10" t="s">
        <v>246</v>
      </c>
      <c r="E473" s="18" t="s">
        <v>944</v>
      </c>
      <c r="F473" s="9">
        <v>45383</v>
      </c>
      <c r="G473" s="9">
        <v>46023</v>
      </c>
      <c r="H473" s="10">
        <v>22</v>
      </c>
      <c r="I473" s="10" t="s">
        <v>245</v>
      </c>
      <c r="J473" s="10" t="s">
        <v>247</v>
      </c>
      <c r="K473" s="10" t="s">
        <v>248</v>
      </c>
      <c r="L473" s="10">
        <v>1</v>
      </c>
    </row>
    <row r="474" spans="1:12" x14ac:dyDescent="0.2">
      <c r="A474" s="10" t="s">
        <v>698</v>
      </c>
      <c r="D474" s="10" t="s">
        <v>246</v>
      </c>
      <c r="E474" s="18" t="s">
        <v>945</v>
      </c>
      <c r="F474" s="9">
        <v>45383</v>
      </c>
      <c r="G474" s="9">
        <v>46023</v>
      </c>
      <c r="H474" s="10">
        <v>22</v>
      </c>
      <c r="I474" s="10" t="s">
        <v>245</v>
      </c>
      <c r="J474" s="10" t="s">
        <v>247</v>
      </c>
      <c r="K474" s="10" t="s">
        <v>248</v>
      </c>
      <c r="L474" s="10">
        <v>1</v>
      </c>
    </row>
    <row r="475" spans="1:12" x14ac:dyDescent="0.2">
      <c r="A475" s="10" t="s">
        <v>699</v>
      </c>
      <c r="D475" s="10" t="s">
        <v>246</v>
      </c>
      <c r="E475" s="18" t="s">
        <v>946</v>
      </c>
      <c r="F475" s="9">
        <v>45383</v>
      </c>
      <c r="G475" s="9">
        <v>46023</v>
      </c>
      <c r="H475" s="10">
        <v>22</v>
      </c>
      <c r="I475" s="10" t="s">
        <v>245</v>
      </c>
      <c r="J475" s="10" t="s">
        <v>247</v>
      </c>
      <c r="K475" s="10" t="s">
        <v>248</v>
      </c>
      <c r="L475" s="10">
        <v>1</v>
      </c>
    </row>
    <row r="476" spans="1:12" x14ac:dyDescent="0.2">
      <c r="A476" s="10" t="s">
        <v>700</v>
      </c>
      <c r="D476" s="10" t="s">
        <v>246</v>
      </c>
      <c r="E476" s="18" t="s">
        <v>947</v>
      </c>
      <c r="F476" s="9">
        <v>45383</v>
      </c>
      <c r="G476" s="9">
        <v>46023</v>
      </c>
      <c r="H476" s="10">
        <v>22</v>
      </c>
      <c r="I476" s="10" t="s">
        <v>245</v>
      </c>
      <c r="J476" s="10" t="s">
        <v>247</v>
      </c>
      <c r="K476" s="10" t="s">
        <v>248</v>
      </c>
      <c r="L476" s="10">
        <v>1</v>
      </c>
    </row>
    <row r="477" spans="1:12" x14ac:dyDescent="0.2">
      <c r="A477" s="10" t="s">
        <v>701</v>
      </c>
      <c r="D477" s="10" t="s">
        <v>246</v>
      </c>
      <c r="E477" s="18" t="s">
        <v>948</v>
      </c>
      <c r="F477" s="9">
        <v>45383</v>
      </c>
      <c r="G477" s="9">
        <v>46023</v>
      </c>
      <c r="H477" s="10">
        <v>22</v>
      </c>
      <c r="I477" s="10" t="s">
        <v>245</v>
      </c>
      <c r="J477" s="10" t="s">
        <v>247</v>
      </c>
      <c r="K477" s="10" t="s">
        <v>248</v>
      </c>
      <c r="L477" s="10">
        <v>1</v>
      </c>
    </row>
    <row r="478" spans="1:12" x14ac:dyDescent="0.2">
      <c r="A478" s="10" t="s">
        <v>701</v>
      </c>
      <c r="D478" s="10" t="s">
        <v>246</v>
      </c>
      <c r="E478" s="18" t="s">
        <v>949</v>
      </c>
      <c r="F478" s="9">
        <v>45383</v>
      </c>
      <c r="G478" s="9">
        <v>46023</v>
      </c>
      <c r="H478" s="10">
        <v>22</v>
      </c>
      <c r="I478" s="10" t="s">
        <v>245</v>
      </c>
      <c r="J478" s="10" t="s">
        <v>247</v>
      </c>
      <c r="K478" s="10" t="s">
        <v>248</v>
      </c>
      <c r="L478" s="10">
        <v>1</v>
      </c>
    </row>
    <row r="479" spans="1:12" x14ac:dyDescent="0.2">
      <c r="A479" s="10" t="s">
        <v>702</v>
      </c>
      <c r="D479" s="10" t="s">
        <v>246</v>
      </c>
      <c r="E479" s="18" t="s">
        <v>950</v>
      </c>
      <c r="F479" s="9">
        <v>45383</v>
      </c>
      <c r="G479" s="9">
        <v>46023</v>
      </c>
      <c r="H479" s="10">
        <v>22</v>
      </c>
      <c r="I479" s="10" t="s">
        <v>245</v>
      </c>
      <c r="J479" s="10" t="s">
        <v>247</v>
      </c>
      <c r="K479" s="10" t="s">
        <v>248</v>
      </c>
      <c r="L479" s="10">
        <v>1</v>
      </c>
    </row>
    <row r="480" spans="1:12" x14ac:dyDescent="0.2">
      <c r="A480" s="10" t="s">
        <v>703</v>
      </c>
      <c r="D480" s="10" t="s">
        <v>246</v>
      </c>
      <c r="E480" s="18" t="s">
        <v>951</v>
      </c>
      <c r="F480" s="9">
        <v>45383</v>
      </c>
      <c r="G480" s="9">
        <v>46023</v>
      </c>
      <c r="H480" s="10">
        <v>22</v>
      </c>
      <c r="I480" s="10" t="s">
        <v>245</v>
      </c>
      <c r="J480" s="10" t="s">
        <v>247</v>
      </c>
      <c r="K480" s="10" t="s">
        <v>248</v>
      </c>
      <c r="L480" s="10">
        <v>1</v>
      </c>
    </row>
    <row r="481" spans="1:12" x14ac:dyDescent="0.2">
      <c r="A481" s="10" t="s">
        <v>704</v>
      </c>
      <c r="D481" s="10" t="s">
        <v>246</v>
      </c>
      <c r="E481" s="18" t="s">
        <v>952</v>
      </c>
      <c r="F481" s="9">
        <v>45383</v>
      </c>
      <c r="G481" s="9">
        <v>46023</v>
      </c>
      <c r="H481" s="10">
        <v>22</v>
      </c>
      <c r="I481" s="10" t="s">
        <v>245</v>
      </c>
      <c r="J481" s="10" t="s">
        <v>247</v>
      </c>
      <c r="K481" s="10" t="s">
        <v>248</v>
      </c>
      <c r="L481" s="10">
        <v>1</v>
      </c>
    </row>
    <row r="482" spans="1:12" x14ac:dyDescent="0.2">
      <c r="A482" s="10" t="s">
        <v>705</v>
      </c>
      <c r="D482" s="10" t="s">
        <v>246</v>
      </c>
      <c r="E482" s="18" t="s">
        <v>953</v>
      </c>
      <c r="F482" s="9">
        <v>45383</v>
      </c>
      <c r="G482" s="9">
        <v>46023</v>
      </c>
      <c r="H482" s="10">
        <v>22</v>
      </c>
      <c r="I482" s="10" t="s">
        <v>245</v>
      </c>
      <c r="J482" s="10" t="s">
        <v>247</v>
      </c>
      <c r="K482" s="10" t="s">
        <v>248</v>
      </c>
      <c r="L482" s="10">
        <v>1</v>
      </c>
    </row>
    <row r="483" spans="1:12" x14ac:dyDescent="0.2">
      <c r="A483" s="10" t="s">
        <v>706</v>
      </c>
      <c r="D483" s="10" t="s">
        <v>246</v>
      </c>
      <c r="E483" s="18" t="s">
        <v>954</v>
      </c>
      <c r="F483" s="9">
        <v>45383</v>
      </c>
      <c r="G483" s="9">
        <v>46023</v>
      </c>
      <c r="H483" s="10">
        <v>22</v>
      </c>
      <c r="I483" s="10" t="s">
        <v>245</v>
      </c>
      <c r="J483" s="10" t="s">
        <v>247</v>
      </c>
      <c r="K483" s="10" t="s">
        <v>248</v>
      </c>
      <c r="L483" s="10">
        <v>1</v>
      </c>
    </row>
    <row r="484" spans="1:12" x14ac:dyDescent="0.2">
      <c r="A484" s="10" t="s">
        <v>707</v>
      </c>
      <c r="D484" s="10" t="s">
        <v>246</v>
      </c>
      <c r="E484" s="18" t="s">
        <v>955</v>
      </c>
      <c r="F484" s="9">
        <v>42979</v>
      </c>
      <c r="G484" s="9">
        <v>46023</v>
      </c>
      <c r="H484" s="10">
        <v>101</v>
      </c>
      <c r="I484" s="10" t="s">
        <v>245</v>
      </c>
      <c r="J484" s="10" t="s">
        <v>247</v>
      </c>
      <c r="K484" s="10" t="s">
        <v>248</v>
      </c>
      <c r="L484" s="10">
        <v>1</v>
      </c>
    </row>
    <row r="485" spans="1:12" x14ac:dyDescent="0.2">
      <c r="A485" s="10" t="s">
        <v>708</v>
      </c>
      <c r="D485" s="10" t="s">
        <v>246</v>
      </c>
      <c r="E485" s="18" t="s">
        <v>956</v>
      </c>
      <c r="F485" s="9">
        <v>42979</v>
      </c>
      <c r="G485" s="9">
        <v>46023</v>
      </c>
      <c r="H485" s="10">
        <v>101</v>
      </c>
      <c r="I485" s="10" t="s">
        <v>245</v>
      </c>
      <c r="J485" s="10" t="s">
        <v>247</v>
      </c>
      <c r="K485" s="10" t="s">
        <v>248</v>
      </c>
      <c r="L485" s="10">
        <v>1</v>
      </c>
    </row>
    <row r="486" spans="1:12" x14ac:dyDescent="0.2">
      <c r="A486" s="10" t="s">
        <v>709</v>
      </c>
      <c r="D486" s="10" t="s">
        <v>246</v>
      </c>
      <c r="E486" s="18" t="s">
        <v>957</v>
      </c>
      <c r="F486" s="9">
        <v>42979</v>
      </c>
      <c r="G486" s="9">
        <v>46023</v>
      </c>
      <c r="H486" s="10">
        <v>101</v>
      </c>
      <c r="I486" s="10" t="s">
        <v>245</v>
      </c>
      <c r="J486" s="10" t="s">
        <v>247</v>
      </c>
      <c r="K486" s="10" t="s">
        <v>248</v>
      </c>
      <c r="L486" s="10">
        <v>1</v>
      </c>
    </row>
    <row r="487" spans="1:12" x14ac:dyDescent="0.2">
      <c r="A487" s="10" t="s">
        <v>710</v>
      </c>
      <c r="D487" s="10" t="s">
        <v>246</v>
      </c>
      <c r="E487" s="18" t="s">
        <v>958</v>
      </c>
      <c r="F487" s="9">
        <v>42979</v>
      </c>
      <c r="G487" s="9">
        <v>46023</v>
      </c>
      <c r="H487" s="10">
        <v>101</v>
      </c>
      <c r="I487" s="10" t="s">
        <v>245</v>
      </c>
      <c r="J487" s="10" t="s">
        <v>247</v>
      </c>
      <c r="K487" s="10" t="s">
        <v>248</v>
      </c>
      <c r="L487" s="10">
        <v>1</v>
      </c>
    </row>
    <row r="488" spans="1:12" x14ac:dyDescent="0.2">
      <c r="A488" s="10" t="s">
        <v>711</v>
      </c>
      <c r="D488" s="10" t="s">
        <v>246</v>
      </c>
      <c r="E488" s="18" t="s">
        <v>959</v>
      </c>
      <c r="F488" s="9">
        <v>45383</v>
      </c>
      <c r="G488" s="9">
        <v>46023</v>
      </c>
      <c r="H488" s="10">
        <v>22</v>
      </c>
      <c r="I488" s="10" t="s">
        <v>245</v>
      </c>
      <c r="J488" s="10" t="s">
        <v>247</v>
      </c>
      <c r="K488" s="10" t="s">
        <v>248</v>
      </c>
      <c r="L488" s="10">
        <v>1</v>
      </c>
    </row>
    <row r="489" spans="1:12" x14ac:dyDescent="0.2">
      <c r="A489" s="10" t="s">
        <v>712</v>
      </c>
      <c r="D489" s="10" t="s">
        <v>246</v>
      </c>
      <c r="E489" s="18" t="s">
        <v>960</v>
      </c>
      <c r="F489" s="9">
        <v>45383</v>
      </c>
      <c r="G489" s="9">
        <v>46023</v>
      </c>
      <c r="H489" s="10">
        <v>22</v>
      </c>
      <c r="I489" s="10" t="s">
        <v>245</v>
      </c>
      <c r="J489" s="10" t="s">
        <v>247</v>
      </c>
      <c r="K489" s="10" t="s">
        <v>248</v>
      </c>
      <c r="L489" s="10">
        <v>1</v>
      </c>
    </row>
    <row r="490" spans="1:12" x14ac:dyDescent="0.2">
      <c r="A490" s="10" t="s">
        <v>713</v>
      </c>
      <c r="D490" s="10" t="s">
        <v>246</v>
      </c>
      <c r="E490" s="18" t="s">
        <v>961</v>
      </c>
      <c r="F490" s="9">
        <v>45383</v>
      </c>
      <c r="G490" s="9">
        <v>46023</v>
      </c>
      <c r="H490" s="10">
        <v>22</v>
      </c>
      <c r="I490" s="10" t="s">
        <v>245</v>
      </c>
      <c r="J490" s="10" t="s">
        <v>247</v>
      </c>
      <c r="K490" s="10" t="s">
        <v>248</v>
      </c>
      <c r="L490" s="10">
        <v>1</v>
      </c>
    </row>
    <row r="491" spans="1:12" x14ac:dyDescent="0.2">
      <c r="A491" s="10" t="s">
        <v>714</v>
      </c>
      <c r="D491" s="10" t="s">
        <v>246</v>
      </c>
      <c r="E491" s="18" t="s">
        <v>962</v>
      </c>
      <c r="F491" s="9">
        <v>45383</v>
      </c>
      <c r="G491" s="9">
        <v>46023</v>
      </c>
      <c r="H491" s="10">
        <v>22</v>
      </c>
      <c r="I491" s="10" t="s">
        <v>245</v>
      </c>
      <c r="J491" s="10" t="s">
        <v>247</v>
      </c>
      <c r="K491" s="10" t="s">
        <v>248</v>
      </c>
      <c r="L491" s="10">
        <v>1</v>
      </c>
    </row>
    <row r="492" spans="1:12" x14ac:dyDescent="0.2">
      <c r="A492" s="10" t="s">
        <v>715</v>
      </c>
      <c r="D492" s="10" t="s">
        <v>246</v>
      </c>
      <c r="E492" s="18" t="s">
        <v>963</v>
      </c>
      <c r="F492" s="9">
        <v>45383</v>
      </c>
      <c r="G492" s="9">
        <v>46023</v>
      </c>
      <c r="H492" s="10">
        <v>22</v>
      </c>
      <c r="I492" s="10" t="s">
        <v>245</v>
      </c>
      <c r="J492" s="10" t="s">
        <v>247</v>
      </c>
      <c r="K492" s="10" t="s">
        <v>248</v>
      </c>
      <c r="L492" s="10">
        <v>1</v>
      </c>
    </row>
    <row r="493" spans="1:12" x14ac:dyDescent="0.2">
      <c r="A493" s="10" t="s">
        <v>716</v>
      </c>
      <c r="D493" s="10" t="s">
        <v>246</v>
      </c>
      <c r="E493" s="18" t="s">
        <v>964</v>
      </c>
      <c r="F493" s="9">
        <v>45383</v>
      </c>
      <c r="G493" s="9">
        <v>46023</v>
      </c>
      <c r="H493" s="10">
        <v>22</v>
      </c>
      <c r="I493" s="10" t="s">
        <v>245</v>
      </c>
      <c r="J493" s="10" t="s">
        <v>247</v>
      </c>
      <c r="K493" s="10" t="s">
        <v>248</v>
      </c>
      <c r="L493" s="10">
        <v>1</v>
      </c>
    </row>
    <row r="494" spans="1:12" x14ac:dyDescent="0.2">
      <c r="A494" s="10" t="s">
        <v>717</v>
      </c>
      <c r="D494" s="10" t="s">
        <v>246</v>
      </c>
      <c r="E494" s="18" t="s">
        <v>965</v>
      </c>
      <c r="F494" s="9">
        <v>45383</v>
      </c>
      <c r="G494" s="9">
        <v>46023</v>
      </c>
      <c r="H494" s="10">
        <v>22</v>
      </c>
      <c r="I494" s="10" t="s">
        <v>245</v>
      </c>
      <c r="J494" s="10" t="s">
        <v>247</v>
      </c>
      <c r="K494" s="10" t="s">
        <v>248</v>
      </c>
      <c r="L494" s="10">
        <v>1</v>
      </c>
    </row>
    <row r="495" spans="1:12" x14ac:dyDescent="0.2">
      <c r="A495" s="10" t="s">
        <v>718</v>
      </c>
      <c r="D495" s="10" t="s">
        <v>246</v>
      </c>
      <c r="E495" s="18" t="s">
        <v>966</v>
      </c>
      <c r="F495" s="9">
        <v>45383</v>
      </c>
      <c r="G495" s="9">
        <v>46023</v>
      </c>
      <c r="H495" s="10">
        <v>22</v>
      </c>
      <c r="I495" s="10" t="s">
        <v>245</v>
      </c>
      <c r="J495" s="10" t="s">
        <v>247</v>
      </c>
      <c r="K495" s="10" t="s">
        <v>248</v>
      </c>
      <c r="L495" s="10">
        <v>1</v>
      </c>
    </row>
    <row r="496" spans="1:12" x14ac:dyDescent="0.2">
      <c r="A496" s="10" t="s">
        <v>719</v>
      </c>
      <c r="D496" s="10" t="s">
        <v>246</v>
      </c>
      <c r="E496" s="18" t="s">
        <v>967</v>
      </c>
      <c r="F496" s="9">
        <v>45383</v>
      </c>
      <c r="G496" s="9">
        <v>46023</v>
      </c>
      <c r="H496" s="10">
        <v>22</v>
      </c>
      <c r="I496" s="10" t="s">
        <v>245</v>
      </c>
      <c r="J496" s="10" t="s">
        <v>247</v>
      </c>
      <c r="K496" s="10" t="s">
        <v>248</v>
      </c>
      <c r="L496" s="10">
        <v>1</v>
      </c>
    </row>
    <row r="497" spans="1:12" x14ac:dyDescent="0.2">
      <c r="A497" s="10" t="s">
        <v>720</v>
      </c>
      <c r="D497" s="10" t="s">
        <v>246</v>
      </c>
      <c r="E497" s="18" t="s">
        <v>968</v>
      </c>
      <c r="F497" s="9">
        <v>45383</v>
      </c>
      <c r="G497" s="9">
        <v>46023</v>
      </c>
      <c r="H497" s="10">
        <v>22</v>
      </c>
      <c r="I497" s="10" t="s">
        <v>245</v>
      </c>
      <c r="J497" s="10" t="s">
        <v>247</v>
      </c>
      <c r="K497" s="10" t="s">
        <v>248</v>
      </c>
      <c r="L497" s="10">
        <v>1</v>
      </c>
    </row>
    <row r="498" spans="1:12" x14ac:dyDescent="0.2">
      <c r="A498" s="10" t="s">
        <v>721</v>
      </c>
      <c r="D498" s="10" t="s">
        <v>246</v>
      </c>
      <c r="E498" s="18" t="s">
        <v>969</v>
      </c>
      <c r="F498" s="9">
        <v>45383</v>
      </c>
      <c r="G498" s="9">
        <v>46023</v>
      </c>
      <c r="H498" s="10">
        <v>22</v>
      </c>
      <c r="I498" s="10" t="s">
        <v>245</v>
      </c>
      <c r="J498" s="10" t="s">
        <v>247</v>
      </c>
      <c r="K498" s="10" t="s">
        <v>248</v>
      </c>
      <c r="L498" s="10">
        <v>1</v>
      </c>
    </row>
    <row r="499" spans="1:12" x14ac:dyDescent="0.2">
      <c r="A499" s="10" t="s">
        <v>722</v>
      </c>
      <c r="D499" s="10" t="s">
        <v>246</v>
      </c>
      <c r="E499" s="18" t="s">
        <v>970</v>
      </c>
      <c r="F499" s="9">
        <v>45383</v>
      </c>
      <c r="G499" s="9">
        <v>46023</v>
      </c>
      <c r="H499" s="10">
        <v>22</v>
      </c>
      <c r="I499" s="10" t="s">
        <v>245</v>
      </c>
      <c r="J499" s="10" t="s">
        <v>247</v>
      </c>
      <c r="K499" s="10" t="s">
        <v>248</v>
      </c>
      <c r="L499" s="10">
        <v>1</v>
      </c>
    </row>
    <row r="500" spans="1:12" x14ac:dyDescent="0.2">
      <c r="A500" s="10" t="s">
        <v>723</v>
      </c>
      <c r="D500" s="10" t="s">
        <v>246</v>
      </c>
      <c r="E500" s="18" t="s">
        <v>971</v>
      </c>
      <c r="F500" s="9">
        <v>45383</v>
      </c>
      <c r="G500" s="9">
        <v>46023</v>
      </c>
      <c r="H500" s="10">
        <v>22</v>
      </c>
      <c r="I500" s="10" t="s">
        <v>245</v>
      </c>
      <c r="J500" s="10" t="s">
        <v>247</v>
      </c>
      <c r="K500" s="10" t="s">
        <v>248</v>
      </c>
      <c r="L500" s="10">
        <v>1</v>
      </c>
    </row>
    <row r="501" spans="1:12" x14ac:dyDescent="0.2">
      <c r="A501" s="10" t="s">
        <v>724</v>
      </c>
      <c r="D501" s="10" t="s">
        <v>246</v>
      </c>
      <c r="E501" s="18" t="s">
        <v>972</v>
      </c>
      <c r="F501" s="9">
        <v>45383</v>
      </c>
      <c r="G501" s="9">
        <v>46023</v>
      </c>
      <c r="H501" s="10">
        <v>22</v>
      </c>
      <c r="I501" s="10" t="s">
        <v>245</v>
      </c>
      <c r="J501" s="10" t="s">
        <v>247</v>
      </c>
      <c r="K501" s="10" t="s">
        <v>248</v>
      </c>
      <c r="L501" s="10">
        <v>1</v>
      </c>
    </row>
    <row r="502" spans="1:12" x14ac:dyDescent="0.2">
      <c r="A502" s="10" t="s">
        <v>725</v>
      </c>
      <c r="D502" s="10" t="s">
        <v>246</v>
      </c>
      <c r="E502" s="18" t="s">
        <v>973</v>
      </c>
      <c r="F502" s="9">
        <v>45383</v>
      </c>
      <c r="G502" s="9">
        <v>46023</v>
      </c>
      <c r="H502" s="10">
        <v>22</v>
      </c>
      <c r="I502" s="10" t="s">
        <v>245</v>
      </c>
      <c r="J502" s="10" t="s">
        <v>247</v>
      </c>
      <c r="K502" s="10" t="s">
        <v>248</v>
      </c>
      <c r="L502" s="10">
        <v>1</v>
      </c>
    </row>
    <row r="503" spans="1:12" x14ac:dyDescent="0.2">
      <c r="A503" s="10" t="s">
        <v>726</v>
      </c>
      <c r="D503" s="10" t="s">
        <v>246</v>
      </c>
      <c r="E503" s="18" t="s">
        <v>974</v>
      </c>
      <c r="F503" s="9">
        <v>42979</v>
      </c>
      <c r="G503" s="9">
        <v>46023</v>
      </c>
      <c r="H503" s="10">
        <v>101</v>
      </c>
      <c r="I503" s="10" t="s">
        <v>245</v>
      </c>
      <c r="J503" s="10" t="s">
        <v>247</v>
      </c>
      <c r="K503" s="10" t="s">
        <v>248</v>
      </c>
      <c r="L503" s="10">
        <v>1</v>
      </c>
    </row>
    <row r="504" spans="1:12" x14ac:dyDescent="0.2">
      <c r="A504" s="10" t="s">
        <v>727</v>
      </c>
      <c r="D504" s="10" t="s">
        <v>246</v>
      </c>
      <c r="E504" s="18" t="s">
        <v>975</v>
      </c>
      <c r="F504" s="9">
        <v>45383</v>
      </c>
      <c r="G504" s="9">
        <v>46023</v>
      </c>
      <c r="H504" s="10">
        <v>22</v>
      </c>
      <c r="I504" s="10" t="s">
        <v>245</v>
      </c>
      <c r="J504" s="10" t="s">
        <v>247</v>
      </c>
      <c r="K504" s="10" t="s">
        <v>248</v>
      </c>
      <c r="L504" s="10">
        <v>1</v>
      </c>
    </row>
    <row r="505" spans="1:12" x14ac:dyDescent="0.2">
      <c r="A505" s="10" t="s">
        <v>728</v>
      </c>
      <c r="D505" s="10" t="s">
        <v>246</v>
      </c>
      <c r="E505" s="18" t="s">
        <v>976</v>
      </c>
      <c r="F505" s="9">
        <v>45383</v>
      </c>
      <c r="G505" s="9">
        <v>46023</v>
      </c>
      <c r="H505" s="10">
        <v>22</v>
      </c>
      <c r="I505" s="10" t="s">
        <v>245</v>
      </c>
      <c r="J505" s="10" t="s">
        <v>247</v>
      </c>
      <c r="K505" s="10" t="s">
        <v>248</v>
      </c>
      <c r="L505" s="10">
        <v>1</v>
      </c>
    </row>
    <row r="506" spans="1:12" x14ac:dyDescent="0.2">
      <c r="A506" s="10" t="s">
        <v>729</v>
      </c>
      <c r="D506" s="10" t="s">
        <v>246</v>
      </c>
      <c r="E506" s="18" t="s">
        <v>977</v>
      </c>
      <c r="F506" s="9">
        <v>45383</v>
      </c>
      <c r="G506" s="9">
        <v>46023</v>
      </c>
      <c r="H506" s="10">
        <v>22</v>
      </c>
      <c r="I506" s="10" t="s">
        <v>245</v>
      </c>
      <c r="J506" s="10" t="s">
        <v>247</v>
      </c>
      <c r="K506" s="10" t="s">
        <v>248</v>
      </c>
      <c r="L506" s="10">
        <v>1</v>
      </c>
    </row>
    <row r="507" spans="1:12" x14ac:dyDescent="0.2">
      <c r="A507" s="10" t="s">
        <v>729</v>
      </c>
      <c r="D507" s="10" t="s">
        <v>246</v>
      </c>
      <c r="E507" s="18" t="s">
        <v>978</v>
      </c>
      <c r="F507" s="9">
        <v>45383</v>
      </c>
      <c r="G507" s="9">
        <v>46023</v>
      </c>
      <c r="H507" s="10">
        <v>22</v>
      </c>
      <c r="I507" s="10" t="s">
        <v>245</v>
      </c>
      <c r="J507" s="10" t="s">
        <v>247</v>
      </c>
      <c r="K507" s="10" t="s">
        <v>248</v>
      </c>
      <c r="L507" s="10">
        <v>1</v>
      </c>
    </row>
    <row r="508" spans="1:12" x14ac:dyDescent="0.2">
      <c r="A508" s="10" t="s">
        <v>730</v>
      </c>
      <c r="D508" s="10" t="s">
        <v>246</v>
      </c>
      <c r="E508" s="18" t="s">
        <v>979</v>
      </c>
      <c r="F508" s="9">
        <v>45383</v>
      </c>
      <c r="G508" s="9">
        <v>46023</v>
      </c>
      <c r="H508" s="10">
        <v>22</v>
      </c>
      <c r="I508" s="10" t="s">
        <v>245</v>
      </c>
      <c r="J508" s="10" t="s">
        <v>247</v>
      </c>
      <c r="K508" s="10" t="s">
        <v>248</v>
      </c>
      <c r="L508" s="10">
        <v>1</v>
      </c>
    </row>
    <row r="509" spans="1:12" x14ac:dyDescent="0.2">
      <c r="A509" s="10" t="s">
        <v>730</v>
      </c>
      <c r="D509" s="10" t="s">
        <v>246</v>
      </c>
      <c r="E509" s="18" t="s">
        <v>980</v>
      </c>
      <c r="F509" s="9">
        <v>45383</v>
      </c>
      <c r="G509" s="9">
        <v>46023</v>
      </c>
      <c r="H509" s="10">
        <v>22</v>
      </c>
      <c r="I509" s="10" t="s">
        <v>245</v>
      </c>
      <c r="J509" s="10" t="s">
        <v>247</v>
      </c>
      <c r="K509" s="10" t="s">
        <v>248</v>
      </c>
      <c r="L509" s="10">
        <v>1</v>
      </c>
    </row>
    <row r="510" spans="1:12" x14ac:dyDescent="0.2">
      <c r="A510" s="10" t="s">
        <v>731</v>
      </c>
      <c r="D510" s="10" t="s">
        <v>246</v>
      </c>
      <c r="E510" s="18" t="s">
        <v>981</v>
      </c>
      <c r="F510" s="9">
        <v>44743</v>
      </c>
      <c r="G510" s="9">
        <v>46023</v>
      </c>
      <c r="H510" s="10">
        <v>43</v>
      </c>
      <c r="I510" s="10" t="s">
        <v>245</v>
      </c>
      <c r="J510" s="10" t="s">
        <v>247</v>
      </c>
      <c r="K510" s="10" t="s">
        <v>248</v>
      </c>
      <c r="L510" s="10">
        <v>1</v>
      </c>
    </row>
    <row r="511" spans="1:12" x14ac:dyDescent="0.2">
      <c r="A511" s="10" t="s">
        <v>732</v>
      </c>
      <c r="D511" s="10" t="s">
        <v>246</v>
      </c>
      <c r="E511" s="18" t="s">
        <v>982</v>
      </c>
      <c r="F511" s="9">
        <v>45383</v>
      </c>
      <c r="G511" s="9">
        <v>46023</v>
      </c>
      <c r="H511" s="10">
        <v>22</v>
      </c>
      <c r="I511" s="10" t="s">
        <v>245</v>
      </c>
      <c r="J511" s="10" t="s">
        <v>247</v>
      </c>
      <c r="K511" s="10" t="s">
        <v>248</v>
      </c>
      <c r="L511" s="10">
        <v>1</v>
      </c>
    </row>
    <row r="512" spans="1:12" x14ac:dyDescent="0.2">
      <c r="A512" s="10" t="s">
        <v>983</v>
      </c>
      <c r="D512" s="10" t="s">
        <v>246</v>
      </c>
      <c r="E512" s="18" t="s">
        <v>1219</v>
      </c>
      <c r="F512" s="9">
        <v>45383</v>
      </c>
      <c r="G512" s="9">
        <v>46023</v>
      </c>
      <c r="H512" s="10">
        <v>22</v>
      </c>
      <c r="I512" s="10" t="s">
        <v>245</v>
      </c>
      <c r="J512" s="10" t="s">
        <v>247</v>
      </c>
      <c r="K512" s="10" t="s">
        <v>248</v>
      </c>
      <c r="L512" s="10">
        <v>1</v>
      </c>
    </row>
    <row r="513" spans="1:12" x14ac:dyDescent="0.2">
      <c r="A513" s="10" t="s">
        <v>984</v>
      </c>
      <c r="D513" s="10" t="s">
        <v>246</v>
      </c>
      <c r="E513" s="18" t="s">
        <v>1220</v>
      </c>
      <c r="F513" s="9">
        <v>45383</v>
      </c>
      <c r="G513" s="9">
        <v>46023</v>
      </c>
      <c r="H513" s="10">
        <v>22</v>
      </c>
      <c r="I513" s="10" t="s">
        <v>245</v>
      </c>
      <c r="J513" s="10" t="s">
        <v>247</v>
      </c>
      <c r="K513" s="10" t="s">
        <v>248</v>
      </c>
      <c r="L513" s="10">
        <v>1</v>
      </c>
    </row>
    <row r="514" spans="1:12" x14ac:dyDescent="0.2">
      <c r="A514" s="10" t="s">
        <v>985</v>
      </c>
      <c r="D514" s="10" t="s">
        <v>246</v>
      </c>
      <c r="E514" s="18" t="s">
        <v>1221</v>
      </c>
      <c r="F514" s="9">
        <v>45383</v>
      </c>
      <c r="G514" s="9">
        <v>46023</v>
      </c>
      <c r="H514" s="10">
        <v>22</v>
      </c>
      <c r="I514" s="10" t="s">
        <v>245</v>
      </c>
      <c r="J514" s="10" t="s">
        <v>247</v>
      </c>
      <c r="K514" s="10" t="s">
        <v>248</v>
      </c>
      <c r="L514" s="10">
        <v>1</v>
      </c>
    </row>
    <row r="515" spans="1:12" x14ac:dyDescent="0.2">
      <c r="A515" s="10" t="s">
        <v>986</v>
      </c>
      <c r="D515" s="10" t="s">
        <v>246</v>
      </c>
      <c r="E515" s="18" t="s">
        <v>1222</v>
      </c>
      <c r="F515" s="9">
        <v>45383</v>
      </c>
      <c r="G515" s="9">
        <v>46023</v>
      </c>
      <c r="H515" s="10">
        <v>22</v>
      </c>
      <c r="I515" s="10" t="s">
        <v>245</v>
      </c>
      <c r="J515" s="10" t="s">
        <v>247</v>
      </c>
      <c r="K515" s="10" t="s">
        <v>248</v>
      </c>
      <c r="L515" s="10">
        <v>1</v>
      </c>
    </row>
    <row r="516" spans="1:12" x14ac:dyDescent="0.2">
      <c r="A516" s="10" t="s">
        <v>987</v>
      </c>
      <c r="D516" s="10" t="s">
        <v>246</v>
      </c>
      <c r="E516" s="18" t="s">
        <v>1223</v>
      </c>
      <c r="F516" s="9">
        <v>45383</v>
      </c>
      <c r="G516" s="9">
        <v>46023</v>
      </c>
      <c r="H516" s="10">
        <v>22</v>
      </c>
      <c r="I516" s="10" t="s">
        <v>245</v>
      </c>
      <c r="J516" s="10" t="s">
        <v>247</v>
      </c>
      <c r="K516" s="10" t="s">
        <v>248</v>
      </c>
      <c r="L516" s="10">
        <v>1</v>
      </c>
    </row>
    <row r="517" spans="1:12" x14ac:dyDescent="0.2">
      <c r="A517" s="10" t="s">
        <v>988</v>
      </c>
      <c r="D517" s="10" t="s">
        <v>246</v>
      </c>
      <c r="E517" s="18" t="s">
        <v>1224</v>
      </c>
      <c r="F517" s="9">
        <v>45383</v>
      </c>
      <c r="G517" s="9">
        <v>46023</v>
      </c>
      <c r="H517" s="10">
        <v>22</v>
      </c>
      <c r="I517" s="10" t="s">
        <v>245</v>
      </c>
      <c r="J517" s="10" t="s">
        <v>247</v>
      </c>
      <c r="K517" s="10" t="s">
        <v>248</v>
      </c>
      <c r="L517" s="10">
        <v>1</v>
      </c>
    </row>
    <row r="518" spans="1:12" x14ac:dyDescent="0.2">
      <c r="A518" s="10" t="s">
        <v>989</v>
      </c>
      <c r="D518" s="10" t="s">
        <v>246</v>
      </c>
      <c r="E518" s="18" t="s">
        <v>1225</v>
      </c>
      <c r="F518" s="9">
        <v>45383</v>
      </c>
      <c r="G518" s="9">
        <v>46023</v>
      </c>
      <c r="H518" s="10">
        <v>22</v>
      </c>
      <c r="I518" s="10" t="s">
        <v>245</v>
      </c>
      <c r="J518" s="10" t="s">
        <v>247</v>
      </c>
      <c r="K518" s="10" t="s">
        <v>248</v>
      </c>
      <c r="L518" s="10">
        <v>1</v>
      </c>
    </row>
    <row r="519" spans="1:12" x14ac:dyDescent="0.2">
      <c r="A519" s="10" t="s">
        <v>990</v>
      </c>
      <c r="D519" s="10" t="s">
        <v>246</v>
      </c>
      <c r="E519" s="18" t="s">
        <v>1226</v>
      </c>
      <c r="F519" s="9">
        <v>42979</v>
      </c>
      <c r="G519" s="9">
        <v>46023</v>
      </c>
      <c r="H519" s="10">
        <v>101</v>
      </c>
      <c r="I519" s="10" t="s">
        <v>245</v>
      </c>
      <c r="J519" s="10" t="s">
        <v>247</v>
      </c>
      <c r="K519" s="10" t="s">
        <v>248</v>
      </c>
      <c r="L519" s="10">
        <v>1</v>
      </c>
    </row>
    <row r="520" spans="1:12" x14ac:dyDescent="0.2">
      <c r="A520" s="10" t="s">
        <v>991</v>
      </c>
      <c r="D520" s="10" t="s">
        <v>246</v>
      </c>
      <c r="E520" s="18" t="s">
        <v>1227</v>
      </c>
      <c r="F520" s="9">
        <v>42979</v>
      </c>
      <c r="G520" s="9">
        <v>46023</v>
      </c>
      <c r="H520" s="10">
        <v>101</v>
      </c>
      <c r="I520" s="10" t="s">
        <v>245</v>
      </c>
      <c r="J520" s="10" t="s">
        <v>247</v>
      </c>
      <c r="K520" s="10" t="s">
        <v>248</v>
      </c>
      <c r="L520" s="10">
        <v>1</v>
      </c>
    </row>
    <row r="521" spans="1:12" x14ac:dyDescent="0.2">
      <c r="A521" s="10" t="s">
        <v>992</v>
      </c>
      <c r="D521" s="10" t="s">
        <v>246</v>
      </c>
      <c r="E521" s="18" t="s">
        <v>1228</v>
      </c>
      <c r="F521" s="9">
        <v>42979</v>
      </c>
      <c r="G521" s="9">
        <v>46023</v>
      </c>
      <c r="H521" s="10">
        <v>101</v>
      </c>
      <c r="I521" s="10" t="s">
        <v>245</v>
      </c>
      <c r="J521" s="10" t="s">
        <v>247</v>
      </c>
      <c r="K521" s="10" t="s">
        <v>248</v>
      </c>
      <c r="L521" s="10">
        <v>1</v>
      </c>
    </row>
    <row r="522" spans="1:12" x14ac:dyDescent="0.2">
      <c r="A522" s="10" t="s">
        <v>993</v>
      </c>
      <c r="D522" s="10" t="s">
        <v>246</v>
      </c>
      <c r="E522" s="18" t="s">
        <v>1229</v>
      </c>
      <c r="F522" s="9">
        <v>45383</v>
      </c>
      <c r="G522" s="9">
        <v>46023</v>
      </c>
      <c r="H522" s="10">
        <v>22</v>
      </c>
      <c r="I522" s="10" t="s">
        <v>245</v>
      </c>
      <c r="J522" s="10" t="s">
        <v>247</v>
      </c>
      <c r="K522" s="10" t="s">
        <v>248</v>
      </c>
      <c r="L522" s="10">
        <v>1</v>
      </c>
    </row>
    <row r="523" spans="1:12" x14ac:dyDescent="0.2">
      <c r="A523" s="10" t="s">
        <v>994</v>
      </c>
      <c r="D523" s="10" t="s">
        <v>246</v>
      </c>
      <c r="E523" s="18" t="s">
        <v>1230</v>
      </c>
      <c r="F523" s="9">
        <v>45383</v>
      </c>
      <c r="G523" s="9">
        <v>46023</v>
      </c>
      <c r="H523" s="10">
        <v>22</v>
      </c>
      <c r="I523" s="10" t="s">
        <v>245</v>
      </c>
      <c r="J523" s="10" t="s">
        <v>247</v>
      </c>
      <c r="K523" s="10" t="s">
        <v>248</v>
      </c>
      <c r="L523" s="10">
        <v>1</v>
      </c>
    </row>
    <row r="524" spans="1:12" x14ac:dyDescent="0.2">
      <c r="A524" s="10" t="s">
        <v>995</v>
      </c>
      <c r="D524" s="10" t="s">
        <v>246</v>
      </c>
      <c r="E524" s="18" t="s">
        <v>1231</v>
      </c>
      <c r="F524" s="9">
        <v>45383</v>
      </c>
      <c r="G524" s="9">
        <v>46023</v>
      </c>
      <c r="H524" s="10">
        <v>22</v>
      </c>
      <c r="I524" s="10" t="s">
        <v>245</v>
      </c>
      <c r="J524" s="10" t="s">
        <v>247</v>
      </c>
      <c r="K524" s="10" t="s">
        <v>248</v>
      </c>
      <c r="L524" s="10">
        <v>1</v>
      </c>
    </row>
    <row r="525" spans="1:12" x14ac:dyDescent="0.2">
      <c r="A525" s="10" t="s">
        <v>996</v>
      </c>
      <c r="D525" s="10" t="s">
        <v>246</v>
      </c>
      <c r="E525" s="18" t="s">
        <v>1232</v>
      </c>
      <c r="F525" s="9">
        <v>42979</v>
      </c>
      <c r="G525" s="9">
        <v>46023</v>
      </c>
      <c r="H525" s="10">
        <v>101</v>
      </c>
      <c r="I525" s="10" t="s">
        <v>245</v>
      </c>
      <c r="J525" s="10" t="s">
        <v>247</v>
      </c>
      <c r="K525" s="10" t="s">
        <v>248</v>
      </c>
      <c r="L525" s="10">
        <v>1</v>
      </c>
    </row>
    <row r="526" spans="1:12" x14ac:dyDescent="0.2">
      <c r="A526" s="10" t="s">
        <v>997</v>
      </c>
      <c r="D526" s="10" t="s">
        <v>246</v>
      </c>
      <c r="E526" s="18" t="s">
        <v>1233</v>
      </c>
      <c r="F526" s="9">
        <v>45383</v>
      </c>
      <c r="G526" s="9">
        <v>46023</v>
      </c>
      <c r="H526" s="10">
        <v>22</v>
      </c>
      <c r="I526" s="10" t="s">
        <v>245</v>
      </c>
      <c r="J526" s="10" t="s">
        <v>247</v>
      </c>
      <c r="K526" s="10" t="s">
        <v>248</v>
      </c>
      <c r="L526" s="10">
        <v>1</v>
      </c>
    </row>
    <row r="527" spans="1:12" x14ac:dyDescent="0.2">
      <c r="A527" s="10" t="s">
        <v>998</v>
      </c>
      <c r="D527" s="10" t="s">
        <v>246</v>
      </c>
      <c r="E527" s="18" t="s">
        <v>1234</v>
      </c>
      <c r="F527" s="9">
        <v>45383</v>
      </c>
      <c r="G527" s="9">
        <v>46023</v>
      </c>
      <c r="H527" s="10">
        <v>22</v>
      </c>
      <c r="I527" s="10" t="s">
        <v>245</v>
      </c>
      <c r="J527" s="10" t="s">
        <v>247</v>
      </c>
      <c r="K527" s="10" t="s">
        <v>248</v>
      </c>
      <c r="L527" s="10">
        <v>1</v>
      </c>
    </row>
    <row r="528" spans="1:12" x14ac:dyDescent="0.2">
      <c r="A528" s="10" t="s">
        <v>999</v>
      </c>
      <c r="D528" s="10" t="s">
        <v>246</v>
      </c>
      <c r="E528" s="18" t="s">
        <v>1235</v>
      </c>
      <c r="F528" s="9">
        <v>45383</v>
      </c>
      <c r="G528" s="9">
        <v>46023</v>
      </c>
      <c r="H528" s="10">
        <v>22</v>
      </c>
      <c r="I528" s="10" t="s">
        <v>245</v>
      </c>
      <c r="J528" s="10" t="s">
        <v>247</v>
      </c>
      <c r="K528" s="10" t="s">
        <v>248</v>
      </c>
      <c r="L528" s="10">
        <v>1</v>
      </c>
    </row>
    <row r="529" spans="1:12" x14ac:dyDescent="0.2">
      <c r="A529" s="10" t="s">
        <v>1000</v>
      </c>
      <c r="D529" s="10" t="s">
        <v>246</v>
      </c>
      <c r="E529" s="18" t="s">
        <v>1236</v>
      </c>
      <c r="F529" s="9">
        <v>45383</v>
      </c>
      <c r="G529" s="9">
        <v>46023</v>
      </c>
      <c r="H529" s="10">
        <v>22</v>
      </c>
      <c r="I529" s="10" t="s">
        <v>245</v>
      </c>
      <c r="J529" s="10" t="s">
        <v>247</v>
      </c>
      <c r="K529" s="10" t="s">
        <v>248</v>
      </c>
      <c r="L529" s="10">
        <v>1</v>
      </c>
    </row>
    <row r="530" spans="1:12" x14ac:dyDescent="0.2">
      <c r="A530" s="10" t="s">
        <v>1000</v>
      </c>
      <c r="D530" s="10" t="s">
        <v>246</v>
      </c>
      <c r="E530" s="18" t="s">
        <v>1237</v>
      </c>
      <c r="F530" s="9">
        <v>45383</v>
      </c>
      <c r="G530" s="9">
        <v>46023</v>
      </c>
      <c r="H530" s="10">
        <v>22</v>
      </c>
      <c r="I530" s="10" t="s">
        <v>245</v>
      </c>
      <c r="J530" s="10" t="s">
        <v>247</v>
      </c>
      <c r="K530" s="10" t="s">
        <v>248</v>
      </c>
      <c r="L530" s="10">
        <v>1</v>
      </c>
    </row>
    <row r="531" spans="1:12" x14ac:dyDescent="0.2">
      <c r="A531" s="10" t="s">
        <v>1001</v>
      </c>
      <c r="D531" s="10" t="s">
        <v>246</v>
      </c>
      <c r="E531" s="18" t="s">
        <v>1238</v>
      </c>
      <c r="F531" s="9">
        <v>45383</v>
      </c>
      <c r="G531" s="9">
        <v>46023</v>
      </c>
      <c r="H531" s="10">
        <v>22</v>
      </c>
      <c r="I531" s="10" t="s">
        <v>245</v>
      </c>
      <c r="J531" s="10" t="s">
        <v>247</v>
      </c>
      <c r="K531" s="10" t="s">
        <v>248</v>
      </c>
      <c r="L531" s="10">
        <v>1</v>
      </c>
    </row>
    <row r="532" spans="1:12" x14ac:dyDescent="0.2">
      <c r="A532" s="10" t="s">
        <v>1002</v>
      </c>
      <c r="D532" s="10" t="s">
        <v>246</v>
      </c>
      <c r="E532" s="18" t="s">
        <v>1239</v>
      </c>
      <c r="F532" s="9">
        <v>42979</v>
      </c>
      <c r="G532" s="9">
        <v>46023</v>
      </c>
      <c r="H532" s="10">
        <v>101</v>
      </c>
      <c r="I532" s="10" t="s">
        <v>245</v>
      </c>
      <c r="J532" s="10" t="s">
        <v>247</v>
      </c>
      <c r="K532" s="10" t="s">
        <v>248</v>
      </c>
      <c r="L532" s="10">
        <v>1</v>
      </c>
    </row>
    <row r="533" spans="1:12" x14ac:dyDescent="0.2">
      <c r="A533" s="10" t="s">
        <v>1003</v>
      </c>
      <c r="D533" s="10" t="s">
        <v>246</v>
      </c>
      <c r="E533" s="18" t="s">
        <v>1240</v>
      </c>
      <c r="F533" s="9">
        <v>42979</v>
      </c>
      <c r="G533" s="9">
        <v>46023</v>
      </c>
      <c r="H533" s="10">
        <v>101</v>
      </c>
      <c r="I533" s="10" t="s">
        <v>245</v>
      </c>
      <c r="J533" s="10" t="s">
        <v>247</v>
      </c>
      <c r="K533" s="10" t="s">
        <v>248</v>
      </c>
      <c r="L533" s="10">
        <v>1</v>
      </c>
    </row>
    <row r="534" spans="1:12" x14ac:dyDescent="0.2">
      <c r="A534" s="10" t="s">
        <v>1004</v>
      </c>
      <c r="D534" s="10" t="s">
        <v>246</v>
      </c>
      <c r="E534" s="18" t="s">
        <v>1241</v>
      </c>
      <c r="F534" s="9">
        <v>45383</v>
      </c>
      <c r="G534" s="9">
        <v>46023</v>
      </c>
      <c r="H534" s="10">
        <v>22</v>
      </c>
      <c r="I534" s="10" t="s">
        <v>245</v>
      </c>
      <c r="J534" s="10" t="s">
        <v>247</v>
      </c>
      <c r="K534" s="10" t="s">
        <v>248</v>
      </c>
      <c r="L534" s="10">
        <v>1</v>
      </c>
    </row>
    <row r="535" spans="1:12" x14ac:dyDescent="0.2">
      <c r="A535" s="10" t="s">
        <v>1005</v>
      </c>
      <c r="D535" s="10" t="s">
        <v>246</v>
      </c>
      <c r="E535" s="18" t="s">
        <v>1242</v>
      </c>
      <c r="F535" s="9">
        <v>45383</v>
      </c>
      <c r="G535" s="9">
        <v>46023</v>
      </c>
      <c r="H535" s="10">
        <v>22</v>
      </c>
      <c r="I535" s="10" t="s">
        <v>245</v>
      </c>
      <c r="J535" s="10" t="s">
        <v>247</v>
      </c>
      <c r="K535" s="10" t="s">
        <v>248</v>
      </c>
      <c r="L535" s="10">
        <v>1</v>
      </c>
    </row>
    <row r="536" spans="1:12" x14ac:dyDescent="0.2">
      <c r="A536" s="10" t="s">
        <v>1005</v>
      </c>
      <c r="D536" s="10" t="s">
        <v>246</v>
      </c>
      <c r="E536" s="18" t="s">
        <v>1243</v>
      </c>
      <c r="F536" s="9">
        <v>45383</v>
      </c>
      <c r="G536" s="9">
        <v>46023</v>
      </c>
      <c r="H536" s="10">
        <v>22</v>
      </c>
      <c r="I536" s="10" t="s">
        <v>245</v>
      </c>
      <c r="J536" s="10" t="s">
        <v>247</v>
      </c>
      <c r="K536" s="10" t="s">
        <v>248</v>
      </c>
      <c r="L536" s="10">
        <v>1</v>
      </c>
    </row>
    <row r="537" spans="1:12" x14ac:dyDescent="0.2">
      <c r="A537" s="10" t="s">
        <v>1006</v>
      </c>
      <c r="D537" s="10" t="s">
        <v>246</v>
      </c>
      <c r="E537" s="18" t="s">
        <v>1244</v>
      </c>
      <c r="F537" s="9">
        <v>42979</v>
      </c>
      <c r="G537" s="9">
        <v>46023</v>
      </c>
      <c r="H537" s="10">
        <v>101</v>
      </c>
      <c r="I537" s="10" t="s">
        <v>245</v>
      </c>
      <c r="J537" s="10" t="s">
        <v>247</v>
      </c>
      <c r="K537" s="10" t="s">
        <v>248</v>
      </c>
      <c r="L537" s="10">
        <v>1</v>
      </c>
    </row>
    <row r="538" spans="1:12" x14ac:dyDescent="0.2">
      <c r="A538" s="10" t="s">
        <v>1007</v>
      </c>
      <c r="D538" s="10" t="s">
        <v>246</v>
      </c>
      <c r="E538" s="18" t="s">
        <v>1245</v>
      </c>
      <c r="F538" s="9">
        <v>42979</v>
      </c>
      <c r="G538" s="9">
        <v>46023</v>
      </c>
      <c r="H538" s="10">
        <v>101</v>
      </c>
      <c r="I538" s="10" t="s">
        <v>245</v>
      </c>
      <c r="J538" s="10" t="s">
        <v>247</v>
      </c>
      <c r="K538" s="10" t="s">
        <v>248</v>
      </c>
      <c r="L538" s="10">
        <v>1</v>
      </c>
    </row>
    <row r="539" spans="1:12" x14ac:dyDescent="0.2">
      <c r="A539" s="10" t="s">
        <v>1008</v>
      </c>
      <c r="D539" s="10" t="s">
        <v>246</v>
      </c>
      <c r="E539" s="18" t="s">
        <v>1246</v>
      </c>
      <c r="F539" s="9">
        <v>42979</v>
      </c>
      <c r="G539" s="9">
        <v>46023</v>
      </c>
      <c r="H539" s="10">
        <v>101</v>
      </c>
      <c r="I539" s="10" t="s">
        <v>245</v>
      </c>
      <c r="J539" s="10" t="s">
        <v>247</v>
      </c>
      <c r="K539" s="10" t="s">
        <v>248</v>
      </c>
      <c r="L539" s="10">
        <v>1</v>
      </c>
    </row>
    <row r="540" spans="1:12" x14ac:dyDescent="0.2">
      <c r="A540" s="10" t="s">
        <v>1009</v>
      </c>
      <c r="D540" s="10" t="s">
        <v>246</v>
      </c>
      <c r="E540" s="18" t="s">
        <v>1247</v>
      </c>
      <c r="F540" s="9">
        <v>45383</v>
      </c>
      <c r="G540" s="9">
        <v>46023</v>
      </c>
      <c r="H540" s="10">
        <v>22</v>
      </c>
      <c r="I540" s="10" t="s">
        <v>245</v>
      </c>
      <c r="J540" s="10" t="s">
        <v>247</v>
      </c>
      <c r="K540" s="10" t="s">
        <v>248</v>
      </c>
      <c r="L540" s="10">
        <v>1</v>
      </c>
    </row>
    <row r="541" spans="1:12" x14ac:dyDescent="0.2">
      <c r="A541" s="10" t="s">
        <v>1010</v>
      </c>
      <c r="D541" s="10" t="s">
        <v>246</v>
      </c>
      <c r="E541" s="18" t="s">
        <v>1248</v>
      </c>
      <c r="F541" s="9">
        <v>45383</v>
      </c>
      <c r="G541" s="9">
        <v>46023</v>
      </c>
      <c r="H541" s="10">
        <v>22</v>
      </c>
      <c r="I541" s="10" t="s">
        <v>245</v>
      </c>
      <c r="J541" s="10" t="s">
        <v>247</v>
      </c>
      <c r="K541" s="10" t="s">
        <v>248</v>
      </c>
      <c r="L541" s="10">
        <v>1</v>
      </c>
    </row>
    <row r="542" spans="1:12" x14ac:dyDescent="0.2">
      <c r="A542" s="10" t="s">
        <v>1011</v>
      </c>
      <c r="D542" s="10" t="s">
        <v>246</v>
      </c>
      <c r="E542" s="18" t="s">
        <v>1249</v>
      </c>
      <c r="F542" s="9">
        <v>42979</v>
      </c>
      <c r="G542" s="9">
        <v>46023</v>
      </c>
      <c r="H542" s="10">
        <v>101</v>
      </c>
      <c r="I542" s="10" t="s">
        <v>245</v>
      </c>
      <c r="J542" s="10" t="s">
        <v>247</v>
      </c>
      <c r="K542" s="10" t="s">
        <v>248</v>
      </c>
      <c r="L542" s="10">
        <v>1</v>
      </c>
    </row>
    <row r="543" spans="1:12" x14ac:dyDescent="0.2">
      <c r="A543" s="10" t="s">
        <v>1012</v>
      </c>
      <c r="D543" s="10" t="s">
        <v>246</v>
      </c>
      <c r="E543" s="18" t="s">
        <v>1250</v>
      </c>
      <c r="F543" s="9">
        <v>42979</v>
      </c>
      <c r="G543" s="9">
        <v>46023</v>
      </c>
      <c r="H543" s="10">
        <v>101</v>
      </c>
      <c r="I543" s="10" t="s">
        <v>245</v>
      </c>
      <c r="J543" s="10" t="s">
        <v>247</v>
      </c>
      <c r="K543" s="10" t="s">
        <v>248</v>
      </c>
      <c r="L543" s="10">
        <v>1</v>
      </c>
    </row>
    <row r="544" spans="1:12" x14ac:dyDescent="0.2">
      <c r="A544" s="10" t="s">
        <v>1013</v>
      </c>
      <c r="D544" s="10" t="s">
        <v>246</v>
      </c>
      <c r="E544" s="18" t="s">
        <v>1251</v>
      </c>
      <c r="F544" s="9">
        <v>42979</v>
      </c>
      <c r="G544" s="9">
        <v>46023</v>
      </c>
      <c r="H544" s="10">
        <v>101</v>
      </c>
      <c r="I544" s="10" t="s">
        <v>245</v>
      </c>
      <c r="J544" s="10" t="s">
        <v>247</v>
      </c>
      <c r="K544" s="10" t="s">
        <v>248</v>
      </c>
      <c r="L544" s="10">
        <v>1</v>
      </c>
    </row>
    <row r="545" spans="1:12" x14ac:dyDescent="0.2">
      <c r="A545" s="10" t="s">
        <v>1014</v>
      </c>
      <c r="D545" s="10" t="s">
        <v>246</v>
      </c>
      <c r="E545" s="18" t="s">
        <v>1252</v>
      </c>
      <c r="F545" s="9">
        <v>42979</v>
      </c>
      <c r="G545" s="9">
        <v>46023</v>
      </c>
      <c r="H545" s="10">
        <v>101</v>
      </c>
      <c r="I545" s="10" t="s">
        <v>245</v>
      </c>
      <c r="J545" s="10" t="s">
        <v>247</v>
      </c>
      <c r="K545" s="10" t="s">
        <v>248</v>
      </c>
      <c r="L545" s="10">
        <v>1</v>
      </c>
    </row>
    <row r="546" spans="1:12" x14ac:dyDescent="0.2">
      <c r="A546" s="10" t="s">
        <v>1015</v>
      </c>
      <c r="D546" s="10" t="s">
        <v>246</v>
      </c>
      <c r="E546" s="18" t="s">
        <v>1253</v>
      </c>
      <c r="F546" s="9">
        <v>42979</v>
      </c>
      <c r="G546" s="9">
        <v>46023</v>
      </c>
      <c r="H546" s="10">
        <v>101</v>
      </c>
      <c r="I546" s="10" t="s">
        <v>245</v>
      </c>
      <c r="J546" s="10" t="s">
        <v>247</v>
      </c>
      <c r="K546" s="10" t="s">
        <v>248</v>
      </c>
      <c r="L546" s="10">
        <v>1</v>
      </c>
    </row>
    <row r="547" spans="1:12" x14ac:dyDescent="0.2">
      <c r="A547" s="10" t="s">
        <v>1016</v>
      </c>
      <c r="D547" s="10" t="s">
        <v>246</v>
      </c>
      <c r="E547" s="18" t="s">
        <v>1254</v>
      </c>
      <c r="F547" s="9">
        <v>42979</v>
      </c>
      <c r="G547" s="9">
        <v>46023</v>
      </c>
      <c r="H547" s="10">
        <v>101</v>
      </c>
      <c r="I547" s="10" t="s">
        <v>245</v>
      </c>
      <c r="J547" s="10" t="s">
        <v>247</v>
      </c>
      <c r="K547" s="10" t="s">
        <v>248</v>
      </c>
      <c r="L547" s="10">
        <v>1</v>
      </c>
    </row>
    <row r="548" spans="1:12" x14ac:dyDescent="0.2">
      <c r="A548" s="10" t="s">
        <v>1017</v>
      </c>
      <c r="D548" s="10" t="s">
        <v>246</v>
      </c>
      <c r="E548" s="18" t="s">
        <v>1255</v>
      </c>
      <c r="F548" s="9">
        <v>42979</v>
      </c>
      <c r="G548" s="9">
        <v>46023</v>
      </c>
      <c r="H548" s="10">
        <v>101</v>
      </c>
      <c r="I548" s="10" t="s">
        <v>245</v>
      </c>
      <c r="J548" s="10" t="s">
        <v>247</v>
      </c>
      <c r="K548" s="10" t="s">
        <v>248</v>
      </c>
      <c r="L548" s="10">
        <v>1</v>
      </c>
    </row>
    <row r="549" spans="1:12" x14ac:dyDescent="0.2">
      <c r="A549" s="10" t="s">
        <v>1018</v>
      </c>
      <c r="D549" s="10" t="s">
        <v>246</v>
      </c>
      <c r="E549" s="18" t="s">
        <v>1256</v>
      </c>
      <c r="F549" s="9">
        <v>42979</v>
      </c>
      <c r="G549" s="9">
        <v>46023</v>
      </c>
      <c r="H549" s="10">
        <v>101</v>
      </c>
      <c r="I549" s="10" t="s">
        <v>245</v>
      </c>
      <c r="J549" s="10" t="s">
        <v>247</v>
      </c>
      <c r="K549" s="10" t="s">
        <v>248</v>
      </c>
      <c r="L549" s="10">
        <v>1</v>
      </c>
    </row>
    <row r="550" spans="1:12" x14ac:dyDescent="0.2">
      <c r="A550" s="10" t="s">
        <v>1019</v>
      </c>
      <c r="D550" s="10" t="s">
        <v>246</v>
      </c>
      <c r="E550" s="18" t="s">
        <v>1257</v>
      </c>
      <c r="F550" s="9">
        <v>42979</v>
      </c>
      <c r="G550" s="9">
        <v>46023</v>
      </c>
      <c r="H550" s="10">
        <v>101</v>
      </c>
      <c r="I550" s="10" t="s">
        <v>245</v>
      </c>
      <c r="J550" s="10" t="s">
        <v>247</v>
      </c>
      <c r="K550" s="10" t="s">
        <v>248</v>
      </c>
      <c r="L550" s="10">
        <v>1</v>
      </c>
    </row>
    <row r="551" spans="1:12" x14ac:dyDescent="0.2">
      <c r="A551" s="10" t="s">
        <v>1020</v>
      </c>
      <c r="D551" s="10" t="s">
        <v>246</v>
      </c>
      <c r="E551" s="18" t="s">
        <v>1258</v>
      </c>
      <c r="F551" s="9">
        <v>42979</v>
      </c>
      <c r="G551" s="9">
        <v>46023</v>
      </c>
      <c r="H551" s="10">
        <v>101</v>
      </c>
      <c r="I551" s="10" t="s">
        <v>245</v>
      </c>
      <c r="J551" s="10" t="s">
        <v>247</v>
      </c>
      <c r="K551" s="10" t="s">
        <v>248</v>
      </c>
      <c r="L551" s="10">
        <v>1</v>
      </c>
    </row>
    <row r="552" spans="1:12" x14ac:dyDescent="0.2">
      <c r="A552" s="10" t="s">
        <v>1021</v>
      </c>
      <c r="D552" s="10" t="s">
        <v>246</v>
      </c>
      <c r="E552" s="18" t="s">
        <v>1259</v>
      </c>
      <c r="F552" s="9">
        <v>42979</v>
      </c>
      <c r="G552" s="9">
        <v>46023</v>
      </c>
      <c r="H552" s="10">
        <v>101</v>
      </c>
      <c r="I552" s="10" t="s">
        <v>245</v>
      </c>
      <c r="J552" s="10" t="s">
        <v>247</v>
      </c>
      <c r="K552" s="10" t="s">
        <v>248</v>
      </c>
      <c r="L552" s="10">
        <v>1</v>
      </c>
    </row>
    <row r="553" spans="1:12" x14ac:dyDescent="0.2">
      <c r="A553" s="10" t="s">
        <v>1022</v>
      </c>
      <c r="D553" s="10" t="s">
        <v>246</v>
      </c>
      <c r="E553" s="18" t="s">
        <v>1260</v>
      </c>
      <c r="F553" s="9">
        <v>42979</v>
      </c>
      <c r="G553" s="9">
        <v>46023</v>
      </c>
      <c r="H553" s="10">
        <v>101</v>
      </c>
      <c r="I553" s="10" t="s">
        <v>245</v>
      </c>
      <c r="J553" s="10" t="s">
        <v>247</v>
      </c>
      <c r="K553" s="10" t="s">
        <v>248</v>
      </c>
      <c r="L553" s="10">
        <v>1</v>
      </c>
    </row>
    <row r="554" spans="1:12" x14ac:dyDescent="0.2">
      <c r="A554" s="10" t="s">
        <v>1023</v>
      </c>
      <c r="D554" s="10" t="s">
        <v>246</v>
      </c>
      <c r="E554" s="18" t="s">
        <v>1261</v>
      </c>
      <c r="F554" s="9">
        <v>42979</v>
      </c>
      <c r="G554" s="9">
        <v>46023</v>
      </c>
      <c r="H554" s="10">
        <v>101</v>
      </c>
      <c r="I554" s="10" t="s">
        <v>245</v>
      </c>
      <c r="J554" s="10" t="s">
        <v>247</v>
      </c>
      <c r="K554" s="10" t="s">
        <v>248</v>
      </c>
      <c r="L554" s="10">
        <v>1</v>
      </c>
    </row>
    <row r="555" spans="1:12" x14ac:dyDescent="0.2">
      <c r="A555" s="10" t="s">
        <v>1024</v>
      </c>
      <c r="D555" s="10" t="s">
        <v>246</v>
      </c>
      <c r="E555" s="18" t="s">
        <v>1262</v>
      </c>
      <c r="F555" s="9">
        <v>42979</v>
      </c>
      <c r="G555" s="9">
        <v>46023</v>
      </c>
      <c r="H555" s="10">
        <v>101</v>
      </c>
      <c r="I555" s="10" t="s">
        <v>245</v>
      </c>
      <c r="J555" s="10" t="s">
        <v>247</v>
      </c>
      <c r="K555" s="10" t="s">
        <v>248</v>
      </c>
      <c r="L555" s="10">
        <v>1</v>
      </c>
    </row>
    <row r="556" spans="1:12" x14ac:dyDescent="0.2">
      <c r="A556" s="10" t="s">
        <v>1025</v>
      </c>
      <c r="D556" s="10" t="s">
        <v>246</v>
      </c>
      <c r="E556" s="18" t="s">
        <v>1263</v>
      </c>
      <c r="F556" s="9">
        <v>42979</v>
      </c>
      <c r="G556" s="9">
        <v>46023</v>
      </c>
      <c r="H556" s="10">
        <v>101</v>
      </c>
      <c r="I556" s="10" t="s">
        <v>245</v>
      </c>
      <c r="J556" s="10" t="s">
        <v>247</v>
      </c>
      <c r="K556" s="10" t="s">
        <v>248</v>
      </c>
      <c r="L556" s="10">
        <v>1</v>
      </c>
    </row>
    <row r="557" spans="1:12" x14ac:dyDescent="0.2">
      <c r="A557" s="10" t="s">
        <v>1026</v>
      </c>
      <c r="D557" s="10" t="s">
        <v>246</v>
      </c>
      <c r="E557" s="18" t="s">
        <v>1264</v>
      </c>
      <c r="F557" s="9">
        <v>42979</v>
      </c>
      <c r="G557" s="9">
        <v>46023</v>
      </c>
      <c r="H557" s="10">
        <v>101</v>
      </c>
      <c r="I557" s="10" t="s">
        <v>245</v>
      </c>
      <c r="J557" s="10" t="s">
        <v>247</v>
      </c>
      <c r="K557" s="10" t="s">
        <v>248</v>
      </c>
      <c r="L557" s="10">
        <v>1</v>
      </c>
    </row>
    <row r="558" spans="1:12" x14ac:dyDescent="0.2">
      <c r="A558" s="10" t="s">
        <v>1027</v>
      </c>
      <c r="D558" s="10" t="s">
        <v>246</v>
      </c>
      <c r="E558" s="18" t="s">
        <v>1265</v>
      </c>
      <c r="F558" s="9">
        <v>42979</v>
      </c>
      <c r="G558" s="9">
        <v>46023</v>
      </c>
      <c r="H558" s="10">
        <v>101</v>
      </c>
      <c r="I558" s="10" t="s">
        <v>245</v>
      </c>
      <c r="J558" s="10" t="s">
        <v>247</v>
      </c>
      <c r="K558" s="10" t="s">
        <v>248</v>
      </c>
      <c r="L558" s="10">
        <v>1</v>
      </c>
    </row>
    <row r="559" spans="1:12" x14ac:dyDescent="0.2">
      <c r="A559" s="10" t="s">
        <v>1028</v>
      </c>
      <c r="D559" s="10" t="s">
        <v>246</v>
      </c>
      <c r="E559" s="18" t="s">
        <v>1266</v>
      </c>
      <c r="F559" s="9">
        <v>42979</v>
      </c>
      <c r="G559" s="9">
        <v>46023</v>
      </c>
      <c r="H559" s="10">
        <v>101</v>
      </c>
      <c r="I559" s="10" t="s">
        <v>245</v>
      </c>
      <c r="J559" s="10" t="s">
        <v>247</v>
      </c>
      <c r="K559" s="10" t="s">
        <v>248</v>
      </c>
      <c r="L559" s="10">
        <v>1</v>
      </c>
    </row>
    <row r="560" spans="1:12" x14ac:dyDescent="0.2">
      <c r="A560" s="10" t="s">
        <v>1029</v>
      </c>
      <c r="D560" s="10" t="s">
        <v>246</v>
      </c>
      <c r="E560" s="18" t="s">
        <v>1267</v>
      </c>
      <c r="F560" s="9">
        <v>42979</v>
      </c>
      <c r="G560" s="9">
        <v>46023</v>
      </c>
      <c r="H560" s="10">
        <v>101</v>
      </c>
      <c r="I560" s="10" t="s">
        <v>245</v>
      </c>
      <c r="J560" s="10" t="s">
        <v>247</v>
      </c>
      <c r="K560" s="10" t="s">
        <v>248</v>
      </c>
      <c r="L560" s="10">
        <v>1</v>
      </c>
    </row>
    <row r="561" spans="1:12" x14ac:dyDescent="0.2">
      <c r="A561" s="10" t="s">
        <v>1030</v>
      </c>
      <c r="D561" s="10" t="s">
        <v>246</v>
      </c>
      <c r="E561" s="18" t="s">
        <v>1268</v>
      </c>
      <c r="F561" s="9">
        <v>42979</v>
      </c>
      <c r="G561" s="9">
        <v>46023</v>
      </c>
      <c r="H561" s="10">
        <v>101</v>
      </c>
      <c r="I561" s="10" t="s">
        <v>245</v>
      </c>
      <c r="J561" s="10" t="s">
        <v>247</v>
      </c>
      <c r="K561" s="10" t="s">
        <v>248</v>
      </c>
      <c r="L561" s="10">
        <v>1</v>
      </c>
    </row>
    <row r="562" spans="1:12" x14ac:dyDescent="0.2">
      <c r="A562" s="10" t="s">
        <v>1031</v>
      </c>
      <c r="D562" s="10" t="s">
        <v>246</v>
      </c>
      <c r="E562" s="18" t="s">
        <v>1269</v>
      </c>
      <c r="F562" s="9">
        <v>42979</v>
      </c>
      <c r="G562" s="9">
        <v>46023</v>
      </c>
      <c r="H562" s="10">
        <v>101</v>
      </c>
      <c r="I562" s="10" t="s">
        <v>245</v>
      </c>
      <c r="J562" s="10" t="s">
        <v>247</v>
      </c>
      <c r="K562" s="10" t="s">
        <v>248</v>
      </c>
      <c r="L562" s="10">
        <v>1</v>
      </c>
    </row>
    <row r="563" spans="1:12" x14ac:dyDescent="0.2">
      <c r="A563" s="10" t="s">
        <v>1032</v>
      </c>
      <c r="D563" s="10" t="s">
        <v>246</v>
      </c>
      <c r="E563" s="18" t="s">
        <v>1270</v>
      </c>
      <c r="F563" s="9">
        <v>42979</v>
      </c>
      <c r="G563" s="9">
        <v>46023</v>
      </c>
      <c r="H563" s="10">
        <v>101</v>
      </c>
      <c r="I563" s="10" t="s">
        <v>245</v>
      </c>
      <c r="J563" s="10" t="s">
        <v>247</v>
      </c>
      <c r="K563" s="10" t="s">
        <v>248</v>
      </c>
      <c r="L563" s="10">
        <v>1</v>
      </c>
    </row>
    <row r="564" spans="1:12" x14ac:dyDescent="0.2">
      <c r="A564" s="10" t="s">
        <v>1033</v>
      </c>
      <c r="D564" s="10" t="s">
        <v>246</v>
      </c>
      <c r="E564" s="18" t="s">
        <v>1271</v>
      </c>
      <c r="F564" s="9">
        <v>42979</v>
      </c>
      <c r="G564" s="9">
        <v>46023</v>
      </c>
      <c r="H564" s="10">
        <v>101</v>
      </c>
      <c r="I564" s="10" t="s">
        <v>245</v>
      </c>
      <c r="J564" s="10" t="s">
        <v>247</v>
      </c>
      <c r="K564" s="10" t="s">
        <v>248</v>
      </c>
      <c r="L564" s="10">
        <v>1</v>
      </c>
    </row>
    <row r="565" spans="1:12" x14ac:dyDescent="0.2">
      <c r="A565" s="10" t="s">
        <v>1034</v>
      </c>
      <c r="D565" s="10" t="s">
        <v>246</v>
      </c>
      <c r="E565" s="18" t="s">
        <v>1272</v>
      </c>
      <c r="F565" s="9">
        <v>42979</v>
      </c>
      <c r="G565" s="9">
        <v>46023</v>
      </c>
      <c r="H565" s="10">
        <v>101</v>
      </c>
      <c r="I565" s="10" t="s">
        <v>245</v>
      </c>
      <c r="J565" s="10" t="s">
        <v>247</v>
      </c>
      <c r="K565" s="10" t="s">
        <v>248</v>
      </c>
      <c r="L565" s="10">
        <v>1</v>
      </c>
    </row>
    <row r="566" spans="1:12" x14ac:dyDescent="0.2">
      <c r="A566" s="10" t="s">
        <v>1035</v>
      </c>
      <c r="D566" s="10" t="s">
        <v>246</v>
      </c>
      <c r="E566" s="18" t="s">
        <v>1273</v>
      </c>
      <c r="F566" s="9">
        <v>42979</v>
      </c>
      <c r="G566" s="9">
        <v>46023</v>
      </c>
      <c r="H566" s="10">
        <v>101</v>
      </c>
      <c r="I566" s="10" t="s">
        <v>245</v>
      </c>
      <c r="J566" s="10" t="s">
        <v>247</v>
      </c>
      <c r="K566" s="10" t="s">
        <v>248</v>
      </c>
      <c r="L566" s="10">
        <v>1</v>
      </c>
    </row>
    <row r="567" spans="1:12" x14ac:dyDescent="0.2">
      <c r="A567" s="10" t="s">
        <v>1036</v>
      </c>
      <c r="D567" s="10" t="s">
        <v>246</v>
      </c>
      <c r="E567" s="18" t="s">
        <v>1274</v>
      </c>
      <c r="F567" s="9">
        <v>42979</v>
      </c>
      <c r="G567" s="9">
        <v>46023</v>
      </c>
      <c r="H567" s="10">
        <v>101</v>
      </c>
      <c r="I567" s="10" t="s">
        <v>245</v>
      </c>
      <c r="J567" s="10" t="s">
        <v>247</v>
      </c>
      <c r="K567" s="10" t="s">
        <v>248</v>
      </c>
      <c r="L567" s="10">
        <v>1</v>
      </c>
    </row>
    <row r="568" spans="1:12" x14ac:dyDescent="0.2">
      <c r="A568" s="10" t="s">
        <v>1037</v>
      </c>
      <c r="D568" s="10" t="s">
        <v>246</v>
      </c>
      <c r="E568" s="18" t="s">
        <v>1275</v>
      </c>
      <c r="F568" s="9">
        <v>42979</v>
      </c>
      <c r="G568" s="9">
        <v>46023</v>
      </c>
      <c r="H568" s="10">
        <v>101</v>
      </c>
      <c r="I568" s="10" t="s">
        <v>245</v>
      </c>
      <c r="J568" s="10" t="s">
        <v>247</v>
      </c>
      <c r="K568" s="10" t="s">
        <v>248</v>
      </c>
      <c r="L568" s="10">
        <v>1</v>
      </c>
    </row>
    <row r="569" spans="1:12" x14ac:dyDescent="0.2">
      <c r="A569" s="10" t="s">
        <v>1038</v>
      </c>
      <c r="D569" s="10" t="s">
        <v>246</v>
      </c>
      <c r="E569" s="18" t="s">
        <v>1276</v>
      </c>
      <c r="F569" s="9">
        <v>42979</v>
      </c>
      <c r="G569" s="9">
        <v>46023</v>
      </c>
      <c r="H569" s="10">
        <v>101</v>
      </c>
      <c r="I569" s="10" t="s">
        <v>245</v>
      </c>
      <c r="J569" s="10" t="s">
        <v>247</v>
      </c>
      <c r="K569" s="10" t="s">
        <v>248</v>
      </c>
      <c r="L569" s="10">
        <v>1</v>
      </c>
    </row>
    <row r="570" spans="1:12" x14ac:dyDescent="0.2">
      <c r="A570" s="10" t="s">
        <v>1039</v>
      </c>
      <c r="D570" s="10" t="s">
        <v>246</v>
      </c>
      <c r="E570" s="18" t="s">
        <v>1277</v>
      </c>
      <c r="F570" s="9">
        <v>42979</v>
      </c>
      <c r="G570" s="9">
        <v>46023</v>
      </c>
      <c r="H570" s="10">
        <v>101</v>
      </c>
      <c r="I570" s="10" t="s">
        <v>245</v>
      </c>
      <c r="J570" s="10" t="s">
        <v>247</v>
      </c>
      <c r="K570" s="10" t="s">
        <v>248</v>
      </c>
      <c r="L570" s="10">
        <v>1</v>
      </c>
    </row>
    <row r="571" spans="1:12" x14ac:dyDescent="0.2">
      <c r="A571" s="10" t="s">
        <v>1040</v>
      </c>
      <c r="D571" s="10" t="s">
        <v>246</v>
      </c>
      <c r="E571" s="18" t="s">
        <v>1278</v>
      </c>
      <c r="F571" s="9">
        <v>45383</v>
      </c>
      <c r="G571" s="9">
        <v>46023</v>
      </c>
      <c r="H571" s="10">
        <v>22</v>
      </c>
      <c r="I571" s="10" t="s">
        <v>245</v>
      </c>
      <c r="J571" s="10" t="s">
        <v>247</v>
      </c>
      <c r="K571" s="10" t="s">
        <v>248</v>
      </c>
      <c r="L571" s="10">
        <v>1</v>
      </c>
    </row>
    <row r="572" spans="1:12" x14ac:dyDescent="0.2">
      <c r="A572" s="10" t="s">
        <v>1041</v>
      </c>
      <c r="D572" s="10" t="s">
        <v>246</v>
      </c>
      <c r="E572" s="18" t="s">
        <v>1279</v>
      </c>
      <c r="F572" s="9">
        <v>45383</v>
      </c>
      <c r="G572" s="9">
        <v>46023</v>
      </c>
      <c r="H572" s="10">
        <v>22</v>
      </c>
      <c r="I572" s="10" t="s">
        <v>245</v>
      </c>
      <c r="J572" s="10" t="s">
        <v>247</v>
      </c>
      <c r="K572" s="10" t="s">
        <v>248</v>
      </c>
      <c r="L572" s="10">
        <v>1</v>
      </c>
    </row>
    <row r="573" spans="1:12" x14ac:dyDescent="0.2">
      <c r="A573" s="10" t="s">
        <v>1042</v>
      </c>
      <c r="D573" s="10" t="s">
        <v>246</v>
      </c>
      <c r="E573" s="18" t="s">
        <v>1280</v>
      </c>
      <c r="F573" s="9">
        <v>45383</v>
      </c>
      <c r="G573" s="9">
        <v>46023</v>
      </c>
      <c r="H573" s="10">
        <v>22</v>
      </c>
      <c r="I573" s="10" t="s">
        <v>245</v>
      </c>
      <c r="J573" s="10" t="s">
        <v>247</v>
      </c>
      <c r="K573" s="10" t="s">
        <v>248</v>
      </c>
      <c r="L573" s="10">
        <v>1</v>
      </c>
    </row>
    <row r="574" spans="1:12" x14ac:dyDescent="0.2">
      <c r="A574" s="10" t="s">
        <v>1043</v>
      </c>
      <c r="D574" s="10" t="s">
        <v>246</v>
      </c>
      <c r="E574" s="18" t="s">
        <v>1281</v>
      </c>
      <c r="F574" s="9">
        <v>45383</v>
      </c>
      <c r="G574" s="9">
        <v>46023</v>
      </c>
      <c r="H574" s="10">
        <v>22</v>
      </c>
      <c r="I574" s="10" t="s">
        <v>245</v>
      </c>
      <c r="J574" s="10" t="s">
        <v>247</v>
      </c>
      <c r="K574" s="10" t="s">
        <v>248</v>
      </c>
      <c r="L574" s="10">
        <v>1</v>
      </c>
    </row>
    <row r="575" spans="1:12" x14ac:dyDescent="0.2">
      <c r="A575" s="10" t="s">
        <v>1044</v>
      </c>
      <c r="D575" s="10" t="s">
        <v>246</v>
      </c>
      <c r="E575" s="18" t="s">
        <v>1282</v>
      </c>
      <c r="F575" s="9">
        <v>45383</v>
      </c>
      <c r="G575" s="9">
        <v>46023</v>
      </c>
      <c r="H575" s="10">
        <v>22</v>
      </c>
      <c r="I575" s="10" t="s">
        <v>245</v>
      </c>
      <c r="J575" s="10" t="s">
        <v>247</v>
      </c>
      <c r="K575" s="10" t="s">
        <v>248</v>
      </c>
      <c r="L575" s="10">
        <v>1</v>
      </c>
    </row>
    <row r="576" spans="1:12" x14ac:dyDescent="0.2">
      <c r="A576" s="10" t="s">
        <v>1045</v>
      </c>
      <c r="D576" s="10" t="s">
        <v>246</v>
      </c>
      <c r="E576" s="18" t="s">
        <v>1283</v>
      </c>
      <c r="F576" s="9">
        <v>42979</v>
      </c>
      <c r="G576" s="9">
        <v>46023</v>
      </c>
      <c r="H576" s="10">
        <v>101</v>
      </c>
      <c r="I576" s="10" t="s">
        <v>245</v>
      </c>
      <c r="J576" s="10" t="s">
        <v>247</v>
      </c>
      <c r="K576" s="10" t="s">
        <v>248</v>
      </c>
      <c r="L576" s="10">
        <v>1</v>
      </c>
    </row>
    <row r="577" spans="1:12" x14ac:dyDescent="0.2">
      <c r="A577" s="10" t="s">
        <v>1046</v>
      </c>
      <c r="D577" s="10" t="s">
        <v>246</v>
      </c>
      <c r="E577" s="18" t="s">
        <v>1284</v>
      </c>
      <c r="F577" s="9">
        <v>45383</v>
      </c>
      <c r="G577" s="9">
        <v>46023</v>
      </c>
      <c r="H577" s="10">
        <v>22</v>
      </c>
      <c r="I577" s="10" t="s">
        <v>245</v>
      </c>
      <c r="J577" s="10" t="s">
        <v>247</v>
      </c>
      <c r="K577" s="10" t="s">
        <v>248</v>
      </c>
      <c r="L577" s="10">
        <v>1</v>
      </c>
    </row>
    <row r="578" spans="1:12" x14ac:dyDescent="0.2">
      <c r="A578" s="10" t="s">
        <v>1047</v>
      </c>
      <c r="D578" s="10" t="s">
        <v>246</v>
      </c>
      <c r="E578" s="18" t="s">
        <v>1285</v>
      </c>
      <c r="F578" s="9">
        <v>42979</v>
      </c>
      <c r="G578" s="9">
        <v>46023</v>
      </c>
      <c r="H578" s="10">
        <v>101</v>
      </c>
      <c r="I578" s="10" t="s">
        <v>245</v>
      </c>
      <c r="J578" s="10" t="s">
        <v>247</v>
      </c>
      <c r="K578" s="10" t="s">
        <v>248</v>
      </c>
      <c r="L578" s="10">
        <v>1</v>
      </c>
    </row>
    <row r="579" spans="1:12" x14ac:dyDescent="0.2">
      <c r="A579" s="10" t="s">
        <v>1048</v>
      </c>
      <c r="D579" s="10" t="s">
        <v>246</v>
      </c>
      <c r="E579" s="18" t="s">
        <v>1286</v>
      </c>
      <c r="F579" s="9">
        <v>42979</v>
      </c>
      <c r="G579" s="9">
        <v>46023</v>
      </c>
      <c r="H579" s="10">
        <v>101</v>
      </c>
      <c r="I579" s="10" t="s">
        <v>245</v>
      </c>
      <c r="J579" s="10" t="s">
        <v>247</v>
      </c>
      <c r="K579" s="10" t="s">
        <v>248</v>
      </c>
      <c r="L579" s="10">
        <v>1</v>
      </c>
    </row>
    <row r="580" spans="1:12" x14ac:dyDescent="0.2">
      <c r="A580" s="10" t="s">
        <v>1048</v>
      </c>
      <c r="D580" s="10" t="s">
        <v>246</v>
      </c>
      <c r="E580" s="18" t="s">
        <v>1287</v>
      </c>
      <c r="F580" s="9">
        <v>42979</v>
      </c>
      <c r="G580" s="9">
        <v>46023</v>
      </c>
      <c r="H580" s="10">
        <v>101</v>
      </c>
      <c r="I580" s="10" t="s">
        <v>245</v>
      </c>
      <c r="J580" s="10" t="s">
        <v>247</v>
      </c>
      <c r="K580" s="10" t="s">
        <v>248</v>
      </c>
      <c r="L580" s="10">
        <v>1</v>
      </c>
    </row>
    <row r="581" spans="1:12" x14ac:dyDescent="0.2">
      <c r="A581" s="10" t="s">
        <v>1049</v>
      </c>
      <c r="D581" s="10" t="s">
        <v>246</v>
      </c>
      <c r="E581" s="18" t="s">
        <v>1288</v>
      </c>
      <c r="F581" s="9">
        <v>45383</v>
      </c>
      <c r="G581" s="9">
        <v>46023</v>
      </c>
      <c r="H581" s="10">
        <v>22</v>
      </c>
      <c r="I581" s="10" t="s">
        <v>245</v>
      </c>
      <c r="J581" s="10" t="s">
        <v>247</v>
      </c>
      <c r="K581" s="10" t="s">
        <v>248</v>
      </c>
      <c r="L581" s="10">
        <v>1</v>
      </c>
    </row>
    <row r="582" spans="1:12" x14ac:dyDescent="0.2">
      <c r="A582" s="10" t="s">
        <v>1050</v>
      </c>
      <c r="D582" s="10" t="s">
        <v>246</v>
      </c>
      <c r="E582" s="18" t="s">
        <v>1289</v>
      </c>
      <c r="F582" s="9">
        <v>45383</v>
      </c>
      <c r="G582" s="9">
        <v>46023</v>
      </c>
      <c r="H582" s="10">
        <v>22</v>
      </c>
      <c r="I582" s="10" t="s">
        <v>245</v>
      </c>
      <c r="J582" s="10" t="s">
        <v>247</v>
      </c>
      <c r="K582" s="10" t="s">
        <v>248</v>
      </c>
      <c r="L582" s="10">
        <v>1</v>
      </c>
    </row>
    <row r="583" spans="1:12" x14ac:dyDescent="0.2">
      <c r="A583" s="10" t="s">
        <v>1051</v>
      </c>
      <c r="D583" s="10" t="s">
        <v>246</v>
      </c>
      <c r="E583" s="18" t="s">
        <v>1290</v>
      </c>
      <c r="F583" s="9">
        <v>45383</v>
      </c>
      <c r="G583" s="9">
        <v>46023</v>
      </c>
      <c r="H583" s="10">
        <v>22</v>
      </c>
      <c r="I583" s="10" t="s">
        <v>245</v>
      </c>
      <c r="J583" s="10" t="s">
        <v>247</v>
      </c>
      <c r="K583" s="10" t="s">
        <v>248</v>
      </c>
      <c r="L583" s="10">
        <v>1</v>
      </c>
    </row>
    <row r="584" spans="1:12" x14ac:dyDescent="0.2">
      <c r="A584" s="10" t="s">
        <v>1052</v>
      </c>
      <c r="D584" s="10" t="s">
        <v>246</v>
      </c>
      <c r="E584" s="18" t="s">
        <v>1291</v>
      </c>
      <c r="F584" s="9">
        <v>45383</v>
      </c>
      <c r="G584" s="9">
        <v>46023</v>
      </c>
      <c r="H584" s="10">
        <v>22</v>
      </c>
      <c r="I584" s="10" t="s">
        <v>245</v>
      </c>
      <c r="J584" s="10" t="s">
        <v>247</v>
      </c>
      <c r="K584" s="10" t="s">
        <v>248</v>
      </c>
      <c r="L584" s="10">
        <v>1</v>
      </c>
    </row>
    <row r="585" spans="1:12" x14ac:dyDescent="0.2">
      <c r="A585" s="10" t="s">
        <v>1053</v>
      </c>
      <c r="D585" s="10" t="s">
        <v>246</v>
      </c>
      <c r="E585" s="18" t="s">
        <v>1292</v>
      </c>
      <c r="F585" s="9">
        <v>45383</v>
      </c>
      <c r="G585" s="9">
        <v>46023</v>
      </c>
      <c r="H585" s="10">
        <v>22</v>
      </c>
      <c r="I585" s="10" t="s">
        <v>245</v>
      </c>
      <c r="J585" s="10" t="s">
        <v>247</v>
      </c>
      <c r="K585" s="10" t="s">
        <v>248</v>
      </c>
      <c r="L585" s="10">
        <v>1</v>
      </c>
    </row>
    <row r="586" spans="1:12" x14ac:dyDescent="0.2">
      <c r="A586" s="10" t="s">
        <v>1054</v>
      </c>
      <c r="D586" s="10" t="s">
        <v>246</v>
      </c>
      <c r="E586" s="18" t="s">
        <v>1293</v>
      </c>
      <c r="F586" s="9">
        <v>45383</v>
      </c>
      <c r="G586" s="9">
        <v>46023</v>
      </c>
      <c r="H586" s="10">
        <v>22</v>
      </c>
      <c r="I586" s="10" t="s">
        <v>245</v>
      </c>
      <c r="J586" s="10" t="s">
        <v>247</v>
      </c>
      <c r="K586" s="10" t="s">
        <v>248</v>
      </c>
      <c r="L586" s="10">
        <v>1</v>
      </c>
    </row>
    <row r="587" spans="1:12" x14ac:dyDescent="0.2">
      <c r="A587" s="10" t="s">
        <v>1055</v>
      </c>
      <c r="D587" s="10" t="s">
        <v>246</v>
      </c>
      <c r="E587" s="18" t="s">
        <v>1294</v>
      </c>
      <c r="F587" s="9">
        <v>45383</v>
      </c>
      <c r="G587" s="9">
        <v>46023</v>
      </c>
      <c r="H587" s="10">
        <v>22</v>
      </c>
      <c r="I587" s="10" t="s">
        <v>245</v>
      </c>
      <c r="J587" s="10" t="s">
        <v>247</v>
      </c>
      <c r="K587" s="10" t="s">
        <v>248</v>
      </c>
      <c r="L587" s="10">
        <v>1</v>
      </c>
    </row>
    <row r="588" spans="1:12" x14ac:dyDescent="0.2">
      <c r="A588" s="10" t="s">
        <v>1056</v>
      </c>
      <c r="D588" s="10" t="s">
        <v>246</v>
      </c>
      <c r="E588" s="18" t="s">
        <v>1295</v>
      </c>
      <c r="F588" s="9">
        <v>45383</v>
      </c>
      <c r="G588" s="9">
        <v>46023</v>
      </c>
      <c r="H588" s="10">
        <v>22</v>
      </c>
      <c r="I588" s="10" t="s">
        <v>245</v>
      </c>
      <c r="J588" s="10" t="s">
        <v>247</v>
      </c>
      <c r="K588" s="10" t="s">
        <v>248</v>
      </c>
      <c r="L588" s="10">
        <v>1</v>
      </c>
    </row>
    <row r="589" spans="1:12" x14ac:dyDescent="0.2">
      <c r="A589" s="10" t="s">
        <v>1057</v>
      </c>
      <c r="D589" s="10" t="s">
        <v>246</v>
      </c>
      <c r="E589" s="18" t="s">
        <v>1296</v>
      </c>
      <c r="F589" s="9">
        <v>45383</v>
      </c>
      <c r="G589" s="9">
        <v>46023</v>
      </c>
      <c r="H589" s="10">
        <v>22</v>
      </c>
      <c r="I589" s="10" t="s">
        <v>245</v>
      </c>
      <c r="J589" s="10" t="s">
        <v>247</v>
      </c>
      <c r="K589" s="10" t="s">
        <v>248</v>
      </c>
      <c r="L589" s="10">
        <v>1</v>
      </c>
    </row>
    <row r="590" spans="1:12" x14ac:dyDescent="0.2">
      <c r="A590" s="10" t="s">
        <v>1058</v>
      </c>
      <c r="D590" s="10" t="s">
        <v>246</v>
      </c>
      <c r="E590" s="18" t="s">
        <v>1297</v>
      </c>
      <c r="F590" s="9">
        <v>45383</v>
      </c>
      <c r="G590" s="9">
        <v>46023</v>
      </c>
      <c r="H590" s="10">
        <v>22</v>
      </c>
      <c r="I590" s="10" t="s">
        <v>245</v>
      </c>
      <c r="J590" s="10" t="s">
        <v>247</v>
      </c>
      <c r="K590" s="10" t="s">
        <v>248</v>
      </c>
      <c r="L590" s="10">
        <v>1</v>
      </c>
    </row>
    <row r="591" spans="1:12" x14ac:dyDescent="0.2">
      <c r="A591" s="10" t="s">
        <v>1059</v>
      </c>
      <c r="D591" s="10" t="s">
        <v>246</v>
      </c>
      <c r="E591" s="18" t="s">
        <v>1298</v>
      </c>
      <c r="F591" s="9">
        <v>45383</v>
      </c>
      <c r="G591" s="9">
        <v>46023</v>
      </c>
      <c r="H591" s="10">
        <v>22</v>
      </c>
      <c r="I591" s="10" t="s">
        <v>245</v>
      </c>
      <c r="J591" s="10" t="s">
        <v>247</v>
      </c>
      <c r="K591" s="10" t="s">
        <v>248</v>
      </c>
      <c r="L591" s="10">
        <v>1</v>
      </c>
    </row>
    <row r="592" spans="1:12" x14ac:dyDescent="0.2">
      <c r="A592" s="10" t="s">
        <v>1060</v>
      </c>
      <c r="D592" s="10" t="s">
        <v>246</v>
      </c>
      <c r="E592" s="18" t="s">
        <v>1299</v>
      </c>
      <c r="F592" s="9">
        <v>45383</v>
      </c>
      <c r="G592" s="9">
        <v>46023</v>
      </c>
      <c r="H592" s="10">
        <v>22</v>
      </c>
      <c r="I592" s="10" t="s">
        <v>245</v>
      </c>
      <c r="J592" s="10" t="s">
        <v>247</v>
      </c>
      <c r="K592" s="10" t="s">
        <v>248</v>
      </c>
      <c r="L592" s="10">
        <v>1</v>
      </c>
    </row>
    <row r="593" spans="1:12" x14ac:dyDescent="0.2">
      <c r="A593" s="10" t="s">
        <v>1061</v>
      </c>
      <c r="D593" s="10" t="s">
        <v>246</v>
      </c>
      <c r="E593" s="18" t="s">
        <v>1300</v>
      </c>
      <c r="F593" s="9">
        <v>45383</v>
      </c>
      <c r="G593" s="9">
        <v>46023</v>
      </c>
      <c r="H593" s="10">
        <v>22</v>
      </c>
      <c r="I593" s="10" t="s">
        <v>245</v>
      </c>
      <c r="J593" s="10" t="s">
        <v>247</v>
      </c>
      <c r="K593" s="10" t="s">
        <v>248</v>
      </c>
      <c r="L593" s="10">
        <v>1</v>
      </c>
    </row>
    <row r="594" spans="1:12" x14ac:dyDescent="0.2">
      <c r="A594" s="10" t="s">
        <v>1062</v>
      </c>
      <c r="D594" s="10" t="s">
        <v>246</v>
      </c>
      <c r="E594" s="18" t="s">
        <v>1301</v>
      </c>
      <c r="F594" s="9">
        <v>44743</v>
      </c>
      <c r="G594" s="9">
        <v>46023</v>
      </c>
      <c r="H594" s="10">
        <v>43</v>
      </c>
      <c r="I594" s="10" t="s">
        <v>245</v>
      </c>
      <c r="J594" s="10" t="s">
        <v>247</v>
      </c>
      <c r="K594" s="10" t="s">
        <v>248</v>
      </c>
      <c r="L594" s="10">
        <v>1</v>
      </c>
    </row>
    <row r="595" spans="1:12" x14ac:dyDescent="0.2">
      <c r="A595" s="10" t="s">
        <v>1062</v>
      </c>
      <c r="D595" s="10" t="s">
        <v>246</v>
      </c>
      <c r="E595" s="18" t="s">
        <v>1302</v>
      </c>
      <c r="F595" s="9">
        <v>44743</v>
      </c>
      <c r="G595" s="9">
        <v>46023</v>
      </c>
      <c r="H595" s="10">
        <v>43</v>
      </c>
      <c r="I595" s="10" t="s">
        <v>245</v>
      </c>
      <c r="J595" s="10" t="s">
        <v>247</v>
      </c>
      <c r="K595" s="10" t="s">
        <v>248</v>
      </c>
      <c r="L595" s="10">
        <v>1</v>
      </c>
    </row>
    <row r="596" spans="1:12" x14ac:dyDescent="0.2">
      <c r="A596" s="10" t="s">
        <v>1063</v>
      </c>
      <c r="D596" s="10" t="s">
        <v>246</v>
      </c>
      <c r="E596" s="18" t="s">
        <v>1303</v>
      </c>
      <c r="F596" s="9">
        <v>42979</v>
      </c>
      <c r="G596" s="9">
        <v>46023</v>
      </c>
      <c r="H596" s="10">
        <v>101</v>
      </c>
      <c r="I596" s="10" t="s">
        <v>245</v>
      </c>
      <c r="J596" s="10" t="s">
        <v>247</v>
      </c>
      <c r="K596" s="10" t="s">
        <v>248</v>
      </c>
      <c r="L596" s="10">
        <v>1</v>
      </c>
    </row>
    <row r="597" spans="1:12" x14ac:dyDescent="0.2">
      <c r="A597" s="10" t="s">
        <v>1063</v>
      </c>
      <c r="D597" s="10" t="s">
        <v>246</v>
      </c>
      <c r="E597" s="18" t="s">
        <v>1304</v>
      </c>
      <c r="F597" s="9">
        <v>42979</v>
      </c>
      <c r="G597" s="9">
        <v>46023</v>
      </c>
      <c r="H597" s="10">
        <v>101</v>
      </c>
      <c r="I597" s="10" t="s">
        <v>245</v>
      </c>
      <c r="J597" s="10" t="s">
        <v>247</v>
      </c>
      <c r="K597" s="10" t="s">
        <v>248</v>
      </c>
      <c r="L597" s="10">
        <v>1</v>
      </c>
    </row>
    <row r="598" spans="1:12" x14ac:dyDescent="0.2">
      <c r="A598" s="10" t="s">
        <v>1064</v>
      </c>
      <c r="D598" s="10" t="s">
        <v>246</v>
      </c>
      <c r="E598" s="18" t="s">
        <v>1305</v>
      </c>
      <c r="F598" s="9">
        <v>45383</v>
      </c>
      <c r="G598" s="9">
        <v>46023</v>
      </c>
      <c r="H598" s="10">
        <v>22</v>
      </c>
      <c r="I598" s="10" t="s">
        <v>245</v>
      </c>
      <c r="J598" s="10" t="s">
        <v>247</v>
      </c>
      <c r="K598" s="10" t="s">
        <v>248</v>
      </c>
      <c r="L598" s="10">
        <v>1</v>
      </c>
    </row>
    <row r="599" spans="1:12" x14ac:dyDescent="0.2">
      <c r="A599" s="10" t="s">
        <v>1065</v>
      </c>
      <c r="D599" s="10" t="s">
        <v>246</v>
      </c>
      <c r="E599" s="18" t="s">
        <v>1306</v>
      </c>
      <c r="F599" s="9">
        <v>45383</v>
      </c>
      <c r="G599" s="9">
        <v>46023</v>
      </c>
      <c r="H599" s="10">
        <v>22</v>
      </c>
      <c r="I599" s="10" t="s">
        <v>245</v>
      </c>
      <c r="J599" s="10" t="s">
        <v>247</v>
      </c>
      <c r="K599" s="10" t="s">
        <v>248</v>
      </c>
      <c r="L599" s="10">
        <v>1</v>
      </c>
    </row>
    <row r="600" spans="1:12" x14ac:dyDescent="0.2">
      <c r="A600" s="10" t="s">
        <v>1066</v>
      </c>
      <c r="D600" s="10" t="s">
        <v>246</v>
      </c>
      <c r="E600" s="18" t="s">
        <v>1307</v>
      </c>
      <c r="F600" s="9">
        <v>42979</v>
      </c>
      <c r="G600" s="9">
        <v>46023</v>
      </c>
      <c r="H600" s="10">
        <v>101</v>
      </c>
      <c r="I600" s="10" t="s">
        <v>245</v>
      </c>
      <c r="J600" s="10" t="s">
        <v>247</v>
      </c>
      <c r="K600" s="10" t="s">
        <v>248</v>
      </c>
      <c r="L600" s="10">
        <v>1</v>
      </c>
    </row>
    <row r="601" spans="1:12" x14ac:dyDescent="0.2">
      <c r="A601" s="10" t="s">
        <v>1067</v>
      </c>
      <c r="D601" s="10" t="s">
        <v>246</v>
      </c>
      <c r="E601" s="18" t="s">
        <v>1308</v>
      </c>
      <c r="F601" s="9">
        <v>45383</v>
      </c>
      <c r="G601" s="9">
        <v>46023</v>
      </c>
      <c r="H601" s="10">
        <v>22</v>
      </c>
      <c r="I601" s="10" t="s">
        <v>245</v>
      </c>
      <c r="J601" s="10" t="s">
        <v>247</v>
      </c>
      <c r="K601" s="10" t="s">
        <v>248</v>
      </c>
      <c r="L601" s="10">
        <v>1</v>
      </c>
    </row>
    <row r="602" spans="1:12" x14ac:dyDescent="0.2">
      <c r="A602" s="10" t="s">
        <v>1068</v>
      </c>
      <c r="D602" s="10" t="s">
        <v>246</v>
      </c>
      <c r="E602" s="18" t="s">
        <v>1309</v>
      </c>
      <c r="F602" s="9">
        <v>45383</v>
      </c>
      <c r="G602" s="9">
        <v>46023</v>
      </c>
      <c r="H602" s="10">
        <v>22</v>
      </c>
      <c r="I602" s="10" t="s">
        <v>245</v>
      </c>
      <c r="J602" s="10" t="s">
        <v>247</v>
      </c>
      <c r="K602" s="10" t="s">
        <v>248</v>
      </c>
      <c r="L602" s="10">
        <v>1</v>
      </c>
    </row>
    <row r="603" spans="1:12" x14ac:dyDescent="0.2">
      <c r="A603" s="10" t="s">
        <v>1069</v>
      </c>
      <c r="D603" s="10" t="s">
        <v>246</v>
      </c>
      <c r="E603" s="18" t="s">
        <v>1310</v>
      </c>
      <c r="F603" s="9">
        <v>44470</v>
      </c>
      <c r="G603" s="9">
        <v>46023</v>
      </c>
      <c r="H603" s="10">
        <v>52</v>
      </c>
      <c r="I603" s="10" t="s">
        <v>245</v>
      </c>
      <c r="J603" s="10" t="s">
        <v>247</v>
      </c>
      <c r="K603" s="10" t="s">
        <v>248</v>
      </c>
      <c r="L603" s="10">
        <v>1</v>
      </c>
    </row>
    <row r="604" spans="1:12" x14ac:dyDescent="0.2">
      <c r="A604" s="10" t="s">
        <v>1070</v>
      </c>
      <c r="D604" s="10" t="s">
        <v>246</v>
      </c>
      <c r="E604" s="18" t="s">
        <v>1311</v>
      </c>
      <c r="F604" s="9">
        <v>44470</v>
      </c>
      <c r="G604" s="9">
        <v>46023</v>
      </c>
      <c r="H604" s="10">
        <v>52</v>
      </c>
      <c r="I604" s="10" t="s">
        <v>245</v>
      </c>
      <c r="J604" s="10" t="s">
        <v>247</v>
      </c>
      <c r="K604" s="10" t="s">
        <v>248</v>
      </c>
      <c r="L604" s="10">
        <v>1</v>
      </c>
    </row>
    <row r="605" spans="1:12" x14ac:dyDescent="0.2">
      <c r="A605" s="10" t="s">
        <v>1071</v>
      </c>
      <c r="D605" s="10" t="s">
        <v>246</v>
      </c>
      <c r="E605" s="18" t="s">
        <v>1312</v>
      </c>
      <c r="F605" s="9">
        <v>45383</v>
      </c>
      <c r="G605" s="9">
        <v>46023</v>
      </c>
      <c r="H605" s="10">
        <v>22</v>
      </c>
      <c r="I605" s="10" t="s">
        <v>245</v>
      </c>
      <c r="J605" s="10" t="s">
        <v>247</v>
      </c>
      <c r="K605" s="10" t="s">
        <v>248</v>
      </c>
      <c r="L605" s="10">
        <v>1</v>
      </c>
    </row>
    <row r="606" spans="1:12" x14ac:dyDescent="0.2">
      <c r="A606" s="10" t="s">
        <v>1072</v>
      </c>
      <c r="D606" s="10" t="s">
        <v>246</v>
      </c>
      <c r="E606" s="18" t="s">
        <v>1313</v>
      </c>
      <c r="F606" s="9">
        <v>45383</v>
      </c>
      <c r="G606" s="9">
        <v>46023</v>
      </c>
      <c r="H606" s="10">
        <v>22</v>
      </c>
      <c r="I606" s="10" t="s">
        <v>245</v>
      </c>
      <c r="J606" s="10" t="s">
        <v>247</v>
      </c>
      <c r="K606" s="10" t="s">
        <v>248</v>
      </c>
      <c r="L606" s="10">
        <v>1</v>
      </c>
    </row>
    <row r="607" spans="1:12" x14ac:dyDescent="0.2">
      <c r="A607" s="10" t="s">
        <v>1073</v>
      </c>
      <c r="D607" s="10" t="s">
        <v>246</v>
      </c>
      <c r="E607" s="18" t="s">
        <v>1314</v>
      </c>
      <c r="F607" s="9">
        <v>45383</v>
      </c>
      <c r="G607" s="9">
        <v>46023</v>
      </c>
      <c r="H607" s="10">
        <v>22</v>
      </c>
      <c r="I607" s="10" t="s">
        <v>245</v>
      </c>
      <c r="J607" s="10" t="s">
        <v>247</v>
      </c>
      <c r="K607" s="10" t="s">
        <v>248</v>
      </c>
      <c r="L607" s="10">
        <v>1</v>
      </c>
    </row>
    <row r="608" spans="1:12" x14ac:dyDescent="0.2">
      <c r="A608" s="10" t="s">
        <v>1074</v>
      </c>
      <c r="D608" s="10" t="s">
        <v>246</v>
      </c>
      <c r="E608" s="18" t="s">
        <v>1315</v>
      </c>
      <c r="F608" s="9">
        <v>45383</v>
      </c>
      <c r="G608" s="9">
        <v>46023</v>
      </c>
      <c r="H608" s="10">
        <v>22</v>
      </c>
      <c r="I608" s="10" t="s">
        <v>245</v>
      </c>
      <c r="J608" s="10" t="s">
        <v>247</v>
      </c>
      <c r="K608" s="10" t="s">
        <v>248</v>
      </c>
      <c r="L608" s="10">
        <v>1</v>
      </c>
    </row>
    <row r="609" spans="1:12" x14ac:dyDescent="0.2">
      <c r="A609" s="10" t="s">
        <v>1075</v>
      </c>
      <c r="D609" s="10" t="s">
        <v>246</v>
      </c>
      <c r="E609" s="18" t="s">
        <v>1316</v>
      </c>
      <c r="F609" s="9">
        <v>45383</v>
      </c>
      <c r="G609" s="9">
        <v>46023</v>
      </c>
      <c r="H609" s="10">
        <v>22</v>
      </c>
      <c r="I609" s="10" t="s">
        <v>245</v>
      </c>
      <c r="J609" s="10" t="s">
        <v>247</v>
      </c>
      <c r="K609" s="10" t="s">
        <v>248</v>
      </c>
      <c r="L609" s="10">
        <v>1</v>
      </c>
    </row>
    <row r="610" spans="1:12" x14ac:dyDescent="0.2">
      <c r="A610" s="10" t="s">
        <v>1075</v>
      </c>
      <c r="D610" s="10" t="s">
        <v>246</v>
      </c>
      <c r="E610" s="18" t="s">
        <v>1317</v>
      </c>
      <c r="F610" s="9">
        <v>45383</v>
      </c>
      <c r="G610" s="9">
        <v>46023</v>
      </c>
      <c r="H610" s="10">
        <v>22</v>
      </c>
      <c r="I610" s="10" t="s">
        <v>245</v>
      </c>
      <c r="J610" s="10" t="s">
        <v>247</v>
      </c>
      <c r="K610" s="10" t="s">
        <v>248</v>
      </c>
      <c r="L610" s="10">
        <v>1</v>
      </c>
    </row>
    <row r="611" spans="1:12" x14ac:dyDescent="0.2">
      <c r="A611" s="10" t="s">
        <v>1076</v>
      </c>
      <c r="D611" s="10" t="s">
        <v>246</v>
      </c>
      <c r="E611" s="18" t="s">
        <v>1318</v>
      </c>
      <c r="F611" s="9">
        <v>45383</v>
      </c>
      <c r="G611" s="9">
        <v>46023</v>
      </c>
      <c r="H611" s="10">
        <v>22</v>
      </c>
      <c r="I611" s="10" t="s">
        <v>245</v>
      </c>
      <c r="J611" s="10" t="s">
        <v>247</v>
      </c>
      <c r="K611" s="10" t="s">
        <v>248</v>
      </c>
      <c r="L611" s="10">
        <v>1</v>
      </c>
    </row>
    <row r="612" spans="1:12" x14ac:dyDescent="0.2">
      <c r="A612" s="10" t="s">
        <v>1077</v>
      </c>
      <c r="D612" s="10" t="s">
        <v>246</v>
      </c>
      <c r="E612" s="18" t="s">
        <v>1319</v>
      </c>
      <c r="F612" s="9">
        <v>45383</v>
      </c>
      <c r="G612" s="9">
        <v>46023</v>
      </c>
      <c r="H612" s="10">
        <v>22</v>
      </c>
      <c r="I612" s="10" t="s">
        <v>245</v>
      </c>
      <c r="J612" s="10" t="s">
        <v>247</v>
      </c>
      <c r="K612" s="10" t="s">
        <v>248</v>
      </c>
      <c r="L612" s="10">
        <v>1</v>
      </c>
    </row>
    <row r="613" spans="1:12" x14ac:dyDescent="0.2">
      <c r="A613" s="10" t="s">
        <v>1078</v>
      </c>
      <c r="D613" s="10" t="s">
        <v>246</v>
      </c>
      <c r="E613" s="18" t="s">
        <v>1320</v>
      </c>
      <c r="F613" s="9">
        <v>45383</v>
      </c>
      <c r="G613" s="9">
        <v>46023</v>
      </c>
      <c r="H613" s="10">
        <v>22</v>
      </c>
      <c r="I613" s="10" t="s">
        <v>245</v>
      </c>
      <c r="J613" s="10" t="s">
        <v>247</v>
      </c>
      <c r="K613" s="10" t="s">
        <v>248</v>
      </c>
      <c r="L613" s="10">
        <v>1</v>
      </c>
    </row>
    <row r="614" spans="1:12" x14ac:dyDescent="0.2">
      <c r="A614" s="10" t="s">
        <v>1079</v>
      </c>
      <c r="D614" s="10" t="s">
        <v>246</v>
      </c>
      <c r="E614" s="18" t="s">
        <v>1321</v>
      </c>
      <c r="F614" s="9">
        <v>45383</v>
      </c>
      <c r="G614" s="9">
        <v>46023</v>
      </c>
      <c r="H614" s="10">
        <v>22</v>
      </c>
      <c r="I614" s="10" t="s">
        <v>245</v>
      </c>
      <c r="J614" s="10" t="s">
        <v>247</v>
      </c>
      <c r="K614" s="10" t="s">
        <v>248</v>
      </c>
      <c r="L614" s="10">
        <v>1</v>
      </c>
    </row>
    <row r="615" spans="1:12" x14ac:dyDescent="0.2">
      <c r="A615" s="10" t="s">
        <v>1080</v>
      </c>
      <c r="D615" s="10" t="s">
        <v>246</v>
      </c>
      <c r="E615" s="18" t="s">
        <v>1322</v>
      </c>
      <c r="F615" s="9">
        <v>45383</v>
      </c>
      <c r="G615" s="9">
        <v>46023</v>
      </c>
      <c r="H615" s="10">
        <v>22</v>
      </c>
      <c r="I615" s="10" t="s">
        <v>245</v>
      </c>
      <c r="J615" s="10" t="s">
        <v>247</v>
      </c>
      <c r="K615" s="10" t="s">
        <v>248</v>
      </c>
      <c r="L615" s="10">
        <v>1</v>
      </c>
    </row>
    <row r="616" spans="1:12" x14ac:dyDescent="0.2">
      <c r="A616" s="10" t="s">
        <v>1081</v>
      </c>
      <c r="D616" s="10" t="s">
        <v>246</v>
      </c>
      <c r="E616" s="18" t="s">
        <v>1323</v>
      </c>
      <c r="F616" s="9">
        <v>42979</v>
      </c>
      <c r="G616" s="9">
        <v>46023</v>
      </c>
      <c r="H616" s="10">
        <v>101</v>
      </c>
      <c r="I616" s="10" t="s">
        <v>245</v>
      </c>
      <c r="J616" s="10" t="s">
        <v>247</v>
      </c>
      <c r="K616" s="10" t="s">
        <v>248</v>
      </c>
      <c r="L616" s="10">
        <v>1</v>
      </c>
    </row>
    <row r="617" spans="1:12" x14ac:dyDescent="0.2">
      <c r="A617" s="10" t="s">
        <v>1082</v>
      </c>
      <c r="D617" s="10" t="s">
        <v>246</v>
      </c>
      <c r="E617" s="18" t="s">
        <v>1324</v>
      </c>
      <c r="F617" s="9">
        <v>42979</v>
      </c>
      <c r="G617" s="9">
        <v>46023</v>
      </c>
      <c r="H617" s="10">
        <v>101</v>
      </c>
      <c r="I617" s="10" t="s">
        <v>245</v>
      </c>
      <c r="J617" s="10" t="s">
        <v>247</v>
      </c>
      <c r="K617" s="10" t="s">
        <v>248</v>
      </c>
      <c r="L617" s="10">
        <v>1</v>
      </c>
    </row>
    <row r="618" spans="1:12" x14ac:dyDescent="0.2">
      <c r="A618" s="10" t="s">
        <v>1083</v>
      </c>
      <c r="D618" s="10" t="s">
        <v>246</v>
      </c>
      <c r="E618" s="18" t="s">
        <v>1325</v>
      </c>
      <c r="F618" s="9">
        <v>42979</v>
      </c>
      <c r="G618" s="9">
        <v>46023</v>
      </c>
      <c r="H618" s="10">
        <v>101</v>
      </c>
      <c r="I618" s="10" t="s">
        <v>245</v>
      </c>
      <c r="J618" s="10" t="s">
        <v>247</v>
      </c>
      <c r="K618" s="10" t="s">
        <v>248</v>
      </c>
      <c r="L618" s="10">
        <v>1</v>
      </c>
    </row>
    <row r="619" spans="1:12" x14ac:dyDescent="0.2">
      <c r="A619" s="10" t="s">
        <v>1084</v>
      </c>
      <c r="D619" s="10" t="s">
        <v>246</v>
      </c>
      <c r="E619" s="18" t="s">
        <v>1326</v>
      </c>
      <c r="F619" s="9">
        <v>42979</v>
      </c>
      <c r="G619" s="9">
        <v>46023</v>
      </c>
      <c r="H619" s="10">
        <v>101</v>
      </c>
      <c r="I619" s="10" t="s">
        <v>245</v>
      </c>
      <c r="J619" s="10" t="s">
        <v>247</v>
      </c>
      <c r="K619" s="10" t="s">
        <v>248</v>
      </c>
      <c r="L619" s="10">
        <v>1</v>
      </c>
    </row>
    <row r="620" spans="1:12" x14ac:dyDescent="0.2">
      <c r="A620" s="10" t="s">
        <v>1085</v>
      </c>
      <c r="D620" s="10" t="s">
        <v>246</v>
      </c>
      <c r="E620" s="18" t="s">
        <v>1327</v>
      </c>
      <c r="F620" s="9">
        <v>45383</v>
      </c>
      <c r="G620" s="9">
        <v>46023</v>
      </c>
      <c r="H620" s="10">
        <v>22</v>
      </c>
      <c r="I620" s="10" t="s">
        <v>245</v>
      </c>
      <c r="J620" s="10" t="s">
        <v>247</v>
      </c>
      <c r="K620" s="10" t="s">
        <v>248</v>
      </c>
      <c r="L620" s="10">
        <v>1</v>
      </c>
    </row>
    <row r="621" spans="1:12" x14ac:dyDescent="0.2">
      <c r="A621" s="10" t="s">
        <v>1086</v>
      </c>
      <c r="D621" s="10" t="s">
        <v>246</v>
      </c>
      <c r="E621" s="18" t="s">
        <v>1328</v>
      </c>
      <c r="F621" s="9">
        <v>45383</v>
      </c>
      <c r="G621" s="9">
        <v>46023</v>
      </c>
      <c r="H621" s="10">
        <v>22</v>
      </c>
      <c r="I621" s="10" t="s">
        <v>245</v>
      </c>
      <c r="J621" s="10" t="s">
        <v>247</v>
      </c>
      <c r="K621" s="10" t="s">
        <v>248</v>
      </c>
      <c r="L621" s="10">
        <v>1</v>
      </c>
    </row>
    <row r="622" spans="1:12" x14ac:dyDescent="0.2">
      <c r="A622" s="10" t="s">
        <v>1087</v>
      </c>
      <c r="D622" s="10" t="s">
        <v>246</v>
      </c>
      <c r="E622" s="18" t="s">
        <v>1329</v>
      </c>
      <c r="F622" s="9">
        <v>45383</v>
      </c>
      <c r="G622" s="9">
        <v>46023</v>
      </c>
      <c r="H622" s="10">
        <v>22</v>
      </c>
      <c r="I622" s="10" t="s">
        <v>245</v>
      </c>
      <c r="J622" s="10" t="s">
        <v>247</v>
      </c>
      <c r="K622" s="10" t="s">
        <v>248</v>
      </c>
      <c r="L622" s="10">
        <v>1</v>
      </c>
    </row>
    <row r="623" spans="1:12" x14ac:dyDescent="0.2">
      <c r="A623" s="10" t="s">
        <v>1088</v>
      </c>
      <c r="D623" s="10" t="s">
        <v>246</v>
      </c>
      <c r="E623" s="18" t="s">
        <v>1330</v>
      </c>
      <c r="F623" s="9">
        <v>45383</v>
      </c>
      <c r="G623" s="9">
        <v>46023</v>
      </c>
      <c r="H623" s="10">
        <v>22</v>
      </c>
      <c r="I623" s="10" t="s">
        <v>245</v>
      </c>
      <c r="J623" s="10" t="s">
        <v>247</v>
      </c>
      <c r="K623" s="10" t="s">
        <v>248</v>
      </c>
      <c r="L623" s="10">
        <v>1</v>
      </c>
    </row>
    <row r="624" spans="1:12" x14ac:dyDescent="0.2">
      <c r="A624" s="10" t="s">
        <v>1089</v>
      </c>
      <c r="D624" s="10" t="s">
        <v>246</v>
      </c>
      <c r="E624" s="18" t="s">
        <v>1331</v>
      </c>
      <c r="F624" s="9">
        <v>45383</v>
      </c>
      <c r="G624" s="9">
        <v>46023</v>
      </c>
      <c r="H624" s="10">
        <v>22</v>
      </c>
      <c r="I624" s="10" t="s">
        <v>245</v>
      </c>
      <c r="J624" s="10" t="s">
        <v>247</v>
      </c>
      <c r="K624" s="10" t="s">
        <v>248</v>
      </c>
      <c r="L624" s="10">
        <v>1</v>
      </c>
    </row>
    <row r="625" spans="1:12" x14ac:dyDescent="0.2">
      <c r="A625" s="10" t="s">
        <v>1090</v>
      </c>
      <c r="D625" s="10" t="s">
        <v>246</v>
      </c>
      <c r="E625" s="18" t="s">
        <v>1332</v>
      </c>
      <c r="F625" s="9">
        <v>45383</v>
      </c>
      <c r="G625" s="9">
        <v>46023</v>
      </c>
      <c r="H625" s="10">
        <v>22</v>
      </c>
      <c r="I625" s="10" t="s">
        <v>245</v>
      </c>
      <c r="J625" s="10" t="s">
        <v>247</v>
      </c>
      <c r="K625" s="10" t="s">
        <v>248</v>
      </c>
      <c r="L625" s="10">
        <v>1</v>
      </c>
    </row>
    <row r="626" spans="1:12" x14ac:dyDescent="0.2">
      <c r="A626" s="10" t="s">
        <v>1091</v>
      </c>
      <c r="D626" s="10" t="s">
        <v>246</v>
      </c>
      <c r="E626" s="18" t="s">
        <v>1333</v>
      </c>
      <c r="F626" s="9">
        <v>45383</v>
      </c>
      <c r="G626" s="9">
        <v>46023</v>
      </c>
      <c r="H626" s="10">
        <v>22</v>
      </c>
      <c r="I626" s="10" t="s">
        <v>245</v>
      </c>
      <c r="J626" s="10" t="s">
        <v>247</v>
      </c>
      <c r="K626" s="10" t="s">
        <v>248</v>
      </c>
      <c r="L626" s="10">
        <v>1</v>
      </c>
    </row>
    <row r="627" spans="1:12" x14ac:dyDescent="0.2">
      <c r="A627" s="10" t="s">
        <v>1092</v>
      </c>
      <c r="D627" s="10" t="s">
        <v>246</v>
      </c>
      <c r="E627" s="18" t="s">
        <v>1334</v>
      </c>
      <c r="F627" s="9">
        <v>45383</v>
      </c>
      <c r="G627" s="9">
        <v>46023</v>
      </c>
      <c r="H627" s="10">
        <v>22</v>
      </c>
      <c r="I627" s="10" t="s">
        <v>245</v>
      </c>
      <c r="J627" s="10" t="s">
        <v>247</v>
      </c>
      <c r="K627" s="10" t="s">
        <v>248</v>
      </c>
      <c r="L627" s="10">
        <v>1</v>
      </c>
    </row>
    <row r="628" spans="1:12" x14ac:dyDescent="0.2">
      <c r="A628" s="10" t="s">
        <v>1093</v>
      </c>
      <c r="D628" s="10" t="s">
        <v>246</v>
      </c>
      <c r="E628" s="18" t="s">
        <v>1335</v>
      </c>
      <c r="F628" s="9">
        <v>45383</v>
      </c>
      <c r="G628" s="9">
        <v>46023</v>
      </c>
      <c r="H628" s="10">
        <v>22</v>
      </c>
      <c r="I628" s="10" t="s">
        <v>245</v>
      </c>
      <c r="J628" s="10" t="s">
        <v>247</v>
      </c>
      <c r="K628" s="10" t="s">
        <v>248</v>
      </c>
      <c r="L628" s="10">
        <v>1</v>
      </c>
    </row>
    <row r="629" spans="1:12" x14ac:dyDescent="0.2">
      <c r="A629" s="10" t="s">
        <v>1094</v>
      </c>
      <c r="D629" s="10" t="s">
        <v>246</v>
      </c>
      <c r="E629" s="18" t="s">
        <v>1336</v>
      </c>
      <c r="F629" s="9">
        <v>45383</v>
      </c>
      <c r="G629" s="9">
        <v>46023</v>
      </c>
      <c r="H629" s="10">
        <v>22</v>
      </c>
      <c r="I629" s="10" t="s">
        <v>245</v>
      </c>
      <c r="J629" s="10" t="s">
        <v>247</v>
      </c>
      <c r="K629" s="10" t="s">
        <v>248</v>
      </c>
      <c r="L629" s="10">
        <v>1</v>
      </c>
    </row>
    <row r="630" spans="1:12" x14ac:dyDescent="0.2">
      <c r="A630" s="10" t="s">
        <v>1095</v>
      </c>
      <c r="D630" s="10" t="s">
        <v>246</v>
      </c>
      <c r="E630" s="18" t="s">
        <v>1337</v>
      </c>
      <c r="F630" s="9">
        <v>45383</v>
      </c>
      <c r="G630" s="9">
        <v>46023</v>
      </c>
      <c r="H630" s="10">
        <v>22</v>
      </c>
      <c r="I630" s="10" t="s">
        <v>245</v>
      </c>
      <c r="J630" s="10" t="s">
        <v>247</v>
      </c>
      <c r="K630" s="10" t="s">
        <v>248</v>
      </c>
      <c r="L630" s="10">
        <v>1</v>
      </c>
    </row>
    <row r="631" spans="1:12" x14ac:dyDescent="0.2">
      <c r="A631" s="10" t="s">
        <v>1096</v>
      </c>
      <c r="D631" s="10" t="s">
        <v>246</v>
      </c>
      <c r="E631" s="18" t="s">
        <v>1338</v>
      </c>
      <c r="F631" s="9">
        <v>45383</v>
      </c>
      <c r="G631" s="9">
        <v>46023</v>
      </c>
      <c r="H631" s="10">
        <v>22</v>
      </c>
      <c r="I631" s="10" t="s">
        <v>245</v>
      </c>
      <c r="J631" s="10" t="s">
        <v>247</v>
      </c>
      <c r="K631" s="10" t="s">
        <v>248</v>
      </c>
      <c r="L631" s="10">
        <v>1</v>
      </c>
    </row>
    <row r="632" spans="1:12" x14ac:dyDescent="0.2">
      <c r="A632" s="10" t="s">
        <v>1097</v>
      </c>
      <c r="D632" s="10" t="s">
        <v>246</v>
      </c>
      <c r="E632" s="18" t="s">
        <v>1339</v>
      </c>
      <c r="F632" s="9">
        <v>45383</v>
      </c>
      <c r="G632" s="9">
        <v>46023</v>
      </c>
      <c r="H632" s="10">
        <v>22</v>
      </c>
      <c r="I632" s="10" t="s">
        <v>245</v>
      </c>
      <c r="J632" s="10" t="s">
        <v>247</v>
      </c>
      <c r="K632" s="10" t="s">
        <v>248</v>
      </c>
      <c r="L632" s="10">
        <v>1</v>
      </c>
    </row>
    <row r="633" spans="1:12" x14ac:dyDescent="0.2">
      <c r="A633" s="10" t="s">
        <v>1098</v>
      </c>
      <c r="D633" s="10" t="s">
        <v>246</v>
      </c>
      <c r="E633" s="18" t="s">
        <v>1340</v>
      </c>
      <c r="F633" s="9">
        <v>45383</v>
      </c>
      <c r="G633" s="9">
        <v>46023</v>
      </c>
      <c r="H633" s="10">
        <v>22</v>
      </c>
      <c r="I633" s="10" t="s">
        <v>245</v>
      </c>
      <c r="J633" s="10" t="s">
        <v>247</v>
      </c>
      <c r="K633" s="10" t="s">
        <v>248</v>
      </c>
      <c r="L633" s="10">
        <v>1</v>
      </c>
    </row>
    <row r="634" spans="1:12" x14ac:dyDescent="0.2">
      <c r="A634" s="10" t="s">
        <v>1099</v>
      </c>
      <c r="D634" s="10" t="s">
        <v>246</v>
      </c>
      <c r="E634" s="18" t="s">
        <v>1341</v>
      </c>
      <c r="F634" s="9">
        <v>45383</v>
      </c>
      <c r="G634" s="9">
        <v>46023</v>
      </c>
      <c r="H634" s="10">
        <v>22</v>
      </c>
      <c r="I634" s="10" t="s">
        <v>245</v>
      </c>
      <c r="J634" s="10" t="s">
        <v>247</v>
      </c>
      <c r="K634" s="10" t="s">
        <v>248</v>
      </c>
      <c r="L634" s="10">
        <v>1</v>
      </c>
    </row>
    <row r="635" spans="1:12" x14ac:dyDescent="0.2">
      <c r="A635" s="10" t="s">
        <v>1100</v>
      </c>
      <c r="D635" s="10" t="s">
        <v>246</v>
      </c>
      <c r="E635" s="18" t="s">
        <v>1342</v>
      </c>
      <c r="F635" s="9">
        <v>42979</v>
      </c>
      <c r="G635" s="9">
        <v>46023</v>
      </c>
      <c r="H635" s="10">
        <v>101</v>
      </c>
      <c r="I635" s="10" t="s">
        <v>245</v>
      </c>
      <c r="J635" s="10" t="s">
        <v>247</v>
      </c>
      <c r="K635" s="10" t="s">
        <v>248</v>
      </c>
      <c r="L635" s="10">
        <v>1</v>
      </c>
    </row>
    <row r="636" spans="1:12" x14ac:dyDescent="0.2">
      <c r="A636" s="10" t="s">
        <v>1101</v>
      </c>
      <c r="D636" s="10" t="s">
        <v>246</v>
      </c>
      <c r="E636" s="18" t="s">
        <v>1343</v>
      </c>
      <c r="F636" s="9">
        <v>45383</v>
      </c>
      <c r="G636" s="9">
        <v>46023</v>
      </c>
      <c r="H636" s="10">
        <v>22</v>
      </c>
      <c r="I636" s="10" t="s">
        <v>245</v>
      </c>
      <c r="J636" s="10" t="s">
        <v>247</v>
      </c>
      <c r="K636" s="10" t="s">
        <v>248</v>
      </c>
      <c r="L636" s="10">
        <v>1</v>
      </c>
    </row>
    <row r="637" spans="1:12" x14ac:dyDescent="0.2">
      <c r="A637" s="10" t="s">
        <v>1102</v>
      </c>
      <c r="D637" s="10" t="s">
        <v>246</v>
      </c>
      <c r="E637" s="18" t="s">
        <v>1344</v>
      </c>
      <c r="F637" s="9">
        <v>45383</v>
      </c>
      <c r="G637" s="9">
        <v>46023</v>
      </c>
      <c r="H637" s="10">
        <v>22</v>
      </c>
      <c r="I637" s="10" t="s">
        <v>245</v>
      </c>
      <c r="J637" s="10" t="s">
        <v>247</v>
      </c>
      <c r="K637" s="10" t="s">
        <v>248</v>
      </c>
      <c r="L637" s="10">
        <v>1</v>
      </c>
    </row>
    <row r="638" spans="1:12" x14ac:dyDescent="0.2">
      <c r="A638" s="10" t="s">
        <v>1103</v>
      </c>
      <c r="D638" s="10" t="s">
        <v>246</v>
      </c>
      <c r="E638" s="18" t="s">
        <v>1345</v>
      </c>
      <c r="F638" s="9">
        <v>45383</v>
      </c>
      <c r="G638" s="9">
        <v>46023</v>
      </c>
      <c r="H638" s="10">
        <v>22</v>
      </c>
      <c r="I638" s="10" t="s">
        <v>245</v>
      </c>
      <c r="J638" s="10" t="s">
        <v>247</v>
      </c>
      <c r="K638" s="10" t="s">
        <v>248</v>
      </c>
      <c r="L638" s="10">
        <v>1</v>
      </c>
    </row>
    <row r="639" spans="1:12" x14ac:dyDescent="0.2">
      <c r="A639" s="10" t="s">
        <v>1103</v>
      </c>
      <c r="D639" s="10" t="s">
        <v>246</v>
      </c>
      <c r="E639" s="18" t="s">
        <v>1346</v>
      </c>
      <c r="F639" s="9">
        <v>45383</v>
      </c>
      <c r="G639" s="9">
        <v>46023</v>
      </c>
      <c r="H639" s="10">
        <v>22</v>
      </c>
      <c r="I639" s="10" t="s">
        <v>245</v>
      </c>
      <c r="J639" s="10" t="s">
        <v>247</v>
      </c>
      <c r="K639" s="10" t="s">
        <v>248</v>
      </c>
      <c r="L639" s="10">
        <v>1</v>
      </c>
    </row>
    <row r="640" spans="1:12" x14ac:dyDescent="0.2">
      <c r="A640" s="10" t="s">
        <v>1104</v>
      </c>
      <c r="D640" s="10" t="s">
        <v>246</v>
      </c>
      <c r="E640" s="18" t="s">
        <v>1347</v>
      </c>
      <c r="F640" s="9">
        <v>45383</v>
      </c>
      <c r="G640" s="9">
        <v>46023</v>
      </c>
      <c r="H640" s="10">
        <v>22</v>
      </c>
      <c r="I640" s="10" t="s">
        <v>245</v>
      </c>
      <c r="J640" s="10" t="s">
        <v>247</v>
      </c>
      <c r="K640" s="10" t="s">
        <v>248</v>
      </c>
      <c r="L640" s="10">
        <v>1</v>
      </c>
    </row>
    <row r="641" spans="1:12" x14ac:dyDescent="0.2">
      <c r="A641" s="10" t="s">
        <v>1104</v>
      </c>
      <c r="D641" s="10" t="s">
        <v>246</v>
      </c>
      <c r="E641" s="18" t="s">
        <v>1348</v>
      </c>
      <c r="F641" s="9">
        <v>45383</v>
      </c>
      <c r="G641" s="9">
        <v>46023</v>
      </c>
      <c r="H641" s="10">
        <v>22</v>
      </c>
      <c r="I641" s="10" t="s">
        <v>245</v>
      </c>
      <c r="J641" s="10" t="s">
        <v>247</v>
      </c>
      <c r="K641" s="10" t="s">
        <v>248</v>
      </c>
      <c r="L641" s="10">
        <v>1</v>
      </c>
    </row>
    <row r="642" spans="1:12" x14ac:dyDescent="0.2">
      <c r="A642" s="10" t="s">
        <v>1105</v>
      </c>
      <c r="D642" s="10" t="s">
        <v>246</v>
      </c>
      <c r="E642" s="18" t="s">
        <v>1349</v>
      </c>
      <c r="F642" s="9">
        <v>44743</v>
      </c>
      <c r="G642" s="9">
        <v>46023</v>
      </c>
      <c r="H642" s="10">
        <v>43</v>
      </c>
      <c r="I642" s="10" t="s">
        <v>245</v>
      </c>
      <c r="J642" s="10" t="s">
        <v>247</v>
      </c>
      <c r="K642" s="10" t="s">
        <v>248</v>
      </c>
      <c r="L642" s="10">
        <v>1</v>
      </c>
    </row>
    <row r="643" spans="1:12" x14ac:dyDescent="0.2">
      <c r="A643" s="10" t="s">
        <v>1106</v>
      </c>
      <c r="D643" s="10" t="s">
        <v>246</v>
      </c>
      <c r="E643" s="18" t="s">
        <v>1350</v>
      </c>
      <c r="F643" s="9">
        <v>45383</v>
      </c>
      <c r="G643" s="9">
        <v>46023</v>
      </c>
      <c r="H643" s="10">
        <v>22</v>
      </c>
      <c r="I643" s="10" t="s">
        <v>245</v>
      </c>
      <c r="J643" s="10" t="s">
        <v>247</v>
      </c>
      <c r="K643" s="10" t="s">
        <v>248</v>
      </c>
      <c r="L643" s="10">
        <v>1</v>
      </c>
    </row>
    <row r="644" spans="1:12" x14ac:dyDescent="0.2">
      <c r="A644" s="10" t="s">
        <v>1107</v>
      </c>
      <c r="D644" s="10" t="s">
        <v>246</v>
      </c>
      <c r="E644" s="18" t="s">
        <v>1351</v>
      </c>
      <c r="F644" s="9">
        <v>45383</v>
      </c>
      <c r="G644" s="9">
        <v>46023</v>
      </c>
      <c r="H644" s="10">
        <v>22</v>
      </c>
      <c r="I644" s="10" t="s">
        <v>245</v>
      </c>
      <c r="J644" s="10" t="s">
        <v>247</v>
      </c>
      <c r="K644" s="10" t="s">
        <v>248</v>
      </c>
      <c r="L644" s="10">
        <v>1</v>
      </c>
    </row>
    <row r="645" spans="1:12" x14ac:dyDescent="0.2">
      <c r="A645" s="10" t="s">
        <v>1108</v>
      </c>
      <c r="D645" s="10" t="s">
        <v>246</v>
      </c>
      <c r="E645" s="18" t="s">
        <v>1352</v>
      </c>
      <c r="F645" s="9">
        <v>45383</v>
      </c>
      <c r="G645" s="9">
        <v>46023</v>
      </c>
      <c r="H645" s="10">
        <v>22</v>
      </c>
      <c r="I645" s="10" t="s">
        <v>245</v>
      </c>
      <c r="J645" s="10" t="s">
        <v>247</v>
      </c>
      <c r="K645" s="10" t="s">
        <v>248</v>
      </c>
      <c r="L645" s="10">
        <v>1</v>
      </c>
    </row>
    <row r="646" spans="1:12" x14ac:dyDescent="0.2">
      <c r="A646" s="10" t="s">
        <v>1109</v>
      </c>
      <c r="D646" s="10" t="s">
        <v>246</v>
      </c>
      <c r="E646" s="18" t="s">
        <v>1353</v>
      </c>
      <c r="F646" s="9">
        <v>45383</v>
      </c>
      <c r="G646" s="9">
        <v>46023</v>
      </c>
      <c r="H646" s="10">
        <v>22</v>
      </c>
      <c r="I646" s="10" t="s">
        <v>245</v>
      </c>
      <c r="J646" s="10" t="s">
        <v>247</v>
      </c>
      <c r="K646" s="10" t="s">
        <v>248</v>
      </c>
      <c r="L646" s="10">
        <v>1</v>
      </c>
    </row>
    <row r="647" spans="1:12" x14ac:dyDescent="0.2">
      <c r="A647" s="10" t="s">
        <v>1110</v>
      </c>
      <c r="D647" s="10" t="s">
        <v>246</v>
      </c>
      <c r="E647" s="18" t="s">
        <v>1354</v>
      </c>
      <c r="F647" s="9">
        <v>45383</v>
      </c>
      <c r="G647" s="9">
        <v>46023</v>
      </c>
      <c r="H647" s="10">
        <v>22</v>
      </c>
      <c r="I647" s="10" t="s">
        <v>245</v>
      </c>
      <c r="J647" s="10" t="s">
        <v>247</v>
      </c>
      <c r="K647" s="10" t="s">
        <v>248</v>
      </c>
      <c r="L647" s="10">
        <v>1</v>
      </c>
    </row>
    <row r="648" spans="1:12" x14ac:dyDescent="0.2">
      <c r="A648" s="10" t="s">
        <v>1111</v>
      </c>
      <c r="D648" s="10" t="s">
        <v>246</v>
      </c>
      <c r="E648" s="18" t="s">
        <v>1355</v>
      </c>
      <c r="F648" s="9">
        <v>45383</v>
      </c>
      <c r="G648" s="9">
        <v>46023</v>
      </c>
      <c r="H648" s="10">
        <v>22</v>
      </c>
      <c r="I648" s="10" t="s">
        <v>245</v>
      </c>
      <c r="J648" s="10" t="s">
        <v>247</v>
      </c>
      <c r="K648" s="10" t="s">
        <v>248</v>
      </c>
      <c r="L648" s="10">
        <v>1</v>
      </c>
    </row>
    <row r="649" spans="1:12" x14ac:dyDescent="0.2">
      <c r="A649" s="10" t="s">
        <v>1112</v>
      </c>
      <c r="D649" s="10" t="s">
        <v>246</v>
      </c>
      <c r="E649" s="18" t="s">
        <v>1356</v>
      </c>
      <c r="F649" s="9">
        <v>45383</v>
      </c>
      <c r="G649" s="9">
        <v>46023</v>
      </c>
      <c r="H649" s="10">
        <v>22</v>
      </c>
      <c r="I649" s="10" t="s">
        <v>245</v>
      </c>
      <c r="J649" s="10" t="s">
        <v>247</v>
      </c>
      <c r="K649" s="10" t="s">
        <v>248</v>
      </c>
      <c r="L649" s="10">
        <v>1</v>
      </c>
    </row>
    <row r="650" spans="1:12" x14ac:dyDescent="0.2">
      <c r="A650" s="10" t="s">
        <v>1113</v>
      </c>
      <c r="D650" s="10" t="s">
        <v>246</v>
      </c>
      <c r="E650" s="18" t="s">
        <v>1357</v>
      </c>
      <c r="F650" s="9">
        <v>45383</v>
      </c>
      <c r="G650" s="9">
        <v>46023</v>
      </c>
      <c r="H650" s="10">
        <v>22</v>
      </c>
      <c r="I650" s="10" t="s">
        <v>245</v>
      </c>
      <c r="J650" s="10" t="s">
        <v>247</v>
      </c>
      <c r="K650" s="10" t="s">
        <v>248</v>
      </c>
      <c r="L650" s="10">
        <v>1</v>
      </c>
    </row>
    <row r="651" spans="1:12" x14ac:dyDescent="0.2">
      <c r="A651" s="10" t="s">
        <v>1114</v>
      </c>
      <c r="D651" s="10" t="s">
        <v>246</v>
      </c>
      <c r="E651" s="18" t="s">
        <v>1358</v>
      </c>
      <c r="F651" s="9">
        <v>42979</v>
      </c>
      <c r="G651" s="9">
        <v>46023</v>
      </c>
      <c r="H651" s="10">
        <v>101</v>
      </c>
      <c r="I651" s="10" t="s">
        <v>245</v>
      </c>
      <c r="J651" s="10" t="s">
        <v>247</v>
      </c>
      <c r="K651" s="10" t="s">
        <v>248</v>
      </c>
      <c r="L651" s="10">
        <v>1</v>
      </c>
    </row>
    <row r="652" spans="1:12" x14ac:dyDescent="0.2">
      <c r="A652" s="10" t="s">
        <v>1115</v>
      </c>
      <c r="D652" s="10" t="s">
        <v>246</v>
      </c>
      <c r="E652" s="18" t="s">
        <v>1359</v>
      </c>
      <c r="F652" s="9">
        <v>42979</v>
      </c>
      <c r="G652" s="9">
        <v>46023</v>
      </c>
      <c r="H652" s="10">
        <v>101</v>
      </c>
      <c r="I652" s="10" t="s">
        <v>245</v>
      </c>
      <c r="J652" s="10" t="s">
        <v>247</v>
      </c>
      <c r="K652" s="10" t="s">
        <v>248</v>
      </c>
      <c r="L652" s="10">
        <v>1</v>
      </c>
    </row>
    <row r="653" spans="1:12" x14ac:dyDescent="0.2">
      <c r="A653" s="10" t="s">
        <v>1116</v>
      </c>
      <c r="D653" s="10" t="s">
        <v>246</v>
      </c>
      <c r="E653" s="18" t="s">
        <v>1360</v>
      </c>
      <c r="F653" s="9">
        <v>42979</v>
      </c>
      <c r="G653" s="9">
        <v>46023</v>
      </c>
      <c r="H653" s="10">
        <v>101</v>
      </c>
      <c r="I653" s="10" t="s">
        <v>245</v>
      </c>
      <c r="J653" s="10" t="s">
        <v>247</v>
      </c>
      <c r="K653" s="10" t="s">
        <v>248</v>
      </c>
      <c r="L653" s="10">
        <v>1</v>
      </c>
    </row>
    <row r="654" spans="1:12" x14ac:dyDescent="0.2">
      <c r="A654" s="10" t="s">
        <v>1117</v>
      </c>
      <c r="D654" s="10" t="s">
        <v>246</v>
      </c>
      <c r="E654" s="18" t="s">
        <v>1361</v>
      </c>
      <c r="F654" s="9">
        <v>45383</v>
      </c>
      <c r="G654" s="9">
        <v>46023</v>
      </c>
      <c r="H654" s="10">
        <v>22</v>
      </c>
      <c r="I654" s="10" t="s">
        <v>245</v>
      </c>
      <c r="J654" s="10" t="s">
        <v>247</v>
      </c>
      <c r="K654" s="10" t="s">
        <v>248</v>
      </c>
      <c r="L654" s="10">
        <v>1</v>
      </c>
    </row>
    <row r="655" spans="1:12" x14ac:dyDescent="0.2">
      <c r="A655" s="10" t="s">
        <v>1118</v>
      </c>
      <c r="D655" s="10" t="s">
        <v>246</v>
      </c>
      <c r="E655" s="18" t="s">
        <v>1362</v>
      </c>
      <c r="F655" s="9">
        <v>45383</v>
      </c>
      <c r="G655" s="9">
        <v>46023</v>
      </c>
      <c r="H655" s="10">
        <v>22</v>
      </c>
      <c r="I655" s="10" t="s">
        <v>245</v>
      </c>
      <c r="J655" s="10" t="s">
        <v>247</v>
      </c>
      <c r="K655" s="10" t="s">
        <v>248</v>
      </c>
      <c r="L655" s="10">
        <v>1</v>
      </c>
    </row>
    <row r="656" spans="1:12" x14ac:dyDescent="0.2">
      <c r="A656" s="10" t="s">
        <v>1119</v>
      </c>
      <c r="D656" s="10" t="s">
        <v>246</v>
      </c>
      <c r="E656" s="18" t="s">
        <v>1363</v>
      </c>
      <c r="F656" s="9">
        <v>45383</v>
      </c>
      <c r="G656" s="9">
        <v>46023</v>
      </c>
      <c r="H656" s="10">
        <v>22</v>
      </c>
      <c r="I656" s="10" t="s">
        <v>245</v>
      </c>
      <c r="J656" s="10" t="s">
        <v>247</v>
      </c>
      <c r="K656" s="10" t="s">
        <v>248</v>
      </c>
      <c r="L656" s="10">
        <v>1</v>
      </c>
    </row>
    <row r="657" spans="1:12" x14ac:dyDescent="0.2">
      <c r="A657" s="10" t="s">
        <v>1120</v>
      </c>
      <c r="D657" s="10" t="s">
        <v>246</v>
      </c>
      <c r="E657" s="18" t="s">
        <v>1364</v>
      </c>
      <c r="F657" s="9">
        <v>42979</v>
      </c>
      <c r="G657" s="9">
        <v>46023</v>
      </c>
      <c r="H657" s="10">
        <v>101</v>
      </c>
      <c r="I657" s="10" t="s">
        <v>245</v>
      </c>
      <c r="J657" s="10" t="s">
        <v>247</v>
      </c>
      <c r="K657" s="10" t="s">
        <v>248</v>
      </c>
      <c r="L657" s="10">
        <v>1</v>
      </c>
    </row>
    <row r="658" spans="1:12" x14ac:dyDescent="0.2">
      <c r="A658" s="10" t="s">
        <v>1121</v>
      </c>
      <c r="D658" s="10" t="s">
        <v>246</v>
      </c>
      <c r="E658" s="18" t="s">
        <v>1365</v>
      </c>
      <c r="F658" s="9">
        <v>45383</v>
      </c>
      <c r="G658" s="9">
        <v>46023</v>
      </c>
      <c r="H658" s="10">
        <v>22</v>
      </c>
      <c r="I658" s="10" t="s">
        <v>245</v>
      </c>
      <c r="J658" s="10" t="s">
        <v>247</v>
      </c>
      <c r="K658" s="10" t="s">
        <v>248</v>
      </c>
      <c r="L658" s="10">
        <v>1</v>
      </c>
    </row>
    <row r="659" spans="1:12" x14ac:dyDescent="0.2">
      <c r="A659" s="10" t="s">
        <v>1122</v>
      </c>
      <c r="D659" s="10" t="s">
        <v>246</v>
      </c>
      <c r="E659" s="18" t="s">
        <v>1366</v>
      </c>
      <c r="F659" s="9">
        <v>45383</v>
      </c>
      <c r="G659" s="9">
        <v>46023</v>
      </c>
      <c r="H659" s="10">
        <v>22</v>
      </c>
      <c r="I659" s="10" t="s">
        <v>245</v>
      </c>
      <c r="J659" s="10" t="s">
        <v>247</v>
      </c>
      <c r="K659" s="10" t="s">
        <v>248</v>
      </c>
      <c r="L659" s="10">
        <v>1</v>
      </c>
    </row>
    <row r="660" spans="1:12" x14ac:dyDescent="0.2">
      <c r="A660" s="10" t="s">
        <v>1123</v>
      </c>
      <c r="D660" s="10" t="s">
        <v>246</v>
      </c>
      <c r="E660" s="18" t="s">
        <v>1367</v>
      </c>
      <c r="F660" s="9">
        <v>45383</v>
      </c>
      <c r="G660" s="9">
        <v>46023</v>
      </c>
      <c r="H660" s="10">
        <v>22</v>
      </c>
      <c r="I660" s="10" t="s">
        <v>245</v>
      </c>
      <c r="J660" s="10" t="s">
        <v>247</v>
      </c>
      <c r="K660" s="10" t="s">
        <v>248</v>
      </c>
      <c r="L660" s="10">
        <v>1</v>
      </c>
    </row>
    <row r="661" spans="1:12" x14ac:dyDescent="0.2">
      <c r="A661" s="10" t="s">
        <v>1124</v>
      </c>
      <c r="D661" s="10" t="s">
        <v>246</v>
      </c>
      <c r="E661" s="18" t="s">
        <v>1368</v>
      </c>
      <c r="F661" s="9">
        <v>45383</v>
      </c>
      <c r="G661" s="9">
        <v>46023</v>
      </c>
      <c r="H661" s="10">
        <v>22</v>
      </c>
      <c r="I661" s="10" t="s">
        <v>245</v>
      </c>
      <c r="J661" s="10" t="s">
        <v>247</v>
      </c>
      <c r="K661" s="10" t="s">
        <v>248</v>
      </c>
      <c r="L661" s="10">
        <v>1</v>
      </c>
    </row>
    <row r="662" spans="1:12" x14ac:dyDescent="0.2">
      <c r="A662" s="10" t="s">
        <v>1124</v>
      </c>
      <c r="D662" s="10" t="s">
        <v>246</v>
      </c>
      <c r="E662" s="18" t="s">
        <v>1369</v>
      </c>
      <c r="F662" s="9">
        <v>45383</v>
      </c>
      <c r="G662" s="9">
        <v>46023</v>
      </c>
      <c r="H662" s="10">
        <v>22</v>
      </c>
      <c r="I662" s="10" t="s">
        <v>245</v>
      </c>
      <c r="J662" s="10" t="s">
        <v>247</v>
      </c>
      <c r="K662" s="10" t="s">
        <v>248</v>
      </c>
      <c r="L662" s="10">
        <v>1</v>
      </c>
    </row>
    <row r="663" spans="1:12" x14ac:dyDescent="0.2">
      <c r="A663" s="10" t="s">
        <v>1125</v>
      </c>
      <c r="D663" s="10" t="s">
        <v>246</v>
      </c>
      <c r="E663" s="18" t="s">
        <v>1370</v>
      </c>
      <c r="F663" s="9">
        <v>45383</v>
      </c>
      <c r="G663" s="9">
        <v>46023</v>
      </c>
      <c r="H663" s="10">
        <v>22</v>
      </c>
      <c r="I663" s="10" t="s">
        <v>245</v>
      </c>
      <c r="J663" s="10" t="s">
        <v>247</v>
      </c>
      <c r="K663" s="10" t="s">
        <v>248</v>
      </c>
      <c r="L663" s="10">
        <v>1</v>
      </c>
    </row>
    <row r="664" spans="1:12" x14ac:dyDescent="0.2">
      <c r="A664" s="10" t="s">
        <v>1126</v>
      </c>
      <c r="D664" s="10" t="s">
        <v>246</v>
      </c>
      <c r="E664" s="18" t="s">
        <v>1371</v>
      </c>
      <c r="F664" s="9">
        <v>42979</v>
      </c>
      <c r="G664" s="9">
        <v>46023</v>
      </c>
      <c r="H664" s="10">
        <v>101</v>
      </c>
      <c r="I664" s="10" t="s">
        <v>245</v>
      </c>
      <c r="J664" s="10" t="s">
        <v>247</v>
      </c>
      <c r="K664" s="10" t="s">
        <v>248</v>
      </c>
      <c r="L664" s="10">
        <v>1</v>
      </c>
    </row>
    <row r="665" spans="1:12" x14ac:dyDescent="0.2">
      <c r="A665" s="10" t="s">
        <v>1127</v>
      </c>
      <c r="D665" s="10" t="s">
        <v>246</v>
      </c>
      <c r="E665" s="18" t="s">
        <v>1372</v>
      </c>
      <c r="F665" s="9">
        <v>42979</v>
      </c>
      <c r="G665" s="9">
        <v>46023</v>
      </c>
      <c r="H665" s="10">
        <v>101</v>
      </c>
      <c r="I665" s="10" t="s">
        <v>245</v>
      </c>
      <c r="J665" s="10" t="s">
        <v>247</v>
      </c>
      <c r="K665" s="10" t="s">
        <v>248</v>
      </c>
      <c r="L665" s="10">
        <v>1</v>
      </c>
    </row>
    <row r="666" spans="1:12" x14ac:dyDescent="0.2">
      <c r="A666" s="10" t="s">
        <v>1128</v>
      </c>
      <c r="D666" s="10" t="s">
        <v>246</v>
      </c>
      <c r="E666" s="18" t="s">
        <v>1373</v>
      </c>
      <c r="F666" s="9">
        <v>45383</v>
      </c>
      <c r="G666" s="9">
        <v>46023</v>
      </c>
      <c r="H666" s="10">
        <v>22</v>
      </c>
      <c r="I666" s="10" t="s">
        <v>245</v>
      </c>
      <c r="J666" s="10" t="s">
        <v>247</v>
      </c>
      <c r="K666" s="10" t="s">
        <v>248</v>
      </c>
      <c r="L666" s="10">
        <v>1</v>
      </c>
    </row>
    <row r="667" spans="1:12" x14ac:dyDescent="0.2">
      <c r="A667" s="10" t="s">
        <v>1129</v>
      </c>
      <c r="D667" s="10" t="s">
        <v>246</v>
      </c>
      <c r="E667" s="18" t="s">
        <v>1374</v>
      </c>
      <c r="F667" s="9">
        <v>45383</v>
      </c>
      <c r="G667" s="9">
        <v>46023</v>
      </c>
      <c r="H667" s="10">
        <v>22</v>
      </c>
      <c r="I667" s="10" t="s">
        <v>245</v>
      </c>
      <c r="J667" s="10" t="s">
        <v>247</v>
      </c>
      <c r="K667" s="10" t="s">
        <v>248</v>
      </c>
      <c r="L667" s="10">
        <v>1</v>
      </c>
    </row>
    <row r="668" spans="1:12" x14ac:dyDescent="0.2">
      <c r="A668" s="10" t="s">
        <v>1129</v>
      </c>
      <c r="D668" s="10" t="s">
        <v>246</v>
      </c>
      <c r="E668" s="18" t="s">
        <v>1375</v>
      </c>
      <c r="F668" s="9">
        <v>45383</v>
      </c>
      <c r="G668" s="9">
        <v>46023</v>
      </c>
      <c r="H668" s="10">
        <v>22</v>
      </c>
      <c r="I668" s="10" t="s">
        <v>245</v>
      </c>
      <c r="J668" s="10" t="s">
        <v>247</v>
      </c>
      <c r="K668" s="10" t="s">
        <v>248</v>
      </c>
      <c r="L668" s="10">
        <v>1</v>
      </c>
    </row>
    <row r="669" spans="1:12" x14ac:dyDescent="0.2">
      <c r="A669" s="10" t="s">
        <v>1130</v>
      </c>
      <c r="D669" s="10" t="s">
        <v>246</v>
      </c>
      <c r="E669" s="18" t="s">
        <v>1376</v>
      </c>
      <c r="F669" s="9">
        <v>42979</v>
      </c>
      <c r="G669" s="9">
        <v>46023</v>
      </c>
      <c r="H669" s="10">
        <v>101</v>
      </c>
      <c r="I669" s="10" t="s">
        <v>245</v>
      </c>
      <c r="J669" s="10" t="s">
        <v>247</v>
      </c>
      <c r="K669" s="10" t="s">
        <v>248</v>
      </c>
      <c r="L669" s="10">
        <v>1</v>
      </c>
    </row>
    <row r="670" spans="1:12" x14ac:dyDescent="0.2">
      <c r="A670" s="10" t="s">
        <v>1131</v>
      </c>
      <c r="D670" s="10" t="s">
        <v>246</v>
      </c>
      <c r="E670" s="18" t="s">
        <v>1377</v>
      </c>
      <c r="F670" s="9">
        <v>42979</v>
      </c>
      <c r="G670" s="9">
        <v>46023</v>
      </c>
      <c r="H670" s="10">
        <v>101</v>
      </c>
      <c r="I670" s="10" t="s">
        <v>245</v>
      </c>
      <c r="J670" s="10" t="s">
        <v>247</v>
      </c>
      <c r="K670" s="10" t="s">
        <v>248</v>
      </c>
      <c r="L670" s="10">
        <v>1</v>
      </c>
    </row>
    <row r="671" spans="1:12" x14ac:dyDescent="0.2">
      <c r="A671" s="10" t="s">
        <v>1132</v>
      </c>
      <c r="D671" s="10" t="s">
        <v>246</v>
      </c>
      <c r="E671" s="18" t="s">
        <v>1378</v>
      </c>
      <c r="F671" s="9">
        <v>42979</v>
      </c>
      <c r="G671" s="9">
        <v>46023</v>
      </c>
      <c r="H671" s="10">
        <v>101</v>
      </c>
      <c r="I671" s="10" t="s">
        <v>245</v>
      </c>
      <c r="J671" s="10" t="s">
        <v>247</v>
      </c>
      <c r="K671" s="10" t="s">
        <v>248</v>
      </c>
      <c r="L671" s="10">
        <v>1</v>
      </c>
    </row>
    <row r="672" spans="1:12" x14ac:dyDescent="0.2">
      <c r="A672" s="10" t="s">
        <v>1133</v>
      </c>
      <c r="D672" s="10" t="s">
        <v>246</v>
      </c>
      <c r="E672" s="18" t="s">
        <v>1379</v>
      </c>
      <c r="F672" s="9">
        <v>45383</v>
      </c>
      <c r="G672" s="9">
        <v>46023</v>
      </c>
      <c r="H672" s="10">
        <v>22</v>
      </c>
      <c r="I672" s="10" t="s">
        <v>245</v>
      </c>
      <c r="J672" s="10" t="s">
        <v>247</v>
      </c>
      <c r="K672" s="10" t="s">
        <v>248</v>
      </c>
      <c r="L672" s="10">
        <v>1</v>
      </c>
    </row>
    <row r="673" spans="1:12" x14ac:dyDescent="0.2">
      <c r="A673" s="10" t="s">
        <v>1134</v>
      </c>
      <c r="D673" s="10" t="s">
        <v>246</v>
      </c>
      <c r="E673" s="18" t="s">
        <v>1380</v>
      </c>
      <c r="F673" s="9">
        <v>45383</v>
      </c>
      <c r="G673" s="9">
        <v>46023</v>
      </c>
      <c r="H673" s="10">
        <v>22</v>
      </c>
      <c r="I673" s="10" t="s">
        <v>245</v>
      </c>
      <c r="J673" s="10" t="s">
        <v>247</v>
      </c>
      <c r="K673" s="10" t="s">
        <v>248</v>
      </c>
      <c r="L673" s="10">
        <v>1</v>
      </c>
    </row>
    <row r="674" spans="1:12" x14ac:dyDescent="0.2">
      <c r="A674" s="10" t="s">
        <v>1135</v>
      </c>
      <c r="D674" s="10" t="s">
        <v>246</v>
      </c>
      <c r="E674" s="18" t="s">
        <v>1381</v>
      </c>
      <c r="F674" s="9">
        <v>42979</v>
      </c>
      <c r="G674" s="9">
        <v>46023</v>
      </c>
      <c r="H674" s="10">
        <v>101</v>
      </c>
      <c r="I674" s="10" t="s">
        <v>245</v>
      </c>
      <c r="J674" s="10" t="s">
        <v>247</v>
      </c>
      <c r="K674" s="10" t="s">
        <v>248</v>
      </c>
      <c r="L674" s="10">
        <v>1</v>
      </c>
    </row>
    <row r="675" spans="1:12" x14ac:dyDescent="0.2">
      <c r="A675" s="10" t="s">
        <v>1136</v>
      </c>
      <c r="D675" s="10" t="s">
        <v>246</v>
      </c>
      <c r="E675" s="18" t="s">
        <v>1382</v>
      </c>
      <c r="F675" s="9">
        <v>42979</v>
      </c>
      <c r="G675" s="9">
        <v>46023</v>
      </c>
      <c r="H675" s="10">
        <v>101</v>
      </c>
      <c r="I675" s="10" t="s">
        <v>245</v>
      </c>
      <c r="J675" s="10" t="s">
        <v>247</v>
      </c>
      <c r="K675" s="10" t="s">
        <v>248</v>
      </c>
      <c r="L675" s="10">
        <v>1</v>
      </c>
    </row>
    <row r="676" spans="1:12" x14ac:dyDescent="0.2">
      <c r="A676" s="10" t="s">
        <v>1137</v>
      </c>
      <c r="D676" s="10" t="s">
        <v>246</v>
      </c>
      <c r="E676" s="18" t="s">
        <v>1383</v>
      </c>
      <c r="F676" s="9">
        <v>42979</v>
      </c>
      <c r="G676" s="9">
        <v>46023</v>
      </c>
      <c r="H676" s="10">
        <v>101</v>
      </c>
      <c r="I676" s="10" t="s">
        <v>245</v>
      </c>
      <c r="J676" s="10" t="s">
        <v>247</v>
      </c>
      <c r="K676" s="10" t="s">
        <v>248</v>
      </c>
      <c r="L676" s="10">
        <v>1</v>
      </c>
    </row>
    <row r="677" spans="1:12" x14ac:dyDescent="0.2">
      <c r="A677" s="10" t="s">
        <v>1138</v>
      </c>
      <c r="D677" s="10" t="s">
        <v>246</v>
      </c>
      <c r="E677" s="18" t="s">
        <v>1384</v>
      </c>
      <c r="F677" s="9">
        <v>42979</v>
      </c>
      <c r="G677" s="9">
        <v>46023</v>
      </c>
      <c r="H677" s="10">
        <v>101</v>
      </c>
      <c r="I677" s="10" t="s">
        <v>245</v>
      </c>
      <c r="J677" s="10" t="s">
        <v>247</v>
      </c>
      <c r="K677" s="10" t="s">
        <v>248</v>
      </c>
      <c r="L677" s="10">
        <v>1</v>
      </c>
    </row>
    <row r="678" spans="1:12" x14ac:dyDescent="0.2">
      <c r="A678" s="10" t="s">
        <v>1139</v>
      </c>
      <c r="D678" s="10" t="s">
        <v>246</v>
      </c>
      <c r="E678" s="18" t="s">
        <v>1385</v>
      </c>
      <c r="F678" s="9">
        <v>42979</v>
      </c>
      <c r="G678" s="9">
        <v>46023</v>
      </c>
      <c r="H678" s="10">
        <v>101</v>
      </c>
      <c r="I678" s="10" t="s">
        <v>245</v>
      </c>
      <c r="J678" s="10" t="s">
        <v>247</v>
      </c>
      <c r="K678" s="10" t="s">
        <v>248</v>
      </c>
      <c r="L678" s="10">
        <v>1</v>
      </c>
    </row>
    <row r="679" spans="1:12" x14ac:dyDescent="0.2">
      <c r="A679" s="10" t="s">
        <v>1140</v>
      </c>
      <c r="D679" s="10" t="s">
        <v>246</v>
      </c>
      <c r="E679" s="18" t="s">
        <v>1386</v>
      </c>
      <c r="F679" s="9">
        <v>42979</v>
      </c>
      <c r="G679" s="9">
        <v>46023</v>
      </c>
      <c r="H679" s="10">
        <v>101</v>
      </c>
      <c r="I679" s="10" t="s">
        <v>245</v>
      </c>
      <c r="J679" s="10" t="s">
        <v>247</v>
      </c>
      <c r="K679" s="10" t="s">
        <v>248</v>
      </c>
      <c r="L679" s="10">
        <v>1</v>
      </c>
    </row>
    <row r="680" spans="1:12" x14ac:dyDescent="0.2">
      <c r="A680" s="10" t="s">
        <v>1141</v>
      </c>
      <c r="D680" s="10" t="s">
        <v>246</v>
      </c>
      <c r="E680" s="18" t="s">
        <v>1387</v>
      </c>
      <c r="F680" s="9">
        <v>42979</v>
      </c>
      <c r="G680" s="9">
        <v>46023</v>
      </c>
      <c r="H680" s="10">
        <v>101</v>
      </c>
      <c r="I680" s="10" t="s">
        <v>245</v>
      </c>
      <c r="J680" s="10" t="s">
        <v>247</v>
      </c>
      <c r="K680" s="10" t="s">
        <v>248</v>
      </c>
      <c r="L680" s="10">
        <v>1</v>
      </c>
    </row>
    <row r="681" spans="1:12" x14ac:dyDescent="0.2">
      <c r="A681" s="10" t="s">
        <v>1142</v>
      </c>
      <c r="D681" s="10" t="s">
        <v>246</v>
      </c>
      <c r="E681" s="18" t="s">
        <v>1388</v>
      </c>
      <c r="F681" s="9">
        <v>42979</v>
      </c>
      <c r="G681" s="9">
        <v>46023</v>
      </c>
      <c r="H681" s="10">
        <v>101</v>
      </c>
      <c r="I681" s="10" t="s">
        <v>245</v>
      </c>
      <c r="J681" s="10" t="s">
        <v>247</v>
      </c>
      <c r="K681" s="10" t="s">
        <v>248</v>
      </c>
      <c r="L681" s="10">
        <v>1</v>
      </c>
    </row>
    <row r="682" spans="1:12" x14ac:dyDescent="0.2">
      <c r="A682" s="10" t="s">
        <v>1143</v>
      </c>
      <c r="D682" s="10" t="s">
        <v>246</v>
      </c>
      <c r="E682" s="18" t="s">
        <v>1389</v>
      </c>
      <c r="F682" s="9">
        <v>42979</v>
      </c>
      <c r="G682" s="9">
        <v>46023</v>
      </c>
      <c r="H682" s="10">
        <v>101</v>
      </c>
      <c r="I682" s="10" t="s">
        <v>245</v>
      </c>
      <c r="J682" s="10" t="s">
        <v>247</v>
      </c>
      <c r="K682" s="10" t="s">
        <v>248</v>
      </c>
      <c r="L682" s="10">
        <v>1</v>
      </c>
    </row>
    <row r="683" spans="1:12" x14ac:dyDescent="0.2">
      <c r="A683" s="10" t="s">
        <v>1144</v>
      </c>
      <c r="D683" s="10" t="s">
        <v>246</v>
      </c>
      <c r="E683" s="18" t="s">
        <v>1390</v>
      </c>
      <c r="F683" s="9">
        <v>42979</v>
      </c>
      <c r="G683" s="9">
        <v>46023</v>
      </c>
      <c r="H683" s="10">
        <v>101</v>
      </c>
      <c r="I683" s="10" t="s">
        <v>245</v>
      </c>
      <c r="J683" s="10" t="s">
        <v>247</v>
      </c>
      <c r="K683" s="10" t="s">
        <v>248</v>
      </c>
      <c r="L683" s="10">
        <v>1</v>
      </c>
    </row>
    <row r="684" spans="1:12" x14ac:dyDescent="0.2">
      <c r="A684" s="10" t="s">
        <v>1145</v>
      </c>
      <c r="D684" s="10" t="s">
        <v>246</v>
      </c>
      <c r="E684" s="18" t="s">
        <v>1391</v>
      </c>
      <c r="F684" s="9">
        <v>42979</v>
      </c>
      <c r="G684" s="9">
        <v>46023</v>
      </c>
      <c r="H684" s="10">
        <v>101</v>
      </c>
      <c r="I684" s="10" t="s">
        <v>245</v>
      </c>
      <c r="J684" s="10" t="s">
        <v>247</v>
      </c>
      <c r="K684" s="10" t="s">
        <v>248</v>
      </c>
      <c r="L684" s="10">
        <v>1</v>
      </c>
    </row>
    <row r="685" spans="1:12" x14ac:dyDescent="0.2">
      <c r="A685" s="10" t="s">
        <v>1146</v>
      </c>
      <c r="D685" s="10" t="s">
        <v>246</v>
      </c>
      <c r="E685" s="18" t="s">
        <v>1392</v>
      </c>
      <c r="F685" s="9">
        <v>42979</v>
      </c>
      <c r="G685" s="9">
        <v>46023</v>
      </c>
      <c r="H685" s="10">
        <v>101</v>
      </c>
      <c r="I685" s="10" t="s">
        <v>245</v>
      </c>
      <c r="J685" s="10" t="s">
        <v>247</v>
      </c>
      <c r="K685" s="10" t="s">
        <v>248</v>
      </c>
      <c r="L685" s="10">
        <v>1</v>
      </c>
    </row>
    <row r="686" spans="1:12" x14ac:dyDescent="0.2">
      <c r="A686" s="10" t="s">
        <v>1147</v>
      </c>
      <c r="D686" s="10" t="s">
        <v>246</v>
      </c>
      <c r="E686" s="18" t="s">
        <v>1393</v>
      </c>
      <c r="F686" s="9">
        <v>42979</v>
      </c>
      <c r="G686" s="9">
        <v>46023</v>
      </c>
      <c r="H686" s="10">
        <v>101</v>
      </c>
      <c r="I686" s="10" t="s">
        <v>245</v>
      </c>
      <c r="J686" s="10" t="s">
        <v>247</v>
      </c>
      <c r="K686" s="10" t="s">
        <v>248</v>
      </c>
      <c r="L686" s="10">
        <v>1</v>
      </c>
    </row>
    <row r="687" spans="1:12" x14ac:dyDescent="0.2">
      <c r="A687" s="10" t="s">
        <v>1148</v>
      </c>
      <c r="D687" s="10" t="s">
        <v>246</v>
      </c>
      <c r="E687" s="18" t="s">
        <v>1394</v>
      </c>
      <c r="F687" s="9">
        <v>42979</v>
      </c>
      <c r="G687" s="9">
        <v>46023</v>
      </c>
      <c r="H687" s="10">
        <v>101</v>
      </c>
      <c r="I687" s="10" t="s">
        <v>245</v>
      </c>
      <c r="J687" s="10" t="s">
        <v>247</v>
      </c>
      <c r="K687" s="10" t="s">
        <v>248</v>
      </c>
      <c r="L687" s="10">
        <v>1</v>
      </c>
    </row>
    <row r="688" spans="1:12" x14ac:dyDescent="0.2">
      <c r="A688" s="10" t="s">
        <v>1149</v>
      </c>
      <c r="D688" s="10" t="s">
        <v>246</v>
      </c>
      <c r="E688" s="18" t="s">
        <v>1395</v>
      </c>
      <c r="F688" s="9">
        <v>42979</v>
      </c>
      <c r="G688" s="9">
        <v>46023</v>
      </c>
      <c r="H688" s="10">
        <v>101</v>
      </c>
      <c r="I688" s="10" t="s">
        <v>245</v>
      </c>
      <c r="J688" s="10" t="s">
        <v>247</v>
      </c>
      <c r="K688" s="10" t="s">
        <v>248</v>
      </c>
      <c r="L688" s="10">
        <v>1</v>
      </c>
    </row>
    <row r="689" spans="1:12" x14ac:dyDescent="0.2">
      <c r="A689" s="10" t="s">
        <v>1150</v>
      </c>
      <c r="D689" s="10" t="s">
        <v>246</v>
      </c>
      <c r="E689" s="18" t="s">
        <v>1396</v>
      </c>
      <c r="F689" s="9">
        <v>42979</v>
      </c>
      <c r="G689" s="9">
        <v>46023</v>
      </c>
      <c r="H689" s="10">
        <v>101</v>
      </c>
      <c r="I689" s="10" t="s">
        <v>245</v>
      </c>
      <c r="J689" s="10" t="s">
        <v>247</v>
      </c>
      <c r="K689" s="10" t="s">
        <v>248</v>
      </c>
      <c r="L689" s="10">
        <v>1</v>
      </c>
    </row>
    <row r="690" spans="1:12" x14ac:dyDescent="0.2">
      <c r="A690" s="10" t="s">
        <v>1151</v>
      </c>
      <c r="D690" s="10" t="s">
        <v>246</v>
      </c>
      <c r="E690" s="18" t="s">
        <v>1397</v>
      </c>
      <c r="F690" s="9">
        <v>42979</v>
      </c>
      <c r="G690" s="9">
        <v>46023</v>
      </c>
      <c r="H690" s="10">
        <v>101</v>
      </c>
      <c r="I690" s="10" t="s">
        <v>245</v>
      </c>
      <c r="J690" s="10" t="s">
        <v>247</v>
      </c>
      <c r="K690" s="10" t="s">
        <v>248</v>
      </c>
      <c r="L690" s="10">
        <v>1</v>
      </c>
    </row>
    <row r="691" spans="1:12" x14ac:dyDescent="0.2">
      <c r="A691" s="10" t="s">
        <v>1152</v>
      </c>
      <c r="D691" s="10" t="s">
        <v>246</v>
      </c>
      <c r="E691" s="18" t="s">
        <v>1398</v>
      </c>
      <c r="F691" s="9">
        <v>42979</v>
      </c>
      <c r="G691" s="9">
        <v>46023</v>
      </c>
      <c r="H691" s="10">
        <v>101</v>
      </c>
      <c r="I691" s="10" t="s">
        <v>245</v>
      </c>
      <c r="J691" s="10" t="s">
        <v>247</v>
      </c>
      <c r="K691" s="10" t="s">
        <v>248</v>
      </c>
      <c r="L691" s="10">
        <v>1</v>
      </c>
    </row>
    <row r="692" spans="1:12" x14ac:dyDescent="0.2">
      <c r="A692" s="10" t="s">
        <v>1153</v>
      </c>
      <c r="D692" s="10" t="s">
        <v>246</v>
      </c>
      <c r="E692" s="18" t="s">
        <v>1399</v>
      </c>
      <c r="F692" s="9">
        <v>42979</v>
      </c>
      <c r="G692" s="9">
        <v>46023</v>
      </c>
      <c r="H692" s="10">
        <v>101</v>
      </c>
      <c r="I692" s="10" t="s">
        <v>245</v>
      </c>
      <c r="J692" s="10" t="s">
        <v>247</v>
      </c>
      <c r="K692" s="10" t="s">
        <v>248</v>
      </c>
      <c r="L692" s="10">
        <v>1</v>
      </c>
    </row>
    <row r="693" spans="1:12" x14ac:dyDescent="0.2">
      <c r="A693" s="10" t="s">
        <v>1154</v>
      </c>
      <c r="D693" s="10" t="s">
        <v>246</v>
      </c>
      <c r="E693" s="18" t="s">
        <v>1400</v>
      </c>
      <c r="F693" s="9">
        <v>42979</v>
      </c>
      <c r="G693" s="9">
        <v>46023</v>
      </c>
      <c r="H693" s="10">
        <v>101</v>
      </c>
      <c r="I693" s="10" t="s">
        <v>245</v>
      </c>
      <c r="J693" s="10" t="s">
        <v>247</v>
      </c>
      <c r="K693" s="10" t="s">
        <v>248</v>
      </c>
      <c r="L693" s="10">
        <v>1</v>
      </c>
    </row>
    <row r="694" spans="1:12" x14ac:dyDescent="0.2">
      <c r="A694" s="10" t="s">
        <v>1155</v>
      </c>
      <c r="D694" s="10" t="s">
        <v>246</v>
      </c>
      <c r="E694" s="18" t="s">
        <v>1401</v>
      </c>
      <c r="F694" s="9">
        <v>42979</v>
      </c>
      <c r="G694" s="9">
        <v>46023</v>
      </c>
      <c r="H694" s="10">
        <v>101</v>
      </c>
      <c r="I694" s="10" t="s">
        <v>245</v>
      </c>
      <c r="J694" s="10" t="s">
        <v>247</v>
      </c>
      <c r="K694" s="10" t="s">
        <v>248</v>
      </c>
      <c r="L694" s="10">
        <v>1</v>
      </c>
    </row>
    <row r="695" spans="1:12" x14ac:dyDescent="0.2">
      <c r="A695" s="10" t="s">
        <v>1156</v>
      </c>
      <c r="D695" s="10" t="s">
        <v>246</v>
      </c>
      <c r="E695" s="18" t="s">
        <v>1402</v>
      </c>
      <c r="F695" s="9">
        <v>42979</v>
      </c>
      <c r="G695" s="9">
        <v>46023</v>
      </c>
      <c r="H695" s="10">
        <v>101</v>
      </c>
      <c r="I695" s="10" t="s">
        <v>245</v>
      </c>
      <c r="J695" s="10" t="s">
        <v>247</v>
      </c>
      <c r="K695" s="10" t="s">
        <v>248</v>
      </c>
      <c r="L695" s="10">
        <v>1</v>
      </c>
    </row>
    <row r="696" spans="1:12" x14ac:dyDescent="0.2">
      <c r="A696" s="10" t="s">
        <v>1157</v>
      </c>
      <c r="D696" s="10" t="s">
        <v>246</v>
      </c>
      <c r="E696" s="18" t="s">
        <v>1403</v>
      </c>
      <c r="F696" s="9">
        <v>42979</v>
      </c>
      <c r="G696" s="9">
        <v>46023</v>
      </c>
      <c r="H696" s="10">
        <v>101</v>
      </c>
      <c r="I696" s="10" t="s">
        <v>245</v>
      </c>
      <c r="J696" s="10" t="s">
        <v>247</v>
      </c>
      <c r="K696" s="10" t="s">
        <v>248</v>
      </c>
      <c r="L696" s="10">
        <v>1</v>
      </c>
    </row>
    <row r="697" spans="1:12" x14ac:dyDescent="0.2">
      <c r="A697" s="10" t="s">
        <v>1158</v>
      </c>
      <c r="D697" s="10" t="s">
        <v>246</v>
      </c>
      <c r="E697" s="18" t="s">
        <v>1404</v>
      </c>
      <c r="F697" s="9">
        <v>42979</v>
      </c>
      <c r="G697" s="9">
        <v>46023</v>
      </c>
      <c r="H697" s="10">
        <v>101</v>
      </c>
      <c r="I697" s="10" t="s">
        <v>245</v>
      </c>
      <c r="J697" s="10" t="s">
        <v>247</v>
      </c>
      <c r="K697" s="10" t="s">
        <v>248</v>
      </c>
      <c r="L697" s="10">
        <v>1</v>
      </c>
    </row>
    <row r="698" spans="1:12" x14ac:dyDescent="0.2">
      <c r="A698" s="10" t="s">
        <v>1159</v>
      </c>
      <c r="D698" s="10" t="s">
        <v>246</v>
      </c>
      <c r="E698" s="18" t="s">
        <v>1405</v>
      </c>
      <c r="F698" s="9">
        <v>42979</v>
      </c>
      <c r="G698" s="9">
        <v>46023</v>
      </c>
      <c r="H698" s="10">
        <v>101</v>
      </c>
      <c r="I698" s="10" t="s">
        <v>245</v>
      </c>
      <c r="J698" s="10" t="s">
        <v>247</v>
      </c>
      <c r="K698" s="10" t="s">
        <v>248</v>
      </c>
      <c r="L698" s="10">
        <v>1</v>
      </c>
    </row>
    <row r="699" spans="1:12" x14ac:dyDescent="0.2">
      <c r="A699" s="10" t="s">
        <v>1160</v>
      </c>
      <c r="D699" s="10" t="s">
        <v>246</v>
      </c>
      <c r="E699" s="18" t="s">
        <v>1406</v>
      </c>
      <c r="F699" s="9">
        <v>42979</v>
      </c>
      <c r="G699" s="9">
        <v>46023</v>
      </c>
      <c r="H699" s="10">
        <v>101</v>
      </c>
      <c r="I699" s="10" t="s">
        <v>245</v>
      </c>
      <c r="J699" s="10" t="s">
        <v>247</v>
      </c>
      <c r="K699" s="10" t="s">
        <v>248</v>
      </c>
      <c r="L699" s="10">
        <v>1</v>
      </c>
    </row>
    <row r="700" spans="1:12" x14ac:dyDescent="0.2">
      <c r="A700" s="10" t="s">
        <v>1161</v>
      </c>
      <c r="D700" s="10" t="s">
        <v>246</v>
      </c>
      <c r="E700" s="18" t="s">
        <v>1407</v>
      </c>
      <c r="F700" s="9">
        <v>42979</v>
      </c>
      <c r="G700" s="9">
        <v>46023</v>
      </c>
      <c r="H700" s="10">
        <v>101</v>
      </c>
      <c r="I700" s="10" t="s">
        <v>245</v>
      </c>
      <c r="J700" s="10" t="s">
        <v>247</v>
      </c>
      <c r="K700" s="10" t="s">
        <v>248</v>
      </c>
      <c r="L700" s="10">
        <v>1</v>
      </c>
    </row>
    <row r="701" spans="1:12" x14ac:dyDescent="0.2">
      <c r="A701" s="10" t="s">
        <v>1162</v>
      </c>
      <c r="D701" s="10" t="s">
        <v>246</v>
      </c>
      <c r="E701" s="18" t="s">
        <v>1408</v>
      </c>
      <c r="F701" s="9">
        <v>42979</v>
      </c>
      <c r="G701" s="9">
        <v>46023</v>
      </c>
      <c r="H701" s="10">
        <v>101</v>
      </c>
      <c r="I701" s="10" t="s">
        <v>245</v>
      </c>
      <c r="J701" s="10" t="s">
        <v>247</v>
      </c>
      <c r="K701" s="10" t="s">
        <v>248</v>
      </c>
      <c r="L701" s="10">
        <v>1</v>
      </c>
    </row>
    <row r="702" spans="1:12" x14ac:dyDescent="0.2">
      <c r="A702" s="10" t="s">
        <v>1163</v>
      </c>
      <c r="D702" s="10" t="s">
        <v>246</v>
      </c>
      <c r="E702" s="18" t="s">
        <v>1409</v>
      </c>
      <c r="F702" s="9">
        <v>42979</v>
      </c>
      <c r="G702" s="9">
        <v>46023</v>
      </c>
      <c r="H702" s="10">
        <v>101</v>
      </c>
      <c r="I702" s="10" t="s">
        <v>245</v>
      </c>
      <c r="J702" s="10" t="s">
        <v>247</v>
      </c>
      <c r="K702" s="10" t="s">
        <v>248</v>
      </c>
      <c r="L702" s="10">
        <v>1</v>
      </c>
    </row>
    <row r="703" spans="1:12" x14ac:dyDescent="0.2">
      <c r="A703" s="10" t="s">
        <v>1164</v>
      </c>
      <c r="D703" s="10" t="s">
        <v>246</v>
      </c>
      <c r="E703" s="18" t="s">
        <v>1410</v>
      </c>
      <c r="F703" s="9">
        <v>45383</v>
      </c>
      <c r="G703" s="9">
        <v>46023</v>
      </c>
      <c r="H703" s="10">
        <v>22</v>
      </c>
      <c r="I703" s="10" t="s">
        <v>245</v>
      </c>
      <c r="J703" s="10" t="s">
        <v>247</v>
      </c>
      <c r="K703" s="10" t="s">
        <v>248</v>
      </c>
      <c r="L703" s="10">
        <v>1</v>
      </c>
    </row>
    <row r="704" spans="1:12" x14ac:dyDescent="0.2">
      <c r="A704" s="10" t="s">
        <v>1165</v>
      </c>
      <c r="D704" s="10" t="s">
        <v>246</v>
      </c>
      <c r="E704" s="18" t="s">
        <v>1411</v>
      </c>
      <c r="F704" s="9">
        <v>45383</v>
      </c>
      <c r="G704" s="9">
        <v>46023</v>
      </c>
      <c r="H704" s="10">
        <v>22</v>
      </c>
      <c r="I704" s="10" t="s">
        <v>245</v>
      </c>
      <c r="J704" s="10" t="s">
        <v>247</v>
      </c>
      <c r="K704" s="10" t="s">
        <v>248</v>
      </c>
      <c r="L704" s="10">
        <v>1</v>
      </c>
    </row>
    <row r="705" spans="1:12" x14ac:dyDescent="0.2">
      <c r="A705" s="10" t="s">
        <v>1166</v>
      </c>
      <c r="D705" s="10" t="s">
        <v>246</v>
      </c>
      <c r="E705" s="18" t="s">
        <v>1412</v>
      </c>
      <c r="F705" s="9">
        <v>45383</v>
      </c>
      <c r="G705" s="9">
        <v>46023</v>
      </c>
      <c r="H705" s="10">
        <v>22</v>
      </c>
      <c r="I705" s="10" t="s">
        <v>245</v>
      </c>
      <c r="J705" s="10" t="s">
        <v>247</v>
      </c>
      <c r="K705" s="10" t="s">
        <v>248</v>
      </c>
      <c r="L705" s="10">
        <v>1</v>
      </c>
    </row>
    <row r="706" spans="1:12" x14ac:dyDescent="0.2">
      <c r="A706" s="10" t="s">
        <v>1167</v>
      </c>
      <c r="D706" s="10" t="s">
        <v>246</v>
      </c>
      <c r="E706" s="18" t="s">
        <v>1413</v>
      </c>
      <c r="F706" s="9">
        <v>45383</v>
      </c>
      <c r="G706" s="9">
        <v>46023</v>
      </c>
      <c r="H706" s="10">
        <v>22</v>
      </c>
      <c r="I706" s="10" t="s">
        <v>245</v>
      </c>
      <c r="J706" s="10" t="s">
        <v>247</v>
      </c>
      <c r="K706" s="10" t="s">
        <v>248</v>
      </c>
      <c r="L706" s="10">
        <v>1</v>
      </c>
    </row>
    <row r="707" spans="1:12" x14ac:dyDescent="0.2">
      <c r="A707" s="10" t="s">
        <v>1168</v>
      </c>
      <c r="D707" s="10" t="s">
        <v>246</v>
      </c>
      <c r="E707" s="18" t="s">
        <v>1414</v>
      </c>
      <c r="F707" s="9">
        <v>45383</v>
      </c>
      <c r="G707" s="9">
        <v>46023</v>
      </c>
      <c r="H707" s="10">
        <v>22</v>
      </c>
      <c r="I707" s="10" t="s">
        <v>245</v>
      </c>
      <c r="J707" s="10" t="s">
        <v>247</v>
      </c>
      <c r="K707" s="10" t="s">
        <v>248</v>
      </c>
      <c r="L707" s="10">
        <v>1</v>
      </c>
    </row>
    <row r="708" spans="1:12" x14ac:dyDescent="0.2">
      <c r="A708" s="10" t="s">
        <v>1169</v>
      </c>
      <c r="D708" s="10" t="s">
        <v>246</v>
      </c>
      <c r="E708" s="18" t="s">
        <v>1415</v>
      </c>
      <c r="F708" s="9">
        <v>42979</v>
      </c>
      <c r="G708" s="9">
        <v>46023</v>
      </c>
      <c r="H708" s="10">
        <v>101</v>
      </c>
      <c r="I708" s="10" t="s">
        <v>245</v>
      </c>
      <c r="J708" s="10" t="s">
        <v>247</v>
      </c>
      <c r="K708" s="10" t="s">
        <v>248</v>
      </c>
      <c r="L708" s="10">
        <v>1</v>
      </c>
    </row>
    <row r="709" spans="1:12" x14ac:dyDescent="0.2">
      <c r="A709" s="10" t="s">
        <v>1170</v>
      </c>
      <c r="D709" s="10" t="s">
        <v>246</v>
      </c>
      <c r="E709" s="18" t="s">
        <v>1416</v>
      </c>
      <c r="F709" s="9">
        <v>45383</v>
      </c>
      <c r="G709" s="9">
        <v>46023</v>
      </c>
      <c r="H709" s="10">
        <v>22</v>
      </c>
      <c r="I709" s="10" t="s">
        <v>245</v>
      </c>
      <c r="J709" s="10" t="s">
        <v>247</v>
      </c>
      <c r="K709" s="10" t="s">
        <v>248</v>
      </c>
      <c r="L709" s="10">
        <v>1</v>
      </c>
    </row>
    <row r="710" spans="1:12" x14ac:dyDescent="0.2">
      <c r="A710" s="10" t="s">
        <v>1171</v>
      </c>
      <c r="D710" s="10" t="s">
        <v>246</v>
      </c>
      <c r="E710" s="18" t="s">
        <v>1417</v>
      </c>
      <c r="F710" s="9">
        <v>42979</v>
      </c>
      <c r="G710" s="9">
        <v>46023</v>
      </c>
      <c r="H710" s="10">
        <v>101</v>
      </c>
      <c r="I710" s="10" t="s">
        <v>245</v>
      </c>
      <c r="J710" s="10" t="s">
        <v>247</v>
      </c>
      <c r="K710" s="10" t="s">
        <v>248</v>
      </c>
      <c r="L710" s="10">
        <v>1</v>
      </c>
    </row>
    <row r="711" spans="1:12" x14ac:dyDescent="0.2">
      <c r="A711" s="10" t="s">
        <v>1172</v>
      </c>
      <c r="D711" s="10" t="s">
        <v>246</v>
      </c>
      <c r="E711" s="18" t="s">
        <v>1418</v>
      </c>
      <c r="F711" s="9">
        <v>42979</v>
      </c>
      <c r="G711" s="9">
        <v>46023</v>
      </c>
      <c r="H711" s="10">
        <v>101</v>
      </c>
      <c r="I711" s="10" t="s">
        <v>245</v>
      </c>
      <c r="J711" s="10" t="s">
        <v>247</v>
      </c>
      <c r="K711" s="10" t="s">
        <v>248</v>
      </c>
      <c r="L711" s="10">
        <v>1</v>
      </c>
    </row>
    <row r="712" spans="1:12" x14ac:dyDescent="0.2">
      <c r="A712" s="10" t="s">
        <v>1172</v>
      </c>
      <c r="D712" s="10" t="s">
        <v>246</v>
      </c>
      <c r="E712" s="18" t="s">
        <v>1419</v>
      </c>
      <c r="F712" s="9">
        <v>42979</v>
      </c>
      <c r="G712" s="9">
        <v>46023</v>
      </c>
      <c r="H712" s="10">
        <v>101</v>
      </c>
      <c r="I712" s="10" t="s">
        <v>245</v>
      </c>
      <c r="J712" s="10" t="s">
        <v>247</v>
      </c>
      <c r="K712" s="10" t="s">
        <v>248</v>
      </c>
      <c r="L712" s="10">
        <v>1</v>
      </c>
    </row>
    <row r="713" spans="1:12" x14ac:dyDescent="0.2">
      <c r="A713" s="10" t="s">
        <v>1173</v>
      </c>
      <c r="D713" s="10" t="s">
        <v>246</v>
      </c>
      <c r="E713" s="18" t="s">
        <v>1420</v>
      </c>
      <c r="F713" s="9">
        <v>45383</v>
      </c>
      <c r="G713" s="9">
        <v>46023</v>
      </c>
      <c r="H713" s="10">
        <v>22</v>
      </c>
      <c r="I713" s="10" t="s">
        <v>245</v>
      </c>
      <c r="J713" s="10" t="s">
        <v>247</v>
      </c>
      <c r="K713" s="10" t="s">
        <v>248</v>
      </c>
      <c r="L713" s="10">
        <v>1</v>
      </c>
    </row>
    <row r="714" spans="1:12" x14ac:dyDescent="0.2">
      <c r="A714" s="10" t="s">
        <v>1174</v>
      </c>
      <c r="D714" s="10" t="s">
        <v>246</v>
      </c>
      <c r="E714" s="18" t="s">
        <v>1421</v>
      </c>
      <c r="F714" s="9">
        <v>45383</v>
      </c>
      <c r="G714" s="9">
        <v>46023</v>
      </c>
      <c r="H714" s="10">
        <v>22</v>
      </c>
      <c r="I714" s="10" t="s">
        <v>245</v>
      </c>
      <c r="J714" s="10" t="s">
        <v>247</v>
      </c>
      <c r="K714" s="10" t="s">
        <v>248</v>
      </c>
      <c r="L714" s="10">
        <v>1</v>
      </c>
    </row>
    <row r="715" spans="1:12" x14ac:dyDescent="0.2">
      <c r="A715" s="10" t="s">
        <v>1175</v>
      </c>
      <c r="D715" s="10" t="s">
        <v>246</v>
      </c>
      <c r="E715" s="18" t="s">
        <v>1422</v>
      </c>
      <c r="F715" s="9">
        <v>45383</v>
      </c>
      <c r="G715" s="9">
        <v>46023</v>
      </c>
      <c r="H715" s="10">
        <v>22</v>
      </c>
      <c r="I715" s="10" t="s">
        <v>245</v>
      </c>
      <c r="J715" s="10" t="s">
        <v>247</v>
      </c>
      <c r="K715" s="10" t="s">
        <v>248</v>
      </c>
      <c r="L715" s="10">
        <v>1</v>
      </c>
    </row>
    <row r="716" spans="1:12" x14ac:dyDescent="0.2">
      <c r="A716" s="10" t="s">
        <v>1176</v>
      </c>
      <c r="D716" s="10" t="s">
        <v>246</v>
      </c>
      <c r="E716" s="18" t="s">
        <v>1423</v>
      </c>
      <c r="F716" s="9">
        <v>45383</v>
      </c>
      <c r="G716" s="9">
        <v>46023</v>
      </c>
      <c r="H716" s="10">
        <v>22</v>
      </c>
      <c r="I716" s="10" t="s">
        <v>245</v>
      </c>
      <c r="J716" s="10" t="s">
        <v>247</v>
      </c>
      <c r="K716" s="10" t="s">
        <v>248</v>
      </c>
      <c r="L716" s="10">
        <v>1</v>
      </c>
    </row>
    <row r="717" spans="1:12" x14ac:dyDescent="0.2">
      <c r="A717" s="10" t="s">
        <v>1177</v>
      </c>
      <c r="D717" s="10" t="s">
        <v>246</v>
      </c>
      <c r="E717" s="18" t="s">
        <v>1424</v>
      </c>
      <c r="F717" s="9">
        <v>45383</v>
      </c>
      <c r="G717" s="9">
        <v>46023</v>
      </c>
      <c r="H717" s="10">
        <v>22</v>
      </c>
      <c r="I717" s="10" t="s">
        <v>245</v>
      </c>
      <c r="J717" s="10" t="s">
        <v>247</v>
      </c>
      <c r="K717" s="10" t="s">
        <v>248</v>
      </c>
      <c r="L717" s="10">
        <v>1</v>
      </c>
    </row>
    <row r="718" spans="1:12" x14ac:dyDescent="0.2">
      <c r="A718" s="10" t="s">
        <v>1178</v>
      </c>
      <c r="D718" s="10" t="s">
        <v>246</v>
      </c>
      <c r="E718" s="18" t="s">
        <v>1425</v>
      </c>
      <c r="F718" s="9">
        <v>45383</v>
      </c>
      <c r="G718" s="9">
        <v>46023</v>
      </c>
      <c r="H718" s="10">
        <v>22</v>
      </c>
      <c r="I718" s="10" t="s">
        <v>245</v>
      </c>
      <c r="J718" s="10" t="s">
        <v>247</v>
      </c>
      <c r="K718" s="10" t="s">
        <v>248</v>
      </c>
      <c r="L718" s="10">
        <v>1</v>
      </c>
    </row>
    <row r="719" spans="1:12" x14ac:dyDescent="0.2">
      <c r="A719" s="10" t="s">
        <v>1179</v>
      </c>
      <c r="D719" s="10" t="s">
        <v>246</v>
      </c>
      <c r="E719" s="18" t="s">
        <v>1426</v>
      </c>
      <c r="F719" s="9">
        <v>45383</v>
      </c>
      <c r="G719" s="9">
        <v>46023</v>
      </c>
      <c r="H719" s="10">
        <v>22</v>
      </c>
      <c r="I719" s="10" t="s">
        <v>245</v>
      </c>
      <c r="J719" s="10" t="s">
        <v>247</v>
      </c>
      <c r="K719" s="10" t="s">
        <v>248</v>
      </c>
      <c r="L719" s="10">
        <v>1</v>
      </c>
    </row>
    <row r="720" spans="1:12" x14ac:dyDescent="0.2">
      <c r="A720" s="10" t="s">
        <v>1180</v>
      </c>
      <c r="D720" s="10" t="s">
        <v>246</v>
      </c>
      <c r="E720" s="18" t="s">
        <v>1427</v>
      </c>
      <c r="F720" s="9">
        <v>45383</v>
      </c>
      <c r="G720" s="9">
        <v>46023</v>
      </c>
      <c r="H720" s="10">
        <v>22</v>
      </c>
      <c r="I720" s="10" t="s">
        <v>245</v>
      </c>
      <c r="J720" s="10" t="s">
        <v>247</v>
      </c>
      <c r="K720" s="10" t="s">
        <v>248</v>
      </c>
      <c r="L720" s="10">
        <v>1</v>
      </c>
    </row>
    <row r="721" spans="1:12" x14ac:dyDescent="0.2">
      <c r="A721" s="10" t="s">
        <v>1181</v>
      </c>
      <c r="D721" s="10" t="s">
        <v>246</v>
      </c>
      <c r="E721" s="18" t="s">
        <v>1428</v>
      </c>
      <c r="F721" s="9">
        <v>45383</v>
      </c>
      <c r="G721" s="9">
        <v>46023</v>
      </c>
      <c r="H721" s="10">
        <v>22</v>
      </c>
      <c r="I721" s="10" t="s">
        <v>245</v>
      </c>
      <c r="J721" s="10" t="s">
        <v>247</v>
      </c>
      <c r="K721" s="10" t="s">
        <v>248</v>
      </c>
      <c r="L721" s="10">
        <v>1</v>
      </c>
    </row>
    <row r="722" spans="1:12" x14ac:dyDescent="0.2">
      <c r="A722" s="10" t="s">
        <v>1182</v>
      </c>
      <c r="D722" s="10" t="s">
        <v>246</v>
      </c>
      <c r="E722" s="18" t="s">
        <v>1429</v>
      </c>
      <c r="F722" s="9">
        <v>45383</v>
      </c>
      <c r="G722" s="9">
        <v>46023</v>
      </c>
      <c r="H722" s="10">
        <v>22</v>
      </c>
      <c r="I722" s="10" t="s">
        <v>245</v>
      </c>
      <c r="J722" s="10" t="s">
        <v>247</v>
      </c>
      <c r="K722" s="10" t="s">
        <v>248</v>
      </c>
      <c r="L722" s="10">
        <v>1</v>
      </c>
    </row>
    <row r="723" spans="1:12" x14ac:dyDescent="0.2">
      <c r="A723" s="10" t="s">
        <v>1183</v>
      </c>
      <c r="D723" s="10" t="s">
        <v>246</v>
      </c>
      <c r="E723" s="18" t="s">
        <v>1430</v>
      </c>
      <c r="F723" s="9">
        <v>45383</v>
      </c>
      <c r="G723" s="9">
        <v>46023</v>
      </c>
      <c r="H723" s="10">
        <v>22</v>
      </c>
      <c r="I723" s="10" t="s">
        <v>245</v>
      </c>
      <c r="J723" s="10" t="s">
        <v>247</v>
      </c>
      <c r="K723" s="10" t="s">
        <v>248</v>
      </c>
      <c r="L723" s="10">
        <v>1</v>
      </c>
    </row>
    <row r="724" spans="1:12" x14ac:dyDescent="0.2">
      <c r="A724" s="10" t="s">
        <v>1184</v>
      </c>
      <c r="D724" s="10" t="s">
        <v>246</v>
      </c>
      <c r="E724" s="18" t="s">
        <v>1431</v>
      </c>
      <c r="F724" s="9">
        <v>45383</v>
      </c>
      <c r="G724" s="9">
        <v>46023</v>
      </c>
      <c r="H724" s="10">
        <v>22</v>
      </c>
      <c r="I724" s="10" t="s">
        <v>245</v>
      </c>
      <c r="J724" s="10" t="s">
        <v>247</v>
      </c>
      <c r="K724" s="10" t="s">
        <v>248</v>
      </c>
      <c r="L724" s="10">
        <v>1</v>
      </c>
    </row>
    <row r="725" spans="1:12" x14ac:dyDescent="0.2">
      <c r="A725" s="10" t="s">
        <v>1185</v>
      </c>
      <c r="D725" s="10" t="s">
        <v>246</v>
      </c>
      <c r="E725" s="18" t="s">
        <v>1432</v>
      </c>
      <c r="F725" s="9">
        <v>45383</v>
      </c>
      <c r="G725" s="9">
        <v>46023</v>
      </c>
      <c r="H725" s="10">
        <v>22</v>
      </c>
      <c r="I725" s="10" t="s">
        <v>245</v>
      </c>
      <c r="J725" s="10" t="s">
        <v>247</v>
      </c>
      <c r="K725" s="10" t="s">
        <v>248</v>
      </c>
      <c r="L725" s="10">
        <v>1</v>
      </c>
    </row>
    <row r="726" spans="1:12" x14ac:dyDescent="0.2">
      <c r="A726" s="10" t="s">
        <v>1186</v>
      </c>
      <c r="D726" s="10" t="s">
        <v>246</v>
      </c>
      <c r="E726" s="18" t="s">
        <v>1433</v>
      </c>
      <c r="F726" s="9">
        <v>44743</v>
      </c>
      <c r="G726" s="9">
        <v>46023</v>
      </c>
      <c r="H726" s="10">
        <v>43</v>
      </c>
      <c r="I726" s="10" t="s">
        <v>245</v>
      </c>
      <c r="J726" s="10" t="s">
        <v>247</v>
      </c>
      <c r="K726" s="10" t="s">
        <v>248</v>
      </c>
      <c r="L726" s="10">
        <v>1</v>
      </c>
    </row>
    <row r="727" spans="1:12" x14ac:dyDescent="0.2">
      <c r="A727" s="10" t="s">
        <v>1186</v>
      </c>
      <c r="D727" s="10" t="s">
        <v>246</v>
      </c>
      <c r="E727" s="18" t="s">
        <v>1434</v>
      </c>
      <c r="F727" s="9">
        <v>44743</v>
      </c>
      <c r="G727" s="9">
        <v>46023</v>
      </c>
      <c r="H727" s="10">
        <v>43</v>
      </c>
      <c r="I727" s="10" t="s">
        <v>245</v>
      </c>
      <c r="J727" s="10" t="s">
        <v>247</v>
      </c>
      <c r="K727" s="10" t="s">
        <v>248</v>
      </c>
      <c r="L727" s="10">
        <v>1</v>
      </c>
    </row>
    <row r="728" spans="1:12" x14ac:dyDescent="0.2">
      <c r="A728" s="10" t="s">
        <v>1187</v>
      </c>
      <c r="D728" s="10" t="s">
        <v>246</v>
      </c>
      <c r="E728" s="18" t="s">
        <v>1435</v>
      </c>
      <c r="F728" s="9">
        <v>42979</v>
      </c>
      <c r="G728" s="9">
        <v>46023</v>
      </c>
      <c r="H728" s="10">
        <v>101</v>
      </c>
      <c r="I728" s="10" t="s">
        <v>245</v>
      </c>
      <c r="J728" s="10" t="s">
        <v>247</v>
      </c>
      <c r="K728" s="10" t="s">
        <v>248</v>
      </c>
      <c r="L728" s="10">
        <v>1</v>
      </c>
    </row>
    <row r="729" spans="1:12" x14ac:dyDescent="0.2">
      <c r="A729" s="10" t="s">
        <v>1187</v>
      </c>
      <c r="D729" s="10" t="s">
        <v>246</v>
      </c>
      <c r="E729" s="18" t="s">
        <v>1436</v>
      </c>
      <c r="F729" s="9">
        <v>42979</v>
      </c>
      <c r="G729" s="9">
        <v>46023</v>
      </c>
      <c r="H729" s="10">
        <v>101</v>
      </c>
      <c r="I729" s="10" t="s">
        <v>245</v>
      </c>
      <c r="J729" s="10" t="s">
        <v>247</v>
      </c>
      <c r="K729" s="10" t="s">
        <v>248</v>
      </c>
      <c r="L729" s="10">
        <v>1</v>
      </c>
    </row>
    <row r="730" spans="1:12" x14ac:dyDescent="0.2">
      <c r="A730" s="10" t="s">
        <v>1188</v>
      </c>
      <c r="D730" s="10" t="s">
        <v>246</v>
      </c>
      <c r="E730" s="18" t="s">
        <v>1437</v>
      </c>
      <c r="F730" s="9">
        <v>45383</v>
      </c>
      <c r="G730" s="9">
        <v>46023</v>
      </c>
      <c r="H730" s="10">
        <v>22</v>
      </c>
      <c r="I730" s="10" t="s">
        <v>245</v>
      </c>
      <c r="J730" s="10" t="s">
        <v>247</v>
      </c>
      <c r="K730" s="10" t="s">
        <v>248</v>
      </c>
      <c r="L730" s="10">
        <v>1</v>
      </c>
    </row>
    <row r="731" spans="1:12" x14ac:dyDescent="0.2">
      <c r="A731" s="10" t="s">
        <v>1189</v>
      </c>
      <c r="D731" s="10" t="s">
        <v>246</v>
      </c>
      <c r="E731" s="18" t="s">
        <v>1438</v>
      </c>
      <c r="F731" s="9">
        <v>45383</v>
      </c>
      <c r="G731" s="9">
        <v>46023</v>
      </c>
      <c r="H731" s="10">
        <v>22</v>
      </c>
      <c r="I731" s="10" t="s">
        <v>245</v>
      </c>
      <c r="J731" s="10" t="s">
        <v>247</v>
      </c>
      <c r="K731" s="10" t="s">
        <v>248</v>
      </c>
      <c r="L731" s="10">
        <v>1</v>
      </c>
    </row>
    <row r="732" spans="1:12" x14ac:dyDescent="0.2">
      <c r="A732" s="10" t="s">
        <v>1190</v>
      </c>
      <c r="D732" s="10" t="s">
        <v>246</v>
      </c>
      <c r="E732" s="18" t="s">
        <v>1439</v>
      </c>
      <c r="F732" s="9">
        <v>42979</v>
      </c>
      <c r="G732" s="9">
        <v>46023</v>
      </c>
      <c r="H732" s="10">
        <v>101</v>
      </c>
      <c r="I732" s="10" t="s">
        <v>245</v>
      </c>
      <c r="J732" s="10" t="s">
        <v>247</v>
      </c>
      <c r="K732" s="10" t="s">
        <v>248</v>
      </c>
      <c r="L732" s="10">
        <v>1</v>
      </c>
    </row>
    <row r="733" spans="1:12" x14ac:dyDescent="0.2">
      <c r="A733" s="10" t="s">
        <v>1191</v>
      </c>
      <c r="D733" s="10" t="s">
        <v>246</v>
      </c>
      <c r="E733" s="18" t="s">
        <v>1440</v>
      </c>
      <c r="F733" s="9">
        <v>45383</v>
      </c>
      <c r="G733" s="9">
        <v>46023</v>
      </c>
      <c r="H733" s="10">
        <v>22</v>
      </c>
      <c r="I733" s="10" t="s">
        <v>245</v>
      </c>
      <c r="J733" s="10" t="s">
        <v>247</v>
      </c>
      <c r="K733" s="10" t="s">
        <v>248</v>
      </c>
      <c r="L733" s="10">
        <v>1</v>
      </c>
    </row>
    <row r="734" spans="1:12" x14ac:dyDescent="0.2">
      <c r="A734" s="10" t="s">
        <v>1192</v>
      </c>
      <c r="D734" s="10" t="s">
        <v>246</v>
      </c>
      <c r="E734" s="18" t="s">
        <v>1441</v>
      </c>
      <c r="F734" s="9">
        <v>45383</v>
      </c>
      <c r="G734" s="9">
        <v>46023</v>
      </c>
      <c r="H734" s="10">
        <v>22</v>
      </c>
      <c r="I734" s="10" t="s">
        <v>245</v>
      </c>
      <c r="J734" s="10" t="s">
        <v>247</v>
      </c>
      <c r="K734" s="10" t="s">
        <v>248</v>
      </c>
      <c r="L734" s="10">
        <v>1</v>
      </c>
    </row>
    <row r="735" spans="1:12" x14ac:dyDescent="0.2">
      <c r="A735" s="10" t="s">
        <v>1193</v>
      </c>
      <c r="D735" s="10" t="s">
        <v>246</v>
      </c>
      <c r="E735" s="18" t="s">
        <v>1442</v>
      </c>
      <c r="F735" s="9">
        <v>44470</v>
      </c>
      <c r="G735" s="9">
        <v>46023</v>
      </c>
      <c r="H735" s="10">
        <v>52</v>
      </c>
      <c r="I735" s="10" t="s">
        <v>245</v>
      </c>
      <c r="J735" s="10" t="s">
        <v>247</v>
      </c>
      <c r="K735" s="10" t="s">
        <v>248</v>
      </c>
      <c r="L735" s="10">
        <v>1</v>
      </c>
    </row>
    <row r="736" spans="1:12" x14ac:dyDescent="0.2">
      <c r="A736" s="10" t="s">
        <v>1194</v>
      </c>
      <c r="D736" s="10" t="s">
        <v>246</v>
      </c>
      <c r="E736" s="18" t="s">
        <v>1443</v>
      </c>
      <c r="F736" s="9">
        <v>44470</v>
      </c>
      <c r="G736" s="9">
        <v>46023</v>
      </c>
      <c r="H736" s="10">
        <v>52</v>
      </c>
      <c r="I736" s="10" t="s">
        <v>245</v>
      </c>
      <c r="J736" s="10" t="s">
        <v>247</v>
      </c>
      <c r="K736" s="10" t="s">
        <v>248</v>
      </c>
      <c r="L736" s="10">
        <v>1</v>
      </c>
    </row>
    <row r="737" spans="1:12" x14ac:dyDescent="0.2">
      <c r="A737" s="10" t="s">
        <v>1195</v>
      </c>
      <c r="D737" s="10" t="s">
        <v>246</v>
      </c>
      <c r="E737" s="18" t="s">
        <v>1444</v>
      </c>
      <c r="F737" s="9">
        <v>45383</v>
      </c>
      <c r="G737" s="9">
        <v>46023</v>
      </c>
      <c r="H737" s="10">
        <v>22</v>
      </c>
      <c r="I737" s="10" t="s">
        <v>245</v>
      </c>
      <c r="J737" s="10" t="s">
        <v>247</v>
      </c>
      <c r="K737" s="10" t="s">
        <v>248</v>
      </c>
      <c r="L737" s="10">
        <v>1</v>
      </c>
    </row>
    <row r="738" spans="1:12" x14ac:dyDescent="0.2">
      <c r="A738" s="10" t="s">
        <v>1196</v>
      </c>
      <c r="D738" s="10" t="s">
        <v>246</v>
      </c>
      <c r="E738" s="18" t="s">
        <v>1445</v>
      </c>
      <c r="F738" s="9">
        <v>45383</v>
      </c>
      <c r="G738" s="9">
        <v>46023</v>
      </c>
      <c r="H738" s="10">
        <v>22</v>
      </c>
      <c r="I738" s="10" t="s">
        <v>245</v>
      </c>
      <c r="J738" s="10" t="s">
        <v>247</v>
      </c>
      <c r="K738" s="10" t="s">
        <v>248</v>
      </c>
      <c r="L738" s="10">
        <v>1</v>
      </c>
    </row>
    <row r="739" spans="1:12" x14ac:dyDescent="0.2">
      <c r="A739" s="10" t="s">
        <v>1197</v>
      </c>
      <c r="D739" s="10" t="s">
        <v>246</v>
      </c>
      <c r="E739" s="18" t="s">
        <v>1446</v>
      </c>
      <c r="F739" s="9">
        <v>45383</v>
      </c>
      <c r="G739" s="9">
        <v>46023</v>
      </c>
      <c r="H739" s="10">
        <v>22</v>
      </c>
      <c r="I739" s="10" t="s">
        <v>245</v>
      </c>
      <c r="J739" s="10" t="s">
        <v>247</v>
      </c>
      <c r="K739" s="10" t="s">
        <v>248</v>
      </c>
      <c r="L739" s="10">
        <v>1</v>
      </c>
    </row>
    <row r="740" spans="1:12" x14ac:dyDescent="0.2">
      <c r="A740" s="10" t="s">
        <v>1198</v>
      </c>
      <c r="D740" s="10" t="s">
        <v>246</v>
      </c>
      <c r="E740" s="18" t="s">
        <v>1447</v>
      </c>
      <c r="F740" s="9">
        <v>45383</v>
      </c>
      <c r="G740" s="9">
        <v>46023</v>
      </c>
      <c r="H740" s="10">
        <v>22</v>
      </c>
      <c r="I740" s="10" t="s">
        <v>245</v>
      </c>
      <c r="J740" s="10" t="s">
        <v>247</v>
      </c>
      <c r="K740" s="10" t="s">
        <v>248</v>
      </c>
      <c r="L740" s="10">
        <v>1</v>
      </c>
    </row>
    <row r="741" spans="1:12" x14ac:dyDescent="0.2">
      <c r="A741" s="10" t="s">
        <v>1199</v>
      </c>
      <c r="D741" s="10" t="s">
        <v>246</v>
      </c>
      <c r="E741" s="18" t="s">
        <v>1448</v>
      </c>
      <c r="F741" s="9">
        <v>45383</v>
      </c>
      <c r="G741" s="9">
        <v>46023</v>
      </c>
      <c r="H741" s="10">
        <v>22</v>
      </c>
      <c r="I741" s="10" t="s">
        <v>245</v>
      </c>
      <c r="J741" s="10" t="s">
        <v>247</v>
      </c>
      <c r="K741" s="10" t="s">
        <v>248</v>
      </c>
      <c r="L741" s="10">
        <v>1</v>
      </c>
    </row>
    <row r="742" spans="1:12" x14ac:dyDescent="0.2">
      <c r="A742" s="10" t="s">
        <v>1199</v>
      </c>
      <c r="D742" s="10" t="s">
        <v>246</v>
      </c>
      <c r="E742" s="18" t="s">
        <v>1449</v>
      </c>
      <c r="F742" s="9">
        <v>45383</v>
      </c>
      <c r="G742" s="9">
        <v>46023</v>
      </c>
      <c r="H742" s="10">
        <v>22</v>
      </c>
      <c r="I742" s="10" t="s">
        <v>245</v>
      </c>
      <c r="J742" s="10" t="s">
        <v>247</v>
      </c>
      <c r="K742" s="10" t="s">
        <v>248</v>
      </c>
      <c r="L742" s="10">
        <v>1</v>
      </c>
    </row>
    <row r="743" spans="1:12" x14ac:dyDescent="0.2">
      <c r="A743" s="10" t="s">
        <v>1200</v>
      </c>
      <c r="D743" s="10" t="s">
        <v>246</v>
      </c>
      <c r="E743" s="18" t="s">
        <v>1450</v>
      </c>
      <c r="F743" s="9">
        <v>45383</v>
      </c>
      <c r="G743" s="9">
        <v>46023</v>
      </c>
      <c r="H743" s="10">
        <v>22</v>
      </c>
      <c r="I743" s="10" t="s">
        <v>245</v>
      </c>
      <c r="J743" s="10" t="s">
        <v>247</v>
      </c>
      <c r="K743" s="10" t="s">
        <v>248</v>
      </c>
      <c r="L743" s="10">
        <v>1</v>
      </c>
    </row>
    <row r="744" spans="1:12" x14ac:dyDescent="0.2">
      <c r="A744" s="10" t="s">
        <v>1201</v>
      </c>
      <c r="D744" s="10" t="s">
        <v>246</v>
      </c>
      <c r="E744" s="18" t="s">
        <v>1451</v>
      </c>
      <c r="F744" s="9">
        <v>45383</v>
      </c>
      <c r="G744" s="9">
        <v>46023</v>
      </c>
      <c r="H744" s="10">
        <v>22</v>
      </c>
      <c r="I744" s="10" t="s">
        <v>245</v>
      </c>
      <c r="J744" s="10" t="s">
        <v>247</v>
      </c>
      <c r="K744" s="10" t="s">
        <v>248</v>
      </c>
      <c r="L744" s="10">
        <v>1</v>
      </c>
    </row>
    <row r="745" spans="1:12" x14ac:dyDescent="0.2">
      <c r="A745" s="10" t="s">
        <v>1202</v>
      </c>
      <c r="D745" s="10" t="s">
        <v>246</v>
      </c>
      <c r="E745" s="18" t="s">
        <v>1452</v>
      </c>
      <c r="F745" s="9">
        <v>45383</v>
      </c>
      <c r="G745" s="9">
        <v>46023</v>
      </c>
      <c r="H745" s="10">
        <v>22</v>
      </c>
      <c r="I745" s="10" t="s">
        <v>245</v>
      </c>
      <c r="J745" s="10" t="s">
        <v>247</v>
      </c>
      <c r="K745" s="10" t="s">
        <v>248</v>
      </c>
      <c r="L745" s="10">
        <v>1</v>
      </c>
    </row>
    <row r="746" spans="1:12" x14ac:dyDescent="0.2">
      <c r="A746" s="10" t="s">
        <v>1203</v>
      </c>
      <c r="D746" s="10" t="s">
        <v>246</v>
      </c>
      <c r="E746" s="18" t="s">
        <v>1453</v>
      </c>
      <c r="F746" s="9">
        <v>45383</v>
      </c>
      <c r="G746" s="9">
        <v>46023</v>
      </c>
      <c r="H746" s="10">
        <v>22</v>
      </c>
      <c r="I746" s="10" t="s">
        <v>245</v>
      </c>
      <c r="J746" s="10" t="s">
        <v>247</v>
      </c>
      <c r="K746" s="10" t="s">
        <v>248</v>
      </c>
      <c r="L746" s="10">
        <v>1</v>
      </c>
    </row>
    <row r="747" spans="1:12" x14ac:dyDescent="0.2">
      <c r="A747" s="10" t="s">
        <v>1204</v>
      </c>
      <c r="D747" s="10" t="s">
        <v>246</v>
      </c>
      <c r="E747" s="18" t="s">
        <v>1454</v>
      </c>
      <c r="F747" s="9">
        <v>45383</v>
      </c>
      <c r="G747" s="9">
        <v>46023</v>
      </c>
      <c r="H747" s="10">
        <v>22</v>
      </c>
      <c r="I747" s="10" t="s">
        <v>245</v>
      </c>
      <c r="J747" s="10" t="s">
        <v>247</v>
      </c>
      <c r="K747" s="10" t="s">
        <v>248</v>
      </c>
      <c r="L747" s="10">
        <v>1</v>
      </c>
    </row>
    <row r="748" spans="1:12" x14ac:dyDescent="0.2">
      <c r="A748" s="10" t="s">
        <v>1205</v>
      </c>
      <c r="D748" s="10" t="s">
        <v>246</v>
      </c>
      <c r="E748" s="18" t="s">
        <v>1455</v>
      </c>
      <c r="F748" s="9">
        <v>42979</v>
      </c>
      <c r="G748" s="9">
        <v>46023</v>
      </c>
      <c r="H748" s="10">
        <v>101</v>
      </c>
      <c r="I748" s="10" t="s">
        <v>245</v>
      </c>
      <c r="J748" s="10" t="s">
        <v>247</v>
      </c>
      <c r="K748" s="10" t="s">
        <v>248</v>
      </c>
      <c r="L748" s="10">
        <v>1</v>
      </c>
    </row>
    <row r="749" spans="1:12" x14ac:dyDescent="0.2">
      <c r="A749" s="10" t="s">
        <v>1206</v>
      </c>
      <c r="D749" s="10" t="s">
        <v>246</v>
      </c>
      <c r="E749" s="18" t="s">
        <v>1456</v>
      </c>
      <c r="F749" s="9">
        <v>42979</v>
      </c>
      <c r="G749" s="9">
        <v>46023</v>
      </c>
      <c r="H749" s="10">
        <v>101</v>
      </c>
      <c r="I749" s="10" t="s">
        <v>245</v>
      </c>
      <c r="J749" s="10" t="s">
        <v>247</v>
      </c>
      <c r="K749" s="10" t="s">
        <v>248</v>
      </c>
      <c r="L749" s="10">
        <v>1</v>
      </c>
    </row>
    <row r="750" spans="1:12" x14ac:dyDescent="0.2">
      <c r="A750" s="10" t="s">
        <v>1207</v>
      </c>
      <c r="D750" s="10" t="s">
        <v>246</v>
      </c>
      <c r="E750" s="18" t="s">
        <v>1457</v>
      </c>
      <c r="F750" s="9">
        <v>42979</v>
      </c>
      <c r="G750" s="9">
        <v>46023</v>
      </c>
      <c r="H750" s="10">
        <v>101</v>
      </c>
      <c r="I750" s="10" t="s">
        <v>245</v>
      </c>
      <c r="J750" s="10" t="s">
        <v>247</v>
      </c>
      <c r="K750" s="10" t="s">
        <v>248</v>
      </c>
      <c r="L750" s="10">
        <v>1</v>
      </c>
    </row>
    <row r="751" spans="1:12" x14ac:dyDescent="0.2">
      <c r="A751" s="10" t="s">
        <v>1208</v>
      </c>
      <c r="D751" s="10" t="s">
        <v>246</v>
      </c>
      <c r="E751" s="18" t="s">
        <v>1458</v>
      </c>
      <c r="F751" s="9">
        <v>42979</v>
      </c>
      <c r="G751" s="9">
        <v>46023</v>
      </c>
      <c r="H751" s="10">
        <v>101</v>
      </c>
      <c r="I751" s="10" t="s">
        <v>245</v>
      </c>
      <c r="J751" s="10" t="s">
        <v>247</v>
      </c>
      <c r="K751" s="10" t="s">
        <v>248</v>
      </c>
      <c r="L751" s="10">
        <v>1</v>
      </c>
    </row>
    <row r="752" spans="1:12" x14ac:dyDescent="0.2">
      <c r="A752" s="10" t="s">
        <v>1209</v>
      </c>
      <c r="D752" s="10" t="s">
        <v>246</v>
      </c>
      <c r="E752" s="18" t="s">
        <v>1459</v>
      </c>
      <c r="F752" s="9">
        <v>45383</v>
      </c>
      <c r="G752" s="9">
        <v>46023</v>
      </c>
      <c r="H752" s="10">
        <v>22</v>
      </c>
      <c r="I752" s="10" t="s">
        <v>245</v>
      </c>
      <c r="J752" s="10" t="s">
        <v>247</v>
      </c>
      <c r="K752" s="10" t="s">
        <v>248</v>
      </c>
      <c r="L752" s="10">
        <v>1</v>
      </c>
    </row>
    <row r="753" spans="1:12" x14ac:dyDescent="0.2">
      <c r="A753" s="10" t="s">
        <v>1210</v>
      </c>
      <c r="D753" s="10" t="s">
        <v>246</v>
      </c>
      <c r="E753" s="18" t="s">
        <v>1460</v>
      </c>
      <c r="F753" s="9">
        <v>45383</v>
      </c>
      <c r="G753" s="9">
        <v>46023</v>
      </c>
      <c r="H753" s="10">
        <v>22</v>
      </c>
      <c r="I753" s="10" t="s">
        <v>245</v>
      </c>
      <c r="J753" s="10" t="s">
        <v>247</v>
      </c>
      <c r="K753" s="10" t="s">
        <v>248</v>
      </c>
      <c r="L753" s="10">
        <v>1</v>
      </c>
    </row>
    <row r="754" spans="1:12" x14ac:dyDescent="0.2">
      <c r="A754" s="10" t="s">
        <v>1211</v>
      </c>
      <c r="D754" s="10" t="s">
        <v>246</v>
      </c>
      <c r="E754" s="18" t="s">
        <v>1461</v>
      </c>
      <c r="F754" s="9">
        <v>45383</v>
      </c>
      <c r="G754" s="9">
        <v>46023</v>
      </c>
      <c r="H754" s="10">
        <v>22</v>
      </c>
      <c r="I754" s="10" t="s">
        <v>245</v>
      </c>
      <c r="J754" s="10" t="s">
        <v>247</v>
      </c>
      <c r="K754" s="10" t="s">
        <v>248</v>
      </c>
      <c r="L754" s="10">
        <v>1</v>
      </c>
    </row>
    <row r="755" spans="1:12" x14ac:dyDescent="0.2">
      <c r="A755" s="10" t="s">
        <v>1212</v>
      </c>
      <c r="D755" s="10" t="s">
        <v>246</v>
      </c>
      <c r="E755" s="18" t="s">
        <v>1462</v>
      </c>
      <c r="F755" s="9">
        <v>45383</v>
      </c>
      <c r="G755" s="9">
        <v>46023</v>
      </c>
      <c r="H755" s="10">
        <v>22</v>
      </c>
      <c r="I755" s="10" t="s">
        <v>245</v>
      </c>
      <c r="J755" s="10" t="s">
        <v>247</v>
      </c>
      <c r="K755" s="10" t="s">
        <v>248</v>
      </c>
      <c r="L755" s="10">
        <v>1</v>
      </c>
    </row>
    <row r="756" spans="1:12" x14ac:dyDescent="0.2">
      <c r="A756" s="10" t="s">
        <v>1213</v>
      </c>
      <c r="D756" s="10" t="s">
        <v>246</v>
      </c>
      <c r="E756" s="18" t="s">
        <v>1463</v>
      </c>
      <c r="F756" s="9">
        <v>45383</v>
      </c>
      <c r="G756" s="9">
        <v>46023</v>
      </c>
      <c r="H756" s="10">
        <v>22</v>
      </c>
      <c r="I756" s="10" t="s">
        <v>245</v>
      </c>
      <c r="J756" s="10" t="s">
        <v>247</v>
      </c>
      <c r="K756" s="10" t="s">
        <v>248</v>
      </c>
      <c r="L756" s="10">
        <v>1</v>
      </c>
    </row>
    <row r="757" spans="1:12" x14ac:dyDescent="0.2">
      <c r="A757" s="10" t="s">
        <v>1214</v>
      </c>
      <c r="D757" s="10" t="s">
        <v>246</v>
      </c>
      <c r="E757" s="18" t="s">
        <v>1464</v>
      </c>
      <c r="F757" s="9">
        <v>45383</v>
      </c>
      <c r="G757" s="9">
        <v>46023</v>
      </c>
      <c r="H757" s="10">
        <v>22</v>
      </c>
      <c r="I757" s="10" t="s">
        <v>245</v>
      </c>
      <c r="J757" s="10" t="s">
        <v>247</v>
      </c>
      <c r="K757" s="10" t="s">
        <v>248</v>
      </c>
      <c r="L757" s="10">
        <v>1</v>
      </c>
    </row>
    <row r="758" spans="1:12" x14ac:dyDescent="0.2">
      <c r="A758" s="10" t="s">
        <v>1215</v>
      </c>
      <c r="D758" s="10" t="s">
        <v>246</v>
      </c>
      <c r="E758" s="18" t="s">
        <v>1465</v>
      </c>
      <c r="F758" s="9">
        <v>45383</v>
      </c>
      <c r="G758" s="9">
        <v>46023</v>
      </c>
      <c r="H758" s="10">
        <v>22</v>
      </c>
      <c r="I758" s="10" t="s">
        <v>245</v>
      </c>
      <c r="J758" s="10" t="s">
        <v>247</v>
      </c>
      <c r="K758" s="10" t="s">
        <v>248</v>
      </c>
      <c r="L758" s="10">
        <v>1</v>
      </c>
    </row>
    <row r="759" spans="1:12" x14ac:dyDescent="0.2">
      <c r="A759" s="10" t="s">
        <v>1216</v>
      </c>
      <c r="D759" s="10" t="s">
        <v>246</v>
      </c>
      <c r="E759" s="18" t="s">
        <v>1466</v>
      </c>
      <c r="F759" s="9">
        <v>45383</v>
      </c>
      <c r="G759" s="9">
        <v>46023</v>
      </c>
      <c r="H759" s="10">
        <v>22</v>
      </c>
      <c r="I759" s="10" t="s">
        <v>245</v>
      </c>
      <c r="J759" s="10" t="s">
        <v>247</v>
      </c>
      <c r="K759" s="10" t="s">
        <v>248</v>
      </c>
      <c r="L759" s="10">
        <v>1</v>
      </c>
    </row>
    <row r="760" spans="1:12" x14ac:dyDescent="0.2">
      <c r="A760" s="10" t="s">
        <v>1217</v>
      </c>
      <c r="D760" s="10" t="s">
        <v>246</v>
      </c>
      <c r="E760" s="18" t="s">
        <v>1467</v>
      </c>
      <c r="F760" s="9">
        <v>45383</v>
      </c>
      <c r="G760" s="9">
        <v>46023</v>
      </c>
      <c r="H760" s="10">
        <v>22</v>
      </c>
      <c r="I760" s="10" t="s">
        <v>245</v>
      </c>
      <c r="J760" s="10" t="s">
        <v>247</v>
      </c>
      <c r="K760" s="10" t="s">
        <v>248</v>
      </c>
      <c r="L760" s="10">
        <v>1</v>
      </c>
    </row>
    <row r="761" spans="1:12" x14ac:dyDescent="0.2">
      <c r="A761" s="10" t="s">
        <v>1218</v>
      </c>
      <c r="D761" s="10" t="s">
        <v>246</v>
      </c>
      <c r="E761" s="18" t="s">
        <v>1468</v>
      </c>
      <c r="F761" s="9">
        <v>45383</v>
      </c>
      <c r="G761" s="9">
        <v>46023</v>
      </c>
      <c r="H761" s="10">
        <v>22</v>
      </c>
      <c r="I761" s="10" t="s">
        <v>245</v>
      </c>
      <c r="J761" s="10" t="s">
        <v>247</v>
      </c>
      <c r="K761" s="10" t="s">
        <v>248</v>
      </c>
      <c r="L761" s="10">
        <v>1</v>
      </c>
    </row>
    <row r="762" spans="1:12" x14ac:dyDescent="0.2">
      <c r="A762" s="10" t="s">
        <v>1469</v>
      </c>
      <c r="D762" s="10" t="s">
        <v>246</v>
      </c>
      <c r="E762" s="18" t="s">
        <v>1703</v>
      </c>
      <c r="F762" s="9">
        <v>45383</v>
      </c>
      <c r="G762" s="9">
        <v>46023</v>
      </c>
      <c r="H762" s="10">
        <v>22</v>
      </c>
      <c r="I762" s="10" t="s">
        <v>245</v>
      </c>
      <c r="J762" s="10" t="s">
        <v>247</v>
      </c>
      <c r="K762" s="10" t="s">
        <v>248</v>
      </c>
      <c r="L762" s="10">
        <v>1</v>
      </c>
    </row>
    <row r="763" spans="1:12" x14ac:dyDescent="0.2">
      <c r="A763" s="10" t="s">
        <v>1470</v>
      </c>
      <c r="D763" s="10" t="s">
        <v>246</v>
      </c>
      <c r="E763" s="18" t="s">
        <v>1704</v>
      </c>
      <c r="F763" s="9">
        <v>45383</v>
      </c>
      <c r="G763" s="9">
        <v>46023</v>
      </c>
      <c r="H763" s="10">
        <v>22</v>
      </c>
      <c r="I763" s="10" t="s">
        <v>245</v>
      </c>
      <c r="J763" s="10" t="s">
        <v>247</v>
      </c>
      <c r="K763" s="10" t="s">
        <v>248</v>
      </c>
      <c r="L763" s="10">
        <v>1</v>
      </c>
    </row>
    <row r="764" spans="1:12" x14ac:dyDescent="0.2">
      <c r="A764" s="10" t="s">
        <v>1471</v>
      </c>
      <c r="D764" s="10" t="s">
        <v>246</v>
      </c>
      <c r="E764" s="18" t="s">
        <v>1705</v>
      </c>
      <c r="F764" s="9">
        <v>45383</v>
      </c>
      <c r="G764" s="9">
        <v>46023</v>
      </c>
      <c r="H764" s="10">
        <v>22</v>
      </c>
      <c r="I764" s="10" t="s">
        <v>245</v>
      </c>
      <c r="J764" s="10" t="s">
        <v>247</v>
      </c>
      <c r="K764" s="10" t="s">
        <v>248</v>
      </c>
      <c r="L764" s="10">
        <v>1</v>
      </c>
    </row>
    <row r="765" spans="1:12" x14ac:dyDescent="0.2">
      <c r="A765" s="10" t="s">
        <v>1472</v>
      </c>
      <c r="D765" s="10" t="s">
        <v>246</v>
      </c>
      <c r="E765" s="18" t="s">
        <v>1706</v>
      </c>
      <c r="F765" s="9">
        <v>45383</v>
      </c>
      <c r="G765" s="9">
        <v>46023</v>
      </c>
      <c r="H765" s="10">
        <v>22</v>
      </c>
      <c r="I765" s="10" t="s">
        <v>245</v>
      </c>
      <c r="J765" s="10" t="s">
        <v>247</v>
      </c>
      <c r="K765" s="10" t="s">
        <v>248</v>
      </c>
      <c r="L765" s="10">
        <v>1</v>
      </c>
    </row>
    <row r="766" spans="1:12" x14ac:dyDescent="0.2">
      <c r="A766" s="10" t="s">
        <v>1473</v>
      </c>
      <c r="D766" s="10" t="s">
        <v>246</v>
      </c>
      <c r="E766" s="18" t="s">
        <v>1707</v>
      </c>
      <c r="F766" s="9">
        <v>45383</v>
      </c>
      <c r="G766" s="9">
        <v>46023</v>
      </c>
      <c r="H766" s="10">
        <v>22</v>
      </c>
      <c r="I766" s="10" t="s">
        <v>245</v>
      </c>
      <c r="J766" s="10" t="s">
        <v>247</v>
      </c>
      <c r="K766" s="10" t="s">
        <v>248</v>
      </c>
      <c r="L766" s="10">
        <v>1</v>
      </c>
    </row>
    <row r="767" spans="1:12" x14ac:dyDescent="0.2">
      <c r="A767" s="10" t="s">
        <v>1474</v>
      </c>
      <c r="D767" s="10" t="s">
        <v>246</v>
      </c>
      <c r="E767" s="18" t="s">
        <v>1708</v>
      </c>
      <c r="F767" s="9">
        <v>42979</v>
      </c>
      <c r="G767" s="9">
        <v>46023</v>
      </c>
      <c r="H767" s="10">
        <v>101</v>
      </c>
      <c r="I767" s="10" t="s">
        <v>245</v>
      </c>
      <c r="J767" s="10" t="s">
        <v>247</v>
      </c>
      <c r="K767" s="10" t="s">
        <v>248</v>
      </c>
      <c r="L767" s="10">
        <v>1</v>
      </c>
    </row>
    <row r="768" spans="1:12" x14ac:dyDescent="0.2">
      <c r="A768" s="10" t="s">
        <v>1475</v>
      </c>
      <c r="D768" s="10" t="s">
        <v>246</v>
      </c>
      <c r="E768" s="18" t="s">
        <v>1709</v>
      </c>
      <c r="F768" s="9">
        <v>45383</v>
      </c>
      <c r="G768" s="9">
        <v>46023</v>
      </c>
      <c r="H768" s="10">
        <v>22</v>
      </c>
      <c r="I768" s="10" t="s">
        <v>245</v>
      </c>
      <c r="J768" s="10" t="s">
        <v>247</v>
      </c>
      <c r="K768" s="10" t="s">
        <v>248</v>
      </c>
      <c r="L768" s="10">
        <v>1</v>
      </c>
    </row>
    <row r="769" spans="1:12" x14ac:dyDescent="0.2">
      <c r="A769" s="10" t="s">
        <v>1476</v>
      </c>
      <c r="D769" s="10" t="s">
        <v>246</v>
      </c>
      <c r="E769" s="18" t="s">
        <v>1710</v>
      </c>
      <c r="F769" s="9">
        <v>45383</v>
      </c>
      <c r="G769" s="9">
        <v>46023</v>
      </c>
      <c r="H769" s="10">
        <v>22</v>
      </c>
      <c r="I769" s="10" t="s">
        <v>245</v>
      </c>
      <c r="J769" s="10" t="s">
        <v>247</v>
      </c>
      <c r="K769" s="10" t="s">
        <v>248</v>
      </c>
      <c r="L769" s="10">
        <v>1</v>
      </c>
    </row>
    <row r="770" spans="1:12" x14ac:dyDescent="0.2">
      <c r="A770" s="10" t="s">
        <v>1477</v>
      </c>
      <c r="D770" s="10" t="s">
        <v>246</v>
      </c>
      <c r="E770" s="18" t="s">
        <v>1711</v>
      </c>
      <c r="F770" s="9">
        <v>45383</v>
      </c>
      <c r="G770" s="9">
        <v>46023</v>
      </c>
      <c r="H770" s="10">
        <v>22</v>
      </c>
      <c r="I770" s="10" t="s">
        <v>245</v>
      </c>
      <c r="J770" s="10" t="s">
        <v>247</v>
      </c>
      <c r="K770" s="10" t="s">
        <v>248</v>
      </c>
      <c r="L770" s="10">
        <v>1</v>
      </c>
    </row>
    <row r="771" spans="1:12" x14ac:dyDescent="0.2">
      <c r="A771" s="10" t="s">
        <v>1477</v>
      </c>
      <c r="D771" s="10" t="s">
        <v>246</v>
      </c>
      <c r="E771" s="18" t="s">
        <v>1712</v>
      </c>
      <c r="F771" s="9">
        <v>45383</v>
      </c>
      <c r="G771" s="9">
        <v>46023</v>
      </c>
      <c r="H771" s="10">
        <v>22</v>
      </c>
      <c r="I771" s="10" t="s">
        <v>245</v>
      </c>
      <c r="J771" s="10" t="s">
        <v>247</v>
      </c>
      <c r="K771" s="10" t="s">
        <v>248</v>
      </c>
      <c r="L771" s="10">
        <v>1</v>
      </c>
    </row>
    <row r="772" spans="1:12" x14ac:dyDescent="0.2">
      <c r="A772" s="10" t="s">
        <v>1478</v>
      </c>
      <c r="D772" s="10" t="s">
        <v>246</v>
      </c>
      <c r="E772" s="18" t="s">
        <v>1713</v>
      </c>
      <c r="F772" s="9">
        <v>45383</v>
      </c>
      <c r="G772" s="9">
        <v>46023</v>
      </c>
      <c r="H772" s="10">
        <v>22</v>
      </c>
      <c r="I772" s="10" t="s">
        <v>245</v>
      </c>
      <c r="J772" s="10" t="s">
        <v>247</v>
      </c>
      <c r="K772" s="10" t="s">
        <v>248</v>
      </c>
      <c r="L772" s="10">
        <v>1</v>
      </c>
    </row>
    <row r="773" spans="1:12" x14ac:dyDescent="0.2">
      <c r="A773" s="10" t="s">
        <v>1478</v>
      </c>
      <c r="D773" s="10" t="s">
        <v>246</v>
      </c>
      <c r="E773" s="18" t="s">
        <v>1714</v>
      </c>
      <c r="F773" s="9">
        <v>45383</v>
      </c>
      <c r="G773" s="9">
        <v>46023</v>
      </c>
      <c r="H773" s="10">
        <v>22</v>
      </c>
      <c r="I773" s="10" t="s">
        <v>245</v>
      </c>
      <c r="J773" s="10" t="s">
        <v>247</v>
      </c>
      <c r="K773" s="10" t="s">
        <v>248</v>
      </c>
      <c r="L773" s="10">
        <v>1</v>
      </c>
    </row>
    <row r="774" spans="1:12" x14ac:dyDescent="0.2">
      <c r="A774" s="10" t="s">
        <v>1479</v>
      </c>
      <c r="D774" s="10" t="s">
        <v>246</v>
      </c>
      <c r="E774" s="18" t="s">
        <v>1715</v>
      </c>
      <c r="F774" s="9">
        <v>44743</v>
      </c>
      <c r="G774" s="9">
        <v>46023</v>
      </c>
      <c r="H774" s="10">
        <v>43</v>
      </c>
      <c r="I774" s="10" t="s">
        <v>245</v>
      </c>
      <c r="J774" s="10" t="s">
        <v>247</v>
      </c>
      <c r="K774" s="10" t="s">
        <v>248</v>
      </c>
      <c r="L774" s="10">
        <v>1</v>
      </c>
    </row>
    <row r="775" spans="1:12" x14ac:dyDescent="0.2">
      <c r="A775" s="10" t="s">
        <v>1480</v>
      </c>
      <c r="D775" s="10" t="s">
        <v>246</v>
      </c>
      <c r="E775" s="18" t="s">
        <v>1716</v>
      </c>
      <c r="F775" s="9">
        <v>45383</v>
      </c>
      <c r="G775" s="9">
        <v>46023</v>
      </c>
      <c r="H775" s="10">
        <v>22</v>
      </c>
      <c r="I775" s="10" t="s">
        <v>245</v>
      </c>
      <c r="J775" s="10" t="s">
        <v>247</v>
      </c>
      <c r="K775" s="10" t="s">
        <v>248</v>
      </c>
      <c r="L775" s="10">
        <v>1</v>
      </c>
    </row>
    <row r="776" spans="1:12" x14ac:dyDescent="0.2">
      <c r="A776" s="10" t="s">
        <v>1481</v>
      </c>
      <c r="D776" s="10" t="s">
        <v>246</v>
      </c>
      <c r="E776" s="18" t="s">
        <v>1717</v>
      </c>
      <c r="F776" s="9">
        <v>45383</v>
      </c>
      <c r="G776" s="9">
        <v>46023</v>
      </c>
      <c r="H776" s="10">
        <v>22</v>
      </c>
      <c r="I776" s="10" t="s">
        <v>245</v>
      </c>
      <c r="J776" s="10" t="s">
        <v>247</v>
      </c>
      <c r="K776" s="10" t="s">
        <v>248</v>
      </c>
      <c r="L776" s="10">
        <v>1</v>
      </c>
    </row>
    <row r="777" spans="1:12" x14ac:dyDescent="0.2">
      <c r="A777" s="10" t="s">
        <v>1482</v>
      </c>
      <c r="D777" s="10" t="s">
        <v>246</v>
      </c>
      <c r="E777" s="18" t="s">
        <v>1718</v>
      </c>
      <c r="F777" s="9">
        <v>45383</v>
      </c>
      <c r="G777" s="9">
        <v>46023</v>
      </c>
      <c r="H777" s="10">
        <v>22</v>
      </c>
      <c r="I777" s="10" t="s">
        <v>245</v>
      </c>
      <c r="J777" s="10" t="s">
        <v>247</v>
      </c>
      <c r="K777" s="10" t="s">
        <v>248</v>
      </c>
      <c r="L777" s="10">
        <v>1</v>
      </c>
    </row>
    <row r="778" spans="1:12" x14ac:dyDescent="0.2">
      <c r="A778" s="10" t="s">
        <v>1483</v>
      </c>
      <c r="D778" s="10" t="s">
        <v>246</v>
      </c>
      <c r="E778" s="18" t="s">
        <v>1719</v>
      </c>
      <c r="F778" s="9">
        <v>45383</v>
      </c>
      <c r="G778" s="9">
        <v>46023</v>
      </c>
      <c r="H778" s="10">
        <v>22</v>
      </c>
      <c r="I778" s="10" t="s">
        <v>245</v>
      </c>
      <c r="J778" s="10" t="s">
        <v>247</v>
      </c>
      <c r="K778" s="10" t="s">
        <v>248</v>
      </c>
      <c r="L778" s="10">
        <v>1</v>
      </c>
    </row>
    <row r="779" spans="1:12" x14ac:dyDescent="0.2">
      <c r="A779" s="10" t="s">
        <v>1484</v>
      </c>
      <c r="D779" s="10" t="s">
        <v>246</v>
      </c>
      <c r="E779" s="18" t="s">
        <v>1720</v>
      </c>
      <c r="F779" s="9">
        <v>45383</v>
      </c>
      <c r="G779" s="9">
        <v>46023</v>
      </c>
      <c r="H779" s="10">
        <v>22</v>
      </c>
      <c r="I779" s="10" t="s">
        <v>245</v>
      </c>
      <c r="J779" s="10" t="s">
        <v>247</v>
      </c>
      <c r="K779" s="10" t="s">
        <v>248</v>
      </c>
      <c r="L779" s="10">
        <v>1</v>
      </c>
    </row>
    <row r="780" spans="1:12" x14ac:dyDescent="0.2">
      <c r="A780" s="10" t="s">
        <v>1485</v>
      </c>
      <c r="D780" s="10" t="s">
        <v>246</v>
      </c>
      <c r="E780" s="18" t="s">
        <v>1721</v>
      </c>
      <c r="F780" s="9">
        <v>45383</v>
      </c>
      <c r="G780" s="9">
        <v>46023</v>
      </c>
      <c r="H780" s="10">
        <v>22</v>
      </c>
      <c r="I780" s="10" t="s">
        <v>245</v>
      </c>
      <c r="J780" s="10" t="s">
        <v>247</v>
      </c>
      <c r="K780" s="10" t="s">
        <v>248</v>
      </c>
      <c r="L780" s="10">
        <v>1</v>
      </c>
    </row>
    <row r="781" spans="1:12" x14ac:dyDescent="0.2">
      <c r="A781" s="10" t="s">
        <v>1486</v>
      </c>
      <c r="D781" s="10" t="s">
        <v>246</v>
      </c>
      <c r="E781" s="18" t="s">
        <v>1722</v>
      </c>
      <c r="F781" s="9">
        <v>45383</v>
      </c>
      <c r="G781" s="9">
        <v>46023</v>
      </c>
      <c r="H781" s="10">
        <v>22</v>
      </c>
      <c r="I781" s="10" t="s">
        <v>245</v>
      </c>
      <c r="J781" s="10" t="s">
        <v>247</v>
      </c>
      <c r="K781" s="10" t="s">
        <v>248</v>
      </c>
      <c r="L781" s="10">
        <v>1</v>
      </c>
    </row>
    <row r="782" spans="1:12" x14ac:dyDescent="0.2">
      <c r="A782" s="10" t="s">
        <v>1487</v>
      </c>
      <c r="D782" s="10" t="s">
        <v>246</v>
      </c>
      <c r="E782" s="18" t="s">
        <v>1723</v>
      </c>
      <c r="F782" s="9">
        <v>45383</v>
      </c>
      <c r="G782" s="9">
        <v>46023</v>
      </c>
      <c r="H782" s="10">
        <v>22</v>
      </c>
      <c r="I782" s="10" t="s">
        <v>245</v>
      </c>
      <c r="J782" s="10" t="s">
        <v>247</v>
      </c>
      <c r="K782" s="10" t="s">
        <v>248</v>
      </c>
      <c r="L782" s="10">
        <v>1</v>
      </c>
    </row>
    <row r="783" spans="1:12" x14ac:dyDescent="0.2">
      <c r="A783" s="10" t="s">
        <v>1488</v>
      </c>
      <c r="D783" s="10" t="s">
        <v>246</v>
      </c>
      <c r="E783" s="18" t="s">
        <v>1724</v>
      </c>
      <c r="F783" s="9">
        <v>42979</v>
      </c>
      <c r="G783" s="9">
        <v>46023</v>
      </c>
      <c r="H783" s="10">
        <v>101</v>
      </c>
      <c r="I783" s="10" t="s">
        <v>245</v>
      </c>
      <c r="J783" s="10" t="s">
        <v>247</v>
      </c>
      <c r="K783" s="10" t="s">
        <v>248</v>
      </c>
      <c r="L783" s="10">
        <v>1</v>
      </c>
    </row>
    <row r="784" spans="1:12" x14ac:dyDescent="0.2">
      <c r="A784" s="10" t="s">
        <v>1489</v>
      </c>
      <c r="D784" s="10" t="s">
        <v>246</v>
      </c>
      <c r="E784" s="18" t="s">
        <v>1725</v>
      </c>
      <c r="F784" s="9">
        <v>42979</v>
      </c>
      <c r="G784" s="9">
        <v>46023</v>
      </c>
      <c r="H784" s="10">
        <v>101</v>
      </c>
      <c r="I784" s="10" t="s">
        <v>245</v>
      </c>
      <c r="J784" s="10" t="s">
        <v>247</v>
      </c>
      <c r="K784" s="10" t="s">
        <v>248</v>
      </c>
      <c r="L784" s="10">
        <v>1</v>
      </c>
    </row>
    <row r="785" spans="1:12" x14ac:dyDescent="0.2">
      <c r="A785" s="10" t="s">
        <v>1490</v>
      </c>
      <c r="D785" s="10" t="s">
        <v>246</v>
      </c>
      <c r="E785" s="18" t="s">
        <v>1726</v>
      </c>
      <c r="F785" s="9">
        <v>42979</v>
      </c>
      <c r="G785" s="9">
        <v>46023</v>
      </c>
      <c r="H785" s="10">
        <v>101</v>
      </c>
      <c r="I785" s="10" t="s">
        <v>245</v>
      </c>
      <c r="J785" s="10" t="s">
        <v>247</v>
      </c>
      <c r="K785" s="10" t="s">
        <v>248</v>
      </c>
      <c r="L785" s="10">
        <v>1</v>
      </c>
    </row>
    <row r="786" spans="1:12" x14ac:dyDescent="0.2">
      <c r="A786" s="10" t="s">
        <v>1491</v>
      </c>
      <c r="D786" s="10" t="s">
        <v>246</v>
      </c>
      <c r="E786" s="18" t="s">
        <v>1727</v>
      </c>
      <c r="F786" s="9">
        <v>45383</v>
      </c>
      <c r="G786" s="9">
        <v>46023</v>
      </c>
      <c r="H786" s="10">
        <v>22</v>
      </c>
      <c r="I786" s="10" t="s">
        <v>245</v>
      </c>
      <c r="J786" s="10" t="s">
        <v>247</v>
      </c>
      <c r="K786" s="10" t="s">
        <v>248</v>
      </c>
      <c r="L786" s="10">
        <v>1</v>
      </c>
    </row>
    <row r="787" spans="1:12" x14ac:dyDescent="0.2">
      <c r="A787" s="10" t="s">
        <v>1492</v>
      </c>
      <c r="D787" s="10" t="s">
        <v>246</v>
      </c>
      <c r="E787" s="18" t="s">
        <v>1728</v>
      </c>
      <c r="F787" s="9">
        <v>45383</v>
      </c>
      <c r="G787" s="9">
        <v>46023</v>
      </c>
      <c r="H787" s="10">
        <v>22</v>
      </c>
      <c r="I787" s="10" t="s">
        <v>245</v>
      </c>
      <c r="J787" s="10" t="s">
        <v>247</v>
      </c>
      <c r="K787" s="10" t="s">
        <v>248</v>
      </c>
      <c r="L787" s="10">
        <v>1</v>
      </c>
    </row>
    <row r="788" spans="1:12" x14ac:dyDescent="0.2">
      <c r="A788" s="10" t="s">
        <v>1493</v>
      </c>
      <c r="D788" s="10" t="s">
        <v>246</v>
      </c>
      <c r="E788" s="18" t="s">
        <v>1729</v>
      </c>
      <c r="F788" s="9">
        <v>45383</v>
      </c>
      <c r="G788" s="9">
        <v>46023</v>
      </c>
      <c r="H788" s="10">
        <v>22</v>
      </c>
      <c r="I788" s="10" t="s">
        <v>245</v>
      </c>
      <c r="J788" s="10" t="s">
        <v>247</v>
      </c>
      <c r="K788" s="10" t="s">
        <v>248</v>
      </c>
      <c r="L788" s="10">
        <v>1</v>
      </c>
    </row>
    <row r="789" spans="1:12" x14ac:dyDescent="0.2">
      <c r="A789" s="10" t="s">
        <v>1494</v>
      </c>
      <c r="D789" s="10" t="s">
        <v>246</v>
      </c>
      <c r="E789" s="18" t="s">
        <v>1730</v>
      </c>
      <c r="F789" s="9">
        <v>42979</v>
      </c>
      <c r="G789" s="9">
        <v>46023</v>
      </c>
      <c r="H789" s="10">
        <v>101</v>
      </c>
      <c r="I789" s="10" t="s">
        <v>245</v>
      </c>
      <c r="J789" s="10" t="s">
        <v>247</v>
      </c>
      <c r="K789" s="10" t="s">
        <v>248</v>
      </c>
      <c r="L789" s="10">
        <v>1</v>
      </c>
    </row>
    <row r="790" spans="1:12" x14ac:dyDescent="0.2">
      <c r="A790" s="10" t="s">
        <v>1495</v>
      </c>
      <c r="D790" s="10" t="s">
        <v>246</v>
      </c>
      <c r="E790" s="18" t="s">
        <v>1731</v>
      </c>
      <c r="F790" s="9">
        <v>45383</v>
      </c>
      <c r="G790" s="9">
        <v>46023</v>
      </c>
      <c r="H790" s="10">
        <v>22</v>
      </c>
      <c r="I790" s="10" t="s">
        <v>245</v>
      </c>
      <c r="J790" s="10" t="s">
        <v>247</v>
      </c>
      <c r="K790" s="10" t="s">
        <v>248</v>
      </c>
      <c r="L790" s="10">
        <v>1</v>
      </c>
    </row>
    <row r="791" spans="1:12" x14ac:dyDescent="0.2">
      <c r="A791" s="10" t="s">
        <v>1496</v>
      </c>
      <c r="D791" s="10" t="s">
        <v>246</v>
      </c>
      <c r="E791" s="18" t="s">
        <v>1732</v>
      </c>
      <c r="F791" s="9">
        <v>45383</v>
      </c>
      <c r="G791" s="9">
        <v>46023</v>
      </c>
      <c r="H791" s="10">
        <v>22</v>
      </c>
      <c r="I791" s="10" t="s">
        <v>245</v>
      </c>
      <c r="J791" s="10" t="s">
        <v>247</v>
      </c>
      <c r="K791" s="10" t="s">
        <v>248</v>
      </c>
      <c r="L791" s="10">
        <v>1</v>
      </c>
    </row>
    <row r="792" spans="1:12" x14ac:dyDescent="0.2">
      <c r="A792" s="10" t="s">
        <v>1497</v>
      </c>
      <c r="D792" s="10" t="s">
        <v>246</v>
      </c>
      <c r="E792" s="18" t="s">
        <v>1733</v>
      </c>
      <c r="F792" s="9">
        <v>45383</v>
      </c>
      <c r="G792" s="9">
        <v>46023</v>
      </c>
      <c r="H792" s="10">
        <v>22</v>
      </c>
      <c r="I792" s="10" t="s">
        <v>245</v>
      </c>
      <c r="J792" s="10" t="s">
        <v>247</v>
      </c>
      <c r="K792" s="10" t="s">
        <v>248</v>
      </c>
      <c r="L792" s="10">
        <v>1</v>
      </c>
    </row>
    <row r="793" spans="1:12" x14ac:dyDescent="0.2">
      <c r="A793" s="10" t="s">
        <v>1498</v>
      </c>
      <c r="D793" s="10" t="s">
        <v>246</v>
      </c>
      <c r="E793" s="18" t="s">
        <v>1734</v>
      </c>
      <c r="F793" s="9">
        <v>45383</v>
      </c>
      <c r="G793" s="9">
        <v>46023</v>
      </c>
      <c r="H793" s="10">
        <v>22</v>
      </c>
      <c r="I793" s="10" t="s">
        <v>245</v>
      </c>
      <c r="J793" s="10" t="s">
        <v>247</v>
      </c>
      <c r="K793" s="10" t="s">
        <v>248</v>
      </c>
      <c r="L793" s="10">
        <v>1</v>
      </c>
    </row>
    <row r="794" spans="1:12" x14ac:dyDescent="0.2">
      <c r="A794" s="10" t="s">
        <v>1498</v>
      </c>
      <c r="D794" s="10" t="s">
        <v>246</v>
      </c>
      <c r="E794" s="18" t="s">
        <v>1735</v>
      </c>
      <c r="F794" s="9">
        <v>45383</v>
      </c>
      <c r="G794" s="9">
        <v>46023</v>
      </c>
      <c r="H794" s="10">
        <v>22</v>
      </c>
      <c r="I794" s="10" t="s">
        <v>245</v>
      </c>
      <c r="J794" s="10" t="s">
        <v>247</v>
      </c>
      <c r="K794" s="10" t="s">
        <v>248</v>
      </c>
      <c r="L794" s="10">
        <v>1</v>
      </c>
    </row>
    <row r="795" spans="1:12" x14ac:dyDescent="0.2">
      <c r="A795" s="10" t="s">
        <v>1499</v>
      </c>
      <c r="D795" s="10" t="s">
        <v>246</v>
      </c>
      <c r="E795" s="18" t="s">
        <v>1736</v>
      </c>
      <c r="F795" s="9">
        <v>45383</v>
      </c>
      <c r="G795" s="9">
        <v>46023</v>
      </c>
      <c r="H795" s="10">
        <v>22</v>
      </c>
      <c r="I795" s="10" t="s">
        <v>245</v>
      </c>
      <c r="J795" s="10" t="s">
        <v>247</v>
      </c>
      <c r="K795" s="10" t="s">
        <v>248</v>
      </c>
      <c r="L795" s="10">
        <v>1</v>
      </c>
    </row>
    <row r="796" spans="1:12" x14ac:dyDescent="0.2">
      <c r="A796" s="10" t="s">
        <v>1500</v>
      </c>
      <c r="D796" s="10" t="s">
        <v>246</v>
      </c>
      <c r="E796" s="18" t="s">
        <v>1737</v>
      </c>
      <c r="F796" s="9">
        <v>42979</v>
      </c>
      <c r="G796" s="9">
        <v>46023</v>
      </c>
      <c r="H796" s="10">
        <v>101</v>
      </c>
      <c r="I796" s="10" t="s">
        <v>245</v>
      </c>
      <c r="J796" s="10" t="s">
        <v>247</v>
      </c>
      <c r="K796" s="10" t="s">
        <v>248</v>
      </c>
      <c r="L796" s="10">
        <v>1</v>
      </c>
    </row>
    <row r="797" spans="1:12" x14ac:dyDescent="0.2">
      <c r="A797" s="10" t="s">
        <v>1501</v>
      </c>
      <c r="D797" s="10" t="s">
        <v>246</v>
      </c>
      <c r="E797" s="18" t="s">
        <v>1738</v>
      </c>
      <c r="F797" s="9">
        <v>42979</v>
      </c>
      <c r="G797" s="9">
        <v>46023</v>
      </c>
      <c r="H797" s="10">
        <v>101</v>
      </c>
      <c r="I797" s="10" t="s">
        <v>245</v>
      </c>
      <c r="J797" s="10" t="s">
        <v>247</v>
      </c>
      <c r="K797" s="10" t="s">
        <v>248</v>
      </c>
      <c r="L797" s="10">
        <v>1</v>
      </c>
    </row>
    <row r="798" spans="1:12" x14ac:dyDescent="0.2">
      <c r="A798" s="10" t="s">
        <v>1502</v>
      </c>
      <c r="D798" s="10" t="s">
        <v>246</v>
      </c>
      <c r="E798" s="18" t="s">
        <v>1739</v>
      </c>
      <c r="F798" s="9">
        <v>45383</v>
      </c>
      <c r="G798" s="9">
        <v>46023</v>
      </c>
      <c r="H798" s="10">
        <v>22</v>
      </c>
      <c r="I798" s="10" t="s">
        <v>245</v>
      </c>
      <c r="J798" s="10" t="s">
        <v>247</v>
      </c>
      <c r="K798" s="10" t="s">
        <v>248</v>
      </c>
      <c r="L798" s="10">
        <v>1</v>
      </c>
    </row>
    <row r="799" spans="1:12" x14ac:dyDescent="0.2">
      <c r="A799" s="10" t="s">
        <v>1503</v>
      </c>
      <c r="D799" s="10" t="s">
        <v>246</v>
      </c>
      <c r="E799" s="18" t="s">
        <v>1740</v>
      </c>
      <c r="F799" s="9">
        <v>45383</v>
      </c>
      <c r="G799" s="9">
        <v>46023</v>
      </c>
      <c r="H799" s="10">
        <v>22</v>
      </c>
      <c r="I799" s="10" t="s">
        <v>245</v>
      </c>
      <c r="J799" s="10" t="s">
        <v>247</v>
      </c>
      <c r="K799" s="10" t="s">
        <v>248</v>
      </c>
      <c r="L799" s="10">
        <v>1</v>
      </c>
    </row>
    <row r="800" spans="1:12" x14ac:dyDescent="0.2">
      <c r="A800" s="10" t="s">
        <v>1503</v>
      </c>
      <c r="D800" s="10" t="s">
        <v>246</v>
      </c>
      <c r="E800" s="18" t="s">
        <v>1741</v>
      </c>
      <c r="F800" s="9">
        <v>45383</v>
      </c>
      <c r="G800" s="9">
        <v>46023</v>
      </c>
      <c r="H800" s="10">
        <v>22</v>
      </c>
      <c r="I800" s="10" t="s">
        <v>245</v>
      </c>
      <c r="J800" s="10" t="s">
        <v>247</v>
      </c>
      <c r="K800" s="10" t="s">
        <v>248</v>
      </c>
      <c r="L800" s="10">
        <v>1</v>
      </c>
    </row>
    <row r="801" spans="1:12" x14ac:dyDescent="0.2">
      <c r="A801" s="10" t="s">
        <v>1504</v>
      </c>
      <c r="D801" s="10" t="s">
        <v>246</v>
      </c>
      <c r="E801" s="18" t="s">
        <v>1742</v>
      </c>
      <c r="F801" s="9">
        <v>42979</v>
      </c>
      <c r="G801" s="9">
        <v>46023</v>
      </c>
      <c r="H801" s="10">
        <v>101</v>
      </c>
      <c r="I801" s="10" t="s">
        <v>245</v>
      </c>
      <c r="J801" s="10" t="s">
        <v>247</v>
      </c>
      <c r="K801" s="10" t="s">
        <v>248</v>
      </c>
      <c r="L801" s="10">
        <v>1</v>
      </c>
    </row>
    <row r="802" spans="1:12" x14ac:dyDescent="0.2">
      <c r="A802" s="10" t="s">
        <v>1505</v>
      </c>
      <c r="D802" s="10" t="s">
        <v>246</v>
      </c>
      <c r="E802" s="18" t="s">
        <v>1743</v>
      </c>
      <c r="F802" s="9">
        <v>42979</v>
      </c>
      <c r="G802" s="9">
        <v>46023</v>
      </c>
      <c r="H802" s="10">
        <v>101</v>
      </c>
      <c r="I802" s="10" t="s">
        <v>245</v>
      </c>
      <c r="J802" s="10" t="s">
        <v>247</v>
      </c>
      <c r="K802" s="10" t="s">
        <v>248</v>
      </c>
      <c r="L802" s="10">
        <v>1</v>
      </c>
    </row>
    <row r="803" spans="1:12" x14ac:dyDescent="0.2">
      <c r="A803" s="10" t="s">
        <v>1506</v>
      </c>
      <c r="D803" s="10" t="s">
        <v>246</v>
      </c>
      <c r="E803" s="18" t="s">
        <v>1744</v>
      </c>
      <c r="F803" s="9">
        <v>42979</v>
      </c>
      <c r="G803" s="9">
        <v>46023</v>
      </c>
      <c r="H803" s="10">
        <v>101</v>
      </c>
      <c r="I803" s="10" t="s">
        <v>245</v>
      </c>
      <c r="J803" s="10" t="s">
        <v>247</v>
      </c>
      <c r="K803" s="10" t="s">
        <v>248</v>
      </c>
      <c r="L803" s="10">
        <v>1</v>
      </c>
    </row>
    <row r="804" spans="1:12" x14ac:dyDescent="0.2">
      <c r="A804" s="10" t="s">
        <v>1507</v>
      </c>
      <c r="D804" s="10" t="s">
        <v>246</v>
      </c>
      <c r="E804" s="18" t="s">
        <v>1745</v>
      </c>
      <c r="F804" s="9">
        <v>45383</v>
      </c>
      <c r="G804" s="9">
        <v>46023</v>
      </c>
      <c r="H804" s="10">
        <v>22</v>
      </c>
      <c r="I804" s="10" t="s">
        <v>245</v>
      </c>
      <c r="J804" s="10" t="s">
        <v>247</v>
      </c>
      <c r="K804" s="10" t="s">
        <v>248</v>
      </c>
      <c r="L804" s="10">
        <v>1</v>
      </c>
    </row>
    <row r="805" spans="1:12" x14ac:dyDescent="0.2">
      <c r="A805" s="10" t="s">
        <v>1508</v>
      </c>
      <c r="D805" s="10" t="s">
        <v>246</v>
      </c>
      <c r="E805" s="18" t="s">
        <v>1746</v>
      </c>
      <c r="F805" s="9">
        <v>45383</v>
      </c>
      <c r="G805" s="9">
        <v>46023</v>
      </c>
      <c r="H805" s="10">
        <v>22</v>
      </c>
      <c r="I805" s="10" t="s">
        <v>245</v>
      </c>
      <c r="J805" s="10" t="s">
        <v>247</v>
      </c>
      <c r="K805" s="10" t="s">
        <v>248</v>
      </c>
      <c r="L805" s="10">
        <v>1</v>
      </c>
    </row>
    <row r="806" spans="1:12" x14ac:dyDescent="0.2">
      <c r="A806" s="10" t="s">
        <v>1509</v>
      </c>
      <c r="D806" s="10" t="s">
        <v>246</v>
      </c>
      <c r="E806" s="18" t="s">
        <v>1747</v>
      </c>
      <c r="F806" s="9">
        <v>42979</v>
      </c>
      <c r="G806" s="9">
        <v>46023</v>
      </c>
      <c r="H806" s="10">
        <v>101</v>
      </c>
      <c r="I806" s="10" t="s">
        <v>245</v>
      </c>
      <c r="J806" s="10" t="s">
        <v>247</v>
      </c>
      <c r="K806" s="10" t="s">
        <v>248</v>
      </c>
      <c r="L806" s="10">
        <v>1</v>
      </c>
    </row>
    <row r="807" spans="1:12" x14ac:dyDescent="0.2">
      <c r="A807" s="10" t="s">
        <v>1510</v>
      </c>
      <c r="D807" s="10" t="s">
        <v>246</v>
      </c>
      <c r="E807" s="18" t="s">
        <v>1748</v>
      </c>
      <c r="F807" s="9">
        <v>42979</v>
      </c>
      <c r="G807" s="9">
        <v>46023</v>
      </c>
      <c r="H807" s="10">
        <v>101</v>
      </c>
      <c r="I807" s="10" t="s">
        <v>245</v>
      </c>
      <c r="J807" s="10" t="s">
        <v>247</v>
      </c>
      <c r="K807" s="10" t="s">
        <v>248</v>
      </c>
      <c r="L807" s="10">
        <v>1</v>
      </c>
    </row>
    <row r="808" spans="1:12" x14ac:dyDescent="0.2">
      <c r="A808" s="10" t="s">
        <v>1511</v>
      </c>
      <c r="D808" s="10" t="s">
        <v>246</v>
      </c>
      <c r="E808" s="18" t="s">
        <v>1749</v>
      </c>
      <c r="F808" s="9">
        <v>42979</v>
      </c>
      <c r="G808" s="9">
        <v>46023</v>
      </c>
      <c r="H808" s="10">
        <v>101</v>
      </c>
      <c r="I808" s="10" t="s">
        <v>245</v>
      </c>
      <c r="J808" s="10" t="s">
        <v>247</v>
      </c>
      <c r="K808" s="10" t="s">
        <v>248</v>
      </c>
      <c r="L808" s="10">
        <v>1</v>
      </c>
    </row>
    <row r="809" spans="1:12" x14ac:dyDescent="0.2">
      <c r="A809" s="10" t="s">
        <v>1512</v>
      </c>
      <c r="D809" s="10" t="s">
        <v>246</v>
      </c>
      <c r="E809" s="18" t="s">
        <v>1750</v>
      </c>
      <c r="F809" s="9">
        <v>42979</v>
      </c>
      <c r="G809" s="9">
        <v>46023</v>
      </c>
      <c r="H809" s="10">
        <v>101</v>
      </c>
      <c r="I809" s="10" t="s">
        <v>245</v>
      </c>
      <c r="J809" s="10" t="s">
        <v>247</v>
      </c>
      <c r="K809" s="10" t="s">
        <v>248</v>
      </c>
      <c r="L809" s="10">
        <v>1</v>
      </c>
    </row>
    <row r="810" spans="1:12" x14ac:dyDescent="0.2">
      <c r="A810" s="10" t="s">
        <v>1513</v>
      </c>
      <c r="D810" s="10" t="s">
        <v>246</v>
      </c>
      <c r="E810" s="18" t="s">
        <v>1751</v>
      </c>
      <c r="F810" s="9">
        <v>42979</v>
      </c>
      <c r="G810" s="9">
        <v>46023</v>
      </c>
      <c r="H810" s="10">
        <v>101</v>
      </c>
      <c r="I810" s="10" t="s">
        <v>245</v>
      </c>
      <c r="J810" s="10" t="s">
        <v>247</v>
      </c>
      <c r="K810" s="10" t="s">
        <v>248</v>
      </c>
      <c r="L810" s="10">
        <v>1</v>
      </c>
    </row>
    <row r="811" spans="1:12" x14ac:dyDescent="0.2">
      <c r="A811" s="10" t="s">
        <v>1514</v>
      </c>
      <c r="D811" s="10" t="s">
        <v>246</v>
      </c>
      <c r="E811" s="18" t="s">
        <v>1752</v>
      </c>
      <c r="F811" s="9">
        <v>42979</v>
      </c>
      <c r="G811" s="9">
        <v>46023</v>
      </c>
      <c r="H811" s="10">
        <v>101</v>
      </c>
      <c r="I811" s="10" t="s">
        <v>245</v>
      </c>
      <c r="J811" s="10" t="s">
        <v>247</v>
      </c>
      <c r="K811" s="10" t="s">
        <v>248</v>
      </c>
      <c r="L811" s="10">
        <v>1</v>
      </c>
    </row>
    <row r="812" spans="1:12" x14ac:dyDescent="0.2">
      <c r="A812" s="10" t="s">
        <v>1515</v>
      </c>
      <c r="D812" s="10" t="s">
        <v>246</v>
      </c>
      <c r="E812" s="18" t="s">
        <v>1753</v>
      </c>
      <c r="F812" s="9">
        <v>42979</v>
      </c>
      <c r="G812" s="9">
        <v>46023</v>
      </c>
      <c r="H812" s="10">
        <v>101</v>
      </c>
      <c r="I812" s="10" t="s">
        <v>245</v>
      </c>
      <c r="J812" s="10" t="s">
        <v>247</v>
      </c>
      <c r="K812" s="10" t="s">
        <v>248</v>
      </c>
      <c r="L812" s="10">
        <v>1</v>
      </c>
    </row>
    <row r="813" spans="1:12" x14ac:dyDescent="0.2">
      <c r="A813" s="10" t="s">
        <v>1516</v>
      </c>
      <c r="D813" s="10" t="s">
        <v>246</v>
      </c>
      <c r="E813" s="18" t="s">
        <v>1754</v>
      </c>
      <c r="F813" s="9">
        <v>42979</v>
      </c>
      <c r="G813" s="9">
        <v>46023</v>
      </c>
      <c r="H813" s="10">
        <v>101</v>
      </c>
      <c r="I813" s="10" t="s">
        <v>245</v>
      </c>
      <c r="J813" s="10" t="s">
        <v>247</v>
      </c>
      <c r="K813" s="10" t="s">
        <v>248</v>
      </c>
      <c r="L813" s="10">
        <v>1</v>
      </c>
    </row>
    <row r="814" spans="1:12" x14ac:dyDescent="0.2">
      <c r="A814" s="10" t="s">
        <v>1517</v>
      </c>
      <c r="D814" s="10" t="s">
        <v>246</v>
      </c>
      <c r="E814" s="18" t="s">
        <v>1755</v>
      </c>
      <c r="F814" s="9">
        <v>42979</v>
      </c>
      <c r="G814" s="9">
        <v>46023</v>
      </c>
      <c r="H814" s="10">
        <v>101</v>
      </c>
      <c r="I814" s="10" t="s">
        <v>245</v>
      </c>
      <c r="J814" s="10" t="s">
        <v>247</v>
      </c>
      <c r="K814" s="10" t="s">
        <v>248</v>
      </c>
      <c r="L814" s="10">
        <v>1</v>
      </c>
    </row>
    <row r="815" spans="1:12" x14ac:dyDescent="0.2">
      <c r="A815" s="10" t="s">
        <v>1518</v>
      </c>
      <c r="D815" s="10" t="s">
        <v>246</v>
      </c>
      <c r="E815" s="18" t="s">
        <v>1756</v>
      </c>
      <c r="F815" s="9">
        <v>42979</v>
      </c>
      <c r="G815" s="9">
        <v>46023</v>
      </c>
      <c r="H815" s="10">
        <v>101</v>
      </c>
      <c r="I815" s="10" t="s">
        <v>245</v>
      </c>
      <c r="J815" s="10" t="s">
        <v>247</v>
      </c>
      <c r="K815" s="10" t="s">
        <v>248</v>
      </c>
      <c r="L815" s="10">
        <v>1</v>
      </c>
    </row>
    <row r="816" spans="1:12" x14ac:dyDescent="0.2">
      <c r="A816" s="10" t="s">
        <v>1519</v>
      </c>
      <c r="D816" s="10" t="s">
        <v>246</v>
      </c>
      <c r="E816" s="18" t="s">
        <v>1757</v>
      </c>
      <c r="F816" s="9">
        <v>42979</v>
      </c>
      <c r="G816" s="9">
        <v>46023</v>
      </c>
      <c r="H816" s="10">
        <v>101</v>
      </c>
      <c r="I816" s="10" t="s">
        <v>245</v>
      </c>
      <c r="J816" s="10" t="s">
        <v>247</v>
      </c>
      <c r="K816" s="10" t="s">
        <v>248</v>
      </c>
      <c r="L816" s="10">
        <v>1</v>
      </c>
    </row>
    <row r="817" spans="1:12" x14ac:dyDescent="0.2">
      <c r="A817" s="10" t="s">
        <v>1520</v>
      </c>
      <c r="D817" s="10" t="s">
        <v>246</v>
      </c>
      <c r="E817" s="18" t="s">
        <v>1758</v>
      </c>
      <c r="F817" s="9">
        <v>42979</v>
      </c>
      <c r="G817" s="9">
        <v>46023</v>
      </c>
      <c r="H817" s="10">
        <v>101</v>
      </c>
      <c r="I817" s="10" t="s">
        <v>245</v>
      </c>
      <c r="J817" s="10" t="s">
        <v>247</v>
      </c>
      <c r="K817" s="10" t="s">
        <v>248</v>
      </c>
      <c r="L817" s="10">
        <v>1</v>
      </c>
    </row>
    <row r="818" spans="1:12" x14ac:dyDescent="0.2">
      <c r="A818" s="10" t="s">
        <v>1521</v>
      </c>
      <c r="D818" s="10" t="s">
        <v>246</v>
      </c>
      <c r="E818" s="18" t="s">
        <v>1759</v>
      </c>
      <c r="F818" s="9">
        <v>42979</v>
      </c>
      <c r="G818" s="9">
        <v>46023</v>
      </c>
      <c r="H818" s="10">
        <v>101</v>
      </c>
      <c r="I818" s="10" t="s">
        <v>245</v>
      </c>
      <c r="J818" s="10" t="s">
        <v>247</v>
      </c>
      <c r="K818" s="10" t="s">
        <v>248</v>
      </c>
      <c r="L818" s="10">
        <v>1</v>
      </c>
    </row>
    <row r="819" spans="1:12" x14ac:dyDescent="0.2">
      <c r="A819" s="10" t="s">
        <v>1522</v>
      </c>
      <c r="D819" s="10" t="s">
        <v>246</v>
      </c>
      <c r="E819" s="18" t="s">
        <v>1760</v>
      </c>
      <c r="F819" s="9">
        <v>42979</v>
      </c>
      <c r="G819" s="9">
        <v>46023</v>
      </c>
      <c r="H819" s="10">
        <v>101</v>
      </c>
      <c r="I819" s="10" t="s">
        <v>245</v>
      </c>
      <c r="J819" s="10" t="s">
        <v>247</v>
      </c>
      <c r="K819" s="10" t="s">
        <v>248</v>
      </c>
      <c r="L819" s="10">
        <v>1</v>
      </c>
    </row>
    <row r="820" spans="1:12" x14ac:dyDescent="0.2">
      <c r="A820" s="10" t="s">
        <v>1523</v>
      </c>
      <c r="D820" s="10" t="s">
        <v>246</v>
      </c>
      <c r="E820" s="18" t="s">
        <v>1761</v>
      </c>
      <c r="F820" s="9">
        <v>42979</v>
      </c>
      <c r="G820" s="9">
        <v>46023</v>
      </c>
      <c r="H820" s="10">
        <v>101</v>
      </c>
      <c r="I820" s="10" t="s">
        <v>245</v>
      </c>
      <c r="J820" s="10" t="s">
        <v>247</v>
      </c>
      <c r="K820" s="10" t="s">
        <v>248</v>
      </c>
      <c r="L820" s="10">
        <v>1</v>
      </c>
    </row>
    <row r="821" spans="1:12" x14ac:dyDescent="0.2">
      <c r="A821" s="10" t="s">
        <v>1524</v>
      </c>
      <c r="D821" s="10" t="s">
        <v>246</v>
      </c>
      <c r="E821" s="18" t="s">
        <v>1762</v>
      </c>
      <c r="F821" s="9">
        <v>42979</v>
      </c>
      <c r="G821" s="9">
        <v>46023</v>
      </c>
      <c r="H821" s="10">
        <v>101</v>
      </c>
      <c r="I821" s="10" t="s">
        <v>245</v>
      </c>
      <c r="J821" s="10" t="s">
        <v>247</v>
      </c>
      <c r="K821" s="10" t="s">
        <v>248</v>
      </c>
      <c r="L821" s="10">
        <v>1</v>
      </c>
    </row>
    <row r="822" spans="1:12" x14ac:dyDescent="0.2">
      <c r="A822" s="10" t="s">
        <v>1525</v>
      </c>
      <c r="D822" s="10" t="s">
        <v>246</v>
      </c>
      <c r="E822" s="18" t="s">
        <v>1763</v>
      </c>
      <c r="F822" s="9">
        <v>42979</v>
      </c>
      <c r="G822" s="9">
        <v>46023</v>
      </c>
      <c r="H822" s="10">
        <v>101</v>
      </c>
      <c r="I822" s="10" t="s">
        <v>245</v>
      </c>
      <c r="J822" s="10" t="s">
        <v>247</v>
      </c>
      <c r="K822" s="10" t="s">
        <v>248</v>
      </c>
      <c r="L822" s="10">
        <v>1</v>
      </c>
    </row>
    <row r="823" spans="1:12" x14ac:dyDescent="0.2">
      <c r="A823" s="10" t="s">
        <v>1526</v>
      </c>
      <c r="D823" s="10" t="s">
        <v>246</v>
      </c>
      <c r="E823" s="18" t="s">
        <v>1764</v>
      </c>
      <c r="F823" s="9">
        <v>42979</v>
      </c>
      <c r="G823" s="9">
        <v>46023</v>
      </c>
      <c r="H823" s="10">
        <v>101</v>
      </c>
      <c r="I823" s="10" t="s">
        <v>245</v>
      </c>
      <c r="J823" s="10" t="s">
        <v>247</v>
      </c>
      <c r="K823" s="10" t="s">
        <v>248</v>
      </c>
      <c r="L823" s="10">
        <v>1</v>
      </c>
    </row>
    <row r="824" spans="1:12" x14ac:dyDescent="0.2">
      <c r="A824" s="10" t="s">
        <v>1527</v>
      </c>
      <c r="D824" s="10" t="s">
        <v>246</v>
      </c>
      <c r="E824" s="18" t="s">
        <v>1765</v>
      </c>
      <c r="F824" s="9">
        <v>42979</v>
      </c>
      <c r="G824" s="9">
        <v>46023</v>
      </c>
      <c r="H824" s="10">
        <v>101</v>
      </c>
      <c r="I824" s="10" t="s">
        <v>245</v>
      </c>
      <c r="J824" s="10" t="s">
        <v>247</v>
      </c>
      <c r="K824" s="10" t="s">
        <v>248</v>
      </c>
      <c r="L824" s="10">
        <v>1</v>
      </c>
    </row>
    <row r="825" spans="1:12" x14ac:dyDescent="0.2">
      <c r="A825" s="10" t="s">
        <v>1528</v>
      </c>
      <c r="D825" s="10" t="s">
        <v>246</v>
      </c>
      <c r="E825" s="18" t="s">
        <v>1766</v>
      </c>
      <c r="F825" s="9">
        <v>42979</v>
      </c>
      <c r="G825" s="9">
        <v>46023</v>
      </c>
      <c r="H825" s="10">
        <v>101</v>
      </c>
      <c r="I825" s="10" t="s">
        <v>245</v>
      </c>
      <c r="J825" s="10" t="s">
        <v>247</v>
      </c>
      <c r="K825" s="10" t="s">
        <v>248</v>
      </c>
      <c r="L825" s="10">
        <v>1</v>
      </c>
    </row>
    <row r="826" spans="1:12" x14ac:dyDescent="0.2">
      <c r="A826" s="10" t="s">
        <v>1529</v>
      </c>
      <c r="D826" s="10" t="s">
        <v>246</v>
      </c>
      <c r="E826" s="18" t="s">
        <v>1767</v>
      </c>
      <c r="F826" s="9">
        <v>42979</v>
      </c>
      <c r="G826" s="9">
        <v>46023</v>
      </c>
      <c r="H826" s="10">
        <v>101</v>
      </c>
      <c r="I826" s="10" t="s">
        <v>245</v>
      </c>
      <c r="J826" s="10" t="s">
        <v>247</v>
      </c>
      <c r="K826" s="10" t="s">
        <v>248</v>
      </c>
      <c r="L826" s="10">
        <v>1</v>
      </c>
    </row>
    <row r="827" spans="1:12" x14ac:dyDescent="0.2">
      <c r="A827" s="10" t="s">
        <v>1530</v>
      </c>
      <c r="D827" s="10" t="s">
        <v>246</v>
      </c>
      <c r="E827" s="18" t="s">
        <v>1768</v>
      </c>
      <c r="F827" s="9">
        <v>42979</v>
      </c>
      <c r="G827" s="9">
        <v>46023</v>
      </c>
      <c r="H827" s="10">
        <v>101</v>
      </c>
      <c r="I827" s="10" t="s">
        <v>245</v>
      </c>
      <c r="J827" s="10" t="s">
        <v>247</v>
      </c>
      <c r="K827" s="10" t="s">
        <v>248</v>
      </c>
      <c r="L827" s="10">
        <v>1</v>
      </c>
    </row>
    <row r="828" spans="1:12" x14ac:dyDescent="0.2">
      <c r="A828" s="10" t="s">
        <v>1531</v>
      </c>
      <c r="D828" s="10" t="s">
        <v>246</v>
      </c>
      <c r="E828" s="18" t="s">
        <v>1769</v>
      </c>
      <c r="F828" s="9">
        <v>42979</v>
      </c>
      <c r="G828" s="9">
        <v>46023</v>
      </c>
      <c r="H828" s="10">
        <v>101</v>
      </c>
      <c r="I828" s="10" t="s">
        <v>245</v>
      </c>
      <c r="J828" s="10" t="s">
        <v>247</v>
      </c>
      <c r="K828" s="10" t="s">
        <v>248</v>
      </c>
      <c r="L828" s="10">
        <v>1</v>
      </c>
    </row>
    <row r="829" spans="1:12" x14ac:dyDescent="0.2">
      <c r="A829" s="10" t="s">
        <v>1532</v>
      </c>
      <c r="D829" s="10" t="s">
        <v>246</v>
      </c>
      <c r="E829" s="18" t="s">
        <v>1770</v>
      </c>
      <c r="F829" s="9">
        <v>42979</v>
      </c>
      <c r="G829" s="9">
        <v>46023</v>
      </c>
      <c r="H829" s="10">
        <v>101</v>
      </c>
      <c r="I829" s="10" t="s">
        <v>245</v>
      </c>
      <c r="J829" s="10" t="s">
        <v>247</v>
      </c>
      <c r="K829" s="10" t="s">
        <v>248</v>
      </c>
      <c r="L829" s="10">
        <v>1</v>
      </c>
    </row>
    <row r="830" spans="1:12" x14ac:dyDescent="0.2">
      <c r="A830" s="10" t="s">
        <v>1533</v>
      </c>
      <c r="D830" s="10" t="s">
        <v>246</v>
      </c>
      <c r="E830" s="18" t="s">
        <v>1771</v>
      </c>
      <c r="F830" s="9">
        <v>42979</v>
      </c>
      <c r="G830" s="9">
        <v>46023</v>
      </c>
      <c r="H830" s="10">
        <v>101</v>
      </c>
      <c r="I830" s="10" t="s">
        <v>245</v>
      </c>
      <c r="J830" s="10" t="s">
        <v>247</v>
      </c>
      <c r="K830" s="10" t="s">
        <v>248</v>
      </c>
      <c r="L830" s="10">
        <v>1</v>
      </c>
    </row>
    <row r="831" spans="1:12" x14ac:dyDescent="0.2">
      <c r="A831" s="10" t="s">
        <v>1534</v>
      </c>
      <c r="D831" s="10" t="s">
        <v>246</v>
      </c>
      <c r="E831" s="18" t="s">
        <v>1772</v>
      </c>
      <c r="F831" s="9">
        <v>42979</v>
      </c>
      <c r="G831" s="9">
        <v>46023</v>
      </c>
      <c r="H831" s="10">
        <v>101</v>
      </c>
      <c r="I831" s="10" t="s">
        <v>245</v>
      </c>
      <c r="J831" s="10" t="s">
        <v>247</v>
      </c>
      <c r="K831" s="10" t="s">
        <v>248</v>
      </c>
      <c r="L831" s="10">
        <v>1</v>
      </c>
    </row>
    <row r="832" spans="1:12" x14ac:dyDescent="0.2">
      <c r="A832" s="10" t="s">
        <v>1535</v>
      </c>
      <c r="D832" s="10" t="s">
        <v>246</v>
      </c>
      <c r="E832" s="18" t="s">
        <v>1773</v>
      </c>
      <c r="F832" s="9">
        <v>42979</v>
      </c>
      <c r="G832" s="9">
        <v>46023</v>
      </c>
      <c r="H832" s="10">
        <v>101</v>
      </c>
      <c r="I832" s="10" t="s">
        <v>245</v>
      </c>
      <c r="J832" s="10" t="s">
        <v>247</v>
      </c>
      <c r="K832" s="10" t="s">
        <v>248</v>
      </c>
      <c r="L832" s="10">
        <v>1</v>
      </c>
    </row>
    <row r="833" spans="1:12" x14ac:dyDescent="0.2">
      <c r="A833" s="10" t="s">
        <v>1536</v>
      </c>
      <c r="D833" s="10" t="s">
        <v>246</v>
      </c>
      <c r="E833" s="18" t="s">
        <v>1774</v>
      </c>
      <c r="F833" s="9">
        <v>42979</v>
      </c>
      <c r="G833" s="9">
        <v>46023</v>
      </c>
      <c r="H833" s="10">
        <v>101</v>
      </c>
      <c r="I833" s="10" t="s">
        <v>245</v>
      </c>
      <c r="J833" s="10" t="s">
        <v>247</v>
      </c>
      <c r="K833" s="10" t="s">
        <v>248</v>
      </c>
      <c r="L833" s="10">
        <v>1</v>
      </c>
    </row>
    <row r="834" spans="1:12" x14ac:dyDescent="0.2">
      <c r="A834" s="10" t="s">
        <v>1537</v>
      </c>
      <c r="D834" s="10" t="s">
        <v>246</v>
      </c>
      <c r="E834" s="18" t="s">
        <v>1775</v>
      </c>
      <c r="F834" s="9">
        <v>42979</v>
      </c>
      <c r="G834" s="9">
        <v>46023</v>
      </c>
      <c r="H834" s="10">
        <v>101</v>
      </c>
      <c r="I834" s="10" t="s">
        <v>245</v>
      </c>
      <c r="J834" s="10" t="s">
        <v>247</v>
      </c>
      <c r="K834" s="10" t="s">
        <v>248</v>
      </c>
      <c r="L834" s="10">
        <v>1</v>
      </c>
    </row>
    <row r="835" spans="1:12" x14ac:dyDescent="0.2">
      <c r="A835" s="10" t="s">
        <v>1538</v>
      </c>
      <c r="D835" s="10" t="s">
        <v>246</v>
      </c>
      <c r="E835" s="18" t="s">
        <v>1776</v>
      </c>
      <c r="F835" s="9">
        <v>45383</v>
      </c>
      <c r="G835" s="9">
        <v>46023</v>
      </c>
      <c r="H835" s="10">
        <v>22</v>
      </c>
      <c r="I835" s="10" t="s">
        <v>245</v>
      </c>
      <c r="J835" s="10" t="s">
        <v>247</v>
      </c>
      <c r="K835" s="10" t="s">
        <v>248</v>
      </c>
      <c r="L835" s="10">
        <v>1</v>
      </c>
    </row>
    <row r="836" spans="1:12" x14ac:dyDescent="0.2">
      <c r="A836" s="10" t="s">
        <v>1539</v>
      </c>
      <c r="D836" s="10" t="s">
        <v>246</v>
      </c>
      <c r="E836" s="18" t="s">
        <v>1777</v>
      </c>
      <c r="F836" s="9">
        <v>45383</v>
      </c>
      <c r="G836" s="9">
        <v>46023</v>
      </c>
      <c r="H836" s="10">
        <v>22</v>
      </c>
      <c r="I836" s="10" t="s">
        <v>245</v>
      </c>
      <c r="J836" s="10" t="s">
        <v>247</v>
      </c>
      <c r="K836" s="10" t="s">
        <v>248</v>
      </c>
      <c r="L836" s="10">
        <v>1</v>
      </c>
    </row>
    <row r="837" spans="1:12" x14ac:dyDescent="0.2">
      <c r="A837" s="10" t="s">
        <v>1540</v>
      </c>
      <c r="D837" s="10" t="s">
        <v>246</v>
      </c>
      <c r="E837" s="18" t="s">
        <v>1778</v>
      </c>
      <c r="F837" s="9">
        <v>45383</v>
      </c>
      <c r="G837" s="9">
        <v>46023</v>
      </c>
      <c r="H837" s="10">
        <v>22</v>
      </c>
      <c r="I837" s="10" t="s">
        <v>245</v>
      </c>
      <c r="J837" s="10" t="s">
        <v>247</v>
      </c>
      <c r="K837" s="10" t="s">
        <v>248</v>
      </c>
      <c r="L837" s="10">
        <v>1</v>
      </c>
    </row>
    <row r="838" spans="1:12" x14ac:dyDescent="0.2">
      <c r="A838" s="10" t="s">
        <v>1541</v>
      </c>
      <c r="D838" s="10" t="s">
        <v>246</v>
      </c>
      <c r="E838" s="18" t="s">
        <v>1779</v>
      </c>
      <c r="F838" s="9">
        <v>45383</v>
      </c>
      <c r="G838" s="9">
        <v>46023</v>
      </c>
      <c r="H838" s="10">
        <v>22</v>
      </c>
      <c r="I838" s="10" t="s">
        <v>245</v>
      </c>
      <c r="J838" s="10" t="s">
        <v>247</v>
      </c>
      <c r="K838" s="10" t="s">
        <v>248</v>
      </c>
      <c r="L838" s="10">
        <v>1</v>
      </c>
    </row>
    <row r="839" spans="1:12" x14ac:dyDescent="0.2">
      <c r="A839" s="10" t="s">
        <v>1542</v>
      </c>
      <c r="D839" s="10" t="s">
        <v>246</v>
      </c>
      <c r="E839" s="18" t="s">
        <v>1780</v>
      </c>
      <c r="F839" s="9">
        <v>45383</v>
      </c>
      <c r="G839" s="9">
        <v>46023</v>
      </c>
      <c r="H839" s="10">
        <v>22</v>
      </c>
      <c r="I839" s="10" t="s">
        <v>245</v>
      </c>
      <c r="J839" s="10" t="s">
        <v>247</v>
      </c>
      <c r="K839" s="10" t="s">
        <v>248</v>
      </c>
      <c r="L839" s="10">
        <v>1</v>
      </c>
    </row>
    <row r="840" spans="1:12" x14ac:dyDescent="0.2">
      <c r="A840" s="10" t="s">
        <v>1543</v>
      </c>
      <c r="D840" s="10" t="s">
        <v>246</v>
      </c>
      <c r="E840" s="18" t="s">
        <v>1781</v>
      </c>
      <c r="F840" s="9">
        <v>42979</v>
      </c>
      <c r="G840" s="9">
        <v>46023</v>
      </c>
      <c r="H840" s="10">
        <v>101</v>
      </c>
      <c r="I840" s="10" t="s">
        <v>245</v>
      </c>
      <c r="J840" s="10" t="s">
        <v>247</v>
      </c>
      <c r="K840" s="10" t="s">
        <v>248</v>
      </c>
      <c r="L840" s="10">
        <v>1</v>
      </c>
    </row>
    <row r="841" spans="1:12" x14ac:dyDescent="0.2">
      <c r="A841" s="10" t="s">
        <v>1544</v>
      </c>
      <c r="D841" s="10" t="s">
        <v>246</v>
      </c>
      <c r="E841" s="18" t="s">
        <v>1782</v>
      </c>
      <c r="F841" s="9">
        <v>45383</v>
      </c>
      <c r="G841" s="9">
        <v>46023</v>
      </c>
      <c r="H841" s="10">
        <v>22</v>
      </c>
      <c r="I841" s="10" t="s">
        <v>245</v>
      </c>
      <c r="J841" s="10" t="s">
        <v>247</v>
      </c>
      <c r="K841" s="10" t="s">
        <v>248</v>
      </c>
      <c r="L841" s="10">
        <v>1</v>
      </c>
    </row>
    <row r="842" spans="1:12" x14ac:dyDescent="0.2">
      <c r="A842" s="10" t="s">
        <v>1545</v>
      </c>
      <c r="D842" s="10" t="s">
        <v>246</v>
      </c>
      <c r="E842" s="18" t="s">
        <v>1783</v>
      </c>
      <c r="F842" s="9">
        <v>42979</v>
      </c>
      <c r="G842" s="9">
        <v>46023</v>
      </c>
      <c r="H842" s="10">
        <v>101</v>
      </c>
      <c r="I842" s="10" t="s">
        <v>245</v>
      </c>
      <c r="J842" s="10" t="s">
        <v>247</v>
      </c>
      <c r="K842" s="10" t="s">
        <v>248</v>
      </c>
      <c r="L842" s="10">
        <v>1</v>
      </c>
    </row>
    <row r="843" spans="1:12" x14ac:dyDescent="0.2">
      <c r="A843" s="10" t="s">
        <v>1546</v>
      </c>
      <c r="D843" s="10" t="s">
        <v>246</v>
      </c>
      <c r="E843" s="18" t="s">
        <v>1784</v>
      </c>
      <c r="F843" s="9">
        <v>42979</v>
      </c>
      <c r="G843" s="9">
        <v>46023</v>
      </c>
      <c r="H843" s="10">
        <v>101</v>
      </c>
      <c r="I843" s="10" t="s">
        <v>245</v>
      </c>
      <c r="J843" s="10" t="s">
        <v>247</v>
      </c>
      <c r="K843" s="10" t="s">
        <v>248</v>
      </c>
      <c r="L843" s="10">
        <v>1</v>
      </c>
    </row>
    <row r="844" spans="1:12" x14ac:dyDescent="0.2">
      <c r="A844" s="10" t="s">
        <v>1546</v>
      </c>
      <c r="D844" s="10" t="s">
        <v>246</v>
      </c>
      <c r="E844" s="18" t="s">
        <v>1785</v>
      </c>
      <c r="F844" s="9">
        <v>42979</v>
      </c>
      <c r="G844" s="9">
        <v>46023</v>
      </c>
      <c r="H844" s="10">
        <v>101</v>
      </c>
      <c r="I844" s="10" t="s">
        <v>245</v>
      </c>
      <c r="J844" s="10" t="s">
        <v>247</v>
      </c>
      <c r="K844" s="10" t="s">
        <v>248</v>
      </c>
      <c r="L844" s="10">
        <v>1</v>
      </c>
    </row>
    <row r="845" spans="1:12" x14ac:dyDescent="0.2">
      <c r="A845" s="10" t="s">
        <v>1547</v>
      </c>
      <c r="D845" s="10" t="s">
        <v>246</v>
      </c>
      <c r="E845" s="18" t="s">
        <v>1786</v>
      </c>
      <c r="F845" s="9">
        <v>45383</v>
      </c>
      <c r="G845" s="9">
        <v>46023</v>
      </c>
      <c r="H845" s="10">
        <v>22</v>
      </c>
      <c r="I845" s="10" t="s">
        <v>245</v>
      </c>
      <c r="J845" s="10" t="s">
        <v>247</v>
      </c>
      <c r="K845" s="10" t="s">
        <v>248</v>
      </c>
      <c r="L845" s="10">
        <v>1</v>
      </c>
    </row>
    <row r="846" spans="1:12" x14ac:dyDescent="0.2">
      <c r="A846" s="10" t="s">
        <v>1548</v>
      </c>
      <c r="D846" s="10" t="s">
        <v>246</v>
      </c>
      <c r="E846" s="18" t="s">
        <v>1787</v>
      </c>
      <c r="F846" s="9">
        <v>45383</v>
      </c>
      <c r="G846" s="9">
        <v>46023</v>
      </c>
      <c r="H846" s="10">
        <v>22</v>
      </c>
      <c r="I846" s="10" t="s">
        <v>245</v>
      </c>
      <c r="J846" s="10" t="s">
        <v>247</v>
      </c>
      <c r="K846" s="10" t="s">
        <v>248</v>
      </c>
      <c r="L846" s="10">
        <v>1</v>
      </c>
    </row>
    <row r="847" spans="1:12" x14ac:dyDescent="0.2">
      <c r="A847" s="10" t="s">
        <v>1549</v>
      </c>
      <c r="D847" s="10" t="s">
        <v>246</v>
      </c>
      <c r="E847" s="18" t="s">
        <v>1788</v>
      </c>
      <c r="F847" s="9">
        <v>45383</v>
      </c>
      <c r="G847" s="9">
        <v>46023</v>
      </c>
      <c r="H847" s="10">
        <v>22</v>
      </c>
      <c r="I847" s="10" t="s">
        <v>245</v>
      </c>
      <c r="J847" s="10" t="s">
        <v>247</v>
      </c>
      <c r="K847" s="10" t="s">
        <v>248</v>
      </c>
      <c r="L847" s="10">
        <v>1</v>
      </c>
    </row>
    <row r="848" spans="1:12" x14ac:dyDescent="0.2">
      <c r="A848" s="10" t="s">
        <v>1550</v>
      </c>
      <c r="D848" s="10" t="s">
        <v>246</v>
      </c>
      <c r="E848" s="18" t="s">
        <v>1789</v>
      </c>
      <c r="F848" s="9">
        <v>45383</v>
      </c>
      <c r="G848" s="9">
        <v>46023</v>
      </c>
      <c r="H848" s="10">
        <v>22</v>
      </c>
      <c r="I848" s="10" t="s">
        <v>245</v>
      </c>
      <c r="J848" s="10" t="s">
        <v>247</v>
      </c>
      <c r="K848" s="10" t="s">
        <v>248</v>
      </c>
      <c r="L848" s="10">
        <v>1</v>
      </c>
    </row>
    <row r="849" spans="1:12" x14ac:dyDescent="0.2">
      <c r="A849" s="10" t="s">
        <v>1551</v>
      </c>
      <c r="D849" s="10" t="s">
        <v>246</v>
      </c>
      <c r="E849" s="18" t="s">
        <v>1790</v>
      </c>
      <c r="F849" s="9">
        <v>45383</v>
      </c>
      <c r="G849" s="9">
        <v>46023</v>
      </c>
      <c r="H849" s="10">
        <v>22</v>
      </c>
      <c r="I849" s="10" t="s">
        <v>245</v>
      </c>
      <c r="J849" s="10" t="s">
        <v>247</v>
      </c>
      <c r="K849" s="10" t="s">
        <v>248</v>
      </c>
      <c r="L849" s="10">
        <v>1</v>
      </c>
    </row>
    <row r="850" spans="1:12" x14ac:dyDescent="0.2">
      <c r="A850" s="10" t="s">
        <v>1552</v>
      </c>
      <c r="D850" s="10" t="s">
        <v>246</v>
      </c>
      <c r="E850" s="18" t="s">
        <v>1791</v>
      </c>
      <c r="F850" s="9">
        <v>45383</v>
      </c>
      <c r="G850" s="9">
        <v>46023</v>
      </c>
      <c r="H850" s="10">
        <v>22</v>
      </c>
      <c r="I850" s="10" t="s">
        <v>245</v>
      </c>
      <c r="J850" s="10" t="s">
        <v>247</v>
      </c>
      <c r="K850" s="10" t="s">
        <v>248</v>
      </c>
      <c r="L850" s="10">
        <v>1</v>
      </c>
    </row>
    <row r="851" spans="1:12" x14ac:dyDescent="0.2">
      <c r="A851" s="10" t="s">
        <v>1553</v>
      </c>
      <c r="D851" s="10" t="s">
        <v>246</v>
      </c>
      <c r="E851" s="18" t="s">
        <v>1792</v>
      </c>
      <c r="F851" s="9">
        <v>45383</v>
      </c>
      <c r="G851" s="9">
        <v>46023</v>
      </c>
      <c r="H851" s="10">
        <v>22</v>
      </c>
      <c r="I851" s="10" t="s">
        <v>245</v>
      </c>
      <c r="J851" s="10" t="s">
        <v>247</v>
      </c>
      <c r="K851" s="10" t="s">
        <v>248</v>
      </c>
      <c r="L851" s="10">
        <v>1</v>
      </c>
    </row>
    <row r="852" spans="1:12" x14ac:dyDescent="0.2">
      <c r="A852" s="10" t="s">
        <v>1554</v>
      </c>
      <c r="D852" s="10" t="s">
        <v>246</v>
      </c>
      <c r="E852" s="18" t="s">
        <v>1793</v>
      </c>
      <c r="F852" s="9">
        <v>45383</v>
      </c>
      <c r="G852" s="9">
        <v>46023</v>
      </c>
      <c r="H852" s="10">
        <v>22</v>
      </c>
      <c r="I852" s="10" t="s">
        <v>245</v>
      </c>
      <c r="J852" s="10" t="s">
        <v>247</v>
      </c>
      <c r="K852" s="10" t="s">
        <v>248</v>
      </c>
      <c r="L852" s="10">
        <v>1</v>
      </c>
    </row>
    <row r="853" spans="1:12" x14ac:dyDescent="0.2">
      <c r="A853" s="10" t="s">
        <v>1555</v>
      </c>
      <c r="D853" s="10" t="s">
        <v>246</v>
      </c>
      <c r="E853" s="18" t="s">
        <v>1794</v>
      </c>
      <c r="F853" s="9">
        <v>45383</v>
      </c>
      <c r="G853" s="9">
        <v>46023</v>
      </c>
      <c r="H853" s="10">
        <v>22</v>
      </c>
      <c r="I853" s="10" t="s">
        <v>245</v>
      </c>
      <c r="J853" s="10" t="s">
        <v>247</v>
      </c>
      <c r="K853" s="10" t="s">
        <v>248</v>
      </c>
      <c r="L853" s="10">
        <v>1</v>
      </c>
    </row>
    <row r="854" spans="1:12" x14ac:dyDescent="0.2">
      <c r="A854" s="10" t="s">
        <v>1556</v>
      </c>
      <c r="D854" s="10" t="s">
        <v>246</v>
      </c>
      <c r="E854" s="18" t="s">
        <v>1795</v>
      </c>
      <c r="F854" s="9">
        <v>45383</v>
      </c>
      <c r="G854" s="9">
        <v>46023</v>
      </c>
      <c r="H854" s="10">
        <v>22</v>
      </c>
      <c r="I854" s="10" t="s">
        <v>245</v>
      </c>
      <c r="J854" s="10" t="s">
        <v>247</v>
      </c>
      <c r="K854" s="10" t="s">
        <v>248</v>
      </c>
      <c r="L854" s="10">
        <v>1</v>
      </c>
    </row>
    <row r="855" spans="1:12" x14ac:dyDescent="0.2">
      <c r="A855" s="10" t="s">
        <v>1557</v>
      </c>
      <c r="D855" s="10" t="s">
        <v>246</v>
      </c>
      <c r="E855" s="18" t="s">
        <v>1796</v>
      </c>
      <c r="F855" s="9">
        <v>45383</v>
      </c>
      <c r="G855" s="9">
        <v>46023</v>
      </c>
      <c r="H855" s="10">
        <v>22</v>
      </c>
      <c r="I855" s="10" t="s">
        <v>245</v>
      </c>
      <c r="J855" s="10" t="s">
        <v>247</v>
      </c>
      <c r="K855" s="10" t="s">
        <v>248</v>
      </c>
      <c r="L855" s="10">
        <v>1</v>
      </c>
    </row>
    <row r="856" spans="1:12" x14ac:dyDescent="0.2">
      <c r="A856" s="10" t="s">
        <v>1558</v>
      </c>
      <c r="D856" s="10" t="s">
        <v>246</v>
      </c>
      <c r="E856" s="18" t="s">
        <v>1797</v>
      </c>
      <c r="F856" s="9">
        <v>45383</v>
      </c>
      <c r="G856" s="9">
        <v>46023</v>
      </c>
      <c r="H856" s="10">
        <v>22</v>
      </c>
      <c r="I856" s="10" t="s">
        <v>245</v>
      </c>
      <c r="J856" s="10" t="s">
        <v>247</v>
      </c>
      <c r="K856" s="10" t="s">
        <v>248</v>
      </c>
      <c r="L856" s="10">
        <v>1</v>
      </c>
    </row>
    <row r="857" spans="1:12" x14ac:dyDescent="0.2">
      <c r="A857" s="10" t="s">
        <v>1559</v>
      </c>
      <c r="D857" s="10" t="s">
        <v>246</v>
      </c>
      <c r="E857" s="18" t="s">
        <v>1798</v>
      </c>
      <c r="F857" s="9">
        <v>45383</v>
      </c>
      <c r="G857" s="9">
        <v>46023</v>
      </c>
      <c r="H857" s="10">
        <v>22</v>
      </c>
      <c r="I857" s="10" t="s">
        <v>245</v>
      </c>
      <c r="J857" s="10" t="s">
        <v>247</v>
      </c>
      <c r="K857" s="10" t="s">
        <v>248</v>
      </c>
      <c r="L857" s="10">
        <v>1</v>
      </c>
    </row>
    <row r="858" spans="1:12" x14ac:dyDescent="0.2">
      <c r="A858" s="10" t="s">
        <v>1560</v>
      </c>
      <c r="D858" s="10" t="s">
        <v>246</v>
      </c>
      <c r="E858" s="18" t="s">
        <v>1799</v>
      </c>
      <c r="F858" s="9">
        <v>44743</v>
      </c>
      <c r="G858" s="9">
        <v>46023</v>
      </c>
      <c r="H858" s="10">
        <v>43</v>
      </c>
      <c r="I858" s="10" t="s">
        <v>245</v>
      </c>
      <c r="J858" s="10" t="s">
        <v>247</v>
      </c>
      <c r="K858" s="10" t="s">
        <v>248</v>
      </c>
      <c r="L858" s="10">
        <v>1</v>
      </c>
    </row>
    <row r="859" spans="1:12" x14ac:dyDescent="0.2">
      <c r="A859" s="10" t="s">
        <v>1560</v>
      </c>
      <c r="D859" s="10" t="s">
        <v>246</v>
      </c>
      <c r="E859" s="18" t="s">
        <v>1800</v>
      </c>
      <c r="F859" s="9">
        <v>44743</v>
      </c>
      <c r="G859" s="9">
        <v>46023</v>
      </c>
      <c r="H859" s="10">
        <v>43</v>
      </c>
      <c r="I859" s="10" t="s">
        <v>245</v>
      </c>
      <c r="J859" s="10" t="s">
        <v>247</v>
      </c>
      <c r="K859" s="10" t="s">
        <v>248</v>
      </c>
      <c r="L859" s="10">
        <v>1</v>
      </c>
    </row>
    <row r="860" spans="1:12" x14ac:dyDescent="0.2">
      <c r="A860" s="10" t="s">
        <v>1561</v>
      </c>
      <c r="D860" s="10" t="s">
        <v>246</v>
      </c>
      <c r="E860" s="18" t="s">
        <v>1801</v>
      </c>
      <c r="F860" s="9">
        <v>42979</v>
      </c>
      <c r="G860" s="9">
        <v>46023</v>
      </c>
      <c r="H860" s="10">
        <v>101</v>
      </c>
      <c r="I860" s="10" t="s">
        <v>245</v>
      </c>
      <c r="J860" s="10" t="s">
        <v>247</v>
      </c>
      <c r="K860" s="10" t="s">
        <v>248</v>
      </c>
      <c r="L860" s="10">
        <v>1</v>
      </c>
    </row>
    <row r="861" spans="1:12" x14ac:dyDescent="0.2">
      <c r="A861" s="10" t="s">
        <v>1561</v>
      </c>
      <c r="D861" s="10" t="s">
        <v>246</v>
      </c>
      <c r="E861" s="18" t="s">
        <v>1802</v>
      </c>
      <c r="F861" s="9">
        <v>42979</v>
      </c>
      <c r="G861" s="9">
        <v>46023</v>
      </c>
      <c r="H861" s="10">
        <v>101</v>
      </c>
      <c r="I861" s="10" t="s">
        <v>245</v>
      </c>
      <c r="J861" s="10" t="s">
        <v>247</v>
      </c>
      <c r="K861" s="10" t="s">
        <v>248</v>
      </c>
      <c r="L861" s="10">
        <v>1</v>
      </c>
    </row>
    <row r="862" spans="1:12" x14ac:dyDescent="0.2">
      <c r="A862" s="10" t="s">
        <v>1562</v>
      </c>
      <c r="D862" s="10" t="s">
        <v>246</v>
      </c>
      <c r="E862" s="18" t="s">
        <v>1803</v>
      </c>
      <c r="F862" s="9">
        <v>45383</v>
      </c>
      <c r="G862" s="9">
        <v>46023</v>
      </c>
      <c r="H862" s="10">
        <v>22</v>
      </c>
      <c r="I862" s="10" t="s">
        <v>245</v>
      </c>
      <c r="J862" s="10" t="s">
        <v>247</v>
      </c>
      <c r="K862" s="10" t="s">
        <v>248</v>
      </c>
      <c r="L862" s="10">
        <v>1</v>
      </c>
    </row>
    <row r="863" spans="1:12" x14ac:dyDescent="0.2">
      <c r="A863" s="10" t="s">
        <v>1563</v>
      </c>
      <c r="D863" s="10" t="s">
        <v>246</v>
      </c>
      <c r="E863" s="18" t="s">
        <v>1804</v>
      </c>
      <c r="F863" s="9">
        <v>45383</v>
      </c>
      <c r="G863" s="9">
        <v>46023</v>
      </c>
      <c r="H863" s="10">
        <v>22</v>
      </c>
      <c r="I863" s="10" t="s">
        <v>245</v>
      </c>
      <c r="J863" s="10" t="s">
        <v>247</v>
      </c>
      <c r="K863" s="10" t="s">
        <v>248</v>
      </c>
      <c r="L863" s="10">
        <v>1</v>
      </c>
    </row>
    <row r="864" spans="1:12" x14ac:dyDescent="0.2">
      <c r="A864" s="10" t="s">
        <v>1564</v>
      </c>
      <c r="D864" s="10" t="s">
        <v>246</v>
      </c>
      <c r="E864" s="18" t="s">
        <v>1805</v>
      </c>
      <c r="F864" s="9">
        <v>42979</v>
      </c>
      <c r="G864" s="9">
        <v>46023</v>
      </c>
      <c r="H864" s="10">
        <v>101</v>
      </c>
      <c r="I864" s="10" t="s">
        <v>245</v>
      </c>
      <c r="J864" s="10" t="s">
        <v>247</v>
      </c>
      <c r="K864" s="10" t="s">
        <v>248</v>
      </c>
      <c r="L864" s="10">
        <v>1</v>
      </c>
    </row>
    <row r="865" spans="1:12" x14ac:dyDescent="0.2">
      <c r="A865" s="10" t="s">
        <v>1565</v>
      </c>
      <c r="D865" s="10" t="s">
        <v>246</v>
      </c>
      <c r="E865" s="18" t="s">
        <v>1806</v>
      </c>
      <c r="F865" s="9">
        <v>45383</v>
      </c>
      <c r="G865" s="9">
        <v>46023</v>
      </c>
      <c r="H865" s="10">
        <v>22</v>
      </c>
      <c r="I865" s="10" t="s">
        <v>245</v>
      </c>
      <c r="J865" s="10" t="s">
        <v>247</v>
      </c>
      <c r="K865" s="10" t="s">
        <v>248</v>
      </c>
      <c r="L865" s="10">
        <v>1</v>
      </c>
    </row>
    <row r="866" spans="1:12" x14ac:dyDescent="0.2">
      <c r="A866" s="10" t="s">
        <v>1566</v>
      </c>
      <c r="D866" s="10" t="s">
        <v>246</v>
      </c>
      <c r="E866" s="18" t="s">
        <v>1807</v>
      </c>
      <c r="F866" s="9">
        <v>45383</v>
      </c>
      <c r="G866" s="9">
        <v>46023</v>
      </c>
      <c r="H866" s="10">
        <v>22</v>
      </c>
      <c r="I866" s="10" t="s">
        <v>245</v>
      </c>
      <c r="J866" s="10" t="s">
        <v>247</v>
      </c>
      <c r="K866" s="10" t="s">
        <v>248</v>
      </c>
      <c r="L866" s="10">
        <v>1</v>
      </c>
    </row>
    <row r="867" spans="1:12" x14ac:dyDescent="0.2">
      <c r="A867" s="10" t="s">
        <v>1567</v>
      </c>
      <c r="D867" s="10" t="s">
        <v>246</v>
      </c>
      <c r="E867" s="18" t="s">
        <v>1808</v>
      </c>
      <c r="F867" s="9">
        <v>44470</v>
      </c>
      <c r="G867" s="9">
        <v>46023</v>
      </c>
      <c r="H867" s="10">
        <v>52</v>
      </c>
      <c r="I867" s="10" t="s">
        <v>245</v>
      </c>
      <c r="J867" s="10" t="s">
        <v>247</v>
      </c>
      <c r="K867" s="10" t="s">
        <v>248</v>
      </c>
      <c r="L867" s="10">
        <v>1</v>
      </c>
    </row>
    <row r="868" spans="1:12" x14ac:dyDescent="0.2">
      <c r="A868" s="10" t="s">
        <v>1568</v>
      </c>
      <c r="D868" s="10" t="s">
        <v>246</v>
      </c>
      <c r="E868" s="18" t="s">
        <v>1809</v>
      </c>
      <c r="F868" s="9">
        <v>44470</v>
      </c>
      <c r="G868" s="9">
        <v>46023</v>
      </c>
      <c r="H868" s="10">
        <v>52</v>
      </c>
      <c r="I868" s="10" t="s">
        <v>245</v>
      </c>
      <c r="J868" s="10" t="s">
        <v>247</v>
      </c>
      <c r="K868" s="10" t="s">
        <v>248</v>
      </c>
      <c r="L868" s="10">
        <v>1</v>
      </c>
    </row>
    <row r="869" spans="1:12" x14ac:dyDescent="0.2">
      <c r="A869" s="10" t="s">
        <v>1569</v>
      </c>
      <c r="D869" s="10" t="s">
        <v>246</v>
      </c>
      <c r="E869" s="18" t="s">
        <v>1810</v>
      </c>
      <c r="F869" s="9">
        <v>45383</v>
      </c>
      <c r="G869" s="9">
        <v>46023</v>
      </c>
      <c r="H869" s="10">
        <v>22</v>
      </c>
      <c r="I869" s="10" t="s">
        <v>245</v>
      </c>
      <c r="J869" s="10" t="s">
        <v>247</v>
      </c>
      <c r="K869" s="10" t="s">
        <v>248</v>
      </c>
      <c r="L869" s="10">
        <v>1</v>
      </c>
    </row>
    <row r="870" spans="1:12" x14ac:dyDescent="0.2">
      <c r="A870" s="10" t="s">
        <v>1570</v>
      </c>
      <c r="D870" s="10" t="s">
        <v>246</v>
      </c>
      <c r="E870" s="18" t="s">
        <v>1811</v>
      </c>
      <c r="F870" s="9">
        <v>45383</v>
      </c>
      <c r="G870" s="9">
        <v>46023</v>
      </c>
      <c r="H870" s="10">
        <v>22</v>
      </c>
      <c r="I870" s="10" t="s">
        <v>245</v>
      </c>
      <c r="J870" s="10" t="s">
        <v>247</v>
      </c>
      <c r="K870" s="10" t="s">
        <v>248</v>
      </c>
      <c r="L870" s="10">
        <v>1</v>
      </c>
    </row>
    <row r="871" spans="1:12" x14ac:dyDescent="0.2">
      <c r="A871" s="10" t="s">
        <v>1571</v>
      </c>
      <c r="D871" s="10" t="s">
        <v>246</v>
      </c>
      <c r="E871" s="18" t="s">
        <v>1812</v>
      </c>
      <c r="F871" s="9">
        <v>45383</v>
      </c>
      <c r="G871" s="9">
        <v>46023</v>
      </c>
      <c r="H871" s="10">
        <v>22</v>
      </c>
      <c r="I871" s="10" t="s">
        <v>245</v>
      </c>
      <c r="J871" s="10" t="s">
        <v>247</v>
      </c>
      <c r="K871" s="10" t="s">
        <v>248</v>
      </c>
      <c r="L871" s="10">
        <v>1</v>
      </c>
    </row>
    <row r="872" spans="1:12" x14ac:dyDescent="0.2">
      <c r="A872" s="10" t="s">
        <v>1572</v>
      </c>
      <c r="D872" s="10" t="s">
        <v>246</v>
      </c>
      <c r="E872" s="18" t="s">
        <v>1813</v>
      </c>
      <c r="F872" s="9">
        <v>45383</v>
      </c>
      <c r="G872" s="9">
        <v>46023</v>
      </c>
      <c r="H872" s="10">
        <v>22</v>
      </c>
      <c r="I872" s="10" t="s">
        <v>245</v>
      </c>
      <c r="J872" s="10" t="s">
        <v>247</v>
      </c>
      <c r="K872" s="10" t="s">
        <v>248</v>
      </c>
      <c r="L872" s="10">
        <v>1</v>
      </c>
    </row>
    <row r="873" spans="1:12" x14ac:dyDescent="0.2">
      <c r="A873" s="10" t="s">
        <v>1573</v>
      </c>
      <c r="D873" s="10" t="s">
        <v>246</v>
      </c>
      <c r="E873" s="18" t="s">
        <v>1814</v>
      </c>
      <c r="F873" s="9">
        <v>45383</v>
      </c>
      <c r="G873" s="9">
        <v>46023</v>
      </c>
      <c r="H873" s="10">
        <v>22</v>
      </c>
      <c r="I873" s="10" t="s">
        <v>245</v>
      </c>
      <c r="J873" s="10" t="s">
        <v>247</v>
      </c>
      <c r="K873" s="10" t="s">
        <v>248</v>
      </c>
      <c r="L873" s="10">
        <v>1</v>
      </c>
    </row>
    <row r="874" spans="1:12" x14ac:dyDescent="0.2">
      <c r="A874" s="10" t="s">
        <v>1573</v>
      </c>
      <c r="D874" s="10" t="s">
        <v>246</v>
      </c>
      <c r="E874" s="18" t="s">
        <v>1815</v>
      </c>
      <c r="F874" s="9">
        <v>45383</v>
      </c>
      <c r="G874" s="9">
        <v>46023</v>
      </c>
      <c r="H874" s="10">
        <v>22</v>
      </c>
      <c r="I874" s="10" t="s">
        <v>245</v>
      </c>
      <c r="J874" s="10" t="s">
        <v>247</v>
      </c>
      <c r="K874" s="10" t="s">
        <v>248</v>
      </c>
      <c r="L874" s="10">
        <v>1</v>
      </c>
    </row>
    <row r="875" spans="1:12" x14ac:dyDescent="0.2">
      <c r="A875" s="10" t="s">
        <v>1574</v>
      </c>
      <c r="D875" s="10" t="s">
        <v>246</v>
      </c>
      <c r="E875" s="18" t="s">
        <v>1816</v>
      </c>
      <c r="F875" s="9">
        <v>45383</v>
      </c>
      <c r="G875" s="9">
        <v>46023</v>
      </c>
      <c r="H875" s="10">
        <v>22</v>
      </c>
      <c r="I875" s="10" t="s">
        <v>245</v>
      </c>
      <c r="J875" s="10" t="s">
        <v>247</v>
      </c>
      <c r="K875" s="10" t="s">
        <v>248</v>
      </c>
      <c r="L875" s="10">
        <v>1</v>
      </c>
    </row>
    <row r="876" spans="1:12" x14ac:dyDescent="0.2">
      <c r="A876" s="10" t="s">
        <v>1575</v>
      </c>
      <c r="D876" s="10" t="s">
        <v>246</v>
      </c>
      <c r="E876" s="18" t="s">
        <v>1817</v>
      </c>
      <c r="F876" s="9">
        <v>45383</v>
      </c>
      <c r="G876" s="9">
        <v>46023</v>
      </c>
      <c r="H876" s="10">
        <v>22</v>
      </c>
      <c r="I876" s="10" t="s">
        <v>245</v>
      </c>
      <c r="J876" s="10" t="s">
        <v>247</v>
      </c>
      <c r="K876" s="10" t="s">
        <v>248</v>
      </c>
      <c r="L876" s="10">
        <v>1</v>
      </c>
    </row>
    <row r="877" spans="1:12" x14ac:dyDescent="0.2">
      <c r="A877" s="10" t="s">
        <v>1576</v>
      </c>
      <c r="D877" s="10" t="s">
        <v>246</v>
      </c>
      <c r="E877" s="18" t="s">
        <v>1818</v>
      </c>
      <c r="F877" s="9">
        <v>45383</v>
      </c>
      <c r="G877" s="9">
        <v>46023</v>
      </c>
      <c r="H877" s="10">
        <v>22</v>
      </c>
      <c r="I877" s="10" t="s">
        <v>245</v>
      </c>
      <c r="J877" s="10" t="s">
        <v>247</v>
      </c>
      <c r="K877" s="10" t="s">
        <v>248</v>
      </c>
      <c r="L877" s="10">
        <v>1</v>
      </c>
    </row>
    <row r="878" spans="1:12" x14ac:dyDescent="0.2">
      <c r="A878" s="10" t="s">
        <v>1577</v>
      </c>
      <c r="D878" s="10" t="s">
        <v>246</v>
      </c>
      <c r="E878" s="18" t="s">
        <v>1819</v>
      </c>
      <c r="F878" s="9">
        <v>45383</v>
      </c>
      <c r="G878" s="9">
        <v>46023</v>
      </c>
      <c r="H878" s="10">
        <v>22</v>
      </c>
      <c r="I878" s="10" t="s">
        <v>245</v>
      </c>
      <c r="J878" s="10" t="s">
        <v>247</v>
      </c>
      <c r="K878" s="10" t="s">
        <v>248</v>
      </c>
      <c r="L878" s="10">
        <v>1</v>
      </c>
    </row>
    <row r="879" spans="1:12" x14ac:dyDescent="0.2">
      <c r="A879" s="10" t="s">
        <v>1578</v>
      </c>
      <c r="D879" s="10" t="s">
        <v>246</v>
      </c>
      <c r="E879" s="18" t="s">
        <v>1820</v>
      </c>
      <c r="F879" s="9">
        <v>45383</v>
      </c>
      <c r="G879" s="9">
        <v>46023</v>
      </c>
      <c r="H879" s="10">
        <v>22</v>
      </c>
      <c r="I879" s="10" t="s">
        <v>245</v>
      </c>
      <c r="J879" s="10" t="s">
        <v>247</v>
      </c>
      <c r="K879" s="10" t="s">
        <v>248</v>
      </c>
      <c r="L879" s="10">
        <v>1</v>
      </c>
    </row>
    <row r="880" spans="1:12" x14ac:dyDescent="0.2">
      <c r="A880" s="10" t="s">
        <v>1579</v>
      </c>
      <c r="D880" s="10" t="s">
        <v>246</v>
      </c>
      <c r="E880" s="18" t="s">
        <v>1821</v>
      </c>
      <c r="F880" s="9">
        <v>42979</v>
      </c>
      <c r="G880" s="9">
        <v>46023</v>
      </c>
      <c r="H880" s="10">
        <v>101</v>
      </c>
      <c r="I880" s="10" t="s">
        <v>245</v>
      </c>
      <c r="J880" s="10" t="s">
        <v>247</v>
      </c>
      <c r="K880" s="10" t="s">
        <v>248</v>
      </c>
      <c r="L880" s="10">
        <v>1</v>
      </c>
    </row>
    <row r="881" spans="1:12" x14ac:dyDescent="0.2">
      <c r="A881" s="10" t="s">
        <v>1580</v>
      </c>
      <c r="D881" s="10" t="s">
        <v>246</v>
      </c>
      <c r="E881" s="18" t="s">
        <v>1822</v>
      </c>
      <c r="F881" s="9">
        <v>42979</v>
      </c>
      <c r="G881" s="9">
        <v>46023</v>
      </c>
      <c r="H881" s="10">
        <v>101</v>
      </c>
      <c r="I881" s="10" t="s">
        <v>245</v>
      </c>
      <c r="J881" s="10" t="s">
        <v>247</v>
      </c>
      <c r="K881" s="10" t="s">
        <v>248</v>
      </c>
      <c r="L881" s="10">
        <v>1</v>
      </c>
    </row>
    <row r="882" spans="1:12" x14ac:dyDescent="0.2">
      <c r="A882" s="10" t="s">
        <v>1581</v>
      </c>
      <c r="D882" s="10" t="s">
        <v>246</v>
      </c>
      <c r="E882" s="18" t="s">
        <v>1823</v>
      </c>
      <c r="F882" s="9">
        <v>42979</v>
      </c>
      <c r="G882" s="9">
        <v>46023</v>
      </c>
      <c r="H882" s="10">
        <v>101</v>
      </c>
      <c r="I882" s="10" t="s">
        <v>245</v>
      </c>
      <c r="J882" s="10" t="s">
        <v>247</v>
      </c>
      <c r="K882" s="10" t="s">
        <v>248</v>
      </c>
      <c r="L882" s="10">
        <v>1</v>
      </c>
    </row>
    <row r="883" spans="1:12" x14ac:dyDescent="0.2">
      <c r="A883" s="10" t="s">
        <v>1582</v>
      </c>
      <c r="D883" s="10" t="s">
        <v>246</v>
      </c>
      <c r="E883" s="18" t="s">
        <v>1824</v>
      </c>
      <c r="F883" s="9">
        <v>42979</v>
      </c>
      <c r="G883" s="9">
        <v>46023</v>
      </c>
      <c r="H883" s="10">
        <v>101</v>
      </c>
      <c r="I883" s="10" t="s">
        <v>245</v>
      </c>
      <c r="J883" s="10" t="s">
        <v>247</v>
      </c>
      <c r="K883" s="10" t="s">
        <v>248</v>
      </c>
      <c r="L883" s="10">
        <v>1</v>
      </c>
    </row>
    <row r="884" spans="1:12" x14ac:dyDescent="0.2">
      <c r="A884" s="10" t="s">
        <v>1583</v>
      </c>
      <c r="D884" s="10" t="s">
        <v>246</v>
      </c>
      <c r="E884" s="18" t="s">
        <v>1825</v>
      </c>
      <c r="F884" s="9">
        <v>45383</v>
      </c>
      <c r="G884" s="9">
        <v>46023</v>
      </c>
      <c r="H884" s="10">
        <v>22</v>
      </c>
      <c r="I884" s="10" t="s">
        <v>245</v>
      </c>
      <c r="J884" s="10" t="s">
        <v>247</v>
      </c>
      <c r="K884" s="10" t="s">
        <v>248</v>
      </c>
      <c r="L884" s="10">
        <v>1</v>
      </c>
    </row>
    <row r="885" spans="1:12" x14ac:dyDescent="0.2">
      <c r="A885" s="10" t="s">
        <v>1584</v>
      </c>
      <c r="D885" s="10" t="s">
        <v>246</v>
      </c>
      <c r="E885" s="18" t="s">
        <v>1826</v>
      </c>
      <c r="F885" s="9">
        <v>45383</v>
      </c>
      <c r="G885" s="9">
        <v>46023</v>
      </c>
      <c r="H885" s="10">
        <v>22</v>
      </c>
      <c r="I885" s="10" t="s">
        <v>245</v>
      </c>
      <c r="J885" s="10" t="s">
        <v>247</v>
      </c>
      <c r="K885" s="10" t="s">
        <v>248</v>
      </c>
      <c r="L885" s="10">
        <v>1</v>
      </c>
    </row>
    <row r="886" spans="1:12" x14ac:dyDescent="0.2">
      <c r="A886" s="10" t="s">
        <v>1585</v>
      </c>
      <c r="D886" s="10" t="s">
        <v>246</v>
      </c>
      <c r="E886" s="18" t="s">
        <v>1827</v>
      </c>
      <c r="F886" s="9">
        <v>45383</v>
      </c>
      <c r="G886" s="9">
        <v>46023</v>
      </c>
      <c r="H886" s="10">
        <v>22</v>
      </c>
      <c r="I886" s="10" t="s">
        <v>245</v>
      </c>
      <c r="J886" s="10" t="s">
        <v>247</v>
      </c>
      <c r="K886" s="10" t="s">
        <v>248</v>
      </c>
      <c r="L886" s="10">
        <v>1</v>
      </c>
    </row>
    <row r="887" spans="1:12" x14ac:dyDescent="0.2">
      <c r="A887" s="10" t="s">
        <v>1586</v>
      </c>
      <c r="D887" s="10" t="s">
        <v>246</v>
      </c>
      <c r="E887" s="18" t="s">
        <v>1828</v>
      </c>
      <c r="F887" s="9">
        <v>45383</v>
      </c>
      <c r="G887" s="9">
        <v>46023</v>
      </c>
      <c r="H887" s="10">
        <v>22</v>
      </c>
      <c r="I887" s="10" t="s">
        <v>245</v>
      </c>
      <c r="J887" s="10" t="s">
        <v>247</v>
      </c>
      <c r="K887" s="10" t="s">
        <v>248</v>
      </c>
      <c r="L887" s="10">
        <v>1</v>
      </c>
    </row>
    <row r="888" spans="1:12" x14ac:dyDescent="0.2">
      <c r="A888" s="10" t="s">
        <v>1587</v>
      </c>
      <c r="D888" s="10" t="s">
        <v>246</v>
      </c>
      <c r="E888" s="18" t="s">
        <v>1829</v>
      </c>
      <c r="F888" s="9">
        <v>45383</v>
      </c>
      <c r="G888" s="9">
        <v>46023</v>
      </c>
      <c r="H888" s="10">
        <v>22</v>
      </c>
      <c r="I888" s="10" t="s">
        <v>245</v>
      </c>
      <c r="J888" s="10" t="s">
        <v>247</v>
      </c>
      <c r="K888" s="10" t="s">
        <v>248</v>
      </c>
      <c r="L888" s="10">
        <v>1</v>
      </c>
    </row>
    <row r="889" spans="1:12" x14ac:dyDescent="0.2">
      <c r="A889" s="10" t="s">
        <v>1588</v>
      </c>
      <c r="D889" s="10" t="s">
        <v>246</v>
      </c>
      <c r="E889" s="18" t="s">
        <v>1830</v>
      </c>
      <c r="F889" s="9">
        <v>45383</v>
      </c>
      <c r="G889" s="9">
        <v>46023</v>
      </c>
      <c r="H889" s="10">
        <v>22</v>
      </c>
      <c r="I889" s="10" t="s">
        <v>245</v>
      </c>
      <c r="J889" s="10" t="s">
        <v>247</v>
      </c>
      <c r="K889" s="10" t="s">
        <v>248</v>
      </c>
      <c r="L889" s="10">
        <v>1</v>
      </c>
    </row>
    <row r="890" spans="1:12" x14ac:dyDescent="0.2">
      <c r="A890" s="10" t="s">
        <v>1589</v>
      </c>
      <c r="D890" s="10" t="s">
        <v>246</v>
      </c>
      <c r="E890" s="18" t="s">
        <v>1831</v>
      </c>
      <c r="F890" s="9">
        <v>45383</v>
      </c>
      <c r="G890" s="9">
        <v>46023</v>
      </c>
      <c r="H890" s="10">
        <v>22</v>
      </c>
      <c r="I890" s="10" t="s">
        <v>245</v>
      </c>
      <c r="J890" s="10" t="s">
        <v>247</v>
      </c>
      <c r="K890" s="10" t="s">
        <v>248</v>
      </c>
      <c r="L890" s="10">
        <v>1</v>
      </c>
    </row>
    <row r="891" spans="1:12" x14ac:dyDescent="0.2">
      <c r="A891" s="10" t="s">
        <v>1590</v>
      </c>
      <c r="D891" s="10" t="s">
        <v>246</v>
      </c>
      <c r="E891" s="18" t="s">
        <v>1832</v>
      </c>
      <c r="F891" s="9">
        <v>45383</v>
      </c>
      <c r="G891" s="9">
        <v>46023</v>
      </c>
      <c r="H891" s="10">
        <v>22</v>
      </c>
      <c r="I891" s="10" t="s">
        <v>245</v>
      </c>
      <c r="J891" s="10" t="s">
        <v>247</v>
      </c>
      <c r="K891" s="10" t="s">
        <v>248</v>
      </c>
      <c r="L891" s="10">
        <v>1</v>
      </c>
    </row>
    <row r="892" spans="1:12" x14ac:dyDescent="0.2">
      <c r="A892" s="10" t="s">
        <v>1591</v>
      </c>
      <c r="D892" s="10" t="s">
        <v>246</v>
      </c>
      <c r="E892" s="18" t="s">
        <v>1833</v>
      </c>
      <c r="F892" s="9">
        <v>45383</v>
      </c>
      <c r="G892" s="9">
        <v>46023</v>
      </c>
      <c r="H892" s="10">
        <v>22</v>
      </c>
      <c r="I892" s="10" t="s">
        <v>245</v>
      </c>
      <c r="J892" s="10" t="s">
        <v>247</v>
      </c>
      <c r="K892" s="10" t="s">
        <v>248</v>
      </c>
      <c r="L892" s="10">
        <v>1</v>
      </c>
    </row>
    <row r="893" spans="1:12" x14ac:dyDescent="0.2">
      <c r="A893" s="10" t="s">
        <v>1592</v>
      </c>
      <c r="D893" s="10" t="s">
        <v>246</v>
      </c>
      <c r="E893" s="18" t="s">
        <v>1834</v>
      </c>
      <c r="F893" s="9">
        <v>45383</v>
      </c>
      <c r="G893" s="9">
        <v>46023</v>
      </c>
      <c r="H893" s="10">
        <v>22</v>
      </c>
      <c r="I893" s="10" t="s">
        <v>245</v>
      </c>
      <c r="J893" s="10" t="s">
        <v>247</v>
      </c>
      <c r="K893" s="10" t="s">
        <v>248</v>
      </c>
      <c r="L893" s="10">
        <v>1</v>
      </c>
    </row>
    <row r="894" spans="1:12" x14ac:dyDescent="0.2">
      <c r="A894" s="10" t="s">
        <v>1593</v>
      </c>
      <c r="D894" s="10" t="s">
        <v>246</v>
      </c>
      <c r="E894" s="18" t="s">
        <v>1835</v>
      </c>
      <c r="F894" s="9">
        <v>45383</v>
      </c>
      <c r="G894" s="9">
        <v>46023</v>
      </c>
      <c r="H894" s="10">
        <v>22</v>
      </c>
      <c r="I894" s="10" t="s">
        <v>245</v>
      </c>
      <c r="J894" s="10" t="s">
        <v>247</v>
      </c>
      <c r="K894" s="10" t="s">
        <v>248</v>
      </c>
      <c r="L894" s="10">
        <v>1</v>
      </c>
    </row>
    <row r="895" spans="1:12" x14ac:dyDescent="0.2">
      <c r="A895" s="10" t="s">
        <v>1594</v>
      </c>
      <c r="D895" s="10" t="s">
        <v>246</v>
      </c>
      <c r="E895" s="18" t="s">
        <v>1836</v>
      </c>
      <c r="F895" s="9">
        <v>45383</v>
      </c>
      <c r="G895" s="9">
        <v>46023</v>
      </c>
      <c r="H895" s="10">
        <v>22</v>
      </c>
      <c r="I895" s="10" t="s">
        <v>245</v>
      </c>
      <c r="J895" s="10" t="s">
        <v>247</v>
      </c>
      <c r="K895" s="10" t="s">
        <v>248</v>
      </c>
      <c r="L895" s="10">
        <v>1</v>
      </c>
    </row>
    <row r="896" spans="1:12" x14ac:dyDescent="0.2">
      <c r="A896" s="10" t="s">
        <v>1595</v>
      </c>
      <c r="D896" s="10" t="s">
        <v>246</v>
      </c>
      <c r="E896" s="18" t="s">
        <v>1837</v>
      </c>
      <c r="F896" s="9">
        <v>45383</v>
      </c>
      <c r="G896" s="9">
        <v>46023</v>
      </c>
      <c r="H896" s="10">
        <v>22</v>
      </c>
      <c r="I896" s="10" t="s">
        <v>245</v>
      </c>
      <c r="J896" s="10" t="s">
        <v>247</v>
      </c>
      <c r="K896" s="10" t="s">
        <v>248</v>
      </c>
      <c r="L896" s="10">
        <v>1</v>
      </c>
    </row>
    <row r="897" spans="1:12" x14ac:dyDescent="0.2">
      <c r="A897" s="10" t="s">
        <v>1596</v>
      </c>
      <c r="D897" s="10" t="s">
        <v>246</v>
      </c>
      <c r="E897" s="18" t="s">
        <v>1838</v>
      </c>
      <c r="F897" s="9">
        <v>45383</v>
      </c>
      <c r="G897" s="9">
        <v>46023</v>
      </c>
      <c r="H897" s="10">
        <v>22</v>
      </c>
      <c r="I897" s="10" t="s">
        <v>245</v>
      </c>
      <c r="J897" s="10" t="s">
        <v>247</v>
      </c>
      <c r="K897" s="10" t="s">
        <v>248</v>
      </c>
      <c r="L897" s="10">
        <v>1</v>
      </c>
    </row>
    <row r="898" spans="1:12" x14ac:dyDescent="0.2">
      <c r="A898" s="10" t="s">
        <v>1597</v>
      </c>
      <c r="D898" s="10" t="s">
        <v>246</v>
      </c>
      <c r="E898" s="18" t="s">
        <v>1839</v>
      </c>
      <c r="F898" s="9">
        <v>45383</v>
      </c>
      <c r="G898" s="9">
        <v>46023</v>
      </c>
      <c r="H898" s="10">
        <v>22</v>
      </c>
      <c r="I898" s="10" t="s">
        <v>245</v>
      </c>
      <c r="J898" s="10" t="s">
        <v>247</v>
      </c>
      <c r="K898" s="10" t="s">
        <v>248</v>
      </c>
      <c r="L898" s="10">
        <v>1</v>
      </c>
    </row>
    <row r="899" spans="1:12" x14ac:dyDescent="0.2">
      <c r="A899" s="10" t="s">
        <v>1598</v>
      </c>
      <c r="D899" s="10" t="s">
        <v>246</v>
      </c>
      <c r="E899" s="18" t="s">
        <v>1840</v>
      </c>
      <c r="F899" s="9">
        <v>42979</v>
      </c>
      <c r="G899" s="9">
        <v>46023</v>
      </c>
      <c r="H899" s="10">
        <v>101</v>
      </c>
      <c r="I899" s="10" t="s">
        <v>245</v>
      </c>
      <c r="J899" s="10" t="s">
        <v>247</v>
      </c>
      <c r="K899" s="10" t="s">
        <v>248</v>
      </c>
      <c r="L899" s="10">
        <v>1</v>
      </c>
    </row>
    <row r="900" spans="1:12" x14ac:dyDescent="0.2">
      <c r="A900" s="10" t="s">
        <v>1599</v>
      </c>
      <c r="D900" s="10" t="s">
        <v>246</v>
      </c>
      <c r="E900" s="18" t="s">
        <v>1841</v>
      </c>
      <c r="F900" s="9">
        <v>45383</v>
      </c>
      <c r="G900" s="9">
        <v>46023</v>
      </c>
      <c r="H900" s="10">
        <v>22</v>
      </c>
      <c r="I900" s="10" t="s">
        <v>245</v>
      </c>
      <c r="J900" s="10" t="s">
        <v>247</v>
      </c>
      <c r="K900" s="10" t="s">
        <v>248</v>
      </c>
      <c r="L900" s="10">
        <v>1</v>
      </c>
    </row>
    <row r="901" spans="1:12" x14ac:dyDescent="0.2">
      <c r="A901" s="10" t="s">
        <v>1600</v>
      </c>
      <c r="D901" s="10" t="s">
        <v>246</v>
      </c>
      <c r="E901" s="18" t="s">
        <v>1842</v>
      </c>
      <c r="F901" s="9">
        <v>45383</v>
      </c>
      <c r="G901" s="9">
        <v>46023</v>
      </c>
      <c r="H901" s="10">
        <v>22</v>
      </c>
      <c r="I901" s="10" t="s">
        <v>245</v>
      </c>
      <c r="J901" s="10" t="s">
        <v>247</v>
      </c>
      <c r="K901" s="10" t="s">
        <v>248</v>
      </c>
      <c r="L901" s="10">
        <v>1</v>
      </c>
    </row>
    <row r="902" spans="1:12" x14ac:dyDescent="0.2">
      <c r="A902" s="10" t="s">
        <v>1601</v>
      </c>
      <c r="D902" s="10" t="s">
        <v>246</v>
      </c>
      <c r="E902" s="18" t="s">
        <v>1843</v>
      </c>
      <c r="F902" s="9">
        <v>45383</v>
      </c>
      <c r="G902" s="9">
        <v>46023</v>
      </c>
      <c r="H902" s="10">
        <v>22</v>
      </c>
      <c r="I902" s="10" t="s">
        <v>245</v>
      </c>
      <c r="J902" s="10" t="s">
        <v>247</v>
      </c>
      <c r="K902" s="10" t="s">
        <v>248</v>
      </c>
      <c r="L902" s="10">
        <v>1</v>
      </c>
    </row>
    <row r="903" spans="1:12" x14ac:dyDescent="0.2">
      <c r="A903" s="10" t="s">
        <v>1601</v>
      </c>
      <c r="D903" s="10" t="s">
        <v>246</v>
      </c>
      <c r="E903" s="18" t="s">
        <v>1844</v>
      </c>
      <c r="F903" s="9">
        <v>45383</v>
      </c>
      <c r="G903" s="9">
        <v>46023</v>
      </c>
      <c r="H903" s="10">
        <v>22</v>
      </c>
      <c r="I903" s="10" t="s">
        <v>245</v>
      </c>
      <c r="J903" s="10" t="s">
        <v>247</v>
      </c>
      <c r="K903" s="10" t="s">
        <v>248</v>
      </c>
      <c r="L903" s="10">
        <v>1</v>
      </c>
    </row>
    <row r="904" spans="1:12" x14ac:dyDescent="0.2">
      <c r="A904" s="10" t="s">
        <v>1602</v>
      </c>
      <c r="D904" s="10" t="s">
        <v>246</v>
      </c>
      <c r="E904" s="18" t="s">
        <v>1845</v>
      </c>
      <c r="F904" s="9">
        <v>45383</v>
      </c>
      <c r="G904" s="9">
        <v>46023</v>
      </c>
      <c r="H904" s="10">
        <v>22</v>
      </c>
      <c r="I904" s="10" t="s">
        <v>245</v>
      </c>
      <c r="J904" s="10" t="s">
        <v>247</v>
      </c>
      <c r="K904" s="10" t="s">
        <v>248</v>
      </c>
      <c r="L904" s="10">
        <v>1</v>
      </c>
    </row>
    <row r="905" spans="1:12" x14ac:dyDescent="0.2">
      <c r="A905" s="10" t="s">
        <v>1602</v>
      </c>
      <c r="D905" s="10" t="s">
        <v>246</v>
      </c>
      <c r="E905" s="18" t="s">
        <v>1846</v>
      </c>
      <c r="F905" s="9">
        <v>45383</v>
      </c>
      <c r="G905" s="9">
        <v>46023</v>
      </c>
      <c r="H905" s="10">
        <v>22</v>
      </c>
      <c r="I905" s="10" t="s">
        <v>245</v>
      </c>
      <c r="J905" s="10" t="s">
        <v>247</v>
      </c>
      <c r="K905" s="10" t="s">
        <v>248</v>
      </c>
      <c r="L905" s="10">
        <v>1</v>
      </c>
    </row>
    <row r="906" spans="1:12" x14ac:dyDescent="0.2">
      <c r="A906" s="10" t="s">
        <v>1603</v>
      </c>
      <c r="D906" s="10" t="s">
        <v>246</v>
      </c>
      <c r="E906" s="18" t="s">
        <v>1847</v>
      </c>
      <c r="F906" s="9">
        <v>44743</v>
      </c>
      <c r="G906" s="9">
        <v>46023</v>
      </c>
      <c r="H906" s="10">
        <v>43</v>
      </c>
      <c r="I906" s="10" t="s">
        <v>245</v>
      </c>
      <c r="J906" s="10" t="s">
        <v>247</v>
      </c>
      <c r="K906" s="10" t="s">
        <v>248</v>
      </c>
      <c r="L906" s="10">
        <v>1</v>
      </c>
    </row>
    <row r="907" spans="1:12" x14ac:dyDescent="0.2">
      <c r="A907" s="10" t="s">
        <v>1604</v>
      </c>
      <c r="D907" s="10" t="s">
        <v>246</v>
      </c>
      <c r="E907" s="18" t="s">
        <v>1848</v>
      </c>
      <c r="F907" s="9">
        <v>45383</v>
      </c>
      <c r="G907" s="9">
        <v>46023</v>
      </c>
      <c r="H907" s="10">
        <v>22</v>
      </c>
      <c r="I907" s="10" t="s">
        <v>245</v>
      </c>
      <c r="J907" s="10" t="s">
        <v>247</v>
      </c>
      <c r="K907" s="10" t="s">
        <v>248</v>
      </c>
      <c r="L907" s="10">
        <v>1</v>
      </c>
    </row>
    <row r="908" spans="1:12" x14ac:dyDescent="0.2">
      <c r="A908" s="10" t="s">
        <v>1605</v>
      </c>
      <c r="D908" s="10" t="s">
        <v>246</v>
      </c>
      <c r="E908" s="18" t="s">
        <v>1849</v>
      </c>
      <c r="F908" s="9">
        <v>45383</v>
      </c>
      <c r="G908" s="9">
        <v>46023</v>
      </c>
      <c r="H908" s="10">
        <v>22</v>
      </c>
      <c r="I908" s="10" t="s">
        <v>245</v>
      </c>
      <c r="J908" s="10" t="s">
        <v>247</v>
      </c>
      <c r="K908" s="10" t="s">
        <v>248</v>
      </c>
      <c r="L908" s="10">
        <v>1</v>
      </c>
    </row>
    <row r="909" spans="1:12" x14ac:dyDescent="0.2">
      <c r="A909" s="10" t="s">
        <v>1606</v>
      </c>
      <c r="D909" s="10" t="s">
        <v>246</v>
      </c>
      <c r="E909" s="18" t="s">
        <v>1850</v>
      </c>
      <c r="F909" s="9">
        <v>45383</v>
      </c>
      <c r="G909" s="9">
        <v>46023</v>
      </c>
      <c r="H909" s="10">
        <v>22</v>
      </c>
      <c r="I909" s="10" t="s">
        <v>245</v>
      </c>
      <c r="J909" s="10" t="s">
        <v>247</v>
      </c>
      <c r="K909" s="10" t="s">
        <v>248</v>
      </c>
      <c r="L909" s="10">
        <v>1</v>
      </c>
    </row>
    <row r="910" spans="1:12" x14ac:dyDescent="0.2">
      <c r="A910" s="10" t="s">
        <v>1607</v>
      </c>
      <c r="D910" s="10" t="s">
        <v>246</v>
      </c>
      <c r="E910" s="18" t="s">
        <v>1851</v>
      </c>
      <c r="F910" s="9">
        <v>45383</v>
      </c>
      <c r="G910" s="9">
        <v>46023</v>
      </c>
      <c r="H910" s="10">
        <v>22</v>
      </c>
      <c r="I910" s="10" t="s">
        <v>245</v>
      </c>
      <c r="J910" s="10" t="s">
        <v>247</v>
      </c>
      <c r="K910" s="10" t="s">
        <v>248</v>
      </c>
      <c r="L910" s="10">
        <v>1</v>
      </c>
    </row>
    <row r="911" spans="1:12" x14ac:dyDescent="0.2">
      <c r="A911" s="10" t="s">
        <v>1608</v>
      </c>
      <c r="D911" s="10" t="s">
        <v>246</v>
      </c>
      <c r="E911" s="18" t="s">
        <v>1852</v>
      </c>
      <c r="F911" s="9">
        <v>45383</v>
      </c>
      <c r="G911" s="9">
        <v>46023</v>
      </c>
      <c r="H911" s="10">
        <v>22</v>
      </c>
      <c r="I911" s="10" t="s">
        <v>245</v>
      </c>
      <c r="J911" s="10" t="s">
        <v>247</v>
      </c>
      <c r="K911" s="10" t="s">
        <v>248</v>
      </c>
      <c r="L911" s="10">
        <v>1</v>
      </c>
    </row>
    <row r="912" spans="1:12" x14ac:dyDescent="0.2">
      <c r="A912" s="10" t="s">
        <v>1609</v>
      </c>
      <c r="D912" s="10" t="s">
        <v>246</v>
      </c>
      <c r="E912" s="18" t="s">
        <v>1853</v>
      </c>
      <c r="F912" s="9">
        <v>45383</v>
      </c>
      <c r="G912" s="9">
        <v>46023</v>
      </c>
      <c r="H912" s="10">
        <v>22</v>
      </c>
      <c r="I912" s="10" t="s">
        <v>245</v>
      </c>
      <c r="J912" s="10" t="s">
        <v>247</v>
      </c>
      <c r="K912" s="10" t="s">
        <v>248</v>
      </c>
      <c r="L912" s="10">
        <v>1</v>
      </c>
    </row>
    <row r="913" spans="1:12" x14ac:dyDescent="0.2">
      <c r="A913" s="10" t="s">
        <v>1610</v>
      </c>
      <c r="D913" s="10" t="s">
        <v>246</v>
      </c>
      <c r="E913" s="18" t="s">
        <v>1854</v>
      </c>
      <c r="F913" s="9">
        <v>45383</v>
      </c>
      <c r="G913" s="9">
        <v>46023</v>
      </c>
      <c r="H913" s="10">
        <v>22</v>
      </c>
      <c r="I913" s="10" t="s">
        <v>245</v>
      </c>
      <c r="J913" s="10" t="s">
        <v>247</v>
      </c>
      <c r="K913" s="10" t="s">
        <v>248</v>
      </c>
      <c r="L913" s="10">
        <v>1</v>
      </c>
    </row>
    <row r="914" spans="1:12" x14ac:dyDescent="0.2">
      <c r="A914" s="10" t="s">
        <v>1611</v>
      </c>
      <c r="D914" s="10" t="s">
        <v>246</v>
      </c>
      <c r="E914" s="18" t="s">
        <v>1855</v>
      </c>
      <c r="F914" s="9">
        <v>45383</v>
      </c>
      <c r="G914" s="9">
        <v>46023</v>
      </c>
      <c r="H914" s="10">
        <v>22</v>
      </c>
      <c r="I914" s="10" t="s">
        <v>245</v>
      </c>
      <c r="J914" s="10" t="s">
        <v>247</v>
      </c>
      <c r="K914" s="10" t="s">
        <v>248</v>
      </c>
      <c r="L914" s="10">
        <v>1</v>
      </c>
    </row>
    <row r="915" spans="1:12" x14ac:dyDescent="0.2">
      <c r="A915" s="10" t="s">
        <v>1612</v>
      </c>
      <c r="D915" s="10" t="s">
        <v>246</v>
      </c>
      <c r="E915" s="18" t="s">
        <v>1856</v>
      </c>
      <c r="F915" s="9">
        <v>42979</v>
      </c>
      <c r="G915" s="9">
        <v>46023</v>
      </c>
      <c r="H915" s="10">
        <v>101</v>
      </c>
      <c r="I915" s="10" t="s">
        <v>245</v>
      </c>
      <c r="J915" s="10" t="s">
        <v>247</v>
      </c>
      <c r="K915" s="10" t="s">
        <v>248</v>
      </c>
      <c r="L915" s="10">
        <v>1</v>
      </c>
    </row>
    <row r="916" spans="1:12" x14ac:dyDescent="0.2">
      <c r="A916" s="10" t="s">
        <v>1613</v>
      </c>
      <c r="D916" s="10" t="s">
        <v>246</v>
      </c>
      <c r="E916" s="18" t="s">
        <v>1857</v>
      </c>
      <c r="F916" s="9">
        <v>42979</v>
      </c>
      <c r="G916" s="9">
        <v>46023</v>
      </c>
      <c r="H916" s="10">
        <v>101</v>
      </c>
      <c r="I916" s="10" t="s">
        <v>245</v>
      </c>
      <c r="J916" s="10" t="s">
        <v>247</v>
      </c>
      <c r="K916" s="10" t="s">
        <v>248</v>
      </c>
      <c r="L916" s="10">
        <v>1</v>
      </c>
    </row>
    <row r="917" spans="1:12" x14ac:dyDescent="0.2">
      <c r="A917" s="10" t="s">
        <v>1614</v>
      </c>
      <c r="D917" s="10" t="s">
        <v>246</v>
      </c>
      <c r="E917" s="18" t="s">
        <v>1858</v>
      </c>
      <c r="F917" s="9">
        <v>42979</v>
      </c>
      <c r="G917" s="9">
        <v>46023</v>
      </c>
      <c r="H917" s="10">
        <v>101</v>
      </c>
      <c r="I917" s="10" t="s">
        <v>245</v>
      </c>
      <c r="J917" s="10" t="s">
        <v>247</v>
      </c>
      <c r="K917" s="10" t="s">
        <v>248</v>
      </c>
      <c r="L917" s="10">
        <v>1</v>
      </c>
    </row>
    <row r="918" spans="1:12" x14ac:dyDescent="0.2">
      <c r="A918" s="10" t="s">
        <v>1615</v>
      </c>
      <c r="D918" s="10" t="s">
        <v>246</v>
      </c>
      <c r="E918" s="18" t="s">
        <v>1859</v>
      </c>
      <c r="F918" s="9">
        <v>45383</v>
      </c>
      <c r="G918" s="9">
        <v>46023</v>
      </c>
      <c r="H918" s="10">
        <v>22</v>
      </c>
      <c r="I918" s="10" t="s">
        <v>245</v>
      </c>
      <c r="J918" s="10" t="s">
        <v>247</v>
      </c>
      <c r="K918" s="10" t="s">
        <v>248</v>
      </c>
      <c r="L918" s="10">
        <v>1</v>
      </c>
    </row>
    <row r="919" spans="1:12" x14ac:dyDescent="0.2">
      <c r="A919" s="10" t="s">
        <v>1616</v>
      </c>
      <c r="D919" s="10" t="s">
        <v>246</v>
      </c>
      <c r="E919" s="18" t="s">
        <v>1860</v>
      </c>
      <c r="F919" s="9">
        <v>45383</v>
      </c>
      <c r="G919" s="9">
        <v>46023</v>
      </c>
      <c r="H919" s="10">
        <v>22</v>
      </c>
      <c r="I919" s="10" t="s">
        <v>245</v>
      </c>
      <c r="J919" s="10" t="s">
        <v>247</v>
      </c>
      <c r="K919" s="10" t="s">
        <v>248</v>
      </c>
      <c r="L919" s="10">
        <v>1</v>
      </c>
    </row>
    <row r="920" spans="1:12" x14ac:dyDescent="0.2">
      <c r="A920" s="10" t="s">
        <v>1617</v>
      </c>
      <c r="D920" s="10" t="s">
        <v>246</v>
      </c>
      <c r="E920" s="18" t="s">
        <v>1861</v>
      </c>
      <c r="F920" s="9">
        <v>45383</v>
      </c>
      <c r="G920" s="9">
        <v>46023</v>
      </c>
      <c r="H920" s="10">
        <v>22</v>
      </c>
      <c r="I920" s="10" t="s">
        <v>245</v>
      </c>
      <c r="J920" s="10" t="s">
        <v>247</v>
      </c>
      <c r="K920" s="10" t="s">
        <v>248</v>
      </c>
      <c r="L920" s="10">
        <v>1</v>
      </c>
    </row>
    <row r="921" spans="1:12" x14ac:dyDescent="0.2">
      <c r="A921" s="10" t="s">
        <v>1618</v>
      </c>
      <c r="D921" s="10" t="s">
        <v>246</v>
      </c>
      <c r="E921" s="18" t="s">
        <v>1862</v>
      </c>
      <c r="F921" s="9">
        <v>42979</v>
      </c>
      <c r="G921" s="9">
        <v>46023</v>
      </c>
      <c r="H921" s="10">
        <v>101</v>
      </c>
      <c r="I921" s="10" t="s">
        <v>245</v>
      </c>
      <c r="J921" s="10" t="s">
        <v>247</v>
      </c>
      <c r="K921" s="10" t="s">
        <v>248</v>
      </c>
      <c r="L921" s="10">
        <v>1</v>
      </c>
    </row>
    <row r="922" spans="1:12" x14ac:dyDescent="0.2">
      <c r="A922" s="10" t="s">
        <v>1619</v>
      </c>
      <c r="D922" s="10" t="s">
        <v>246</v>
      </c>
      <c r="E922" s="18" t="s">
        <v>1863</v>
      </c>
      <c r="F922" s="9">
        <v>45383</v>
      </c>
      <c r="G922" s="9">
        <v>46023</v>
      </c>
      <c r="H922" s="10">
        <v>22</v>
      </c>
      <c r="I922" s="10" t="s">
        <v>245</v>
      </c>
      <c r="J922" s="10" t="s">
        <v>247</v>
      </c>
      <c r="K922" s="10" t="s">
        <v>248</v>
      </c>
      <c r="L922" s="10">
        <v>1</v>
      </c>
    </row>
    <row r="923" spans="1:12" x14ac:dyDescent="0.2">
      <c r="A923" s="10" t="s">
        <v>1620</v>
      </c>
      <c r="D923" s="10" t="s">
        <v>246</v>
      </c>
      <c r="E923" s="18" t="s">
        <v>1864</v>
      </c>
      <c r="F923" s="9">
        <v>45383</v>
      </c>
      <c r="G923" s="9">
        <v>46023</v>
      </c>
      <c r="H923" s="10">
        <v>22</v>
      </c>
      <c r="I923" s="10" t="s">
        <v>245</v>
      </c>
      <c r="J923" s="10" t="s">
        <v>247</v>
      </c>
      <c r="K923" s="10" t="s">
        <v>248</v>
      </c>
      <c r="L923" s="10">
        <v>1</v>
      </c>
    </row>
    <row r="924" spans="1:12" x14ac:dyDescent="0.2">
      <c r="A924" s="10" t="s">
        <v>1621</v>
      </c>
      <c r="D924" s="10" t="s">
        <v>246</v>
      </c>
      <c r="E924" s="18" t="s">
        <v>1865</v>
      </c>
      <c r="F924" s="9">
        <v>45383</v>
      </c>
      <c r="G924" s="9">
        <v>46023</v>
      </c>
      <c r="H924" s="10">
        <v>22</v>
      </c>
      <c r="I924" s="10" t="s">
        <v>245</v>
      </c>
      <c r="J924" s="10" t="s">
        <v>247</v>
      </c>
      <c r="K924" s="10" t="s">
        <v>248</v>
      </c>
      <c r="L924" s="10">
        <v>1</v>
      </c>
    </row>
    <row r="925" spans="1:12" x14ac:dyDescent="0.2">
      <c r="A925" s="10" t="s">
        <v>1622</v>
      </c>
      <c r="D925" s="10" t="s">
        <v>246</v>
      </c>
      <c r="E925" s="18" t="s">
        <v>1866</v>
      </c>
      <c r="F925" s="9">
        <v>45383</v>
      </c>
      <c r="G925" s="9">
        <v>46023</v>
      </c>
      <c r="H925" s="10">
        <v>22</v>
      </c>
      <c r="I925" s="10" t="s">
        <v>245</v>
      </c>
      <c r="J925" s="10" t="s">
        <v>247</v>
      </c>
      <c r="K925" s="10" t="s">
        <v>248</v>
      </c>
      <c r="L925" s="10">
        <v>1</v>
      </c>
    </row>
    <row r="926" spans="1:12" x14ac:dyDescent="0.2">
      <c r="A926" s="10" t="s">
        <v>1622</v>
      </c>
      <c r="D926" s="10" t="s">
        <v>246</v>
      </c>
      <c r="E926" s="18" t="s">
        <v>1867</v>
      </c>
      <c r="F926" s="9">
        <v>45383</v>
      </c>
      <c r="G926" s="9">
        <v>46023</v>
      </c>
      <c r="H926" s="10">
        <v>22</v>
      </c>
      <c r="I926" s="10" t="s">
        <v>245</v>
      </c>
      <c r="J926" s="10" t="s">
        <v>247</v>
      </c>
      <c r="K926" s="10" t="s">
        <v>248</v>
      </c>
      <c r="L926" s="10">
        <v>1</v>
      </c>
    </row>
    <row r="927" spans="1:12" x14ac:dyDescent="0.2">
      <c r="A927" s="10" t="s">
        <v>1623</v>
      </c>
      <c r="D927" s="10" t="s">
        <v>246</v>
      </c>
      <c r="E927" s="18" t="s">
        <v>1868</v>
      </c>
      <c r="F927" s="9">
        <v>45383</v>
      </c>
      <c r="G927" s="9">
        <v>46023</v>
      </c>
      <c r="H927" s="10">
        <v>22</v>
      </c>
      <c r="I927" s="10" t="s">
        <v>245</v>
      </c>
      <c r="J927" s="10" t="s">
        <v>247</v>
      </c>
      <c r="K927" s="10" t="s">
        <v>248</v>
      </c>
      <c r="L927" s="10">
        <v>1</v>
      </c>
    </row>
    <row r="928" spans="1:12" x14ac:dyDescent="0.2">
      <c r="A928" s="10" t="s">
        <v>1624</v>
      </c>
      <c r="D928" s="10" t="s">
        <v>246</v>
      </c>
      <c r="E928" s="18" t="s">
        <v>1869</v>
      </c>
      <c r="F928" s="9">
        <v>42979</v>
      </c>
      <c r="G928" s="9">
        <v>46023</v>
      </c>
      <c r="H928" s="10">
        <v>101</v>
      </c>
      <c r="I928" s="10" t="s">
        <v>245</v>
      </c>
      <c r="J928" s="10" t="s">
        <v>247</v>
      </c>
      <c r="K928" s="10" t="s">
        <v>248</v>
      </c>
      <c r="L928" s="10">
        <v>1</v>
      </c>
    </row>
    <row r="929" spans="1:12" x14ac:dyDescent="0.2">
      <c r="A929" s="10" t="s">
        <v>1625</v>
      </c>
      <c r="D929" s="10" t="s">
        <v>246</v>
      </c>
      <c r="E929" s="18" t="s">
        <v>1870</v>
      </c>
      <c r="F929" s="9">
        <v>42979</v>
      </c>
      <c r="G929" s="9">
        <v>46023</v>
      </c>
      <c r="H929" s="10">
        <v>101</v>
      </c>
      <c r="I929" s="10" t="s">
        <v>245</v>
      </c>
      <c r="J929" s="10" t="s">
        <v>247</v>
      </c>
      <c r="K929" s="10" t="s">
        <v>248</v>
      </c>
      <c r="L929" s="10">
        <v>1</v>
      </c>
    </row>
    <row r="930" spans="1:12" x14ac:dyDescent="0.2">
      <c r="A930" s="10" t="s">
        <v>1626</v>
      </c>
      <c r="D930" s="10" t="s">
        <v>246</v>
      </c>
      <c r="E930" s="18" t="s">
        <v>1871</v>
      </c>
      <c r="F930" s="9">
        <v>45383</v>
      </c>
      <c r="G930" s="9">
        <v>46023</v>
      </c>
      <c r="H930" s="10">
        <v>22</v>
      </c>
      <c r="I930" s="10" t="s">
        <v>245</v>
      </c>
      <c r="J930" s="10" t="s">
        <v>247</v>
      </c>
      <c r="K930" s="10" t="s">
        <v>248</v>
      </c>
      <c r="L930" s="10">
        <v>1</v>
      </c>
    </row>
    <row r="931" spans="1:12" x14ac:dyDescent="0.2">
      <c r="A931" s="10" t="s">
        <v>1627</v>
      </c>
      <c r="D931" s="10" t="s">
        <v>246</v>
      </c>
      <c r="E931" s="18" t="s">
        <v>1872</v>
      </c>
      <c r="F931" s="9">
        <v>45383</v>
      </c>
      <c r="G931" s="9">
        <v>46023</v>
      </c>
      <c r="H931" s="10">
        <v>22</v>
      </c>
      <c r="I931" s="10" t="s">
        <v>245</v>
      </c>
      <c r="J931" s="10" t="s">
        <v>247</v>
      </c>
      <c r="K931" s="10" t="s">
        <v>248</v>
      </c>
      <c r="L931" s="10">
        <v>1</v>
      </c>
    </row>
    <row r="932" spans="1:12" x14ac:dyDescent="0.2">
      <c r="A932" s="10" t="s">
        <v>1627</v>
      </c>
      <c r="D932" s="10" t="s">
        <v>246</v>
      </c>
      <c r="E932" s="18" t="s">
        <v>1873</v>
      </c>
      <c r="F932" s="9">
        <v>45383</v>
      </c>
      <c r="G932" s="9">
        <v>46023</v>
      </c>
      <c r="H932" s="10">
        <v>22</v>
      </c>
      <c r="I932" s="10" t="s">
        <v>245</v>
      </c>
      <c r="J932" s="10" t="s">
        <v>247</v>
      </c>
      <c r="K932" s="10" t="s">
        <v>248</v>
      </c>
      <c r="L932" s="10">
        <v>1</v>
      </c>
    </row>
    <row r="933" spans="1:12" x14ac:dyDescent="0.2">
      <c r="A933" s="10" t="s">
        <v>1628</v>
      </c>
      <c r="D933" s="10" t="s">
        <v>246</v>
      </c>
      <c r="E933" s="18" t="s">
        <v>1874</v>
      </c>
      <c r="F933" s="9">
        <v>42979</v>
      </c>
      <c r="G933" s="9">
        <v>46023</v>
      </c>
      <c r="H933" s="10">
        <v>101</v>
      </c>
      <c r="I933" s="10" t="s">
        <v>245</v>
      </c>
      <c r="J933" s="10" t="s">
        <v>247</v>
      </c>
      <c r="K933" s="10" t="s">
        <v>248</v>
      </c>
      <c r="L933" s="10">
        <v>1</v>
      </c>
    </row>
    <row r="934" spans="1:12" x14ac:dyDescent="0.2">
      <c r="A934" s="10" t="s">
        <v>1629</v>
      </c>
      <c r="D934" s="10" t="s">
        <v>246</v>
      </c>
      <c r="E934" s="18" t="s">
        <v>1875</v>
      </c>
      <c r="F934" s="9">
        <v>42979</v>
      </c>
      <c r="G934" s="9">
        <v>46023</v>
      </c>
      <c r="H934" s="10">
        <v>101</v>
      </c>
      <c r="I934" s="10" t="s">
        <v>245</v>
      </c>
      <c r="J934" s="10" t="s">
        <v>247</v>
      </c>
      <c r="K934" s="10" t="s">
        <v>248</v>
      </c>
      <c r="L934" s="10">
        <v>1</v>
      </c>
    </row>
    <row r="935" spans="1:12" x14ac:dyDescent="0.2">
      <c r="A935" s="10" t="s">
        <v>1630</v>
      </c>
      <c r="D935" s="10" t="s">
        <v>246</v>
      </c>
      <c r="E935" s="18" t="s">
        <v>1876</v>
      </c>
      <c r="F935" s="9">
        <v>42979</v>
      </c>
      <c r="G935" s="9">
        <v>46023</v>
      </c>
      <c r="H935" s="10">
        <v>101</v>
      </c>
      <c r="I935" s="10" t="s">
        <v>245</v>
      </c>
      <c r="J935" s="10" t="s">
        <v>247</v>
      </c>
      <c r="K935" s="10" t="s">
        <v>248</v>
      </c>
      <c r="L935" s="10">
        <v>1</v>
      </c>
    </row>
    <row r="936" spans="1:12" x14ac:dyDescent="0.2">
      <c r="A936" s="10" t="s">
        <v>1631</v>
      </c>
      <c r="D936" s="10" t="s">
        <v>246</v>
      </c>
      <c r="E936" s="18" t="s">
        <v>1877</v>
      </c>
      <c r="F936" s="9">
        <v>45383</v>
      </c>
      <c r="G936" s="9">
        <v>46023</v>
      </c>
      <c r="H936" s="10">
        <v>22</v>
      </c>
      <c r="I936" s="10" t="s">
        <v>245</v>
      </c>
      <c r="J936" s="10" t="s">
        <v>247</v>
      </c>
      <c r="K936" s="10" t="s">
        <v>248</v>
      </c>
      <c r="L936" s="10">
        <v>1</v>
      </c>
    </row>
    <row r="937" spans="1:12" x14ac:dyDescent="0.2">
      <c r="A937" s="10" t="s">
        <v>1632</v>
      </c>
      <c r="D937" s="10" t="s">
        <v>246</v>
      </c>
      <c r="E937" s="18" t="s">
        <v>1878</v>
      </c>
      <c r="F937" s="9">
        <v>45383</v>
      </c>
      <c r="G937" s="9">
        <v>46023</v>
      </c>
      <c r="H937" s="10">
        <v>22</v>
      </c>
      <c r="I937" s="10" t="s">
        <v>245</v>
      </c>
      <c r="J937" s="10" t="s">
        <v>247</v>
      </c>
      <c r="K937" s="10" t="s">
        <v>248</v>
      </c>
      <c r="L937" s="10">
        <v>1</v>
      </c>
    </row>
    <row r="938" spans="1:12" x14ac:dyDescent="0.2">
      <c r="A938" s="10" t="s">
        <v>1633</v>
      </c>
      <c r="D938" s="10" t="s">
        <v>246</v>
      </c>
      <c r="E938" s="18" t="s">
        <v>1879</v>
      </c>
      <c r="F938" s="9">
        <v>42979</v>
      </c>
      <c r="G938" s="9">
        <v>46023</v>
      </c>
      <c r="H938" s="10">
        <v>101</v>
      </c>
      <c r="I938" s="10" t="s">
        <v>245</v>
      </c>
      <c r="J938" s="10" t="s">
        <v>247</v>
      </c>
      <c r="K938" s="10" t="s">
        <v>248</v>
      </c>
      <c r="L938" s="10">
        <v>1</v>
      </c>
    </row>
    <row r="939" spans="1:12" x14ac:dyDescent="0.2">
      <c r="A939" s="10" t="s">
        <v>1634</v>
      </c>
      <c r="D939" s="10" t="s">
        <v>246</v>
      </c>
      <c r="E939" s="18" t="s">
        <v>1880</v>
      </c>
      <c r="F939" s="9">
        <v>42979</v>
      </c>
      <c r="G939" s="9">
        <v>46023</v>
      </c>
      <c r="H939" s="10">
        <v>101</v>
      </c>
      <c r="I939" s="10" t="s">
        <v>245</v>
      </c>
      <c r="J939" s="10" t="s">
        <v>247</v>
      </c>
      <c r="K939" s="10" t="s">
        <v>248</v>
      </c>
      <c r="L939" s="10">
        <v>1</v>
      </c>
    </row>
    <row r="940" spans="1:12" x14ac:dyDescent="0.2">
      <c r="A940" s="10" t="s">
        <v>1635</v>
      </c>
      <c r="D940" s="10" t="s">
        <v>246</v>
      </c>
      <c r="E940" s="18" t="s">
        <v>1881</v>
      </c>
      <c r="F940" s="9">
        <v>42979</v>
      </c>
      <c r="G940" s="9">
        <v>46023</v>
      </c>
      <c r="H940" s="10">
        <v>101</v>
      </c>
      <c r="I940" s="10" t="s">
        <v>245</v>
      </c>
      <c r="J940" s="10" t="s">
        <v>247</v>
      </c>
      <c r="K940" s="10" t="s">
        <v>248</v>
      </c>
      <c r="L940" s="10">
        <v>1</v>
      </c>
    </row>
    <row r="941" spans="1:12" x14ac:dyDescent="0.2">
      <c r="A941" s="10" t="s">
        <v>1636</v>
      </c>
      <c r="D941" s="10" t="s">
        <v>246</v>
      </c>
      <c r="E941" s="18" t="s">
        <v>1882</v>
      </c>
      <c r="F941" s="9">
        <v>42979</v>
      </c>
      <c r="G941" s="9">
        <v>46023</v>
      </c>
      <c r="H941" s="10">
        <v>101</v>
      </c>
      <c r="I941" s="10" t="s">
        <v>245</v>
      </c>
      <c r="J941" s="10" t="s">
        <v>247</v>
      </c>
      <c r="K941" s="10" t="s">
        <v>248</v>
      </c>
      <c r="L941" s="10">
        <v>1</v>
      </c>
    </row>
    <row r="942" spans="1:12" x14ac:dyDescent="0.2">
      <c r="A942" s="10" t="s">
        <v>1637</v>
      </c>
      <c r="D942" s="10" t="s">
        <v>246</v>
      </c>
      <c r="E942" s="18" t="s">
        <v>1883</v>
      </c>
      <c r="F942" s="9">
        <v>42979</v>
      </c>
      <c r="G942" s="9">
        <v>46023</v>
      </c>
      <c r="H942" s="10">
        <v>101</v>
      </c>
      <c r="I942" s="10" t="s">
        <v>245</v>
      </c>
      <c r="J942" s="10" t="s">
        <v>247</v>
      </c>
      <c r="K942" s="10" t="s">
        <v>248</v>
      </c>
      <c r="L942" s="10">
        <v>1</v>
      </c>
    </row>
    <row r="943" spans="1:12" x14ac:dyDescent="0.2">
      <c r="A943" s="10" t="s">
        <v>1638</v>
      </c>
      <c r="D943" s="10" t="s">
        <v>246</v>
      </c>
      <c r="E943" s="18" t="s">
        <v>1884</v>
      </c>
      <c r="F943" s="9">
        <v>42979</v>
      </c>
      <c r="G943" s="9">
        <v>46023</v>
      </c>
      <c r="H943" s="10">
        <v>101</v>
      </c>
      <c r="I943" s="10" t="s">
        <v>245</v>
      </c>
      <c r="J943" s="10" t="s">
        <v>247</v>
      </c>
      <c r="K943" s="10" t="s">
        <v>248</v>
      </c>
      <c r="L943" s="10">
        <v>1</v>
      </c>
    </row>
    <row r="944" spans="1:12" x14ac:dyDescent="0.2">
      <c r="A944" s="10" t="s">
        <v>1639</v>
      </c>
      <c r="D944" s="10" t="s">
        <v>246</v>
      </c>
      <c r="E944" s="18" t="s">
        <v>1885</v>
      </c>
      <c r="F944" s="9">
        <v>42979</v>
      </c>
      <c r="G944" s="9">
        <v>46023</v>
      </c>
      <c r="H944" s="10">
        <v>101</v>
      </c>
      <c r="I944" s="10" t="s">
        <v>245</v>
      </c>
      <c r="J944" s="10" t="s">
        <v>247</v>
      </c>
      <c r="K944" s="10" t="s">
        <v>248</v>
      </c>
      <c r="L944" s="10">
        <v>1</v>
      </c>
    </row>
    <row r="945" spans="1:12" x14ac:dyDescent="0.2">
      <c r="A945" s="10" t="s">
        <v>1640</v>
      </c>
      <c r="D945" s="10" t="s">
        <v>246</v>
      </c>
      <c r="E945" s="18" t="s">
        <v>1886</v>
      </c>
      <c r="F945" s="9">
        <v>42979</v>
      </c>
      <c r="G945" s="9">
        <v>46023</v>
      </c>
      <c r="H945" s="10">
        <v>101</v>
      </c>
      <c r="I945" s="10" t="s">
        <v>245</v>
      </c>
      <c r="J945" s="10" t="s">
        <v>247</v>
      </c>
      <c r="K945" s="10" t="s">
        <v>248</v>
      </c>
      <c r="L945" s="10">
        <v>1</v>
      </c>
    </row>
    <row r="946" spans="1:12" x14ac:dyDescent="0.2">
      <c r="A946" s="10" t="s">
        <v>1641</v>
      </c>
      <c r="D946" s="10" t="s">
        <v>246</v>
      </c>
      <c r="E946" s="18" t="s">
        <v>1887</v>
      </c>
      <c r="F946" s="9">
        <v>42979</v>
      </c>
      <c r="G946" s="9">
        <v>46023</v>
      </c>
      <c r="H946" s="10">
        <v>101</v>
      </c>
      <c r="I946" s="10" t="s">
        <v>245</v>
      </c>
      <c r="J946" s="10" t="s">
        <v>247</v>
      </c>
      <c r="K946" s="10" t="s">
        <v>248</v>
      </c>
      <c r="L946" s="10">
        <v>1</v>
      </c>
    </row>
    <row r="947" spans="1:12" x14ac:dyDescent="0.2">
      <c r="A947" s="10" t="s">
        <v>1642</v>
      </c>
      <c r="D947" s="10" t="s">
        <v>246</v>
      </c>
      <c r="E947" s="18" t="s">
        <v>1888</v>
      </c>
      <c r="F947" s="9">
        <v>42979</v>
      </c>
      <c r="G947" s="9">
        <v>46023</v>
      </c>
      <c r="H947" s="10">
        <v>101</v>
      </c>
      <c r="I947" s="10" t="s">
        <v>245</v>
      </c>
      <c r="J947" s="10" t="s">
        <v>247</v>
      </c>
      <c r="K947" s="10" t="s">
        <v>248</v>
      </c>
      <c r="L947" s="10">
        <v>1</v>
      </c>
    </row>
    <row r="948" spans="1:12" x14ac:dyDescent="0.2">
      <c r="A948" s="10" t="s">
        <v>1643</v>
      </c>
      <c r="D948" s="10" t="s">
        <v>246</v>
      </c>
      <c r="E948" s="18" t="s">
        <v>1889</v>
      </c>
      <c r="F948" s="9">
        <v>42979</v>
      </c>
      <c r="G948" s="9">
        <v>46023</v>
      </c>
      <c r="H948" s="10">
        <v>101</v>
      </c>
      <c r="I948" s="10" t="s">
        <v>245</v>
      </c>
      <c r="J948" s="10" t="s">
        <v>247</v>
      </c>
      <c r="K948" s="10" t="s">
        <v>248</v>
      </c>
      <c r="L948" s="10">
        <v>1</v>
      </c>
    </row>
    <row r="949" spans="1:12" x14ac:dyDescent="0.2">
      <c r="A949" s="10" t="s">
        <v>1644</v>
      </c>
      <c r="D949" s="10" t="s">
        <v>246</v>
      </c>
      <c r="E949" s="18" t="s">
        <v>1890</v>
      </c>
      <c r="F949" s="9">
        <v>42979</v>
      </c>
      <c r="G949" s="9">
        <v>46023</v>
      </c>
      <c r="H949" s="10">
        <v>101</v>
      </c>
      <c r="I949" s="10" t="s">
        <v>245</v>
      </c>
      <c r="J949" s="10" t="s">
        <v>247</v>
      </c>
      <c r="K949" s="10" t="s">
        <v>248</v>
      </c>
      <c r="L949" s="10">
        <v>1</v>
      </c>
    </row>
    <row r="950" spans="1:12" x14ac:dyDescent="0.2">
      <c r="A950" s="10" t="s">
        <v>1645</v>
      </c>
      <c r="D950" s="10" t="s">
        <v>246</v>
      </c>
      <c r="E950" s="18" t="s">
        <v>1891</v>
      </c>
      <c r="F950" s="9">
        <v>42979</v>
      </c>
      <c r="G950" s="9">
        <v>46023</v>
      </c>
      <c r="H950" s="10">
        <v>101</v>
      </c>
      <c r="I950" s="10" t="s">
        <v>245</v>
      </c>
      <c r="J950" s="10" t="s">
        <v>247</v>
      </c>
      <c r="K950" s="10" t="s">
        <v>248</v>
      </c>
      <c r="L950" s="10">
        <v>1</v>
      </c>
    </row>
    <row r="951" spans="1:12" x14ac:dyDescent="0.2">
      <c r="A951" s="10" t="s">
        <v>1646</v>
      </c>
      <c r="D951" s="10" t="s">
        <v>246</v>
      </c>
      <c r="E951" s="18" t="s">
        <v>1892</v>
      </c>
      <c r="F951" s="9">
        <v>42979</v>
      </c>
      <c r="G951" s="9">
        <v>46023</v>
      </c>
      <c r="H951" s="10">
        <v>101</v>
      </c>
      <c r="I951" s="10" t="s">
        <v>245</v>
      </c>
      <c r="J951" s="10" t="s">
        <v>247</v>
      </c>
      <c r="K951" s="10" t="s">
        <v>248</v>
      </c>
      <c r="L951" s="10">
        <v>1</v>
      </c>
    </row>
    <row r="952" spans="1:12" x14ac:dyDescent="0.2">
      <c r="A952" s="10" t="s">
        <v>1647</v>
      </c>
      <c r="D952" s="10" t="s">
        <v>246</v>
      </c>
      <c r="E952" s="18" t="s">
        <v>1893</v>
      </c>
      <c r="F952" s="9">
        <v>42979</v>
      </c>
      <c r="G952" s="9">
        <v>46023</v>
      </c>
      <c r="H952" s="10">
        <v>101</v>
      </c>
      <c r="I952" s="10" t="s">
        <v>245</v>
      </c>
      <c r="J952" s="10" t="s">
        <v>247</v>
      </c>
      <c r="K952" s="10" t="s">
        <v>248</v>
      </c>
      <c r="L952" s="10">
        <v>1</v>
      </c>
    </row>
    <row r="953" spans="1:12" x14ac:dyDescent="0.2">
      <c r="A953" s="10" t="s">
        <v>1648</v>
      </c>
      <c r="D953" s="10" t="s">
        <v>246</v>
      </c>
      <c r="E953" s="18" t="s">
        <v>1894</v>
      </c>
      <c r="F953" s="9">
        <v>42979</v>
      </c>
      <c r="G953" s="9">
        <v>46023</v>
      </c>
      <c r="H953" s="10">
        <v>101</v>
      </c>
      <c r="I953" s="10" t="s">
        <v>245</v>
      </c>
      <c r="J953" s="10" t="s">
        <v>247</v>
      </c>
      <c r="K953" s="10" t="s">
        <v>248</v>
      </c>
      <c r="L953" s="10">
        <v>1</v>
      </c>
    </row>
    <row r="954" spans="1:12" x14ac:dyDescent="0.2">
      <c r="A954" s="10" t="s">
        <v>1649</v>
      </c>
      <c r="D954" s="10" t="s">
        <v>246</v>
      </c>
      <c r="E954" s="18" t="s">
        <v>1895</v>
      </c>
      <c r="F954" s="9">
        <v>42979</v>
      </c>
      <c r="G954" s="9">
        <v>46023</v>
      </c>
      <c r="H954" s="10">
        <v>101</v>
      </c>
      <c r="I954" s="10" t="s">
        <v>245</v>
      </c>
      <c r="J954" s="10" t="s">
        <v>247</v>
      </c>
      <c r="K954" s="10" t="s">
        <v>248</v>
      </c>
      <c r="L954" s="10">
        <v>1</v>
      </c>
    </row>
    <row r="955" spans="1:12" x14ac:dyDescent="0.2">
      <c r="A955" s="10" t="s">
        <v>1650</v>
      </c>
      <c r="D955" s="10" t="s">
        <v>246</v>
      </c>
      <c r="E955" s="18" t="s">
        <v>1896</v>
      </c>
      <c r="F955" s="9">
        <v>42979</v>
      </c>
      <c r="G955" s="9">
        <v>46023</v>
      </c>
      <c r="H955" s="10">
        <v>101</v>
      </c>
      <c r="I955" s="10" t="s">
        <v>245</v>
      </c>
      <c r="J955" s="10" t="s">
        <v>247</v>
      </c>
      <c r="K955" s="10" t="s">
        <v>248</v>
      </c>
      <c r="L955" s="10">
        <v>1</v>
      </c>
    </row>
    <row r="956" spans="1:12" x14ac:dyDescent="0.2">
      <c r="A956" s="10" t="s">
        <v>1651</v>
      </c>
      <c r="D956" s="10" t="s">
        <v>246</v>
      </c>
      <c r="E956" s="18" t="s">
        <v>1897</v>
      </c>
      <c r="F956" s="9">
        <v>42979</v>
      </c>
      <c r="G956" s="9">
        <v>46023</v>
      </c>
      <c r="H956" s="10">
        <v>101</v>
      </c>
      <c r="I956" s="10" t="s">
        <v>245</v>
      </c>
      <c r="J956" s="10" t="s">
        <v>247</v>
      </c>
      <c r="K956" s="10" t="s">
        <v>248</v>
      </c>
      <c r="L956" s="10">
        <v>1</v>
      </c>
    </row>
    <row r="957" spans="1:12" x14ac:dyDescent="0.2">
      <c r="A957" s="10" t="s">
        <v>1652</v>
      </c>
      <c r="D957" s="10" t="s">
        <v>246</v>
      </c>
      <c r="E957" s="18" t="s">
        <v>1898</v>
      </c>
      <c r="F957" s="9">
        <v>42979</v>
      </c>
      <c r="G957" s="9">
        <v>46023</v>
      </c>
      <c r="H957" s="10">
        <v>101</v>
      </c>
      <c r="I957" s="10" t="s">
        <v>245</v>
      </c>
      <c r="J957" s="10" t="s">
        <v>247</v>
      </c>
      <c r="K957" s="10" t="s">
        <v>248</v>
      </c>
      <c r="L957" s="10">
        <v>1</v>
      </c>
    </row>
    <row r="958" spans="1:12" x14ac:dyDescent="0.2">
      <c r="A958" s="10" t="s">
        <v>1653</v>
      </c>
      <c r="D958" s="10" t="s">
        <v>246</v>
      </c>
      <c r="E958" s="18" t="s">
        <v>1899</v>
      </c>
      <c r="F958" s="9">
        <v>42979</v>
      </c>
      <c r="G958" s="9">
        <v>46023</v>
      </c>
      <c r="H958" s="10">
        <v>101</v>
      </c>
      <c r="I958" s="10" t="s">
        <v>245</v>
      </c>
      <c r="J958" s="10" t="s">
        <v>247</v>
      </c>
      <c r="K958" s="10" t="s">
        <v>248</v>
      </c>
      <c r="L958" s="10">
        <v>1</v>
      </c>
    </row>
    <row r="959" spans="1:12" x14ac:dyDescent="0.2">
      <c r="A959" s="10" t="s">
        <v>1654</v>
      </c>
      <c r="D959" s="10" t="s">
        <v>246</v>
      </c>
      <c r="E959" s="18" t="s">
        <v>1900</v>
      </c>
      <c r="F959" s="9">
        <v>42979</v>
      </c>
      <c r="G959" s="9">
        <v>46023</v>
      </c>
      <c r="H959" s="10">
        <v>101</v>
      </c>
      <c r="I959" s="10" t="s">
        <v>245</v>
      </c>
      <c r="J959" s="10" t="s">
        <v>247</v>
      </c>
      <c r="K959" s="10" t="s">
        <v>248</v>
      </c>
      <c r="L959" s="10">
        <v>1</v>
      </c>
    </row>
    <row r="960" spans="1:12" x14ac:dyDescent="0.2">
      <c r="A960" s="10" t="s">
        <v>1655</v>
      </c>
      <c r="D960" s="10" t="s">
        <v>246</v>
      </c>
      <c r="E960" s="18" t="s">
        <v>1901</v>
      </c>
      <c r="F960" s="9">
        <v>42979</v>
      </c>
      <c r="G960" s="9">
        <v>46023</v>
      </c>
      <c r="H960" s="10">
        <v>101</v>
      </c>
      <c r="I960" s="10" t="s">
        <v>245</v>
      </c>
      <c r="J960" s="10" t="s">
        <v>247</v>
      </c>
      <c r="K960" s="10" t="s">
        <v>248</v>
      </c>
      <c r="L960" s="10">
        <v>1</v>
      </c>
    </row>
    <row r="961" spans="1:12" x14ac:dyDescent="0.2">
      <c r="A961" s="10" t="s">
        <v>1656</v>
      </c>
      <c r="D961" s="10" t="s">
        <v>246</v>
      </c>
      <c r="E961" s="18" t="s">
        <v>1902</v>
      </c>
      <c r="F961" s="9">
        <v>42979</v>
      </c>
      <c r="G961" s="9">
        <v>46023</v>
      </c>
      <c r="H961" s="10">
        <v>101</v>
      </c>
      <c r="I961" s="10" t="s">
        <v>245</v>
      </c>
      <c r="J961" s="10" t="s">
        <v>247</v>
      </c>
      <c r="K961" s="10" t="s">
        <v>248</v>
      </c>
      <c r="L961" s="10">
        <v>1</v>
      </c>
    </row>
    <row r="962" spans="1:12" x14ac:dyDescent="0.2">
      <c r="A962" s="10" t="s">
        <v>1657</v>
      </c>
      <c r="D962" s="10" t="s">
        <v>246</v>
      </c>
      <c r="E962" s="18" t="s">
        <v>1903</v>
      </c>
      <c r="F962" s="9">
        <v>42979</v>
      </c>
      <c r="G962" s="9">
        <v>46023</v>
      </c>
      <c r="H962" s="10">
        <v>101</v>
      </c>
      <c r="I962" s="10" t="s">
        <v>245</v>
      </c>
      <c r="J962" s="10" t="s">
        <v>247</v>
      </c>
      <c r="K962" s="10" t="s">
        <v>248</v>
      </c>
      <c r="L962" s="10">
        <v>1</v>
      </c>
    </row>
    <row r="963" spans="1:12" x14ac:dyDescent="0.2">
      <c r="A963" s="10" t="s">
        <v>1658</v>
      </c>
      <c r="D963" s="10" t="s">
        <v>246</v>
      </c>
      <c r="E963" s="18" t="s">
        <v>1904</v>
      </c>
      <c r="F963" s="9">
        <v>42979</v>
      </c>
      <c r="G963" s="9">
        <v>46023</v>
      </c>
      <c r="H963" s="10">
        <v>101</v>
      </c>
      <c r="I963" s="10" t="s">
        <v>245</v>
      </c>
      <c r="J963" s="10" t="s">
        <v>247</v>
      </c>
      <c r="K963" s="10" t="s">
        <v>248</v>
      </c>
      <c r="L963" s="10">
        <v>1</v>
      </c>
    </row>
    <row r="964" spans="1:12" x14ac:dyDescent="0.2">
      <c r="A964" s="10" t="s">
        <v>1659</v>
      </c>
      <c r="D964" s="10" t="s">
        <v>246</v>
      </c>
      <c r="E964" s="18" t="s">
        <v>1905</v>
      </c>
      <c r="F964" s="9">
        <v>42979</v>
      </c>
      <c r="G964" s="9">
        <v>46023</v>
      </c>
      <c r="H964" s="10">
        <v>101</v>
      </c>
      <c r="I964" s="10" t="s">
        <v>245</v>
      </c>
      <c r="J964" s="10" t="s">
        <v>247</v>
      </c>
      <c r="K964" s="10" t="s">
        <v>248</v>
      </c>
      <c r="L964" s="10">
        <v>1</v>
      </c>
    </row>
    <row r="965" spans="1:12" x14ac:dyDescent="0.2">
      <c r="A965" s="10" t="s">
        <v>1660</v>
      </c>
      <c r="D965" s="10" t="s">
        <v>246</v>
      </c>
      <c r="E965" s="18" t="s">
        <v>1906</v>
      </c>
      <c r="F965" s="9">
        <v>42979</v>
      </c>
      <c r="G965" s="9">
        <v>46023</v>
      </c>
      <c r="H965" s="10">
        <v>101</v>
      </c>
      <c r="I965" s="10" t="s">
        <v>245</v>
      </c>
      <c r="J965" s="10" t="s">
        <v>247</v>
      </c>
      <c r="K965" s="10" t="s">
        <v>248</v>
      </c>
      <c r="L965" s="10">
        <v>1</v>
      </c>
    </row>
    <row r="966" spans="1:12" x14ac:dyDescent="0.2">
      <c r="A966" s="10" t="s">
        <v>1661</v>
      </c>
      <c r="D966" s="10" t="s">
        <v>246</v>
      </c>
      <c r="E966" s="18" t="s">
        <v>1907</v>
      </c>
      <c r="F966" s="9">
        <v>42979</v>
      </c>
      <c r="G966" s="9">
        <v>46023</v>
      </c>
      <c r="H966" s="10">
        <v>101</v>
      </c>
      <c r="I966" s="10" t="s">
        <v>245</v>
      </c>
      <c r="J966" s="10" t="s">
        <v>247</v>
      </c>
      <c r="K966" s="10" t="s">
        <v>248</v>
      </c>
      <c r="L966" s="10">
        <v>1</v>
      </c>
    </row>
    <row r="967" spans="1:12" x14ac:dyDescent="0.2">
      <c r="A967" s="10" t="s">
        <v>1662</v>
      </c>
      <c r="D967" s="10" t="s">
        <v>246</v>
      </c>
      <c r="E967" s="18" t="s">
        <v>1908</v>
      </c>
      <c r="F967" s="9">
        <v>45383</v>
      </c>
      <c r="G967" s="9">
        <v>46023</v>
      </c>
      <c r="H967" s="10">
        <v>22</v>
      </c>
      <c r="I967" s="10" t="s">
        <v>245</v>
      </c>
      <c r="J967" s="10" t="s">
        <v>247</v>
      </c>
      <c r="K967" s="10" t="s">
        <v>248</v>
      </c>
      <c r="L967" s="10">
        <v>1</v>
      </c>
    </row>
    <row r="968" spans="1:12" x14ac:dyDescent="0.2">
      <c r="A968" s="10" t="s">
        <v>1663</v>
      </c>
      <c r="D968" s="10" t="s">
        <v>246</v>
      </c>
      <c r="E968" s="18" t="s">
        <v>1909</v>
      </c>
      <c r="F968" s="9">
        <v>45383</v>
      </c>
      <c r="G968" s="9">
        <v>46023</v>
      </c>
      <c r="H968" s="10">
        <v>22</v>
      </c>
      <c r="I968" s="10" t="s">
        <v>245</v>
      </c>
      <c r="J968" s="10" t="s">
        <v>247</v>
      </c>
      <c r="K968" s="10" t="s">
        <v>248</v>
      </c>
      <c r="L968" s="10">
        <v>1</v>
      </c>
    </row>
    <row r="969" spans="1:12" x14ac:dyDescent="0.2">
      <c r="A969" s="10" t="s">
        <v>1664</v>
      </c>
      <c r="D969" s="10" t="s">
        <v>246</v>
      </c>
      <c r="E969" s="18" t="s">
        <v>1910</v>
      </c>
      <c r="F969" s="9">
        <v>45383</v>
      </c>
      <c r="G969" s="9">
        <v>46023</v>
      </c>
      <c r="H969" s="10">
        <v>22</v>
      </c>
      <c r="I969" s="10" t="s">
        <v>245</v>
      </c>
      <c r="J969" s="10" t="s">
        <v>247</v>
      </c>
      <c r="K969" s="10" t="s">
        <v>248</v>
      </c>
      <c r="L969" s="10">
        <v>1</v>
      </c>
    </row>
    <row r="970" spans="1:12" x14ac:dyDescent="0.2">
      <c r="A970" s="10" t="s">
        <v>1665</v>
      </c>
      <c r="D970" s="10" t="s">
        <v>246</v>
      </c>
      <c r="E970" s="18" t="s">
        <v>1911</v>
      </c>
      <c r="F970" s="9">
        <v>45383</v>
      </c>
      <c r="G970" s="9">
        <v>46023</v>
      </c>
      <c r="H970" s="10">
        <v>22</v>
      </c>
      <c r="I970" s="10" t="s">
        <v>245</v>
      </c>
      <c r="J970" s="10" t="s">
        <v>247</v>
      </c>
      <c r="K970" s="10" t="s">
        <v>248</v>
      </c>
      <c r="L970" s="10">
        <v>1</v>
      </c>
    </row>
    <row r="971" spans="1:12" x14ac:dyDescent="0.2">
      <c r="A971" s="10" t="s">
        <v>1666</v>
      </c>
      <c r="D971" s="10" t="s">
        <v>246</v>
      </c>
      <c r="E971" s="18" t="s">
        <v>1912</v>
      </c>
      <c r="F971" s="9">
        <v>45383</v>
      </c>
      <c r="G971" s="9">
        <v>46023</v>
      </c>
      <c r="H971" s="10">
        <v>22</v>
      </c>
      <c r="I971" s="10" t="s">
        <v>245</v>
      </c>
      <c r="J971" s="10" t="s">
        <v>247</v>
      </c>
      <c r="K971" s="10" t="s">
        <v>248</v>
      </c>
      <c r="L971" s="10">
        <v>1</v>
      </c>
    </row>
    <row r="972" spans="1:12" x14ac:dyDescent="0.2">
      <c r="A972" s="10" t="s">
        <v>1667</v>
      </c>
      <c r="D972" s="10" t="s">
        <v>246</v>
      </c>
      <c r="E972" s="18" t="s">
        <v>1913</v>
      </c>
      <c r="F972" s="9">
        <v>42979</v>
      </c>
      <c r="G972" s="9">
        <v>46023</v>
      </c>
      <c r="H972" s="10">
        <v>101</v>
      </c>
      <c r="I972" s="10" t="s">
        <v>245</v>
      </c>
      <c r="J972" s="10" t="s">
        <v>247</v>
      </c>
      <c r="K972" s="10" t="s">
        <v>248</v>
      </c>
      <c r="L972" s="10">
        <v>1</v>
      </c>
    </row>
    <row r="973" spans="1:12" x14ac:dyDescent="0.2">
      <c r="A973" s="10" t="s">
        <v>1668</v>
      </c>
      <c r="D973" s="10" t="s">
        <v>246</v>
      </c>
      <c r="E973" s="18" t="s">
        <v>1914</v>
      </c>
      <c r="F973" s="9">
        <v>45383</v>
      </c>
      <c r="G973" s="9">
        <v>46023</v>
      </c>
      <c r="H973" s="10">
        <v>22</v>
      </c>
      <c r="I973" s="10" t="s">
        <v>245</v>
      </c>
      <c r="J973" s="10" t="s">
        <v>247</v>
      </c>
      <c r="K973" s="10" t="s">
        <v>248</v>
      </c>
      <c r="L973" s="10">
        <v>1</v>
      </c>
    </row>
    <row r="974" spans="1:12" x14ac:dyDescent="0.2">
      <c r="A974" s="10" t="s">
        <v>1669</v>
      </c>
      <c r="D974" s="10" t="s">
        <v>246</v>
      </c>
      <c r="E974" s="18" t="s">
        <v>1915</v>
      </c>
      <c r="F974" s="9">
        <v>42979</v>
      </c>
      <c r="G974" s="9">
        <v>46023</v>
      </c>
      <c r="H974" s="10">
        <v>101</v>
      </c>
      <c r="I974" s="10" t="s">
        <v>245</v>
      </c>
      <c r="J974" s="10" t="s">
        <v>247</v>
      </c>
      <c r="K974" s="10" t="s">
        <v>248</v>
      </c>
      <c r="L974" s="10">
        <v>1</v>
      </c>
    </row>
    <row r="975" spans="1:12" x14ac:dyDescent="0.2">
      <c r="A975" s="10" t="s">
        <v>1670</v>
      </c>
      <c r="D975" s="10" t="s">
        <v>246</v>
      </c>
      <c r="E975" s="18" t="s">
        <v>1916</v>
      </c>
      <c r="F975" s="9">
        <v>42979</v>
      </c>
      <c r="G975" s="9">
        <v>46023</v>
      </c>
      <c r="H975" s="10">
        <v>101</v>
      </c>
      <c r="I975" s="10" t="s">
        <v>245</v>
      </c>
      <c r="J975" s="10" t="s">
        <v>247</v>
      </c>
      <c r="K975" s="10" t="s">
        <v>248</v>
      </c>
      <c r="L975" s="10">
        <v>1</v>
      </c>
    </row>
    <row r="976" spans="1:12" x14ac:dyDescent="0.2">
      <c r="A976" s="10" t="s">
        <v>1670</v>
      </c>
      <c r="D976" s="10" t="s">
        <v>246</v>
      </c>
      <c r="E976" s="18" t="s">
        <v>1917</v>
      </c>
      <c r="F976" s="9">
        <v>42979</v>
      </c>
      <c r="G976" s="9">
        <v>46023</v>
      </c>
      <c r="H976" s="10">
        <v>101</v>
      </c>
      <c r="I976" s="10" t="s">
        <v>245</v>
      </c>
      <c r="J976" s="10" t="s">
        <v>247</v>
      </c>
      <c r="K976" s="10" t="s">
        <v>248</v>
      </c>
      <c r="L976" s="10">
        <v>1</v>
      </c>
    </row>
    <row r="977" spans="1:12" x14ac:dyDescent="0.2">
      <c r="A977" s="10" t="s">
        <v>1671</v>
      </c>
      <c r="D977" s="10" t="s">
        <v>246</v>
      </c>
      <c r="E977" s="18" t="s">
        <v>1918</v>
      </c>
      <c r="F977" s="9">
        <v>45383</v>
      </c>
      <c r="G977" s="9">
        <v>46023</v>
      </c>
      <c r="H977" s="10">
        <v>22</v>
      </c>
      <c r="I977" s="10" t="s">
        <v>245</v>
      </c>
      <c r="J977" s="10" t="s">
        <v>247</v>
      </c>
      <c r="K977" s="10" t="s">
        <v>248</v>
      </c>
      <c r="L977" s="10">
        <v>1</v>
      </c>
    </row>
    <row r="978" spans="1:12" x14ac:dyDescent="0.2">
      <c r="A978" s="10" t="s">
        <v>1672</v>
      </c>
      <c r="D978" s="10" t="s">
        <v>246</v>
      </c>
      <c r="E978" s="18" t="s">
        <v>1919</v>
      </c>
      <c r="F978" s="9">
        <v>45383</v>
      </c>
      <c r="G978" s="9">
        <v>46023</v>
      </c>
      <c r="H978" s="10">
        <v>22</v>
      </c>
      <c r="I978" s="10" t="s">
        <v>245</v>
      </c>
      <c r="J978" s="10" t="s">
        <v>247</v>
      </c>
      <c r="K978" s="10" t="s">
        <v>248</v>
      </c>
      <c r="L978" s="10">
        <v>1</v>
      </c>
    </row>
    <row r="979" spans="1:12" x14ac:dyDescent="0.2">
      <c r="A979" s="10" t="s">
        <v>1673</v>
      </c>
      <c r="D979" s="10" t="s">
        <v>246</v>
      </c>
      <c r="E979" s="18" t="s">
        <v>1920</v>
      </c>
      <c r="F979" s="9">
        <v>45383</v>
      </c>
      <c r="G979" s="9">
        <v>46023</v>
      </c>
      <c r="H979" s="10">
        <v>22</v>
      </c>
      <c r="I979" s="10" t="s">
        <v>245</v>
      </c>
      <c r="J979" s="10" t="s">
        <v>247</v>
      </c>
      <c r="K979" s="10" t="s">
        <v>248</v>
      </c>
      <c r="L979" s="10">
        <v>1</v>
      </c>
    </row>
    <row r="980" spans="1:12" x14ac:dyDescent="0.2">
      <c r="A980" s="10" t="s">
        <v>1674</v>
      </c>
      <c r="D980" s="10" t="s">
        <v>246</v>
      </c>
      <c r="E980" s="18" t="s">
        <v>1921</v>
      </c>
      <c r="F980" s="9">
        <v>45383</v>
      </c>
      <c r="G980" s="9">
        <v>46023</v>
      </c>
      <c r="H980" s="10">
        <v>22</v>
      </c>
      <c r="I980" s="10" t="s">
        <v>245</v>
      </c>
      <c r="J980" s="10" t="s">
        <v>247</v>
      </c>
      <c r="K980" s="10" t="s">
        <v>248</v>
      </c>
      <c r="L980" s="10">
        <v>1</v>
      </c>
    </row>
    <row r="981" spans="1:12" x14ac:dyDescent="0.2">
      <c r="A981" s="10" t="s">
        <v>1675</v>
      </c>
      <c r="D981" s="10" t="s">
        <v>246</v>
      </c>
      <c r="E981" s="18" t="s">
        <v>1922</v>
      </c>
      <c r="F981" s="9">
        <v>45383</v>
      </c>
      <c r="G981" s="9">
        <v>46023</v>
      </c>
      <c r="H981" s="10">
        <v>22</v>
      </c>
      <c r="I981" s="10" t="s">
        <v>245</v>
      </c>
      <c r="J981" s="10" t="s">
        <v>247</v>
      </c>
      <c r="K981" s="10" t="s">
        <v>248</v>
      </c>
      <c r="L981" s="10">
        <v>1</v>
      </c>
    </row>
    <row r="982" spans="1:12" x14ac:dyDescent="0.2">
      <c r="A982" s="10" t="s">
        <v>1676</v>
      </c>
      <c r="D982" s="10" t="s">
        <v>246</v>
      </c>
      <c r="E982" s="18" t="s">
        <v>1923</v>
      </c>
      <c r="F982" s="9">
        <v>45383</v>
      </c>
      <c r="G982" s="9">
        <v>46023</v>
      </c>
      <c r="H982" s="10">
        <v>22</v>
      </c>
      <c r="I982" s="10" t="s">
        <v>245</v>
      </c>
      <c r="J982" s="10" t="s">
        <v>247</v>
      </c>
      <c r="K982" s="10" t="s">
        <v>248</v>
      </c>
      <c r="L982" s="10">
        <v>1</v>
      </c>
    </row>
    <row r="983" spans="1:12" x14ac:dyDescent="0.2">
      <c r="A983" s="10" t="s">
        <v>1677</v>
      </c>
      <c r="D983" s="10" t="s">
        <v>246</v>
      </c>
      <c r="E983" s="18" t="s">
        <v>1924</v>
      </c>
      <c r="F983" s="9">
        <v>45383</v>
      </c>
      <c r="G983" s="9">
        <v>46023</v>
      </c>
      <c r="H983" s="10">
        <v>22</v>
      </c>
      <c r="I983" s="10" t="s">
        <v>245</v>
      </c>
      <c r="J983" s="10" t="s">
        <v>247</v>
      </c>
      <c r="K983" s="10" t="s">
        <v>248</v>
      </c>
      <c r="L983" s="10">
        <v>1</v>
      </c>
    </row>
    <row r="984" spans="1:12" x14ac:dyDescent="0.2">
      <c r="A984" s="10" t="s">
        <v>1678</v>
      </c>
      <c r="D984" s="10" t="s">
        <v>246</v>
      </c>
      <c r="E984" s="18" t="s">
        <v>1925</v>
      </c>
      <c r="F984" s="9">
        <v>45383</v>
      </c>
      <c r="G984" s="9">
        <v>46023</v>
      </c>
      <c r="H984" s="10">
        <v>22</v>
      </c>
      <c r="I984" s="10" t="s">
        <v>245</v>
      </c>
      <c r="J984" s="10" t="s">
        <v>247</v>
      </c>
      <c r="K984" s="10" t="s">
        <v>248</v>
      </c>
      <c r="L984" s="10">
        <v>1</v>
      </c>
    </row>
    <row r="985" spans="1:12" x14ac:dyDescent="0.2">
      <c r="A985" s="10" t="s">
        <v>1679</v>
      </c>
      <c r="D985" s="10" t="s">
        <v>246</v>
      </c>
      <c r="E985" s="18" t="s">
        <v>1926</v>
      </c>
      <c r="F985" s="9">
        <v>45383</v>
      </c>
      <c r="G985" s="9">
        <v>46023</v>
      </c>
      <c r="H985" s="10">
        <v>22</v>
      </c>
      <c r="I985" s="10" t="s">
        <v>245</v>
      </c>
      <c r="J985" s="10" t="s">
        <v>247</v>
      </c>
      <c r="K985" s="10" t="s">
        <v>248</v>
      </c>
      <c r="L985" s="10">
        <v>1</v>
      </c>
    </row>
    <row r="986" spans="1:12" x14ac:dyDescent="0.2">
      <c r="A986" s="10" t="s">
        <v>1680</v>
      </c>
      <c r="D986" s="10" t="s">
        <v>246</v>
      </c>
      <c r="E986" s="18" t="s">
        <v>1927</v>
      </c>
      <c r="F986" s="9">
        <v>45383</v>
      </c>
      <c r="G986" s="9">
        <v>46023</v>
      </c>
      <c r="H986" s="10">
        <v>22</v>
      </c>
      <c r="I986" s="10" t="s">
        <v>245</v>
      </c>
      <c r="J986" s="10" t="s">
        <v>247</v>
      </c>
      <c r="K986" s="10" t="s">
        <v>248</v>
      </c>
      <c r="L986" s="10">
        <v>1</v>
      </c>
    </row>
    <row r="987" spans="1:12" x14ac:dyDescent="0.2">
      <c r="A987" s="10" t="s">
        <v>1681</v>
      </c>
      <c r="D987" s="10" t="s">
        <v>246</v>
      </c>
      <c r="E987" s="18" t="s">
        <v>1928</v>
      </c>
      <c r="F987" s="9">
        <v>45383</v>
      </c>
      <c r="G987" s="9">
        <v>46023</v>
      </c>
      <c r="H987" s="10">
        <v>22</v>
      </c>
      <c r="I987" s="10" t="s">
        <v>245</v>
      </c>
      <c r="J987" s="10" t="s">
        <v>247</v>
      </c>
      <c r="K987" s="10" t="s">
        <v>248</v>
      </c>
      <c r="L987" s="10">
        <v>1</v>
      </c>
    </row>
    <row r="988" spans="1:12" x14ac:dyDescent="0.2">
      <c r="A988" s="10" t="s">
        <v>1682</v>
      </c>
      <c r="D988" s="10" t="s">
        <v>246</v>
      </c>
      <c r="E988" s="18" t="s">
        <v>1929</v>
      </c>
      <c r="F988" s="9">
        <v>45383</v>
      </c>
      <c r="G988" s="9">
        <v>46023</v>
      </c>
      <c r="H988" s="10">
        <v>22</v>
      </c>
      <c r="I988" s="10" t="s">
        <v>245</v>
      </c>
      <c r="J988" s="10" t="s">
        <v>247</v>
      </c>
      <c r="K988" s="10" t="s">
        <v>248</v>
      </c>
      <c r="L988" s="10">
        <v>1</v>
      </c>
    </row>
    <row r="989" spans="1:12" x14ac:dyDescent="0.2">
      <c r="A989" s="10" t="s">
        <v>1683</v>
      </c>
      <c r="D989" s="10" t="s">
        <v>246</v>
      </c>
      <c r="E989" s="18" t="s">
        <v>1930</v>
      </c>
      <c r="F989" s="9">
        <v>45383</v>
      </c>
      <c r="G989" s="9">
        <v>46023</v>
      </c>
      <c r="H989" s="10">
        <v>22</v>
      </c>
      <c r="I989" s="10" t="s">
        <v>245</v>
      </c>
      <c r="J989" s="10" t="s">
        <v>247</v>
      </c>
      <c r="K989" s="10" t="s">
        <v>248</v>
      </c>
      <c r="L989" s="10">
        <v>1</v>
      </c>
    </row>
    <row r="990" spans="1:12" x14ac:dyDescent="0.2">
      <c r="A990" s="10" t="s">
        <v>1684</v>
      </c>
      <c r="D990" s="10" t="s">
        <v>246</v>
      </c>
      <c r="E990" s="18" t="s">
        <v>1931</v>
      </c>
      <c r="F990" s="9">
        <v>44743</v>
      </c>
      <c r="G990" s="9">
        <v>46023</v>
      </c>
      <c r="H990" s="10">
        <v>43</v>
      </c>
      <c r="I990" s="10" t="s">
        <v>245</v>
      </c>
      <c r="J990" s="10" t="s">
        <v>247</v>
      </c>
      <c r="K990" s="10" t="s">
        <v>248</v>
      </c>
      <c r="L990" s="10">
        <v>1</v>
      </c>
    </row>
    <row r="991" spans="1:12" x14ac:dyDescent="0.2">
      <c r="A991" s="10" t="s">
        <v>1684</v>
      </c>
      <c r="D991" s="10" t="s">
        <v>246</v>
      </c>
      <c r="E991" s="18" t="s">
        <v>1932</v>
      </c>
      <c r="F991" s="9">
        <v>44743</v>
      </c>
      <c r="G991" s="9">
        <v>46023</v>
      </c>
      <c r="H991" s="10">
        <v>43</v>
      </c>
      <c r="I991" s="10" t="s">
        <v>245</v>
      </c>
      <c r="J991" s="10" t="s">
        <v>247</v>
      </c>
      <c r="K991" s="10" t="s">
        <v>248</v>
      </c>
      <c r="L991" s="10">
        <v>1</v>
      </c>
    </row>
    <row r="992" spans="1:12" x14ac:dyDescent="0.2">
      <c r="A992" s="10" t="s">
        <v>1685</v>
      </c>
      <c r="D992" s="10" t="s">
        <v>246</v>
      </c>
      <c r="E992" s="18" t="s">
        <v>1933</v>
      </c>
      <c r="F992" s="9">
        <v>42979</v>
      </c>
      <c r="G992" s="9">
        <v>46023</v>
      </c>
      <c r="H992" s="10">
        <v>101</v>
      </c>
      <c r="I992" s="10" t="s">
        <v>245</v>
      </c>
      <c r="J992" s="10" t="s">
        <v>247</v>
      </c>
      <c r="K992" s="10" t="s">
        <v>248</v>
      </c>
      <c r="L992" s="10">
        <v>1</v>
      </c>
    </row>
    <row r="993" spans="1:12" x14ac:dyDescent="0.2">
      <c r="A993" s="10" t="s">
        <v>1685</v>
      </c>
      <c r="D993" s="10" t="s">
        <v>246</v>
      </c>
      <c r="E993" s="18" t="s">
        <v>1934</v>
      </c>
      <c r="F993" s="9">
        <v>42979</v>
      </c>
      <c r="G993" s="9">
        <v>46023</v>
      </c>
      <c r="H993" s="10">
        <v>101</v>
      </c>
      <c r="I993" s="10" t="s">
        <v>245</v>
      </c>
      <c r="J993" s="10" t="s">
        <v>247</v>
      </c>
      <c r="K993" s="10" t="s">
        <v>248</v>
      </c>
      <c r="L993" s="10">
        <v>1</v>
      </c>
    </row>
    <row r="994" spans="1:12" x14ac:dyDescent="0.2">
      <c r="A994" s="10" t="s">
        <v>1686</v>
      </c>
      <c r="D994" s="10" t="s">
        <v>246</v>
      </c>
      <c r="E994" s="18" t="s">
        <v>1935</v>
      </c>
      <c r="F994" s="9">
        <v>45383</v>
      </c>
      <c r="G994" s="9">
        <v>46023</v>
      </c>
      <c r="H994" s="10">
        <v>22</v>
      </c>
      <c r="I994" s="10" t="s">
        <v>245</v>
      </c>
      <c r="J994" s="10" t="s">
        <v>247</v>
      </c>
      <c r="K994" s="10" t="s">
        <v>248</v>
      </c>
      <c r="L994" s="10">
        <v>1</v>
      </c>
    </row>
    <row r="995" spans="1:12" x14ac:dyDescent="0.2">
      <c r="A995" s="10" t="s">
        <v>1687</v>
      </c>
      <c r="D995" s="10" t="s">
        <v>246</v>
      </c>
      <c r="E995" s="18" t="s">
        <v>1936</v>
      </c>
      <c r="F995" s="9">
        <v>45383</v>
      </c>
      <c r="G995" s="9">
        <v>46023</v>
      </c>
      <c r="H995" s="10">
        <v>22</v>
      </c>
      <c r="I995" s="10" t="s">
        <v>245</v>
      </c>
      <c r="J995" s="10" t="s">
        <v>247</v>
      </c>
      <c r="K995" s="10" t="s">
        <v>248</v>
      </c>
      <c r="L995" s="10">
        <v>1</v>
      </c>
    </row>
    <row r="996" spans="1:12" x14ac:dyDescent="0.2">
      <c r="A996" s="10" t="s">
        <v>1688</v>
      </c>
      <c r="D996" s="10" t="s">
        <v>246</v>
      </c>
      <c r="E996" s="18" t="s">
        <v>1937</v>
      </c>
      <c r="F996" s="9">
        <v>42979</v>
      </c>
      <c r="G996" s="9">
        <v>46023</v>
      </c>
      <c r="H996" s="10">
        <v>101</v>
      </c>
      <c r="I996" s="10" t="s">
        <v>245</v>
      </c>
      <c r="J996" s="10" t="s">
        <v>247</v>
      </c>
      <c r="K996" s="10" t="s">
        <v>248</v>
      </c>
      <c r="L996" s="10">
        <v>1</v>
      </c>
    </row>
    <row r="997" spans="1:12" x14ac:dyDescent="0.2">
      <c r="A997" s="10" t="s">
        <v>1689</v>
      </c>
      <c r="D997" s="10" t="s">
        <v>246</v>
      </c>
      <c r="E997" s="18" t="s">
        <v>1938</v>
      </c>
      <c r="F997" s="9">
        <v>45383</v>
      </c>
      <c r="G997" s="9">
        <v>46023</v>
      </c>
      <c r="H997" s="10">
        <v>22</v>
      </c>
      <c r="I997" s="10" t="s">
        <v>245</v>
      </c>
      <c r="J997" s="10" t="s">
        <v>247</v>
      </c>
      <c r="K997" s="10" t="s">
        <v>248</v>
      </c>
      <c r="L997" s="10">
        <v>1</v>
      </c>
    </row>
    <row r="998" spans="1:12" x14ac:dyDescent="0.2">
      <c r="A998" s="10" t="s">
        <v>1690</v>
      </c>
      <c r="D998" s="10" t="s">
        <v>246</v>
      </c>
      <c r="E998" s="18" t="s">
        <v>1939</v>
      </c>
      <c r="F998" s="9">
        <v>45383</v>
      </c>
      <c r="G998" s="9">
        <v>46023</v>
      </c>
      <c r="H998" s="10">
        <v>22</v>
      </c>
      <c r="I998" s="10" t="s">
        <v>245</v>
      </c>
      <c r="J998" s="10" t="s">
        <v>247</v>
      </c>
      <c r="K998" s="10" t="s">
        <v>248</v>
      </c>
      <c r="L998" s="10">
        <v>1</v>
      </c>
    </row>
    <row r="999" spans="1:12" x14ac:dyDescent="0.2">
      <c r="A999" s="10" t="s">
        <v>1691</v>
      </c>
      <c r="D999" s="10" t="s">
        <v>246</v>
      </c>
      <c r="E999" s="18" t="s">
        <v>1940</v>
      </c>
      <c r="F999" s="9">
        <v>44470</v>
      </c>
      <c r="G999" s="9">
        <v>46023</v>
      </c>
      <c r="H999" s="10">
        <v>52</v>
      </c>
      <c r="I999" s="10" t="s">
        <v>245</v>
      </c>
      <c r="J999" s="10" t="s">
        <v>247</v>
      </c>
      <c r="K999" s="10" t="s">
        <v>248</v>
      </c>
      <c r="L999" s="10">
        <v>1</v>
      </c>
    </row>
    <row r="1000" spans="1:12" x14ac:dyDescent="0.2">
      <c r="A1000" s="10" t="s">
        <v>1692</v>
      </c>
      <c r="D1000" s="10" t="s">
        <v>246</v>
      </c>
      <c r="E1000" s="18" t="s">
        <v>1941</v>
      </c>
      <c r="F1000" s="9">
        <v>44470</v>
      </c>
      <c r="G1000" s="9">
        <v>46023</v>
      </c>
      <c r="H1000" s="10">
        <v>52</v>
      </c>
      <c r="I1000" s="10" t="s">
        <v>245</v>
      </c>
      <c r="J1000" s="10" t="s">
        <v>247</v>
      </c>
      <c r="K1000" s="10" t="s">
        <v>248</v>
      </c>
      <c r="L1000" s="10">
        <v>1</v>
      </c>
    </row>
    <row r="1001" spans="1:12" x14ac:dyDescent="0.2">
      <c r="A1001" s="10" t="s">
        <v>1693</v>
      </c>
      <c r="D1001" s="10" t="s">
        <v>246</v>
      </c>
      <c r="E1001" s="18" t="s">
        <v>1942</v>
      </c>
      <c r="F1001" s="9">
        <v>45383</v>
      </c>
      <c r="G1001" s="9">
        <v>46023</v>
      </c>
      <c r="H1001" s="10">
        <v>22</v>
      </c>
      <c r="I1001" s="10" t="s">
        <v>245</v>
      </c>
      <c r="J1001" s="10" t="s">
        <v>247</v>
      </c>
      <c r="K1001" s="10" t="s">
        <v>248</v>
      </c>
      <c r="L1001" s="10">
        <v>1</v>
      </c>
    </row>
    <row r="1002" spans="1:12" x14ac:dyDescent="0.2">
      <c r="A1002" s="10" t="s">
        <v>1694</v>
      </c>
      <c r="D1002" s="10" t="s">
        <v>246</v>
      </c>
      <c r="E1002" s="18" t="s">
        <v>1943</v>
      </c>
      <c r="F1002" s="9">
        <v>45383</v>
      </c>
      <c r="G1002" s="9">
        <v>46023</v>
      </c>
      <c r="H1002" s="10">
        <v>22</v>
      </c>
      <c r="I1002" s="10" t="s">
        <v>245</v>
      </c>
      <c r="J1002" s="10" t="s">
        <v>247</v>
      </c>
      <c r="K1002" s="10" t="s">
        <v>248</v>
      </c>
      <c r="L1002" s="10">
        <v>1</v>
      </c>
    </row>
    <row r="1003" spans="1:12" x14ac:dyDescent="0.2">
      <c r="A1003" s="10" t="s">
        <v>1695</v>
      </c>
      <c r="D1003" s="10" t="s">
        <v>246</v>
      </c>
      <c r="E1003" s="18" t="s">
        <v>1944</v>
      </c>
      <c r="F1003" s="9">
        <v>45383</v>
      </c>
      <c r="G1003" s="9">
        <v>46023</v>
      </c>
      <c r="H1003" s="10">
        <v>22</v>
      </c>
      <c r="I1003" s="10" t="s">
        <v>245</v>
      </c>
      <c r="J1003" s="10" t="s">
        <v>247</v>
      </c>
      <c r="K1003" s="10" t="s">
        <v>248</v>
      </c>
      <c r="L1003" s="10">
        <v>1</v>
      </c>
    </row>
    <row r="1004" spans="1:12" x14ac:dyDescent="0.2">
      <c r="A1004" s="10" t="s">
        <v>1696</v>
      </c>
      <c r="D1004" s="10" t="s">
        <v>246</v>
      </c>
      <c r="E1004" s="18" t="s">
        <v>1945</v>
      </c>
      <c r="F1004" s="9">
        <v>45383</v>
      </c>
      <c r="G1004" s="9">
        <v>46023</v>
      </c>
      <c r="H1004" s="10">
        <v>22</v>
      </c>
      <c r="I1004" s="10" t="s">
        <v>245</v>
      </c>
      <c r="J1004" s="10" t="s">
        <v>247</v>
      </c>
      <c r="K1004" s="10" t="s">
        <v>248</v>
      </c>
      <c r="L1004" s="10">
        <v>1</v>
      </c>
    </row>
    <row r="1005" spans="1:12" x14ac:dyDescent="0.2">
      <c r="A1005" s="10" t="s">
        <v>1697</v>
      </c>
      <c r="D1005" s="10" t="s">
        <v>246</v>
      </c>
      <c r="E1005" s="18" t="s">
        <v>1946</v>
      </c>
      <c r="F1005" s="9">
        <v>45383</v>
      </c>
      <c r="G1005" s="9">
        <v>46023</v>
      </c>
      <c r="H1005" s="10">
        <v>22</v>
      </c>
      <c r="I1005" s="10" t="s">
        <v>245</v>
      </c>
      <c r="J1005" s="10" t="s">
        <v>247</v>
      </c>
      <c r="K1005" s="10" t="s">
        <v>248</v>
      </c>
      <c r="L1005" s="10">
        <v>1</v>
      </c>
    </row>
    <row r="1006" spans="1:12" x14ac:dyDescent="0.2">
      <c r="A1006" s="10" t="s">
        <v>1697</v>
      </c>
      <c r="D1006" s="10" t="s">
        <v>246</v>
      </c>
      <c r="E1006" s="18" t="s">
        <v>1947</v>
      </c>
      <c r="F1006" s="9">
        <v>45383</v>
      </c>
      <c r="G1006" s="9">
        <v>46023</v>
      </c>
      <c r="H1006" s="10">
        <v>22</v>
      </c>
      <c r="I1006" s="10" t="s">
        <v>245</v>
      </c>
      <c r="J1006" s="10" t="s">
        <v>247</v>
      </c>
      <c r="K1006" s="10" t="s">
        <v>248</v>
      </c>
      <c r="L1006" s="10">
        <v>1</v>
      </c>
    </row>
    <row r="1007" spans="1:12" x14ac:dyDescent="0.2">
      <c r="A1007" s="10" t="s">
        <v>1698</v>
      </c>
      <c r="D1007" s="10" t="s">
        <v>246</v>
      </c>
      <c r="E1007" s="18" t="s">
        <v>1948</v>
      </c>
      <c r="F1007" s="9">
        <v>45383</v>
      </c>
      <c r="G1007" s="9">
        <v>46023</v>
      </c>
      <c r="H1007" s="10">
        <v>22</v>
      </c>
      <c r="I1007" s="10" t="s">
        <v>245</v>
      </c>
      <c r="J1007" s="10" t="s">
        <v>247</v>
      </c>
      <c r="K1007" s="10" t="s">
        <v>248</v>
      </c>
      <c r="L1007" s="10">
        <v>1</v>
      </c>
    </row>
    <row r="1008" spans="1:12" x14ac:dyDescent="0.2">
      <c r="A1008" s="10" t="s">
        <v>1699</v>
      </c>
      <c r="D1008" s="10" t="s">
        <v>246</v>
      </c>
      <c r="E1008" s="18" t="s">
        <v>1949</v>
      </c>
      <c r="F1008" s="9">
        <v>45383</v>
      </c>
      <c r="G1008" s="9">
        <v>46023</v>
      </c>
      <c r="H1008" s="10">
        <v>22</v>
      </c>
      <c r="I1008" s="10" t="s">
        <v>245</v>
      </c>
      <c r="J1008" s="10" t="s">
        <v>247</v>
      </c>
      <c r="K1008" s="10" t="s">
        <v>248</v>
      </c>
      <c r="L1008" s="10">
        <v>1</v>
      </c>
    </row>
    <row r="1009" spans="1:12" x14ac:dyDescent="0.2">
      <c r="A1009" s="10" t="s">
        <v>1700</v>
      </c>
      <c r="D1009" s="10" t="s">
        <v>246</v>
      </c>
      <c r="E1009" s="18" t="s">
        <v>1950</v>
      </c>
      <c r="F1009" s="9">
        <v>45383</v>
      </c>
      <c r="G1009" s="9">
        <v>46023</v>
      </c>
      <c r="H1009" s="10">
        <v>22</v>
      </c>
      <c r="I1009" s="10" t="s">
        <v>245</v>
      </c>
      <c r="J1009" s="10" t="s">
        <v>247</v>
      </c>
      <c r="K1009" s="10" t="s">
        <v>248</v>
      </c>
      <c r="L1009" s="10">
        <v>1</v>
      </c>
    </row>
    <row r="1010" spans="1:12" x14ac:dyDescent="0.2">
      <c r="A1010" s="10" t="s">
        <v>1701</v>
      </c>
      <c r="D1010" s="10" t="s">
        <v>246</v>
      </c>
      <c r="E1010" s="18" t="s">
        <v>1951</v>
      </c>
      <c r="F1010" s="9">
        <v>45383</v>
      </c>
      <c r="G1010" s="9">
        <v>46023</v>
      </c>
      <c r="H1010" s="10">
        <v>22</v>
      </c>
      <c r="I1010" s="10" t="s">
        <v>245</v>
      </c>
      <c r="J1010" s="10" t="s">
        <v>247</v>
      </c>
      <c r="K1010" s="10" t="s">
        <v>248</v>
      </c>
      <c r="L1010" s="10">
        <v>1</v>
      </c>
    </row>
    <row r="1011" spans="1:12" x14ac:dyDescent="0.2">
      <c r="A1011" s="10" t="s">
        <v>1702</v>
      </c>
      <c r="D1011" s="10" t="s">
        <v>246</v>
      </c>
      <c r="E1011" s="18" t="s">
        <v>1952</v>
      </c>
      <c r="F1011" s="9">
        <v>45383</v>
      </c>
      <c r="G1011" s="9">
        <v>46023</v>
      </c>
      <c r="H1011" s="10">
        <v>22</v>
      </c>
      <c r="I1011" s="10" t="s">
        <v>245</v>
      </c>
      <c r="J1011" s="10" t="s">
        <v>247</v>
      </c>
      <c r="K1011" s="10" t="s">
        <v>248</v>
      </c>
      <c r="L1011" s="10">
        <v>1</v>
      </c>
    </row>
    <row r="1012" spans="1:12" x14ac:dyDescent="0.2">
      <c r="A1012" s="10" t="s">
        <v>1953</v>
      </c>
      <c r="D1012" s="10" t="s">
        <v>246</v>
      </c>
      <c r="E1012" s="18" t="s">
        <v>2005</v>
      </c>
      <c r="F1012" s="9">
        <v>42979</v>
      </c>
      <c r="G1012" s="9">
        <v>46023</v>
      </c>
      <c r="H1012" s="10">
        <v>101</v>
      </c>
      <c r="I1012" s="10" t="s">
        <v>245</v>
      </c>
      <c r="J1012" s="10" t="s">
        <v>247</v>
      </c>
      <c r="K1012" s="10" t="s">
        <v>248</v>
      </c>
      <c r="L1012" s="10">
        <v>1</v>
      </c>
    </row>
    <row r="1013" spans="1:12" x14ac:dyDescent="0.2">
      <c r="A1013" s="10" t="s">
        <v>1954</v>
      </c>
      <c r="D1013" s="10" t="s">
        <v>246</v>
      </c>
      <c r="E1013" s="18" t="s">
        <v>2006</v>
      </c>
      <c r="F1013" s="9">
        <v>42979</v>
      </c>
      <c r="G1013" s="9">
        <v>46023</v>
      </c>
      <c r="H1013" s="10">
        <v>101</v>
      </c>
      <c r="I1013" s="10" t="s">
        <v>245</v>
      </c>
      <c r="J1013" s="10" t="s">
        <v>247</v>
      </c>
      <c r="K1013" s="10" t="s">
        <v>248</v>
      </c>
      <c r="L1013" s="10">
        <v>1</v>
      </c>
    </row>
    <row r="1014" spans="1:12" x14ac:dyDescent="0.2">
      <c r="A1014" s="10" t="s">
        <v>1955</v>
      </c>
      <c r="D1014" s="10" t="s">
        <v>246</v>
      </c>
      <c r="E1014" s="18" t="s">
        <v>2007</v>
      </c>
      <c r="F1014" s="9">
        <v>42979</v>
      </c>
      <c r="G1014" s="9">
        <v>46023</v>
      </c>
      <c r="H1014" s="10">
        <v>101</v>
      </c>
      <c r="I1014" s="10" t="s">
        <v>245</v>
      </c>
      <c r="J1014" s="10" t="s">
        <v>247</v>
      </c>
      <c r="K1014" s="10" t="s">
        <v>248</v>
      </c>
      <c r="L1014" s="10">
        <v>1</v>
      </c>
    </row>
    <row r="1015" spans="1:12" x14ac:dyDescent="0.2">
      <c r="A1015" s="10" t="s">
        <v>1956</v>
      </c>
      <c r="D1015" s="10" t="s">
        <v>246</v>
      </c>
      <c r="E1015" s="18" t="s">
        <v>2008</v>
      </c>
      <c r="F1015" s="9">
        <v>42979</v>
      </c>
      <c r="G1015" s="9">
        <v>46023</v>
      </c>
      <c r="H1015" s="10">
        <v>101</v>
      </c>
      <c r="I1015" s="10" t="s">
        <v>245</v>
      </c>
      <c r="J1015" s="10" t="s">
        <v>247</v>
      </c>
      <c r="K1015" s="10" t="s">
        <v>248</v>
      </c>
      <c r="L1015" s="10">
        <v>1</v>
      </c>
    </row>
    <row r="1016" spans="1:12" x14ac:dyDescent="0.2">
      <c r="A1016" s="10" t="s">
        <v>1957</v>
      </c>
      <c r="D1016" s="10" t="s">
        <v>246</v>
      </c>
      <c r="E1016" s="18" t="s">
        <v>2009</v>
      </c>
      <c r="F1016" s="9">
        <v>45383</v>
      </c>
      <c r="G1016" s="9">
        <v>46023</v>
      </c>
      <c r="H1016" s="10">
        <v>22</v>
      </c>
      <c r="I1016" s="10" t="s">
        <v>245</v>
      </c>
      <c r="J1016" s="10" t="s">
        <v>247</v>
      </c>
      <c r="K1016" s="10" t="s">
        <v>248</v>
      </c>
      <c r="L1016" s="10">
        <v>1</v>
      </c>
    </row>
    <row r="1017" spans="1:12" x14ac:dyDescent="0.2">
      <c r="A1017" s="10" t="s">
        <v>1958</v>
      </c>
      <c r="D1017" s="10" t="s">
        <v>246</v>
      </c>
      <c r="E1017" s="18" t="s">
        <v>2010</v>
      </c>
      <c r="F1017" s="9">
        <v>45383</v>
      </c>
      <c r="G1017" s="9">
        <v>46023</v>
      </c>
      <c r="H1017" s="10">
        <v>22</v>
      </c>
      <c r="I1017" s="10" t="s">
        <v>245</v>
      </c>
      <c r="J1017" s="10" t="s">
        <v>247</v>
      </c>
      <c r="K1017" s="10" t="s">
        <v>248</v>
      </c>
      <c r="L1017" s="10">
        <v>1</v>
      </c>
    </row>
    <row r="1018" spans="1:12" x14ac:dyDescent="0.2">
      <c r="A1018" s="10" t="s">
        <v>1959</v>
      </c>
      <c r="D1018" s="10" t="s">
        <v>246</v>
      </c>
      <c r="E1018" s="18" t="s">
        <v>2011</v>
      </c>
      <c r="F1018" s="9">
        <v>45383</v>
      </c>
      <c r="G1018" s="9">
        <v>46023</v>
      </c>
      <c r="H1018" s="10">
        <v>22</v>
      </c>
      <c r="I1018" s="10" t="s">
        <v>245</v>
      </c>
      <c r="J1018" s="10" t="s">
        <v>247</v>
      </c>
      <c r="K1018" s="10" t="s">
        <v>248</v>
      </c>
      <c r="L1018" s="10">
        <v>1</v>
      </c>
    </row>
    <row r="1019" spans="1:12" x14ac:dyDescent="0.2">
      <c r="A1019" s="10" t="s">
        <v>1960</v>
      </c>
      <c r="D1019" s="10" t="s">
        <v>246</v>
      </c>
      <c r="E1019" s="18" t="s">
        <v>2012</v>
      </c>
      <c r="F1019" s="9">
        <v>45383</v>
      </c>
      <c r="G1019" s="9">
        <v>46023</v>
      </c>
      <c r="H1019" s="10">
        <v>22</v>
      </c>
      <c r="I1019" s="10" t="s">
        <v>245</v>
      </c>
      <c r="J1019" s="10" t="s">
        <v>247</v>
      </c>
      <c r="K1019" s="10" t="s">
        <v>248</v>
      </c>
      <c r="L1019" s="10">
        <v>1</v>
      </c>
    </row>
    <row r="1020" spans="1:12" x14ac:dyDescent="0.2">
      <c r="A1020" s="10" t="s">
        <v>1961</v>
      </c>
      <c r="D1020" s="10" t="s">
        <v>246</v>
      </c>
      <c r="E1020" s="18" t="s">
        <v>2013</v>
      </c>
      <c r="F1020" s="9">
        <v>45383</v>
      </c>
      <c r="G1020" s="9">
        <v>46023</v>
      </c>
      <c r="H1020" s="10">
        <v>22</v>
      </c>
      <c r="I1020" s="10" t="s">
        <v>245</v>
      </c>
      <c r="J1020" s="10" t="s">
        <v>247</v>
      </c>
      <c r="K1020" s="10" t="s">
        <v>248</v>
      </c>
      <c r="L1020" s="10">
        <v>1</v>
      </c>
    </row>
    <row r="1021" spans="1:12" x14ac:dyDescent="0.2">
      <c r="A1021" s="10" t="s">
        <v>1962</v>
      </c>
      <c r="D1021" s="10" t="s">
        <v>246</v>
      </c>
      <c r="E1021" s="18" t="s">
        <v>2014</v>
      </c>
      <c r="F1021" s="9">
        <v>45383</v>
      </c>
      <c r="G1021" s="9">
        <v>46023</v>
      </c>
      <c r="H1021" s="10">
        <v>22</v>
      </c>
      <c r="I1021" s="10" t="s">
        <v>245</v>
      </c>
      <c r="J1021" s="10" t="s">
        <v>247</v>
      </c>
      <c r="K1021" s="10" t="s">
        <v>248</v>
      </c>
      <c r="L1021" s="10">
        <v>1</v>
      </c>
    </row>
    <row r="1022" spans="1:12" x14ac:dyDescent="0.2">
      <c r="A1022" s="10" t="s">
        <v>1963</v>
      </c>
      <c r="D1022" s="10" t="s">
        <v>246</v>
      </c>
      <c r="E1022" s="18" t="s">
        <v>2015</v>
      </c>
      <c r="F1022" s="9">
        <v>45383</v>
      </c>
      <c r="G1022" s="9">
        <v>46023</v>
      </c>
      <c r="H1022" s="10">
        <v>22</v>
      </c>
      <c r="I1022" s="10" t="s">
        <v>245</v>
      </c>
      <c r="J1022" s="10" t="s">
        <v>247</v>
      </c>
      <c r="K1022" s="10" t="s">
        <v>248</v>
      </c>
      <c r="L1022" s="10">
        <v>1</v>
      </c>
    </row>
    <row r="1023" spans="1:12" x14ac:dyDescent="0.2">
      <c r="A1023" s="10" t="s">
        <v>1964</v>
      </c>
      <c r="D1023" s="10" t="s">
        <v>246</v>
      </c>
      <c r="E1023" s="18" t="s">
        <v>2016</v>
      </c>
      <c r="F1023" s="9">
        <v>45383</v>
      </c>
      <c r="G1023" s="9">
        <v>46023</v>
      </c>
      <c r="H1023" s="10">
        <v>22</v>
      </c>
      <c r="I1023" s="10" t="s">
        <v>245</v>
      </c>
      <c r="J1023" s="10" t="s">
        <v>247</v>
      </c>
      <c r="K1023" s="10" t="s">
        <v>248</v>
      </c>
      <c r="L1023" s="10">
        <v>1</v>
      </c>
    </row>
    <row r="1024" spans="1:12" x14ac:dyDescent="0.2">
      <c r="A1024" s="10" t="s">
        <v>1965</v>
      </c>
      <c r="D1024" s="10" t="s">
        <v>246</v>
      </c>
      <c r="E1024" s="18" t="s">
        <v>2017</v>
      </c>
      <c r="F1024" s="9">
        <v>45383</v>
      </c>
      <c r="G1024" s="9">
        <v>46023</v>
      </c>
      <c r="H1024" s="10">
        <v>22</v>
      </c>
      <c r="I1024" s="10" t="s">
        <v>245</v>
      </c>
      <c r="J1024" s="10" t="s">
        <v>247</v>
      </c>
      <c r="K1024" s="10" t="s">
        <v>248</v>
      </c>
      <c r="L1024" s="10">
        <v>1</v>
      </c>
    </row>
    <row r="1025" spans="1:12" x14ac:dyDescent="0.2">
      <c r="A1025" s="10" t="s">
        <v>1966</v>
      </c>
      <c r="D1025" s="10" t="s">
        <v>246</v>
      </c>
      <c r="E1025" s="18" t="s">
        <v>2018</v>
      </c>
      <c r="F1025" s="9">
        <v>45383</v>
      </c>
      <c r="G1025" s="9">
        <v>46023</v>
      </c>
      <c r="H1025" s="10">
        <v>22</v>
      </c>
      <c r="I1025" s="10" t="s">
        <v>245</v>
      </c>
      <c r="J1025" s="10" t="s">
        <v>247</v>
      </c>
      <c r="K1025" s="10" t="s">
        <v>248</v>
      </c>
      <c r="L1025" s="10">
        <v>1</v>
      </c>
    </row>
    <row r="1026" spans="1:12" x14ac:dyDescent="0.2">
      <c r="A1026" s="10" t="s">
        <v>1967</v>
      </c>
      <c r="D1026" s="10" t="s">
        <v>246</v>
      </c>
      <c r="E1026" s="18" t="s">
        <v>2019</v>
      </c>
      <c r="F1026" s="9">
        <v>45383</v>
      </c>
      <c r="G1026" s="9">
        <v>46023</v>
      </c>
      <c r="H1026" s="10">
        <v>22</v>
      </c>
      <c r="I1026" s="10" t="s">
        <v>245</v>
      </c>
      <c r="J1026" s="10" t="s">
        <v>247</v>
      </c>
      <c r="K1026" s="10" t="s">
        <v>248</v>
      </c>
      <c r="L1026" s="10">
        <v>1</v>
      </c>
    </row>
    <row r="1027" spans="1:12" x14ac:dyDescent="0.2">
      <c r="A1027" s="10" t="s">
        <v>1968</v>
      </c>
      <c r="D1027" s="10" t="s">
        <v>246</v>
      </c>
      <c r="E1027" s="18" t="s">
        <v>2020</v>
      </c>
      <c r="F1027" s="9">
        <v>45383</v>
      </c>
      <c r="G1027" s="9">
        <v>46023</v>
      </c>
      <c r="H1027" s="10">
        <v>22</v>
      </c>
      <c r="I1027" s="10" t="s">
        <v>245</v>
      </c>
      <c r="J1027" s="10" t="s">
        <v>247</v>
      </c>
      <c r="K1027" s="10" t="s">
        <v>248</v>
      </c>
      <c r="L1027" s="10">
        <v>1</v>
      </c>
    </row>
    <row r="1028" spans="1:12" x14ac:dyDescent="0.2">
      <c r="A1028" s="10" t="s">
        <v>1969</v>
      </c>
      <c r="D1028" s="10" t="s">
        <v>246</v>
      </c>
      <c r="E1028" s="18" t="s">
        <v>2021</v>
      </c>
      <c r="F1028" s="9">
        <v>45383</v>
      </c>
      <c r="G1028" s="9">
        <v>46023</v>
      </c>
      <c r="H1028" s="10">
        <v>22</v>
      </c>
      <c r="I1028" s="10" t="s">
        <v>245</v>
      </c>
      <c r="J1028" s="10" t="s">
        <v>247</v>
      </c>
      <c r="K1028" s="10" t="s">
        <v>248</v>
      </c>
      <c r="L1028" s="10">
        <v>1</v>
      </c>
    </row>
    <row r="1029" spans="1:12" x14ac:dyDescent="0.2">
      <c r="A1029" s="10" t="s">
        <v>1970</v>
      </c>
      <c r="D1029" s="10" t="s">
        <v>246</v>
      </c>
      <c r="E1029" s="18" t="s">
        <v>2022</v>
      </c>
      <c r="F1029" s="9">
        <v>45383</v>
      </c>
      <c r="G1029" s="9">
        <v>46023</v>
      </c>
      <c r="H1029" s="10">
        <v>22</v>
      </c>
      <c r="I1029" s="10" t="s">
        <v>245</v>
      </c>
      <c r="J1029" s="10" t="s">
        <v>247</v>
      </c>
      <c r="K1029" s="10" t="s">
        <v>248</v>
      </c>
      <c r="L1029" s="10">
        <v>1</v>
      </c>
    </row>
    <row r="1030" spans="1:12" x14ac:dyDescent="0.2">
      <c r="A1030" s="10" t="s">
        <v>1971</v>
      </c>
      <c r="D1030" s="10" t="s">
        <v>246</v>
      </c>
      <c r="E1030" s="18" t="s">
        <v>2023</v>
      </c>
      <c r="F1030" s="9">
        <v>45383</v>
      </c>
      <c r="G1030" s="9">
        <v>46023</v>
      </c>
      <c r="H1030" s="10">
        <v>22</v>
      </c>
      <c r="I1030" s="10" t="s">
        <v>245</v>
      </c>
      <c r="J1030" s="10" t="s">
        <v>247</v>
      </c>
      <c r="K1030" s="10" t="s">
        <v>248</v>
      </c>
      <c r="L1030" s="10">
        <v>1</v>
      </c>
    </row>
    <row r="1031" spans="1:12" x14ac:dyDescent="0.2">
      <c r="A1031" s="10" t="s">
        <v>1972</v>
      </c>
      <c r="D1031" s="10" t="s">
        <v>246</v>
      </c>
      <c r="E1031" s="18" t="s">
        <v>2024</v>
      </c>
      <c r="F1031" s="9">
        <v>42979</v>
      </c>
      <c r="G1031" s="9">
        <v>46023</v>
      </c>
      <c r="H1031" s="10">
        <v>101</v>
      </c>
      <c r="I1031" s="10" t="s">
        <v>245</v>
      </c>
      <c r="J1031" s="10" t="s">
        <v>247</v>
      </c>
      <c r="K1031" s="10" t="s">
        <v>248</v>
      </c>
      <c r="L1031" s="10">
        <v>1</v>
      </c>
    </row>
    <row r="1032" spans="1:12" x14ac:dyDescent="0.2">
      <c r="A1032" s="10" t="s">
        <v>1973</v>
      </c>
      <c r="D1032" s="10" t="s">
        <v>246</v>
      </c>
      <c r="E1032" s="18" t="s">
        <v>2025</v>
      </c>
      <c r="F1032" s="9">
        <v>45383</v>
      </c>
      <c r="G1032" s="9">
        <v>46023</v>
      </c>
      <c r="H1032" s="10">
        <v>22</v>
      </c>
      <c r="I1032" s="10" t="s">
        <v>245</v>
      </c>
      <c r="J1032" s="10" t="s">
        <v>247</v>
      </c>
      <c r="K1032" s="10" t="s">
        <v>248</v>
      </c>
      <c r="L1032" s="10">
        <v>1</v>
      </c>
    </row>
    <row r="1033" spans="1:12" x14ac:dyDescent="0.2">
      <c r="A1033" s="10" t="s">
        <v>1974</v>
      </c>
      <c r="D1033" s="10" t="s">
        <v>246</v>
      </c>
      <c r="E1033" s="18" t="s">
        <v>2026</v>
      </c>
      <c r="F1033" s="9">
        <v>45383</v>
      </c>
      <c r="G1033" s="9">
        <v>46023</v>
      </c>
      <c r="H1033" s="10">
        <v>22</v>
      </c>
      <c r="I1033" s="10" t="s">
        <v>245</v>
      </c>
      <c r="J1033" s="10" t="s">
        <v>247</v>
      </c>
      <c r="K1033" s="10" t="s">
        <v>248</v>
      </c>
      <c r="L1033" s="10">
        <v>1</v>
      </c>
    </row>
    <row r="1034" spans="1:12" x14ac:dyDescent="0.2">
      <c r="A1034" s="10" t="s">
        <v>1975</v>
      </c>
      <c r="D1034" s="10" t="s">
        <v>246</v>
      </c>
      <c r="E1034" s="18" t="s">
        <v>2027</v>
      </c>
      <c r="F1034" s="9">
        <v>45383</v>
      </c>
      <c r="G1034" s="9">
        <v>46023</v>
      </c>
      <c r="H1034" s="10">
        <v>22</v>
      </c>
      <c r="I1034" s="10" t="s">
        <v>245</v>
      </c>
      <c r="J1034" s="10" t="s">
        <v>247</v>
      </c>
      <c r="K1034" s="10" t="s">
        <v>248</v>
      </c>
      <c r="L1034" s="10">
        <v>1</v>
      </c>
    </row>
    <row r="1035" spans="1:12" x14ac:dyDescent="0.2">
      <c r="A1035" s="10" t="s">
        <v>1975</v>
      </c>
      <c r="D1035" s="10" t="s">
        <v>246</v>
      </c>
      <c r="E1035" s="18" t="s">
        <v>2028</v>
      </c>
      <c r="F1035" s="9">
        <v>45383</v>
      </c>
      <c r="G1035" s="9">
        <v>46023</v>
      </c>
      <c r="H1035" s="10">
        <v>22</v>
      </c>
      <c r="I1035" s="10" t="s">
        <v>245</v>
      </c>
      <c r="J1035" s="10" t="s">
        <v>247</v>
      </c>
      <c r="K1035" s="10" t="s">
        <v>248</v>
      </c>
      <c r="L1035" s="10">
        <v>1</v>
      </c>
    </row>
    <row r="1036" spans="1:12" x14ac:dyDescent="0.2">
      <c r="A1036" s="10" t="s">
        <v>1976</v>
      </c>
      <c r="D1036" s="10" t="s">
        <v>246</v>
      </c>
      <c r="E1036" s="18" t="s">
        <v>2029</v>
      </c>
      <c r="F1036" s="9">
        <v>45383</v>
      </c>
      <c r="G1036" s="9">
        <v>46023</v>
      </c>
      <c r="H1036" s="10">
        <v>22</v>
      </c>
      <c r="I1036" s="10" t="s">
        <v>245</v>
      </c>
      <c r="J1036" s="10" t="s">
        <v>247</v>
      </c>
      <c r="K1036" s="10" t="s">
        <v>248</v>
      </c>
      <c r="L1036" s="10">
        <v>1</v>
      </c>
    </row>
    <row r="1037" spans="1:12" x14ac:dyDescent="0.2">
      <c r="A1037" s="10" t="s">
        <v>1976</v>
      </c>
      <c r="D1037" s="10" t="s">
        <v>246</v>
      </c>
      <c r="E1037" s="18" t="s">
        <v>2030</v>
      </c>
      <c r="F1037" s="9">
        <v>45383</v>
      </c>
      <c r="G1037" s="9">
        <v>46023</v>
      </c>
      <c r="H1037" s="10">
        <v>22</v>
      </c>
      <c r="I1037" s="10" t="s">
        <v>245</v>
      </c>
      <c r="J1037" s="10" t="s">
        <v>247</v>
      </c>
      <c r="K1037" s="10" t="s">
        <v>248</v>
      </c>
      <c r="L1037" s="10">
        <v>1</v>
      </c>
    </row>
    <row r="1038" spans="1:12" x14ac:dyDescent="0.2">
      <c r="A1038" s="10" t="s">
        <v>1977</v>
      </c>
      <c r="D1038" s="10" t="s">
        <v>246</v>
      </c>
      <c r="E1038" s="18" t="s">
        <v>2031</v>
      </c>
      <c r="F1038" s="9">
        <v>44743</v>
      </c>
      <c r="G1038" s="9">
        <v>46023</v>
      </c>
      <c r="H1038" s="10">
        <v>43</v>
      </c>
      <c r="I1038" s="10" t="s">
        <v>245</v>
      </c>
      <c r="J1038" s="10" t="s">
        <v>247</v>
      </c>
      <c r="K1038" s="10" t="s">
        <v>248</v>
      </c>
      <c r="L1038" s="10">
        <v>1</v>
      </c>
    </row>
    <row r="1039" spans="1:12" x14ac:dyDescent="0.2">
      <c r="A1039" s="10" t="s">
        <v>1978</v>
      </c>
      <c r="D1039" s="10" t="s">
        <v>246</v>
      </c>
      <c r="E1039" s="18" t="s">
        <v>2032</v>
      </c>
      <c r="F1039" s="9">
        <v>45383</v>
      </c>
      <c r="G1039" s="9">
        <v>46023</v>
      </c>
      <c r="H1039" s="10">
        <v>22</v>
      </c>
      <c r="I1039" s="10" t="s">
        <v>245</v>
      </c>
      <c r="J1039" s="10" t="s">
        <v>247</v>
      </c>
      <c r="K1039" s="10" t="s">
        <v>248</v>
      </c>
      <c r="L1039" s="10">
        <v>1</v>
      </c>
    </row>
    <row r="1040" spans="1:12" x14ac:dyDescent="0.2">
      <c r="A1040" s="10" t="s">
        <v>1979</v>
      </c>
      <c r="D1040" s="10" t="s">
        <v>246</v>
      </c>
      <c r="E1040" s="18" t="s">
        <v>2033</v>
      </c>
      <c r="F1040" s="9">
        <v>45383</v>
      </c>
      <c r="G1040" s="9">
        <v>46023</v>
      </c>
      <c r="H1040" s="10">
        <v>22</v>
      </c>
      <c r="I1040" s="10" t="s">
        <v>245</v>
      </c>
      <c r="J1040" s="10" t="s">
        <v>247</v>
      </c>
      <c r="K1040" s="10" t="s">
        <v>248</v>
      </c>
      <c r="L1040" s="10">
        <v>1</v>
      </c>
    </row>
    <row r="1041" spans="1:12" x14ac:dyDescent="0.2">
      <c r="A1041" s="10" t="s">
        <v>1980</v>
      </c>
      <c r="D1041" s="10" t="s">
        <v>246</v>
      </c>
      <c r="E1041" s="18" t="s">
        <v>2034</v>
      </c>
      <c r="F1041" s="9">
        <v>45383</v>
      </c>
      <c r="G1041" s="9">
        <v>46023</v>
      </c>
      <c r="H1041" s="10">
        <v>22</v>
      </c>
      <c r="I1041" s="10" t="s">
        <v>245</v>
      </c>
      <c r="J1041" s="10" t="s">
        <v>247</v>
      </c>
      <c r="K1041" s="10" t="s">
        <v>248</v>
      </c>
      <c r="L1041" s="10">
        <v>1</v>
      </c>
    </row>
    <row r="1042" spans="1:12" x14ac:dyDescent="0.2">
      <c r="A1042" s="10" t="s">
        <v>1981</v>
      </c>
      <c r="D1042" s="10" t="s">
        <v>246</v>
      </c>
      <c r="E1042" s="18" t="s">
        <v>2035</v>
      </c>
      <c r="F1042" s="9">
        <v>45383</v>
      </c>
      <c r="G1042" s="9">
        <v>46023</v>
      </c>
      <c r="H1042" s="10">
        <v>22</v>
      </c>
      <c r="I1042" s="10" t="s">
        <v>245</v>
      </c>
      <c r="J1042" s="10" t="s">
        <v>247</v>
      </c>
      <c r="K1042" s="10" t="s">
        <v>248</v>
      </c>
      <c r="L1042" s="10">
        <v>1</v>
      </c>
    </row>
    <row r="1043" spans="1:12" x14ac:dyDescent="0.2">
      <c r="A1043" s="10" t="s">
        <v>1982</v>
      </c>
      <c r="D1043" s="10" t="s">
        <v>246</v>
      </c>
      <c r="E1043" s="18" t="s">
        <v>2036</v>
      </c>
      <c r="F1043" s="9">
        <v>45383</v>
      </c>
      <c r="G1043" s="9">
        <v>46023</v>
      </c>
      <c r="H1043" s="10">
        <v>22</v>
      </c>
      <c r="I1043" s="10" t="s">
        <v>245</v>
      </c>
      <c r="J1043" s="10" t="s">
        <v>247</v>
      </c>
      <c r="K1043" s="10" t="s">
        <v>248</v>
      </c>
      <c r="L1043" s="10">
        <v>1</v>
      </c>
    </row>
    <row r="1044" spans="1:12" x14ac:dyDescent="0.2">
      <c r="A1044" s="10" t="s">
        <v>1983</v>
      </c>
      <c r="D1044" s="10" t="s">
        <v>246</v>
      </c>
      <c r="E1044" s="18" t="s">
        <v>2037</v>
      </c>
      <c r="F1044" s="9">
        <v>45383</v>
      </c>
      <c r="G1044" s="9">
        <v>46023</v>
      </c>
      <c r="H1044" s="10">
        <v>22</v>
      </c>
      <c r="I1044" s="10" t="s">
        <v>245</v>
      </c>
      <c r="J1044" s="10" t="s">
        <v>247</v>
      </c>
      <c r="K1044" s="10" t="s">
        <v>248</v>
      </c>
      <c r="L1044" s="10">
        <v>1</v>
      </c>
    </row>
    <row r="1045" spans="1:12" x14ac:dyDescent="0.2">
      <c r="A1045" s="10" t="s">
        <v>1984</v>
      </c>
      <c r="D1045" s="10" t="s">
        <v>246</v>
      </c>
      <c r="E1045" s="18" t="s">
        <v>2038</v>
      </c>
      <c r="F1045" s="9">
        <v>45383</v>
      </c>
      <c r="G1045" s="9">
        <v>46023</v>
      </c>
      <c r="H1045" s="10">
        <v>22</v>
      </c>
      <c r="I1045" s="10" t="s">
        <v>245</v>
      </c>
      <c r="J1045" s="10" t="s">
        <v>247</v>
      </c>
      <c r="K1045" s="10" t="s">
        <v>248</v>
      </c>
      <c r="L1045" s="10">
        <v>1</v>
      </c>
    </row>
    <row r="1046" spans="1:12" x14ac:dyDescent="0.2">
      <c r="A1046" s="10" t="s">
        <v>1985</v>
      </c>
      <c r="D1046" s="10" t="s">
        <v>246</v>
      </c>
      <c r="E1046" s="18" t="s">
        <v>2039</v>
      </c>
      <c r="F1046" s="9">
        <v>45383</v>
      </c>
      <c r="G1046" s="9">
        <v>46023</v>
      </c>
      <c r="H1046" s="10">
        <v>22</v>
      </c>
      <c r="I1046" s="10" t="s">
        <v>245</v>
      </c>
      <c r="J1046" s="10" t="s">
        <v>247</v>
      </c>
      <c r="K1046" s="10" t="s">
        <v>248</v>
      </c>
      <c r="L1046" s="10">
        <v>1</v>
      </c>
    </row>
    <row r="1047" spans="1:12" x14ac:dyDescent="0.2">
      <c r="A1047" s="10" t="s">
        <v>1986</v>
      </c>
      <c r="D1047" s="10" t="s">
        <v>246</v>
      </c>
      <c r="E1047" s="18" t="s">
        <v>2040</v>
      </c>
      <c r="F1047" s="9">
        <v>42979</v>
      </c>
      <c r="G1047" s="9">
        <v>46023</v>
      </c>
      <c r="H1047" s="10">
        <v>101</v>
      </c>
      <c r="I1047" s="10" t="s">
        <v>245</v>
      </c>
      <c r="J1047" s="10" t="s">
        <v>247</v>
      </c>
      <c r="K1047" s="10" t="s">
        <v>248</v>
      </c>
      <c r="L1047" s="10">
        <v>1</v>
      </c>
    </row>
    <row r="1048" spans="1:12" x14ac:dyDescent="0.2">
      <c r="A1048" s="10" t="s">
        <v>1987</v>
      </c>
      <c r="D1048" s="10" t="s">
        <v>246</v>
      </c>
      <c r="E1048" s="18" t="s">
        <v>2041</v>
      </c>
      <c r="F1048" s="9">
        <v>42979</v>
      </c>
      <c r="G1048" s="9">
        <v>46023</v>
      </c>
      <c r="H1048" s="10">
        <v>101</v>
      </c>
      <c r="I1048" s="10" t="s">
        <v>245</v>
      </c>
      <c r="J1048" s="10" t="s">
        <v>247</v>
      </c>
      <c r="K1048" s="10" t="s">
        <v>248</v>
      </c>
      <c r="L1048" s="10">
        <v>1</v>
      </c>
    </row>
    <row r="1049" spans="1:12" x14ac:dyDescent="0.2">
      <c r="A1049" s="10" t="s">
        <v>1988</v>
      </c>
      <c r="D1049" s="10" t="s">
        <v>246</v>
      </c>
      <c r="E1049" s="18" t="s">
        <v>2042</v>
      </c>
      <c r="F1049" s="9">
        <v>42979</v>
      </c>
      <c r="G1049" s="9">
        <v>46023</v>
      </c>
      <c r="H1049" s="10">
        <v>101</v>
      </c>
      <c r="I1049" s="10" t="s">
        <v>245</v>
      </c>
      <c r="J1049" s="10" t="s">
        <v>247</v>
      </c>
      <c r="K1049" s="10" t="s">
        <v>248</v>
      </c>
      <c r="L1049" s="10">
        <v>1</v>
      </c>
    </row>
    <row r="1050" spans="1:12" x14ac:dyDescent="0.2">
      <c r="A1050" s="10" t="s">
        <v>1989</v>
      </c>
      <c r="D1050" s="10" t="s">
        <v>246</v>
      </c>
      <c r="E1050" s="18" t="s">
        <v>2043</v>
      </c>
      <c r="F1050" s="9">
        <v>45383</v>
      </c>
      <c r="G1050" s="9">
        <v>46023</v>
      </c>
      <c r="H1050" s="10">
        <v>22</v>
      </c>
      <c r="I1050" s="10" t="s">
        <v>245</v>
      </c>
      <c r="J1050" s="10" t="s">
        <v>247</v>
      </c>
      <c r="K1050" s="10" t="s">
        <v>248</v>
      </c>
      <c r="L1050" s="10">
        <v>1</v>
      </c>
    </row>
    <row r="1051" spans="1:12" x14ac:dyDescent="0.2">
      <c r="A1051" s="10" t="s">
        <v>1990</v>
      </c>
      <c r="D1051" s="10" t="s">
        <v>246</v>
      </c>
      <c r="E1051" s="18" t="s">
        <v>2044</v>
      </c>
      <c r="F1051" s="9">
        <v>45383</v>
      </c>
      <c r="G1051" s="9">
        <v>46023</v>
      </c>
      <c r="H1051" s="10">
        <v>22</v>
      </c>
      <c r="I1051" s="10" t="s">
        <v>245</v>
      </c>
      <c r="J1051" s="10" t="s">
        <v>247</v>
      </c>
      <c r="K1051" s="10" t="s">
        <v>248</v>
      </c>
      <c r="L1051" s="10">
        <v>1</v>
      </c>
    </row>
    <row r="1052" spans="1:12" x14ac:dyDescent="0.2">
      <c r="A1052" s="10" t="s">
        <v>1991</v>
      </c>
      <c r="D1052" s="10" t="s">
        <v>246</v>
      </c>
      <c r="E1052" s="18" t="s">
        <v>2045</v>
      </c>
      <c r="F1052" s="9">
        <v>45383</v>
      </c>
      <c r="G1052" s="9">
        <v>46023</v>
      </c>
      <c r="H1052" s="10">
        <v>22</v>
      </c>
      <c r="I1052" s="10" t="s">
        <v>245</v>
      </c>
      <c r="J1052" s="10" t="s">
        <v>247</v>
      </c>
      <c r="K1052" s="10" t="s">
        <v>248</v>
      </c>
      <c r="L1052" s="10">
        <v>1</v>
      </c>
    </row>
    <row r="1053" spans="1:12" x14ac:dyDescent="0.2">
      <c r="A1053" s="10" t="s">
        <v>1992</v>
      </c>
      <c r="D1053" s="10" t="s">
        <v>246</v>
      </c>
      <c r="E1053" s="18" t="s">
        <v>2046</v>
      </c>
      <c r="F1053" s="9">
        <v>42979</v>
      </c>
      <c r="G1053" s="9">
        <v>46023</v>
      </c>
      <c r="H1053" s="10">
        <v>101</v>
      </c>
      <c r="I1053" s="10" t="s">
        <v>245</v>
      </c>
      <c r="J1053" s="10" t="s">
        <v>247</v>
      </c>
      <c r="K1053" s="10" t="s">
        <v>248</v>
      </c>
      <c r="L1053" s="10">
        <v>1</v>
      </c>
    </row>
    <row r="1054" spans="1:12" x14ac:dyDescent="0.2">
      <c r="A1054" s="10" t="s">
        <v>1993</v>
      </c>
      <c r="D1054" s="10" t="s">
        <v>246</v>
      </c>
      <c r="E1054" s="18" t="s">
        <v>2047</v>
      </c>
      <c r="F1054" s="9">
        <v>45383</v>
      </c>
      <c r="G1054" s="9">
        <v>46023</v>
      </c>
      <c r="H1054" s="10">
        <v>22</v>
      </c>
      <c r="I1054" s="10" t="s">
        <v>245</v>
      </c>
      <c r="J1054" s="10" t="s">
        <v>247</v>
      </c>
      <c r="K1054" s="10" t="s">
        <v>248</v>
      </c>
      <c r="L1054" s="10">
        <v>1</v>
      </c>
    </row>
    <row r="1055" spans="1:12" x14ac:dyDescent="0.2">
      <c r="A1055" s="10" t="s">
        <v>1994</v>
      </c>
      <c r="D1055" s="10" t="s">
        <v>246</v>
      </c>
      <c r="E1055" s="18" t="s">
        <v>2048</v>
      </c>
      <c r="F1055" s="9">
        <v>45383</v>
      </c>
      <c r="G1055" s="9">
        <v>46023</v>
      </c>
      <c r="H1055" s="10">
        <v>22</v>
      </c>
      <c r="I1055" s="10" t="s">
        <v>245</v>
      </c>
      <c r="J1055" s="10" t="s">
        <v>247</v>
      </c>
      <c r="K1055" s="10" t="s">
        <v>248</v>
      </c>
      <c r="L1055" s="10">
        <v>1</v>
      </c>
    </row>
    <row r="1056" spans="1:12" x14ac:dyDescent="0.2">
      <c r="A1056" s="10" t="s">
        <v>1995</v>
      </c>
      <c r="D1056" s="10" t="s">
        <v>246</v>
      </c>
      <c r="E1056" s="18" t="s">
        <v>2049</v>
      </c>
      <c r="F1056" s="9">
        <v>45383</v>
      </c>
      <c r="G1056" s="9">
        <v>46023</v>
      </c>
      <c r="H1056" s="10">
        <v>22</v>
      </c>
      <c r="I1056" s="10" t="s">
        <v>245</v>
      </c>
      <c r="J1056" s="10" t="s">
        <v>247</v>
      </c>
      <c r="K1056" s="10" t="s">
        <v>248</v>
      </c>
      <c r="L1056" s="10">
        <v>1</v>
      </c>
    </row>
    <row r="1057" spans="1:12" x14ac:dyDescent="0.2">
      <c r="A1057" s="10" t="s">
        <v>1996</v>
      </c>
      <c r="D1057" s="10" t="s">
        <v>246</v>
      </c>
      <c r="E1057" s="18" t="s">
        <v>2050</v>
      </c>
      <c r="F1057" s="9">
        <v>45383</v>
      </c>
      <c r="G1057" s="9">
        <v>46023</v>
      </c>
      <c r="H1057" s="10">
        <v>22</v>
      </c>
      <c r="I1057" s="10" t="s">
        <v>245</v>
      </c>
      <c r="J1057" s="10" t="s">
        <v>247</v>
      </c>
      <c r="K1057" s="10" t="s">
        <v>248</v>
      </c>
      <c r="L1057" s="10">
        <v>1</v>
      </c>
    </row>
    <row r="1058" spans="1:12" x14ac:dyDescent="0.2">
      <c r="A1058" s="10" t="s">
        <v>1996</v>
      </c>
      <c r="D1058" s="10" t="s">
        <v>246</v>
      </c>
      <c r="E1058" s="18" t="s">
        <v>2051</v>
      </c>
      <c r="F1058" s="9">
        <v>45383</v>
      </c>
      <c r="G1058" s="9">
        <v>46023</v>
      </c>
      <c r="H1058" s="10">
        <v>22</v>
      </c>
      <c r="I1058" s="10" t="s">
        <v>245</v>
      </c>
      <c r="J1058" s="10" t="s">
        <v>247</v>
      </c>
      <c r="K1058" s="10" t="s">
        <v>248</v>
      </c>
      <c r="L1058" s="10">
        <v>1</v>
      </c>
    </row>
    <row r="1059" spans="1:12" x14ac:dyDescent="0.2">
      <c r="A1059" s="10" t="s">
        <v>1997</v>
      </c>
      <c r="D1059" s="10" t="s">
        <v>246</v>
      </c>
      <c r="E1059" s="18" t="s">
        <v>2052</v>
      </c>
      <c r="F1059" s="9">
        <v>45383</v>
      </c>
      <c r="G1059" s="9">
        <v>46023</v>
      </c>
      <c r="H1059" s="10">
        <v>22</v>
      </c>
      <c r="I1059" s="10" t="s">
        <v>245</v>
      </c>
      <c r="J1059" s="10" t="s">
        <v>247</v>
      </c>
      <c r="K1059" s="10" t="s">
        <v>248</v>
      </c>
      <c r="L1059" s="10">
        <v>1</v>
      </c>
    </row>
    <row r="1060" spans="1:12" x14ac:dyDescent="0.2">
      <c r="A1060" s="10" t="s">
        <v>1998</v>
      </c>
      <c r="D1060" s="10" t="s">
        <v>246</v>
      </c>
      <c r="E1060" s="18" t="s">
        <v>2053</v>
      </c>
      <c r="F1060" s="9">
        <v>42979</v>
      </c>
      <c r="G1060" s="9">
        <v>46023</v>
      </c>
      <c r="H1060" s="10">
        <v>101</v>
      </c>
      <c r="I1060" s="10" t="s">
        <v>245</v>
      </c>
      <c r="J1060" s="10" t="s">
        <v>247</v>
      </c>
      <c r="K1060" s="10" t="s">
        <v>248</v>
      </c>
      <c r="L1060" s="10">
        <v>1</v>
      </c>
    </row>
    <row r="1061" spans="1:12" x14ac:dyDescent="0.2">
      <c r="A1061" s="10" t="s">
        <v>1999</v>
      </c>
      <c r="D1061" s="10" t="s">
        <v>246</v>
      </c>
      <c r="E1061" s="18" t="s">
        <v>2054</v>
      </c>
      <c r="F1061" s="9">
        <v>42979</v>
      </c>
      <c r="G1061" s="9">
        <v>46023</v>
      </c>
      <c r="H1061" s="10">
        <v>101</v>
      </c>
      <c r="I1061" s="10" t="s">
        <v>245</v>
      </c>
      <c r="J1061" s="10" t="s">
        <v>247</v>
      </c>
      <c r="K1061" s="10" t="s">
        <v>248</v>
      </c>
      <c r="L1061" s="10">
        <v>1</v>
      </c>
    </row>
    <row r="1062" spans="1:12" x14ac:dyDescent="0.2">
      <c r="A1062" s="10" t="s">
        <v>2000</v>
      </c>
      <c r="D1062" s="10" t="s">
        <v>246</v>
      </c>
      <c r="E1062" s="18" t="s">
        <v>2055</v>
      </c>
      <c r="F1062" s="9">
        <v>45383</v>
      </c>
      <c r="G1062" s="9">
        <v>46023</v>
      </c>
      <c r="H1062" s="10">
        <v>22</v>
      </c>
      <c r="I1062" s="10" t="s">
        <v>245</v>
      </c>
      <c r="J1062" s="10" t="s">
        <v>247</v>
      </c>
      <c r="K1062" s="10" t="s">
        <v>248</v>
      </c>
      <c r="L1062" s="10">
        <v>1</v>
      </c>
    </row>
    <row r="1063" spans="1:12" x14ac:dyDescent="0.2">
      <c r="A1063" s="10" t="s">
        <v>2001</v>
      </c>
      <c r="D1063" s="10" t="s">
        <v>246</v>
      </c>
      <c r="E1063" s="18" t="s">
        <v>2056</v>
      </c>
      <c r="F1063" s="9">
        <v>45383</v>
      </c>
      <c r="G1063" s="9">
        <v>46023</v>
      </c>
      <c r="H1063" s="10">
        <v>22</v>
      </c>
      <c r="I1063" s="10" t="s">
        <v>245</v>
      </c>
      <c r="J1063" s="10" t="s">
        <v>247</v>
      </c>
      <c r="K1063" s="10" t="s">
        <v>248</v>
      </c>
      <c r="L1063" s="10">
        <v>1</v>
      </c>
    </row>
    <row r="1064" spans="1:12" x14ac:dyDescent="0.2">
      <c r="A1064" s="10" t="s">
        <v>2001</v>
      </c>
      <c r="D1064" s="10" t="s">
        <v>246</v>
      </c>
      <c r="E1064" s="18" t="s">
        <v>2057</v>
      </c>
      <c r="F1064" s="9">
        <v>45383</v>
      </c>
      <c r="G1064" s="9">
        <v>46023</v>
      </c>
      <c r="H1064" s="10">
        <v>22</v>
      </c>
      <c r="I1064" s="10" t="s">
        <v>245</v>
      </c>
      <c r="J1064" s="10" t="s">
        <v>247</v>
      </c>
      <c r="K1064" s="10" t="s">
        <v>248</v>
      </c>
      <c r="L1064" s="10">
        <v>1</v>
      </c>
    </row>
    <row r="1065" spans="1:12" x14ac:dyDescent="0.2">
      <c r="A1065" s="10" t="s">
        <v>2002</v>
      </c>
      <c r="D1065" s="10" t="s">
        <v>246</v>
      </c>
      <c r="E1065" s="18" t="s">
        <v>2058</v>
      </c>
      <c r="F1065" s="9">
        <v>42979</v>
      </c>
      <c r="G1065" s="9">
        <v>46023</v>
      </c>
      <c r="H1065" s="10">
        <v>101</v>
      </c>
      <c r="I1065" s="10" t="s">
        <v>245</v>
      </c>
      <c r="J1065" s="10" t="s">
        <v>247</v>
      </c>
      <c r="K1065" s="10" t="s">
        <v>248</v>
      </c>
      <c r="L1065" s="10">
        <v>1</v>
      </c>
    </row>
    <row r="1066" spans="1:12" x14ac:dyDescent="0.2">
      <c r="A1066" s="10" t="s">
        <v>2003</v>
      </c>
      <c r="D1066" s="10" t="s">
        <v>246</v>
      </c>
      <c r="E1066" s="18" t="s">
        <v>2059</v>
      </c>
      <c r="F1066" s="9">
        <v>42979</v>
      </c>
      <c r="G1066" s="9">
        <v>46023</v>
      </c>
      <c r="H1066" s="10">
        <v>101</v>
      </c>
      <c r="I1066" s="10" t="s">
        <v>245</v>
      </c>
      <c r="J1066" s="10" t="s">
        <v>247</v>
      </c>
      <c r="K1066" s="10" t="s">
        <v>248</v>
      </c>
      <c r="L1066" s="10">
        <v>1</v>
      </c>
    </row>
    <row r="1067" spans="1:12" x14ac:dyDescent="0.2">
      <c r="A1067" s="10" t="s">
        <v>2004</v>
      </c>
      <c r="D1067" s="10" t="s">
        <v>246</v>
      </c>
      <c r="E1067" s="18" t="s">
        <v>2060</v>
      </c>
      <c r="F1067" s="9">
        <v>42979</v>
      </c>
      <c r="G1067" s="9">
        <v>46023</v>
      </c>
      <c r="H1067" s="10">
        <v>101</v>
      </c>
      <c r="I1067" s="10" t="s">
        <v>245</v>
      </c>
      <c r="J1067" s="10" t="s">
        <v>247</v>
      </c>
      <c r="K1067" s="10" t="s">
        <v>248</v>
      </c>
      <c r="L1067" s="10">
        <v>1</v>
      </c>
    </row>
    <row r="1069" spans="1:12" x14ac:dyDescent="0.2">
      <c r="A1069" s="10" t="s">
        <v>2070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130397375X" display="A130397375X" xr:uid="{00000000-0004-0000-0000-000001000000}"/>
    <hyperlink ref="E13" location="A130392957J" display="A130392957J" xr:uid="{00000000-0004-0000-0000-000002000000}"/>
    <hyperlink ref="E14" location="A130394343A" display="A130394343A" xr:uid="{00000000-0004-0000-0000-000003000000}"/>
    <hyperlink ref="E15" location="A130398033T" display="A130398033T" xr:uid="{00000000-0004-0000-0000-000004000000}"/>
    <hyperlink ref="E16" location="A130394448W" display="A130394448W" xr:uid="{00000000-0004-0000-0000-000005000000}"/>
    <hyperlink ref="E17" location="A130399331J" display="A130399331J" xr:uid="{00000000-0004-0000-0000-000006000000}"/>
    <hyperlink ref="E18" location="A130399352V" display="A130399352V" xr:uid="{00000000-0004-0000-0000-000007000000}"/>
    <hyperlink ref="E19" location="A130393055R" display="A130393055R" xr:uid="{00000000-0004-0000-0000-000008000000}"/>
    <hyperlink ref="E20" location="A130394462T" display="A130394462T" xr:uid="{00000000-0004-0000-0000-000009000000}"/>
    <hyperlink ref="E21" location="A130391473V" display="A130391473V" xr:uid="{00000000-0004-0000-0000-00000A000000}"/>
    <hyperlink ref="E22" location="A130396863T" display="A130396863T" xr:uid="{00000000-0004-0000-0000-00000B000000}"/>
    <hyperlink ref="E23" location="A130398096A" display="A130398096A" xr:uid="{00000000-0004-0000-0000-00000C000000}"/>
    <hyperlink ref="E24" location="A130390577V" display="A130390577V" xr:uid="{00000000-0004-0000-0000-00000D000000}"/>
    <hyperlink ref="E25" location="A130396898T" display="A130396898T" xr:uid="{00000000-0004-0000-0000-00000E000000}"/>
    <hyperlink ref="E26" location="A130399226F" display="A130399226F" xr:uid="{00000000-0004-0000-0000-00000F000000}"/>
    <hyperlink ref="E27" location="A130396807X" display="A130396807X" xr:uid="{00000000-0004-0000-0000-000010000000}"/>
    <hyperlink ref="E28" location="A130395603C" display="A130395603C" xr:uid="{00000000-0004-0000-0000-000011000000}"/>
    <hyperlink ref="E29" location="A130398026V" display="A130398026V" xr:uid="{00000000-0004-0000-0000-000012000000}"/>
    <hyperlink ref="E30" location="A130398687C" display="A130398687C" xr:uid="{00000000-0004-0000-0000-000013000000}"/>
    <hyperlink ref="E31" location="A130398701L" display="A130398701L" xr:uid="{00000000-0004-0000-0000-000014000000}"/>
    <hyperlink ref="E32" location="A130389961R" display="A130389961R" xr:uid="{00000000-0004-0000-0000-000015000000}"/>
    <hyperlink ref="E33" location="A130396450V" display="A130396450V" xr:uid="{00000000-0004-0000-0000-000016000000}"/>
    <hyperlink ref="E34" location="A130398152J" display="A130398152J" xr:uid="{00000000-0004-0000-0000-000017000000}"/>
    <hyperlink ref="E35" location="A130399422R" display="A130399422R" xr:uid="{00000000-0004-0000-0000-000018000000}"/>
    <hyperlink ref="E36" location="A130399688X" display="A130399688X" xr:uid="{00000000-0004-0000-0000-000019000000}"/>
    <hyperlink ref="E37" location="A130391004C" display="A130391004C" xr:uid="{00000000-0004-0000-0000-00001A000000}"/>
    <hyperlink ref="E38" location="A130391347F" display="A130391347F" xr:uid="{00000000-0004-0000-0000-00001B000000}"/>
    <hyperlink ref="E39" location="A130398180T" display="A130398180T" xr:uid="{00000000-0004-0000-0000-00001C000000}"/>
    <hyperlink ref="E40" location="A130390220C" display="A130390220C" xr:uid="{00000000-0004-0000-0000-00001D000000}"/>
    <hyperlink ref="E41" location="A130391970J" display="A130391970J" xr:uid="{00000000-0004-0000-0000-00001E000000}"/>
    <hyperlink ref="E42" location="A130397620T" display="A130397620T" xr:uid="{00000000-0004-0000-0000-00001F000000}"/>
    <hyperlink ref="E43" location="A130397956W" display="A130397956W" xr:uid="{00000000-0004-0000-0000-000020000000}"/>
    <hyperlink ref="E44" location="A130399401C" display="A130399401C" xr:uid="{00000000-0004-0000-0000-000021000000}"/>
    <hyperlink ref="E45" location="A130390605T" display="A130390605T" xr:uid="{00000000-0004-0000-0000-000022000000}"/>
    <hyperlink ref="E46" location="A130396695T" display="A130396695T" xr:uid="{00000000-0004-0000-0000-000023000000}"/>
    <hyperlink ref="E47" location="A130391802W" display="A130391802W" xr:uid="{00000000-0004-0000-0000-000024000000}"/>
    <hyperlink ref="E48" location="A130397101R" display="A130397101R" xr:uid="{00000000-0004-0000-0000-000025000000}"/>
    <hyperlink ref="E49" location="A130399590A" display="A130399590A" xr:uid="{00000000-0004-0000-0000-000026000000}"/>
    <hyperlink ref="E50" location="A130395897W" display="A130395897W" xr:uid="{00000000-0004-0000-0000-000027000000}"/>
    <hyperlink ref="E51" location="A130394420V" display="A130394420V" xr:uid="{00000000-0004-0000-0000-000028000000}"/>
    <hyperlink ref="E52" location="A130394721X" display="A130394721X" xr:uid="{00000000-0004-0000-0000-000029000000}"/>
    <hyperlink ref="E53" location="A130392964F" display="A130392964F" xr:uid="{00000000-0004-0000-0000-00002A000000}"/>
    <hyperlink ref="E54" location="A130398967W" display="A130398967W" xr:uid="{00000000-0004-0000-0000-00002B000000}"/>
    <hyperlink ref="E55" location="A130398460K" display="A130398460K" xr:uid="{00000000-0004-0000-0000-00002C000000}"/>
    <hyperlink ref="E56" location="A130395995A" display="A130395995A" xr:uid="{00000000-0004-0000-0000-00002D000000}"/>
    <hyperlink ref="E57" location="A130394847F" display="A130394847F" xr:uid="{00000000-0004-0000-0000-00002E000000}"/>
    <hyperlink ref="E58" location="A130391746R" display="A130391746R" xr:uid="{00000000-0004-0000-0000-00002F000000}"/>
    <hyperlink ref="E59" location="A130390661K" display="A130390661K" xr:uid="{00000000-0004-0000-0000-000030000000}"/>
    <hyperlink ref="E60" location="A130393293W" display="A130393293W" xr:uid="{00000000-0004-0000-0000-000031000000}"/>
    <hyperlink ref="E61" location="A130390682W" display="A130390682W" xr:uid="{00000000-0004-0000-0000-000032000000}"/>
    <hyperlink ref="E62" location="A130394854C" display="A130394854C" xr:uid="{00000000-0004-0000-0000-000033000000}"/>
    <hyperlink ref="E63" location="A130392257V" display="A130392257V" xr:uid="{00000000-0004-0000-0000-000034000000}"/>
    <hyperlink ref="E64" location="A130390710V" display="A130390710V" xr:uid="{00000000-0004-0000-0000-000035000000}"/>
    <hyperlink ref="E65" location="A130394280C" display="A130394280C" xr:uid="{00000000-0004-0000-0000-000036000000}"/>
    <hyperlink ref="E66" location="A130392586J" display="A130392586J" xr:uid="{00000000-0004-0000-0000-000037000000}"/>
    <hyperlink ref="E67" location="A130390458C" display="A130390458C" xr:uid="{00000000-0004-0000-0000-000038000000}"/>
    <hyperlink ref="E68" location="A130394154R" display="A130394154R" xr:uid="{00000000-0004-0000-0000-000039000000}"/>
    <hyperlink ref="E69" location="A130392278F" display="A130392278F" xr:uid="{00000000-0004-0000-0000-00003A000000}"/>
    <hyperlink ref="E70" location="A130392838T" display="A130392838T" xr:uid="{00000000-0004-0000-0000-00003B000000}"/>
    <hyperlink ref="E71" location="A130394581J" display="A130394581J" xr:uid="{00000000-0004-0000-0000-00003C000000}"/>
    <hyperlink ref="E72" location="A130398488L" display="A130398488L" xr:uid="{00000000-0004-0000-0000-00003D000000}"/>
    <hyperlink ref="E73" location="A130390472X" display="A130390472X" xr:uid="{00000000-0004-0000-0000-00003E000000}"/>
    <hyperlink ref="E74" location="A130391053X" display="A130391053X" xr:uid="{00000000-0004-0000-0000-00003F000000}"/>
    <hyperlink ref="E75" location="A130390724J" display="A130390724J" xr:uid="{00000000-0004-0000-0000-000040000000}"/>
    <hyperlink ref="E76" location="A130396282V" display="A130396282V" xr:uid="{00000000-0004-0000-0000-000041000000}"/>
    <hyperlink ref="E77" location="A130392999F" display="A130392999F" xr:uid="{00000000-0004-0000-0000-000042000000}"/>
    <hyperlink ref="E78" location="A130394133C" display="A130394133C" xr:uid="{00000000-0004-0000-0000-000043000000}"/>
    <hyperlink ref="E79" location="A130398215F" display="A130398215F" xr:uid="{00000000-0004-0000-0000-000044000000}"/>
    <hyperlink ref="E80" location="A130397809W" display="A130397809W" xr:uid="{00000000-0004-0000-0000-000045000000}"/>
    <hyperlink ref="E81" location="A130391501T" display="A130391501T" xr:uid="{00000000-0004-0000-0000-000046000000}"/>
    <hyperlink ref="E82" location="A130394119J" display="A130394119J" xr:uid="{00000000-0004-0000-0000-000047000000}"/>
    <hyperlink ref="E83" location="A130393643K" display="A130393643K" xr:uid="{00000000-0004-0000-0000-000048000000}"/>
    <hyperlink ref="E84" location="A130399499L" display="A130399499L" xr:uid="{00000000-0004-0000-0000-000049000000}"/>
    <hyperlink ref="E85" location="A130393797A" display="A130393797A" xr:uid="{00000000-0004-0000-0000-00004A000000}"/>
    <hyperlink ref="E86" location="A130396191L" display="A130396191L" xr:uid="{00000000-0004-0000-0000-00004B000000}"/>
    <hyperlink ref="E87" location="A130398236T" display="A130398236T" xr:uid="{00000000-0004-0000-0000-00004C000000}"/>
    <hyperlink ref="E88" location="A130398530F" display="A130398530F" xr:uid="{00000000-0004-0000-0000-00004D000000}"/>
    <hyperlink ref="E89" location="A130394623V" display="A130394623V" xr:uid="{00000000-0004-0000-0000-00004E000000}"/>
    <hyperlink ref="E90" location="A130392173K" display="A130392173K" xr:uid="{00000000-0004-0000-0000-00004F000000}"/>
    <hyperlink ref="E91" location="A130398544V" display="A130398544V" xr:uid="{00000000-0004-0000-0000-000050000000}"/>
    <hyperlink ref="E92" location="A130396037R" display="A130396037R" xr:uid="{00000000-0004-0000-0000-000051000000}"/>
    <hyperlink ref="E93" location="A130392558X" display="A130392558X" xr:uid="{00000000-0004-0000-0000-000052000000}"/>
    <hyperlink ref="E94" location="A130390955T" display="A130390955T" xr:uid="{00000000-0004-0000-0000-000053000000}"/>
    <hyperlink ref="E95" location="A130392565W" display="A130392565W" xr:uid="{00000000-0004-0000-0000-000054000000}"/>
    <hyperlink ref="E96" location="A130391270V" display="A130391270V" xr:uid="{00000000-0004-0000-0000-000055000000}"/>
    <hyperlink ref="E97" location="A130394161L" display="A130394161L" xr:uid="{00000000-0004-0000-0000-000056000000}"/>
    <hyperlink ref="E98" location="A130393503J" display="A130393503J" xr:uid="{00000000-0004-0000-0000-000057000000}"/>
    <hyperlink ref="E99" location="A130399625R" display="A130399625R" xr:uid="{00000000-0004-0000-0000-000058000000}"/>
    <hyperlink ref="E100" location="A130399030C" display="A130399030C" xr:uid="{00000000-0004-0000-0000-000059000000}"/>
    <hyperlink ref="E101" location="A130398383T" display="A130398383T" xr:uid="{00000000-0004-0000-0000-00005A000000}"/>
    <hyperlink ref="E102" location="A130390934F" display="A130390934F" xr:uid="{00000000-0004-0000-0000-00005B000000}"/>
    <hyperlink ref="E103" location="A130391683T" display="A130391683T" xr:uid="{00000000-0004-0000-0000-00005C000000}"/>
    <hyperlink ref="E104" location="A130399275A" display="A130399275A" xr:uid="{00000000-0004-0000-0000-00005D000000}"/>
    <hyperlink ref="E105" location="A130393370R" display="A130393370R" xr:uid="{00000000-0004-0000-0000-00005E000000}"/>
    <hyperlink ref="E106" location="A130390857L" display="A130390857L" xr:uid="{00000000-0004-0000-0000-00005F000000}"/>
    <hyperlink ref="E107" location="A130397059W" display="A130397059W" xr:uid="{00000000-0004-0000-0000-000060000000}"/>
    <hyperlink ref="E108" location="A130398355J" display="A130398355J" xr:uid="{00000000-0004-0000-0000-000061000000}"/>
    <hyperlink ref="E109" location="A130395862W" display="A130395862W" xr:uid="{00000000-0004-0000-0000-000062000000}"/>
    <hyperlink ref="E110" location="A130396772K" display="A130396772K" xr:uid="{00000000-0004-0000-0000-000063000000}"/>
    <hyperlink ref="E111" location="A130392124R" display="A130392124R" xr:uid="{00000000-0004-0000-0000-000064000000}"/>
    <hyperlink ref="E112" location="A130391277K" display="A130391277K" xr:uid="{00000000-0004-0000-0000-000065000000}"/>
    <hyperlink ref="E113" location="A130391781W" display="A130391781W" xr:uid="{00000000-0004-0000-0000-000066000000}"/>
    <hyperlink ref="E114" location="A130390815R" display="A130390815R" xr:uid="{00000000-0004-0000-0000-000067000000}"/>
    <hyperlink ref="E115" location="A130398278R" display="A130398278R" xr:uid="{00000000-0004-0000-0000-000068000000}"/>
    <hyperlink ref="E116" location="A130393825X" display="A130393825X" xr:uid="{00000000-0004-0000-0000-000069000000}"/>
    <hyperlink ref="E117" location="A130399065C" display="A130399065C" xr:uid="{00000000-0004-0000-0000-00006A000000}"/>
    <hyperlink ref="E118" location="A130394770V" display="A130394770V" xr:uid="{00000000-0004-0000-0000-00006B000000}"/>
    <hyperlink ref="E119" location="A130390290K" display="A130390290K" xr:uid="{00000000-0004-0000-0000-00006C000000}"/>
    <hyperlink ref="E120" location="A130391599A" display="A130391599A" xr:uid="{00000000-0004-0000-0000-00006D000000}"/>
    <hyperlink ref="E121" location="A130399800L" display="A130399800L" xr:uid="{00000000-0004-0000-0000-00006E000000}"/>
    <hyperlink ref="E122" location="A130392873X" display="A130392873X" xr:uid="{00000000-0004-0000-0000-00006F000000}"/>
    <hyperlink ref="E123" location="A130398019W" display="A130398019W" xr:uid="{00000000-0004-0000-0000-000070000000}"/>
    <hyperlink ref="E124" location="A130397199X" display="A130397199X" xr:uid="{00000000-0004-0000-0000-000071000000}"/>
    <hyperlink ref="E125" location="A130394791F" display="A130394791F" xr:uid="{00000000-0004-0000-0000-000072000000}"/>
    <hyperlink ref="E126" location="A130392523X" display="A130392523X" xr:uid="{00000000-0004-0000-0000-000073000000}"/>
    <hyperlink ref="E127" location="A130397353K" display="A130397353K" xr:uid="{00000000-0004-0000-0000-000074000000}"/>
    <hyperlink ref="E128" location="A130394966W" display="A130394966W" xr:uid="{00000000-0004-0000-0000-000075000000}"/>
    <hyperlink ref="E129" location="A130398257C" display="A130398257C" xr:uid="{00000000-0004-0000-0000-000076000000}"/>
    <hyperlink ref="E130" location="A130392040F" display="A130392040F" xr:uid="{00000000-0004-0000-0000-000077000000}"/>
    <hyperlink ref="E131" location="A130391137J" display="A130391137J" xr:uid="{00000000-0004-0000-0000-000078000000}"/>
    <hyperlink ref="E132" location="A130394980T" display="A130394980T" xr:uid="{00000000-0004-0000-0000-000079000000}"/>
    <hyperlink ref="E133" location="A130396219C" display="A130396219C" xr:uid="{00000000-0004-0000-0000-00007A000000}"/>
    <hyperlink ref="E134" location="A130393559V" display="A130393559V" xr:uid="{00000000-0004-0000-0000-00007B000000}"/>
    <hyperlink ref="E135" location="A130393853J" display="A130393853J" xr:uid="{00000000-0004-0000-0000-00007C000000}"/>
    <hyperlink ref="E136" location="A130393860F" display="A130393860F" xr:uid="{00000000-0004-0000-0000-00007D000000}"/>
    <hyperlink ref="E137" location="A130395176W" display="A130395176W" xr:uid="{00000000-0004-0000-0000-00007E000000}"/>
    <hyperlink ref="E138" location="A130398932W" display="A130398932W" xr:uid="{00000000-0004-0000-0000-00007F000000}"/>
    <hyperlink ref="E139" location="A130392621C" display="A130392621C" xr:uid="{00000000-0004-0000-0000-000080000000}"/>
    <hyperlink ref="E140" location="A130392628V" display="A130392628V" xr:uid="{00000000-0004-0000-0000-000081000000}"/>
    <hyperlink ref="E141" location="A130391620J" display="A130391620J" xr:uid="{00000000-0004-0000-0000-000082000000}"/>
    <hyperlink ref="E142" location="A130394231J" display="A130394231J" xr:uid="{00000000-0004-0000-0000-000083000000}"/>
    <hyperlink ref="E143" location="A130396170A" display="A130396170A" xr:uid="{00000000-0004-0000-0000-000084000000}"/>
    <hyperlink ref="E144" location="A130396086K" display="A130396086K" xr:uid="{00000000-0004-0000-0000-000085000000}"/>
    <hyperlink ref="E145" location="A130399170F" display="A130399170F" xr:uid="{00000000-0004-0000-0000-000086000000}"/>
    <hyperlink ref="E146" location="A130396709V" display="A130396709V" xr:uid="{00000000-0004-0000-0000-000087000000}"/>
    <hyperlink ref="E147" location="A130398040R" display="A130398040R" xr:uid="{00000000-0004-0000-0000-000088000000}"/>
    <hyperlink ref="E148" location="A130394455V" display="A130394455V" xr:uid="{00000000-0004-0000-0000-000089000000}"/>
    <hyperlink ref="E149" location="A130391886T" display="A130391886T" xr:uid="{00000000-0004-0000-0000-00008A000000}"/>
    <hyperlink ref="E150" location="A130391900A" display="A130391900A" xr:uid="{00000000-0004-0000-0000-00008B000000}"/>
    <hyperlink ref="E151" location="A130390430A" display="A130390430A" xr:uid="{00000000-0004-0000-0000-00008C000000}"/>
    <hyperlink ref="E152" location="A130396842F" display="A130396842F" xr:uid="{00000000-0004-0000-0000-00008D000000}"/>
    <hyperlink ref="E153" location="A130397767K" display="A130397767K" xr:uid="{00000000-0004-0000-0000-00008E000000}"/>
    <hyperlink ref="E154" location="A130391914R" display="A130391914R" xr:uid="{00000000-0004-0000-0000-00008F000000}"/>
    <hyperlink ref="E155" location="A130399380C" display="A130399380C" xr:uid="{00000000-0004-0000-0000-000090000000}"/>
    <hyperlink ref="E156" location="A130399387V" display="A130399387V" xr:uid="{00000000-0004-0000-0000-000091000000}"/>
    <hyperlink ref="E157" location="A130398124X" display="A130398124X" xr:uid="{00000000-0004-0000-0000-000092000000}"/>
    <hyperlink ref="E158" location="A130399233C" display="A130399233C" xr:uid="{00000000-0004-0000-0000-000093000000}"/>
    <hyperlink ref="E159" location="A130396814W" display="A130396814W" xr:uid="{00000000-0004-0000-0000-000094000000}"/>
    <hyperlink ref="E160" location="A130393174F" display="A130393174F" xr:uid="{00000000-0004-0000-0000-000095000000}"/>
    <hyperlink ref="E161" location="A130391858J" display="A130391858J" xr:uid="{00000000-0004-0000-0000-000096000000}"/>
    <hyperlink ref="E162" location="A130396156F" display="A130396156F" xr:uid="{00000000-0004-0000-0000-000097000000}"/>
    <hyperlink ref="E163" location="A130389940C" display="A130389940C" xr:uid="{00000000-0004-0000-0000-000098000000}"/>
    <hyperlink ref="E164" location="A130398708C" display="A130398708C" xr:uid="{00000000-0004-0000-0000-000099000000}"/>
    <hyperlink ref="E165" location="A130396457K" display="A130396457K" xr:uid="{00000000-0004-0000-0000-00009A000000}"/>
    <hyperlink ref="E166" location="A130391956L" display="A130391956L" xr:uid="{00000000-0004-0000-0000-00009B000000}"/>
    <hyperlink ref="E167" location="A130394518T" display="A130394518T" xr:uid="{00000000-0004-0000-0000-00009C000000}"/>
    <hyperlink ref="E168" location="A130397234V" display="A130397234V" xr:uid="{00000000-0004-0000-0000-00009D000000}"/>
    <hyperlink ref="E169" location="A130397248J" display="A130397248J" xr:uid="{00000000-0004-0000-0000-00009E000000}"/>
    <hyperlink ref="E170" location="A130391354C" display="A130391354C" xr:uid="{00000000-0004-0000-0000-00009F000000}"/>
    <hyperlink ref="E171" location="A130396940K" display="A130396940K" xr:uid="{00000000-0004-0000-0000-0000A0000000}"/>
    <hyperlink ref="E172" location="A130396471F" display="A130396471F" xr:uid="{00000000-0004-0000-0000-0000A1000000}"/>
    <hyperlink ref="E173" location="A130399436C" display="A130399436C" xr:uid="{00000000-0004-0000-0000-0000A2000000}"/>
    <hyperlink ref="E174" location="A130396268X" display="A130396268X" xr:uid="{00000000-0004-0000-0000-0000A3000000}"/>
    <hyperlink ref="E175" location="A130394371K" display="A130394371K" xr:uid="{00000000-0004-0000-0000-0000A4000000}"/>
    <hyperlink ref="E176" location="A130398131W" display="A130398131W" xr:uid="{00000000-0004-0000-0000-0000A5000000}"/>
    <hyperlink ref="E177" location="A130398138L" display="A130398138L" xr:uid="{00000000-0004-0000-0000-0000A6000000}"/>
    <hyperlink ref="E178" location="A130390409J" display="A130390409J" xr:uid="{00000000-0004-0000-0000-0000A7000000}"/>
    <hyperlink ref="E179" location="A130397991C" display="A130397991C" xr:uid="{00000000-0004-0000-0000-0000A8000000}"/>
    <hyperlink ref="E180" location="A130395911F" display="A130395911F" xr:uid="{00000000-0004-0000-0000-0000A9000000}"/>
    <hyperlink ref="E181" location="A130399597T" display="A130399597T" xr:uid="{00000000-0004-0000-0000-0000AA000000}"/>
    <hyperlink ref="E182" location="A130398369W" display="A130398369W" xr:uid="{00000000-0004-0000-0000-0000AB000000}"/>
    <hyperlink ref="E183" location="A130391816K" display="A130391816K" xr:uid="{00000000-0004-0000-0000-0000AC000000}"/>
    <hyperlink ref="E184" location="A130395925V" display="A130395925V" xr:uid="{00000000-0004-0000-0000-0000AD000000}"/>
    <hyperlink ref="E185" location="A130396660T" display="A130396660T" xr:uid="{00000000-0004-0000-0000-0000AE000000}"/>
    <hyperlink ref="E186" location="A130396478W" display="A130396478W" xr:uid="{00000000-0004-0000-0000-0000AF000000}"/>
    <hyperlink ref="E187" location="A130393594A" display="A130393594A" xr:uid="{00000000-0004-0000-0000-0000B0000000}"/>
    <hyperlink ref="E188" location="A130396002R" display="A130396002R" xr:uid="{00000000-0004-0000-0000-0000B1000000}"/>
    <hyperlink ref="E189" location="A130391011A" display="A130391011A" xr:uid="{00000000-0004-0000-0000-0000B2000000}"/>
    <hyperlink ref="E190" location="A130395512W" display="A130395512W" xr:uid="{00000000-0004-0000-0000-0000B3000000}"/>
    <hyperlink ref="E191" location="A130391984W" display="A130391984W" xr:uid="{00000000-0004-0000-0000-0000B4000000}"/>
    <hyperlink ref="E192" location="A130399457R" display="A130399457R" xr:uid="{00000000-0004-0000-0000-0000B5000000}"/>
    <hyperlink ref="E193" location="A130396975K" display="A130396975K" xr:uid="{00000000-0004-0000-0000-0000B6000000}"/>
    <hyperlink ref="E194" location="A130391025R" display="A130391025R" xr:uid="{00000000-0004-0000-0000-0000B7000000}"/>
    <hyperlink ref="E195" location="A130392264T" display="A130392264T" xr:uid="{00000000-0004-0000-0000-0000B8000000}"/>
    <hyperlink ref="E196" location="A130391998K" display="A130391998K" xr:uid="{00000000-0004-0000-0000-0000B9000000}"/>
    <hyperlink ref="E197" location="A130392985T" display="A130392985T" xr:uid="{00000000-0004-0000-0000-0000BA000000}"/>
    <hyperlink ref="E198" location="A130397627J" display="A130397627J" xr:uid="{00000000-0004-0000-0000-0000BB000000}"/>
    <hyperlink ref="E199" location="A130390465A" display="A130390465A" xr:uid="{00000000-0004-0000-0000-0000BC000000}"/>
    <hyperlink ref="E200" location="A130391529V" display="A130391529V" xr:uid="{00000000-0004-0000-0000-0000BD000000}"/>
    <hyperlink ref="E201" location="A130397297C" display="A130397297C" xr:uid="{00000000-0004-0000-0000-0000BE000000}"/>
    <hyperlink ref="E202" location="A130398995F" display="A130398995F" xr:uid="{00000000-0004-0000-0000-0000BF000000}"/>
    <hyperlink ref="E203" location="A130396989X" display="A130396989X" xr:uid="{00000000-0004-0000-0000-0000C0000000}"/>
    <hyperlink ref="E204" location="A130398495K" display="A130398495K" xr:uid="{00000000-0004-0000-0000-0000C1000000}"/>
    <hyperlink ref="E205" location="A130391767A" display="A130391767A" xr:uid="{00000000-0004-0000-0000-0000C2000000}"/>
    <hyperlink ref="E206" location="A130394875R" display="A130394875R" xr:uid="{00000000-0004-0000-0000-0000C3000000}"/>
    <hyperlink ref="E207" location="A130395785C" display="A130395785C" xr:uid="{00000000-0004-0000-0000-0000C4000000}"/>
    <hyperlink ref="E208" location="A130396289K" display="A130396289K" xr:uid="{00000000-0004-0000-0000-0000C5000000}"/>
    <hyperlink ref="E209" location="A130393006V" display="A130393006V" xr:uid="{00000000-0004-0000-0000-0000C6000000}"/>
    <hyperlink ref="E210" location="A130390276R" display="A130390276R" xr:uid="{00000000-0004-0000-0000-0000C7000000}"/>
    <hyperlink ref="E211" location="A130390752T" display="A130390752T" xr:uid="{00000000-0004-0000-0000-0000C8000000}"/>
    <hyperlink ref="E212" location="A130391522C" display="A130391522C" xr:uid="{00000000-0004-0000-0000-0000C9000000}"/>
    <hyperlink ref="E213" location="A130392810R" display="A130392810R" xr:uid="{00000000-0004-0000-0000-0000CA000000}"/>
    <hyperlink ref="E214" location="A130390269T" display="A130390269T" xr:uid="{00000000-0004-0000-0000-0000CB000000}"/>
    <hyperlink ref="E215" location="A130397311L" display="A130397311L" xr:uid="{00000000-0004-0000-0000-0000CC000000}"/>
    <hyperlink ref="E216" location="A130393307X" display="A130393307X" xr:uid="{00000000-0004-0000-0000-0000CD000000}"/>
    <hyperlink ref="E217" location="A130396184R" display="A130396184R" xr:uid="{00000000-0004-0000-0000-0000CE000000}"/>
    <hyperlink ref="E218" location="A130395106R" display="A130395106R" xr:uid="{00000000-0004-0000-0000-0000CF000000}"/>
    <hyperlink ref="E219" location="A130394616W" display="A130394616W" xr:uid="{00000000-0004-0000-0000-0000D0000000}"/>
    <hyperlink ref="E220" location="A130397318C" display="A130397318C" xr:uid="{00000000-0004-0000-0000-0000D1000000}"/>
    <hyperlink ref="E221" location="A130397017X" display="A130397017X" xr:uid="{00000000-0004-0000-0000-0000D2000000}"/>
    <hyperlink ref="E222" location="A130398411R" display="A130398411R" xr:uid="{00000000-0004-0000-0000-0000D3000000}"/>
    <hyperlink ref="E223" location="A130392299T" display="A130392299T" xr:uid="{00000000-0004-0000-0000-0000D4000000}"/>
    <hyperlink ref="E224" location="A130394931W" display="A130394931W" xr:uid="{00000000-0004-0000-0000-0000D5000000}"/>
    <hyperlink ref="E225" location="A130395190T" display="A130395190T" xr:uid="{00000000-0004-0000-0000-0000D6000000}"/>
    <hyperlink ref="E226" location="A130392187X" display="A130392187X" xr:uid="{00000000-0004-0000-0000-0000D7000000}"/>
    <hyperlink ref="E227" location="A130390066T" display="A130390066T" xr:uid="{00000000-0004-0000-0000-0000D8000000}"/>
    <hyperlink ref="E228" location="A130397522L" display="A130397522L" xr:uid="{00000000-0004-0000-0000-0000D9000000}"/>
    <hyperlink ref="E229" location="A130391557C" display="A130391557C" xr:uid="{00000000-0004-0000-0000-0000DA000000}"/>
    <hyperlink ref="E230" location="A130398404T" display="A130398404T" xr:uid="{00000000-0004-0000-0000-0000DB000000}"/>
    <hyperlink ref="E231" location="A130398390R" display="A130398390R" xr:uid="{00000000-0004-0000-0000-0000DC000000}"/>
    <hyperlink ref="E232" location="A130399037V" display="A130399037V" xr:uid="{00000000-0004-0000-0000-0000DD000000}"/>
    <hyperlink ref="E233" location="A130397122A" display="A130397122A" xr:uid="{00000000-0004-0000-0000-0000DE000000}"/>
    <hyperlink ref="E234" location="A130394742K" display="A130394742K" xr:uid="{00000000-0004-0000-0000-0000DF000000}"/>
    <hyperlink ref="E235" location="A130390402T" display="A130390402T" xr:uid="{00000000-0004-0000-0000-0000E0000000}"/>
    <hyperlink ref="E236" location="A130395554V" display="A130395554V" xr:uid="{00000000-0004-0000-0000-0000E1000000}"/>
    <hyperlink ref="E237" location="A130390829C" display="A130390829C" xr:uid="{00000000-0004-0000-0000-0000E2000000}"/>
    <hyperlink ref="E238" location="A130390864K" display="A130390864K" xr:uid="{00000000-0004-0000-0000-0000E3000000}"/>
    <hyperlink ref="E239" location="A130399562T" display="A130399562T" xr:uid="{00000000-0004-0000-0000-0000E4000000}"/>
    <hyperlink ref="E240" location="A130392096T" display="A130392096T" xr:uid="{00000000-0004-0000-0000-0000E5000000}"/>
    <hyperlink ref="E241" location="A130390843X" display="A130390843X" xr:uid="{00000000-0004-0000-0000-0000E6000000}"/>
    <hyperlink ref="E242" location="A130396779A" display="A130396779A" xr:uid="{00000000-0004-0000-0000-0000E7000000}"/>
    <hyperlink ref="E243" location="A130394700L" display="A130394700L" xr:uid="{00000000-0004-0000-0000-0000E8000000}"/>
    <hyperlink ref="E244" location="A130391284J" display="A130391284J" xr:uid="{00000000-0004-0000-0000-0000E9000000}"/>
    <hyperlink ref="E245" location="A130393104X" display="A130393104X" xr:uid="{00000000-0004-0000-0000-0000EA000000}"/>
    <hyperlink ref="E246" location="A130399541F" display="A130399541F" xr:uid="{00000000-0004-0000-0000-0000EB000000}"/>
    <hyperlink ref="E247" location="A130394651C" display="A130394651C" xr:uid="{00000000-0004-0000-0000-0000EC000000}"/>
    <hyperlink ref="E248" location="A130397543X" display="A130397543X" xr:uid="{00000000-0004-0000-0000-0000ED000000}"/>
    <hyperlink ref="E249" location="A130394217L" display="A130394217L" xr:uid="{00000000-0004-0000-0000-0000EE000000}"/>
    <hyperlink ref="E250" location="A130397178L" display="A130397178L" xr:uid="{00000000-0004-0000-0000-0000EF000000}"/>
    <hyperlink ref="E251" location="A130396555R" display="A130396555R" xr:uid="{00000000-0004-0000-0000-0000F0000000}"/>
    <hyperlink ref="E252" location="A130394182X" display="A130394182X" xr:uid="{00000000-0004-0000-0000-0000F1000000}"/>
    <hyperlink ref="E253" location="A130398572C" display="A130398572C" xr:uid="{00000000-0004-0000-0000-0000F2000000}"/>
    <hyperlink ref="E254" location="A130391606L" display="A130391606L" xr:uid="{00000000-0004-0000-0000-0000F3000000}"/>
    <hyperlink ref="E255" location="A130390514K" display="A130390514K" xr:uid="{00000000-0004-0000-0000-0000F4000000}"/>
    <hyperlink ref="E256" location="A130398432A" display="A130398432A" xr:uid="{00000000-0004-0000-0000-0000F5000000}"/>
    <hyperlink ref="E257" location="A130390976C" display="A130390976C" xr:uid="{00000000-0004-0000-0000-0000F6000000}"/>
    <hyperlink ref="E258" location="A130390017W" display="A130390017W" xr:uid="{00000000-0004-0000-0000-0000F7000000}"/>
    <hyperlink ref="E259" location="A130398593R" display="A130398593R" xr:uid="{00000000-0004-0000-0000-0000F8000000}"/>
    <hyperlink ref="E260" location="A130392327R" display="A130392327R" xr:uid="{00000000-0004-0000-0000-0000F9000000}"/>
    <hyperlink ref="E261" location="A130398264A" display="A130398264A" xr:uid="{00000000-0004-0000-0000-0000FA000000}"/>
    <hyperlink ref="E262" location="A130392047W" display="A130392047W" xr:uid="{00000000-0004-0000-0000-0000FB000000}"/>
    <hyperlink ref="E263" location="A130396072W" display="A130396072W" xr:uid="{00000000-0004-0000-0000-0000FC000000}"/>
    <hyperlink ref="E264" location="A130398628C" display="A130398628C" xr:uid="{00000000-0004-0000-0000-0000FD000000}"/>
    <hyperlink ref="E265" location="A130393846K" display="A130393846K" xr:uid="{00000000-0004-0000-0000-0000FE000000}"/>
    <hyperlink ref="E266" location="A130390990X" display="A130390990X" xr:uid="{00000000-0004-0000-0000-0000FF000000}"/>
    <hyperlink ref="E267" location="A130397578X" display="A130397578X" xr:uid="{00000000-0004-0000-0000-000000010000}"/>
    <hyperlink ref="E268" location="A130391319W" display="A130391319W" xr:uid="{00000000-0004-0000-0000-000001010000}"/>
    <hyperlink ref="E269" location="A130393874V" display="A130393874V" xr:uid="{00000000-0004-0000-0000-000002010000}"/>
    <hyperlink ref="E270" location="A130396422K" display="A130396422K" xr:uid="{00000000-0004-0000-0000-000003010000}"/>
    <hyperlink ref="E271" location="A130396317J" display="A130396317J" xr:uid="{00000000-0004-0000-0000-000004010000}"/>
    <hyperlink ref="E272" location="A130393958C" display="A130393958C" xr:uid="{00000000-0004-0000-0000-000005010000}"/>
    <hyperlink ref="E273" location="A130396604X" display="A130396604X" xr:uid="{00000000-0004-0000-0000-000006010000}"/>
    <hyperlink ref="E274" location="A130395428F" display="A130395428F" xr:uid="{00000000-0004-0000-0000-000007010000}"/>
    <hyperlink ref="E275" location="A130396177T" display="A130396177T" xr:uid="{00000000-0004-0000-0000-000008010000}"/>
    <hyperlink ref="E276" location="A130397382W" display="A130397382W" xr:uid="{00000000-0004-0000-0000-000009010000}"/>
    <hyperlink ref="E277" location="A130390353J" display="A130390353J" xr:uid="{00000000-0004-0000-0000-00000A010000}"/>
    <hyperlink ref="E278" location="A130399240A" display="A130399240A" xr:uid="{00000000-0004-0000-0000-00000B010000}"/>
    <hyperlink ref="E279" location="A130395631L" display="A130395631L" xr:uid="{00000000-0004-0000-0000-00000C010000}"/>
    <hyperlink ref="E280" location="A130398047F" display="A130398047F" xr:uid="{00000000-0004-0000-0000-00000D010000}"/>
    <hyperlink ref="E281" location="A130399338X" display="A130399338X" xr:uid="{00000000-0004-0000-0000-00000E010000}"/>
    <hyperlink ref="E282" location="A130393230L" display="A130393230L" xr:uid="{00000000-0004-0000-0000-00000F010000}"/>
    <hyperlink ref="E283" location="A130394357R" display="A130394357R" xr:uid="{00000000-0004-0000-0000-000010010000}"/>
    <hyperlink ref="E284" location="A130399366J" display="A130399366J" xr:uid="{00000000-0004-0000-0000-000011010000}"/>
    <hyperlink ref="E285" location="A130398946K" display="A130398946K" xr:uid="{00000000-0004-0000-0000-000012010000}"/>
    <hyperlink ref="E286" location="A130395666L" display="A130395666L" xr:uid="{00000000-0004-0000-0000-000013010000}"/>
    <hyperlink ref="E287" location="A130398103L" display="A130398103L" xr:uid="{00000000-0004-0000-0000-000014010000}"/>
    <hyperlink ref="E288" location="A130394476F" display="A130394476F" xr:uid="{00000000-0004-0000-0000-000015010000}"/>
    <hyperlink ref="E289" location="A130390584T" display="A130390584T" xr:uid="{00000000-0004-0000-0000-000016010000}"/>
    <hyperlink ref="E290" location="A130395498L" display="A130395498L" xr:uid="{00000000-0004-0000-0000-000017010000}"/>
    <hyperlink ref="E291" location="A130399289R" display="A130399289R" xr:uid="{00000000-0004-0000-0000-000018010000}"/>
    <hyperlink ref="E292" location="A130393181C" display="A130393181C" xr:uid="{00000000-0004-0000-0000-000019010000}"/>
    <hyperlink ref="E293" location="A130391865F" display="A130391865F" xr:uid="{00000000-0004-0000-0000-00001A010000}"/>
    <hyperlink ref="E294" location="A130392418W" display="A130392418W" xr:uid="{00000000-0004-0000-0000-00001B010000}"/>
    <hyperlink ref="E295" location="A130392432T" display="A130392432T" xr:uid="{00000000-0004-0000-0000-00001C010000}"/>
    <hyperlink ref="E296" location="A130397480A" display="A130397480A" xr:uid="{00000000-0004-0000-0000-00001D010000}"/>
    <hyperlink ref="E297" location="A130396464J" display="A130396464J" xr:uid="{00000000-0004-0000-0000-00001E010000}"/>
    <hyperlink ref="E298" location="A130398159X" display="A130398159X" xr:uid="{00000000-0004-0000-0000-00001F010000}"/>
    <hyperlink ref="E299" location="A130394525R" display="A130394525R" xr:uid="{00000000-0004-0000-0000-000020010000}"/>
    <hyperlink ref="E300" location="A130395974R" display="A130395974R" xr:uid="{00000000-0004-0000-0000-000021010000}"/>
    <hyperlink ref="E301" location="A130395981L" display="A130395981L" xr:uid="{00000000-0004-0000-0000-000022010000}"/>
    <hyperlink ref="E302" location="A130393923C" display="A130393923C" xr:uid="{00000000-0004-0000-0000-000023010000}"/>
    <hyperlink ref="E303" location="A130399450X" display="A130399450X" xr:uid="{00000000-0004-0000-0000-000024010000}"/>
    <hyperlink ref="E304" location="A130392782T" display="A130392782T" xr:uid="{00000000-0004-0000-0000-000025010000}"/>
    <hyperlink ref="E305" location="A130398173V" display="A130398173V" xr:uid="{00000000-0004-0000-0000-000026010000}"/>
    <hyperlink ref="E306" location="A130393937T" display="A130393937T" xr:uid="{00000000-0004-0000-0000-000027010000}"/>
    <hyperlink ref="E307" location="A130391732A" display="A130391732A" xr:uid="{00000000-0004-0000-0000-000028010000}"/>
    <hyperlink ref="E308" location="A130394497T" display="A130394497T" xr:uid="{00000000-0004-0000-0000-000029010000}"/>
    <hyperlink ref="E309" location="A130395715W" display="A130395715W" xr:uid="{00000000-0004-0000-0000-00002A010000}"/>
    <hyperlink ref="E310" location="A130399212T" display="A130399212T" xr:uid="{00000000-0004-0000-0000-00002B010000}"/>
    <hyperlink ref="E311" location="A130397998V" display="A130397998V" xr:uid="{00000000-0004-0000-0000-00002C010000}"/>
    <hyperlink ref="E312" location="A130395918W" display="A130395918W" xr:uid="{00000000-0004-0000-0000-00002D010000}"/>
    <hyperlink ref="E313" location="A130398376V" display="A130398376V" xr:uid="{00000000-0004-0000-0000-00002E010000}"/>
    <hyperlink ref="E314" location="A130399569J" display="A130399569J" xr:uid="{00000000-0004-0000-0000-00002F010000}"/>
    <hyperlink ref="E315" location="A130395582C" display="A130395582C" xr:uid="{00000000-0004-0000-0000-000030010000}"/>
    <hyperlink ref="E316" location="A130390906W" display="A130390906W" xr:uid="{00000000-0004-0000-0000-000031010000}"/>
    <hyperlink ref="E317" location="A130399177W" display="A130399177W" xr:uid="{00000000-0004-0000-0000-000032010000}"/>
    <hyperlink ref="E318" location="A130390241R" display="A130390241R" xr:uid="{00000000-0004-0000-0000-000033010000}"/>
    <hyperlink ref="E319" location="A130395988C" display="A130395988C" xr:uid="{00000000-0004-0000-0000-000034010000}"/>
    <hyperlink ref="E320" location="A130397276T" display="A130397276T" xr:uid="{00000000-0004-0000-0000-000035010000}"/>
    <hyperlink ref="E321" location="A130396009F" display="A130396009F" xr:uid="{00000000-0004-0000-0000-000036010000}"/>
    <hyperlink ref="E322" location="A130394378A" display="A130394378A" xr:uid="{00000000-0004-0000-0000-000037010000}"/>
    <hyperlink ref="E323" location="A130390668A" display="A130390668A" xr:uid="{00000000-0004-0000-0000-000038010000}"/>
    <hyperlink ref="E324" location="A130390675X" display="A130390675X" xr:uid="{00000000-0004-0000-0000-000039010000}"/>
    <hyperlink ref="E325" location="A130390689L" display="A130390689L" xr:uid="{00000000-0004-0000-0000-00003A010000}"/>
    <hyperlink ref="E326" location="A130399744F" display="A130399744F" xr:uid="{00000000-0004-0000-0000-00003B010000}"/>
    <hyperlink ref="E327" location="A130391039C" display="A130391039C" xr:uid="{00000000-0004-0000-0000-00003C010000}"/>
    <hyperlink ref="E328" location="A130392005X" display="A130392005X" xr:uid="{00000000-0004-0000-0000-00003D010000}"/>
    <hyperlink ref="E329" location="A130395484X" display="A130395484X" xr:uid="{00000000-0004-0000-0000-00003E010000}"/>
    <hyperlink ref="E330" location="A130398799W" display="A130398799W" xr:uid="{00000000-0004-0000-0000-00003F010000}"/>
    <hyperlink ref="E331" location="A130399254R" display="A130399254R" xr:uid="{00000000-0004-0000-0000-000040010000}"/>
    <hyperlink ref="E332" location="A130396520R" display="A130396520R" xr:uid="{00000000-0004-0000-0000-000041010000}"/>
    <hyperlink ref="E333" location="A130391074K" display="A130391074K" xr:uid="{00000000-0004-0000-0000-000042010000}"/>
    <hyperlink ref="E334" location="A130399002V" display="A130399002V" xr:uid="{00000000-0004-0000-0000-000043010000}"/>
    <hyperlink ref="E335" location="A130390717K" display="A130390717K" xr:uid="{00000000-0004-0000-0000-000044010000}"/>
    <hyperlink ref="E336" location="A130394896A" display="A130394896A" xr:uid="{00000000-0004-0000-0000-000045010000}"/>
    <hyperlink ref="E337" location="A130393083X" display="A130393083X" xr:uid="{00000000-0004-0000-0000-000046010000}"/>
    <hyperlink ref="E338" location="A130393629R" display="A130393629R" xr:uid="{00000000-0004-0000-0000-000047010000}"/>
    <hyperlink ref="E339" location="A130396996W" display="A130396996W" xr:uid="{00000000-0004-0000-0000-000048010000}"/>
    <hyperlink ref="E340" location="A130395225F" display="A130395225F" xr:uid="{00000000-0004-0000-0000-000049010000}"/>
    <hyperlink ref="E341" location="A130396681C" display="A130396681C" xr:uid="{00000000-0004-0000-0000-00004A010000}"/>
    <hyperlink ref="E342" location="A130395386V" display="A130395386V" xr:uid="{00000000-0004-0000-0000-00004B010000}"/>
    <hyperlink ref="E343" location="A130397003K" display="A130397003K" xr:uid="{00000000-0004-0000-0000-00004C010000}"/>
    <hyperlink ref="E344" location="A130394147T" display="A130394147T" xr:uid="{00000000-0004-0000-0000-00004D010000}"/>
    <hyperlink ref="E345" location="A130390255C" display="A130390255C" xr:uid="{00000000-0004-0000-0000-00004E010000}"/>
    <hyperlink ref="E346" location="A130392817F" display="A130392817F" xr:uid="{00000000-0004-0000-0000-00004F010000}"/>
    <hyperlink ref="E347" location="A130392292A" display="A130392292A" xr:uid="{00000000-0004-0000-0000-000050010000}"/>
    <hyperlink ref="E348" location="A130394609X" display="A130394609X" xr:uid="{00000000-0004-0000-0000-000051010000}"/>
    <hyperlink ref="E349" location="A130391235L" display="A130391235L" xr:uid="{00000000-0004-0000-0000-000052010000}"/>
    <hyperlink ref="E350" location="A130393818A" display="A130393818A" xr:uid="{00000000-0004-0000-0000-000053010000}"/>
    <hyperlink ref="E351" location="A130397010J" display="A130397010J" xr:uid="{00000000-0004-0000-0000-000054010000}"/>
    <hyperlink ref="E352" location="A130397325A" display="A130397325A" xr:uid="{00000000-0004-0000-0000-000055010000}"/>
    <hyperlink ref="E353" location="A130393328K" display="A130393328K" xr:uid="{00000000-0004-0000-0000-000056010000}"/>
    <hyperlink ref="E354" location="A130390948V" display="A130390948V" xr:uid="{00000000-0004-0000-0000-000057010000}"/>
    <hyperlink ref="E355" location="A130392306C" display="A130392306C" xr:uid="{00000000-0004-0000-0000-000058010000}"/>
    <hyperlink ref="E356" location="A130398558J" display="A130398558J" xr:uid="{00000000-0004-0000-0000-000059010000}"/>
    <hyperlink ref="E357" location="A130393895F" display="A130393895F" xr:uid="{00000000-0004-0000-0000-00005A010000}"/>
    <hyperlink ref="E358" location="A130393538J" display="A130393538J" xr:uid="{00000000-0004-0000-0000-00005B010000}"/>
    <hyperlink ref="E359" location="A130390073R" display="A130390073R" xr:uid="{00000000-0004-0000-0000-00005C010000}"/>
    <hyperlink ref="E360" location="A130395127A" display="A130395127A" xr:uid="{00000000-0004-0000-0000-00005D010000}"/>
    <hyperlink ref="E361" location="A130399016J" display="A130399016J" xr:uid="{00000000-0004-0000-0000-00005E010000}"/>
    <hyperlink ref="E362" location="A130392166L" display="A130392166L" xr:uid="{00000000-0004-0000-0000-00005F010000}"/>
    <hyperlink ref="E363" location="A130399632L" display="A130399632L" xr:uid="{00000000-0004-0000-0000-000060010000}"/>
    <hyperlink ref="E364" location="A130391571X" display="A130391571X" xr:uid="{00000000-0004-0000-0000-000061010000}"/>
    <hyperlink ref="E365" location="A130399611A" display="A130399611A" xr:uid="{00000000-0004-0000-0000-000062010000}"/>
    <hyperlink ref="E366" location="A130399646A" display="A130399646A" xr:uid="{00000000-0004-0000-0000-000063010000}"/>
    <hyperlink ref="E367" location="A130397942J" display="A130397942J" xr:uid="{00000000-0004-0000-0000-000064010000}"/>
    <hyperlink ref="E368" location="A130395561T" display="A130395561T" xr:uid="{00000000-0004-0000-0000-000065010000}"/>
    <hyperlink ref="E369" location="A130399555V" display="A130399555V" xr:uid="{00000000-0004-0000-0000-000066010000}"/>
    <hyperlink ref="E370" location="A130390871J" display="A130390871J" xr:uid="{00000000-0004-0000-0000-000067010000}"/>
    <hyperlink ref="E371" location="A130395848A" display="A130395848A" xr:uid="{00000000-0004-0000-0000-000068010000}"/>
    <hyperlink ref="E372" location="A130393398T" display="A130393398T" xr:uid="{00000000-0004-0000-0000-000069010000}"/>
    <hyperlink ref="E373" location="A130392082C" display="A130392082C" xr:uid="{00000000-0004-0000-0000-00006A010000}"/>
    <hyperlink ref="E374" location="A130391795K" display="A130391795K" xr:uid="{00000000-0004-0000-0000-00006B010000}"/>
    <hyperlink ref="E375" location="A130395883J" display="A130395883J" xr:uid="{00000000-0004-0000-0000-00006C010000}"/>
    <hyperlink ref="E376" location="A130396205R" display="A130396205R" xr:uid="{00000000-0004-0000-0000-00006D010000}"/>
    <hyperlink ref="E377" location="A130395533J" display="A130395533J" xr:uid="{00000000-0004-0000-0000-00006E010000}"/>
    <hyperlink ref="E378" location="A130397045J" display="A130397045J" xr:uid="{00000000-0004-0000-0000-00006F010000}"/>
    <hyperlink ref="E379" location="A130393363T" display="A130393363T" xr:uid="{00000000-0004-0000-0000-000070010000}"/>
    <hyperlink ref="E380" location="A130396212L" display="A130396212L" xr:uid="{00000000-0004-0000-0000-000071010000}"/>
    <hyperlink ref="E381" location="A130392894K" display="A130392894K" xr:uid="{00000000-0004-0000-0000-000072010000}"/>
    <hyperlink ref="E382" location="A130394777K" display="A130394777K" xr:uid="{00000000-0004-0000-0000-000073010000}"/>
    <hyperlink ref="E383" location="A130396562L" display="A130396562L" xr:uid="{00000000-0004-0000-0000-000074010000}"/>
    <hyperlink ref="E384" location="A130392859C" display="A130392859C" xr:uid="{00000000-0004-0000-0000-000075010000}"/>
    <hyperlink ref="E385" location="A130398579V" display="A130398579V" xr:uid="{00000000-0004-0000-0000-000076010000}"/>
    <hyperlink ref="E386" location="A130399058F" display="A130399058F" xr:uid="{00000000-0004-0000-0000-000077010000}"/>
    <hyperlink ref="E387" location="A130393153V" display="A130393153V" xr:uid="{00000000-0004-0000-0000-000078010000}"/>
    <hyperlink ref="E388" location="A130394784J" display="A130394784J" xr:uid="{00000000-0004-0000-0000-000079010000}"/>
    <hyperlink ref="E389" location="A130399667L" display="A130399667L" xr:uid="{00000000-0004-0000-0000-00007A010000}"/>
    <hyperlink ref="E390" location="A130397557L" display="A130397557L" xr:uid="{00000000-0004-0000-0000-00007B010000}"/>
    <hyperlink ref="E391" location="A130392313A" display="A130392313A" xr:uid="{00000000-0004-0000-0000-00007C010000}"/>
    <hyperlink ref="E392" location="A130396051K" display="A130396051K" xr:uid="{00000000-0004-0000-0000-00007D010000}"/>
    <hyperlink ref="E393" location="A130398271X" display="A130398271X" xr:uid="{00000000-0004-0000-0000-00007E010000}"/>
    <hyperlink ref="E394" location="A130398250L" display="A130398250L" xr:uid="{00000000-0004-0000-0000-00007F010000}"/>
    <hyperlink ref="E395" location="A130398621L" display="A130398621L" xr:uid="{00000000-0004-0000-0000-000080010000}"/>
    <hyperlink ref="E396" location="A130394987J" display="A130394987J" xr:uid="{00000000-0004-0000-0000-000081010000}"/>
    <hyperlink ref="E397" location="A130391298W" display="A130391298W" xr:uid="{00000000-0004-0000-0000-000082010000}"/>
    <hyperlink ref="E398" location="A130390997R" display="A130390997R" xr:uid="{00000000-0004-0000-0000-000083010000}"/>
    <hyperlink ref="E399" location="A130391305J" display="A130391305J" xr:uid="{00000000-0004-0000-0000-000084010000}"/>
    <hyperlink ref="E400" location="A130390038J" display="A130390038J" xr:uid="{00000000-0004-0000-0000-000085010000}"/>
    <hyperlink ref="E401" location="A130397585W" display="A130397585W" xr:uid="{00000000-0004-0000-0000-000086010000}"/>
    <hyperlink ref="E402" location="A130390171V" display="A130390171V" xr:uid="{00000000-0004-0000-0000-000087010000}"/>
    <hyperlink ref="E403" location="A130398813F" display="A130398813F" xr:uid="{00000000-0004-0000-0000-000088010000}"/>
    <hyperlink ref="E404" location="A130398834T" display="A130398834T" xr:uid="{00000000-0004-0000-0000-000089010000}"/>
    <hyperlink ref="E405" location="A130396611W" display="A130396611W" xr:uid="{00000000-0004-0000-0000-00008A010000}"/>
    <hyperlink ref="E406" location="A130397879C" display="A130397879C" xr:uid="{00000000-0004-0000-0000-00008B010000}"/>
    <hyperlink ref="E407" location="A130397501A" display="A130397501A" xr:uid="{00000000-0004-0000-0000-00008C010000}"/>
    <hyperlink ref="E408" location="A130395001V" display="A130395001V" xr:uid="{00000000-0004-0000-0000-00008D010000}"/>
    <hyperlink ref="E409" location="A130395470K" display="A130395470K" xr:uid="{00000000-0004-0000-0000-00008E010000}"/>
    <hyperlink ref="E410" location="A130394350X" display="A130394350X" xr:uid="{00000000-0004-0000-0000-00008F010000}"/>
    <hyperlink ref="E411" location="A130391879V" display="A130391879V" xr:uid="{00000000-0004-0000-0000-000090010000}"/>
    <hyperlink ref="E412" location="A130395638C" display="A130395638C" xr:uid="{00000000-0004-0000-0000-000091010000}"/>
    <hyperlink ref="E413" location="A130399345W" display="A130399345W" xr:uid="{00000000-0004-0000-0000-000092010000}"/>
    <hyperlink ref="E414" location="A130396828K" display="A130396828K" xr:uid="{00000000-0004-0000-0000-000093010000}"/>
    <hyperlink ref="E415" location="A130391718F" display="A130391718F" xr:uid="{00000000-0004-0000-0000-000094010000}"/>
    <hyperlink ref="E416" location="A130394469J" display="A130394469J" xr:uid="{00000000-0004-0000-0000-000095010000}"/>
    <hyperlink ref="E417" location="A130396436X" display="A130396436X" xr:uid="{00000000-0004-0000-0000-000096010000}"/>
    <hyperlink ref="E418" location="A130396870R" display="A130396870R" xr:uid="{00000000-0004-0000-0000-000097010000}"/>
    <hyperlink ref="E419" location="A130396877F" display="A130396877F" xr:uid="{00000000-0004-0000-0000-000098010000}"/>
    <hyperlink ref="E420" location="A130395680J" display="A130395680J" xr:uid="{00000000-0004-0000-0000-000099010000}"/>
    <hyperlink ref="E421" location="A130399394T" display="A130399394T" xr:uid="{00000000-0004-0000-0000-00009A010000}"/>
    <hyperlink ref="E422" location="A130394329F" display="A130394329F" xr:uid="{00000000-0004-0000-0000-00009B010000}"/>
    <hyperlink ref="E423" location="A130394427K" display="A130394427K" xr:uid="{00000000-0004-0000-0000-00009C010000}"/>
    <hyperlink ref="E424" location="A130396821V" display="A130396821V" xr:uid="{00000000-0004-0000-0000-00009D010000}"/>
    <hyperlink ref="E425" location="A130393188V" display="A130393188V" xr:uid="{00000000-0004-0000-0000-00009E010000}"/>
    <hyperlink ref="E426" location="A130392425V" display="A130392425V" xr:uid="{00000000-0004-0000-0000-00009F010000}"/>
    <hyperlink ref="E427" location="A130392439J" display="A130392439J" xr:uid="{00000000-0004-0000-0000-0000A0010000}"/>
    <hyperlink ref="E428" location="A130389968F" display="A130389968F" xr:uid="{00000000-0004-0000-0000-0000A1010000}"/>
    <hyperlink ref="E429" location="A130395351V" display="A130395351V" xr:uid="{00000000-0004-0000-0000-0000A2010000}"/>
    <hyperlink ref="E430" location="A130396905C" display="A130396905C" xr:uid="{00000000-0004-0000-0000-0000A3010000}"/>
    <hyperlink ref="E431" location="A130390626C" display="A130390626C" xr:uid="{00000000-0004-0000-0000-0000A4010000}"/>
    <hyperlink ref="E432" location="A130392208X" display="A130392208X" xr:uid="{00000000-0004-0000-0000-0000A5010000}"/>
    <hyperlink ref="E433" location="A130392222V" display="A130392222V" xr:uid="{00000000-0004-0000-0000-0000A6010000}"/>
    <hyperlink ref="E434" location="A130396247L" display="A130396247L" xr:uid="{00000000-0004-0000-0000-0000A7010000}"/>
    <hyperlink ref="E435" location="A130395736J" display="A130395736J" xr:uid="{00000000-0004-0000-0000-0000A8010000}"/>
    <hyperlink ref="E436" location="A130398960F" display="A130398960F" xr:uid="{00000000-0004-0000-0000-0000A9010000}"/>
    <hyperlink ref="E437" location="A130394532L" display="A130394532L" xr:uid="{00000000-0004-0000-0000-0000AA010000}"/>
    <hyperlink ref="E438" location="A130398785J" display="A130398785J" xr:uid="{00000000-0004-0000-0000-0000AB010000}"/>
    <hyperlink ref="E439" location="A130397963V" display="A130397963V" xr:uid="{00000000-0004-0000-0000-0000AC010000}"/>
    <hyperlink ref="E440" location="A130394504C" display="A130394504C" xr:uid="{00000000-0004-0000-0000-0000AD010000}"/>
    <hyperlink ref="E441" location="A130399415T" display="A130399415T" xr:uid="{00000000-0004-0000-0000-0000AE010000}"/>
    <hyperlink ref="E442" location="A130393020R" display="A130393020R" xr:uid="{00000000-0004-0000-0000-0000AF010000}"/>
    <hyperlink ref="E443" location="A130393132J" display="A130393132J" xr:uid="{00000000-0004-0000-0000-0000B0010000}"/>
    <hyperlink ref="E444" location="A130390899K" display="A130390899K" xr:uid="{00000000-0004-0000-0000-0000B1010000}"/>
    <hyperlink ref="E445" location="A130397094C" display="A130397094C" xr:uid="{00000000-0004-0000-0000-0000B2010000}"/>
    <hyperlink ref="E446" location="A130399576F" display="A130399576F" xr:uid="{00000000-0004-0000-0000-0000B3010000}"/>
    <hyperlink ref="E447" location="A130395589V" display="A130395589V" xr:uid="{00000000-0004-0000-0000-0000B4010000}"/>
    <hyperlink ref="E448" location="A130394728R" display="A130394728R" xr:uid="{00000000-0004-0000-0000-0000B5010000}"/>
    <hyperlink ref="E449" location="A130392971C" display="A130392971C" xr:uid="{00000000-0004-0000-0000-0000B6010000}"/>
    <hyperlink ref="E450" location="A130391494F" display="A130391494F" xr:uid="{00000000-0004-0000-0000-0000B7010000}"/>
    <hyperlink ref="E451" location="A130394833T" display="A130394833T" xr:uid="{00000000-0004-0000-0000-0000B8010000}"/>
    <hyperlink ref="E452" location="A130397283R" display="A130397283R" xr:uid="{00000000-0004-0000-0000-0000B9010000}"/>
    <hyperlink ref="E453" location="A130392243F" display="A130392243F" xr:uid="{00000000-0004-0000-0000-0000BA010000}"/>
    <hyperlink ref="E454" location="A130393076A" display="A130393076A" xr:uid="{00000000-0004-0000-0000-0000BB010000}"/>
    <hyperlink ref="E455" location="A130394560W" display="A130394560W" xr:uid="{00000000-0004-0000-0000-0000BC010000}"/>
    <hyperlink ref="E456" location="A130398187J" display="A130398187J" xr:uid="{00000000-0004-0000-0000-0000BD010000}"/>
    <hyperlink ref="E457" location="A130398194F" display="A130398194F" xr:uid="{00000000-0004-0000-0000-0000BE010000}"/>
    <hyperlink ref="E458" location="A130391032L" display="A130391032L" xr:uid="{00000000-0004-0000-0000-0000BF010000}"/>
    <hyperlink ref="E459" location="A130391046A" display="A130391046A" xr:uid="{00000000-0004-0000-0000-0000C0010000}"/>
    <hyperlink ref="E460" location="A130395757V" display="A130395757V" xr:uid="{00000000-0004-0000-0000-0000C1010000}"/>
    <hyperlink ref="E461" location="A130394287V" display="A130394287V" xr:uid="{00000000-0004-0000-0000-0000C2010000}"/>
    <hyperlink ref="E462" location="A130398806J" display="A130398806J" xr:uid="{00000000-0004-0000-0000-0000C3010000}"/>
    <hyperlink ref="E463" location="A130399261L" display="A130399261L" xr:uid="{00000000-0004-0000-0000-0000C4010000}"/>
    <hyperlink ref="E464" location="A130392824C" display="A130392824C" xr:uid="{00000000-0004-0000-0000-0000C5010000}"/>
    <hyperlink ref="E465" location="A130392285C" display="A130392285C" xr:uid="{00000000-0004-0000-0000-0000C6010000}"/>
    <hyperlink ref="E466" location="A130397837F" display="A130397837F" xr:uid="{00000000-0004-0000-0000-0000C7010000}"/>
    <hyperlink ref="E467" location="A130395771R" display="A130395771R" xr:uid="{00000000-0004-0000-0000-0000C8010000}"/>
    <hyperlink ref="E468" location="A130391088X" display="A130391088X" xr:uid="{00000000-0004-0000-0000-0000C9010000}"/>
    <hyperlink ref="E469" location="A130391774X" display="A130391774X" xr:uid="{00000000-0004-0000-0000-0000CA010000}"/>
    <hyperlink ref="E470" location="A130394882L" display="A130394882L" xr:uid="{00000000-0004-0000-0000-0000CB010000}"/>
    <hyperlink ref="E471" location="A130395792A" display="A130395792A" xr:uid="{00000000-0004-0000-0000-0000CC010000}"/>
    <hyperlink ref="E472" location="A130396296J" display="A130396296J" xr:uid="{00000000-0004-0000-0000-0000CD010000}"/>
    <hyperlink ref="E473" location="A130394294T" display="A130394294T" xr:uid="{00000000-0004-0000-0000-0000CE010000}"/>
    <hyperlink ref="E474" location="A130391515F" display="A130391515F" xr:uid="{00000000-0004-0000-0000-0000CF010000}"/>
    <hyperlink ref="E475" location="A130395799T" display="A130395799T" xr:uid="{00000000-0004-0000-0000-0000D0010000}"/>
    <hyperlink ref="E476" location="A130396513T" display="A130396513T" xr:uid="{00000000-0004-0000-0000-0000D1010000}"/>
    <hyperlink ref="E477" location="A130397781F" display="A130397781F" xr:uid="{00000000-0004-0000-0000-0000D2010000}"/>
    <hyperlink ref="E478" location="A130394126F" display="A130394126F" xr:uid="{00000000-0004-0000-0000-0000D3010000}"/>
    <hyperlink ref="E479" location="A130398509L" display="A130398509L" xr:uid="{00000000-0004-0000-0000-0000D4010000}"/>
    <hyperlink ref="E480" location="A130398229V" display="A130398229V" xr:uid="{00000000-0004-0000-0000-0000D5010000}"/>
    <hyperlink ref="E481" location="A130393804L" display="A130393804L" xr:uid="{00000000-0004-0000-0000-0000D6010000}"/>
    <hyperlink ref="E482" location="A130391256X" display="A130391256X" xr:uid="{00000000-0004-0000-0000-0000D7010000}"/>
    <hyperlink ref="E483" location="A130392026K" display="A130392026K" xr:uid="{00000000-0004-0000-0000-0000D8010000}"/>
    <hyperlink ref="E484" location="A130394910K" display="A130394910K" xr:uid="{00000000-0004-0000-0000-0000D9010000}"/>
    <hyperlink ref="E485" location="A130390794R" display="A130390794R" xr:uid="{00000000-0004-0000-0000-0000DA010000}"/>
    <hyperlink ref="E486" location="A130394756X" display="A130394756X" xr:uid="{00000000-0004-0000-0000-0000DB010000}"/>
    <hyperlink ref="E487" location="A130397332X" display="A130397332X" xr:uid="{00000000-0004-0000-0000-0000DC010000}"/>
    <hyperlink ref="E488" location="A130399793A" display="A130399793A" xr:uid="{00000000-0004-0000-0000-0000DD010000}"/>
    <hyperlink ref="E489" location="A130393902T" display="A130393902T" xr:uid="{00000000-0004-0000-0000-0000DE010000}"/>
    <hyperlink ref="E490" location="A130390962R" display="A130390962R" xr:uid="{00000000-0004-0000-0000-0000DF010000}"/>
    <hyperlink ref="E491" location="A130397599K" display="A130397599K" xr:uid="{00000000-0004-0000-0000-0000E0010000}"/>
    <hyperlink ref="E492" location="A130392495A" display="A130392495A" xr:uid="{00000000-0004-0000-0000-0000E1010000}"/>
    <hyperlink ref="E493" location="A130396541A" display="A130396541A" xr:uid="{00000000-0004-0000-0000-0000E2010000}"/>
    <hyperlink ref="E494" location="A130394749A" display="A130394749A" xr:uid="{00000000-0004-0000-0000-0000E3010000}"/>
    <hyperlink ref="E495" location="A130399639C" display="A130399639C" xr:uid="{00000000-0004-0000-0000-0000E4010000}"/>
    <hyperlink ref="E496" location="A130392852L" display="A130392852L" xr:uid="{00000000-0004-0000-0000-0000E5010000}"/>
    <hyperlink ref="E497" location="A130394735L" display="A130394735L" xr:uid="{00000000-0004-0000-0000-0000E6010000}"/>
    <hyperlink ref="E498" location="A130393489X" display="A130393489X" xr:uid="{00000000-0004-0000-0000-0000E7010000}"/>
    <hyperlink ref="E499" location="A130397949X" display="A130397949X" xr:uid="{00000000-0004-0000-0000-0000E8010000}"/>
    <hyperlink ref="E500" location="A130396744A" display="A130396744A" xr:uid="{00000000-0004-0000-0000-0000E9010000}"/>
    <hyperlink ref="E501" location="A130394672R" display="A130394672R" xr:uid="{00000000-0004-0000-0000-0000EA010000}"/>
    <hyperlink ref="E502" location="A130393384C" display="A130393384C" xr:uid="{00000000-0004-0000-0000-0000EB010000}"/>
    <hyperlink ref="E503" location="A130394679F" display="A130394679F" xr:uid="{00000000-0004-0000-0000-0000EC010000}"/>
    <hyperlink ref="E504" location="A130392103C" display="A130392103C" xr:uid="{00000000-0004-0000-0000-0000ED010000}"/>
    <hyperlink ref="E505" location="A130398327X" display="A130398327X" xr:uid="{00000000-0004-0000-0000-0000EE010000}"/>
    <hyperlink ref="E506" location="A130396786X" display="A130396786X" xr:uid="{00000000-0004-0000-0000-0000EF010000}"/>
    <hyperlink ref="E507" location="A130392131L" display="A130392131L" xr:uid="{00000000-0004-0000-0000-0000F0010000}"/>
    <hyperlink ref="E508" location="A130392502L" display="A130392502L" xr:uid="{00000000-0004-0000-0000-0000F1010000}"/>
    <hyperlink ref="E509" location="A130395540F" display="A130395540F" xr:uid="{00000000-0004-0000-0000-0000F2010000}"/>
    <hyperlink ref="E510" location="A130395820X" display="A130395820X" xr:uid="{00000000-0004-0000-0000-0000F3010000}"/>
    <hyperlink ref="E511" location="A130395827R" display="A130395827R" xr:uid="{00000000-0004-0000-0000-0000F4010000}"/>
    <hyperlink ref="E512" location="A130392516A" display="A130392516A" xr:uid="{00000000-0004-0000-0000-0000F5010000}"/>
    <hyperlink ref="E513" location="A130399072A" display="A130399072A" xr:uid="{00000000-0004-0000-0000-0000F6010000}"/>
    <hyperlink ref="E514" location="A130395960A" display="A130395960A" xr:uid="{00000000-0004-0000-0000-0000F7010000}"/>
    <hyperlink ref="E515" location="A130399044T" display="A130399044T" xr:uid="{00000000-0004-0000-0000-0000F8010000}"/>
    <hyperlink ref="E516" location="A130394189R" display="A130394189R" xr:uid="{00000000-0004-0000-0000-0000F9010000}"/>
    <hyperlink ref="E517" location="A130394945K" display="A130394945K" xr:uid="{00000000-0004-0000-0000-0000FA010000}"/>
    <hyperlink ref="E518" location="A130394203X" display="A130394203X" xr:uid="{00000000-0004-0000-0000-0000FB010000}"/>
    <hyperlink ref="E519" location="A130393160T" display="A130393160T" xr:uid="{00000000-0004-0000-0000-0000FC010000}"/>
    <hyperlink ref="E520" location="A130397206K" display="A130397206K" xr:uid="{00000000-0004-0000-0000-0000FD010000}"/>
    <hyperlink ref="E521" location="A130397220F" display="A130397220F" xr:uid="{00000000-0004-0000-0000-0000FE010000}"/>
    <hyperlink ref="E522" location="A130395141W" display="A130395141W" xr:uid="{00000000-0004-0000-0000-0000FF010000}"/>
    <hyperlink ref="E523" location="A130394959X" display="A130394959X" xr:uid="{00000000-0004-0000-0000-000000020000}"/>
    <hyperlink ref="E524" location="A130396058A" display="A130396058A" xr:uid="{00000000-0004-0000-0000-000001020000}"/>
    <hyperlink ref="E525" location="A130392068J" display="A130392068J" xr:uid="{00000000-0004-0000-0000-000002020000}"/>
    <hyperlink ref="E526" location="A130390801A" display="A130390801A" xr:uid="{00000000-0004-0000-0000-000003020000}"/>
    <hyperlink ref="E527" location="A130393699W" display="A130393699W" xr:uid="{00000000-0004-0000-0000-000004020000}"/>
    <hyperlink ref="E528" location="A130394994F" display="A130394994F" xr:uid="{00000000-0004-0000-0000-000005020000}"/>
    <hyperlink ref="E529" location="A130395155K" display="A130395155K" xr:uid="{00000000-0004-0000-0000-000006020000}"/>
    <hyperlink ref="E530" location="A130393566T" display="A130393566T" xr:uid="{00000000-0004-0000-0000-000007020000}"/>
    <hyperlink ref="E531" location="A130396233X" display="A130396233X" xr:uid="{00000000-0004-0000-0000-000008020000}"/>
    <hyperlink ref="E532" location="A130390045F" display="A130390045F" xr:uid="{00000000-0004-0000-0000-000009020000}"/>
    <hyperlink ref="E533" location="A130393881T" display="A130393881T" xr:uid="{00000000-0004-0000-0000-00000A020000}"/>
    <hyperlink ref="E534" location="A130392754J" display="A130392754J" xr:uid="{00000000-0004-0000-0000-00000B020000}"/>
    <hyperlink ref="E535" location="A130398820C" display="A130398820C" xr:uid="{00000000-0004-0000-0000-00000C020000}"/>
    <hyperlink ref="E536" location="A130391368T" display="A130391368T" xr:uid="{00000000-0004-0000-0000-00000D020000}"/>
    <hyperlink ref="E537" location="A130399107R" display="A130399107R" xr:uid="{00000000-0004-0000-0000-00000E020000}"/>
    <hyperlink ref="E538" location="A130399093L" display="A130399093L" xr:uid="{00000000-0004-0000-0000-00000F020000}"/>
    <hyperlink ref="E539" location="A130397508T" display="A130397508T" xr:uid="{00000000-0004-0000-0000-000010020000}"/>
    <hyperlink ref="E540" location="A130393713F" display="A130393713F" xr:uid="{00000000-0004-0000-0000-000011020000}"/>
    <hyperlink ref="E541" location="A130394273F" display="A130394273F" xr:uid="{00000000-0004-0000-0000-000012020000}"/>
    <hyperlink ref="E542" location="A130390423C" display="A130390423C" xr:uid="{00000000-0004-0000-0000-000013020000}"/>
    <hyperlink ref="E543" location="A130394441F" display="A130394441F" xr:uid="{00000000-0004-0000-0000-000014020000}"/>
    <hyperlink ref="E544" location="A130399317L" display="A130399317L" xr:uid="{00000000-0004-0000-0000-000015020000}"/>
    <hyperlink ref="E545" location="A130395652X" display="A130395652X" xr:uid="{00000000-0004-0000-0000-000016020000}"/>
    <hyperlink ref="E546" location="A130393237C" display="A130393237C" xr:uid="{00000000-0004-0000-0000-000017020000}"/>
    <hyperlink ref="E547" location="A130393062L" display="A130393062L" xr:uid="{00000000-0004-0000-0000-000018020000}"/>
    <hyperlink ref="E548" location="A130398075R" display="A130398075R" xr:uid="{00000000-0004-0000-0000-000019020000}"/>
    <hyperlink ref="E549" location="A130395330J" display="A130395330J" xr:uid="{00000000-0004-0000-0000-00001A020000}"/>
    <hyperlink ref="E550" location="A130398082L" display="A130398082L" xr:uid="{00000000-0004-0000-0000-00001B020000}"/>
    <hyperlink ref="E551" location="A130390570C" display="A130390570C" xr:uid="{00000000-0004-0000-0000-00001C020000}"/>
    <hyperlink ref="E552" location="A130396891A" display="A130396891A" xr:uid="{00000000-0004-0000-0000-00001D020000}"/>
    <hyperlink ref="E553" location="A130390591R" display="A130390591R" xr:uid="{00000000-0004-0000-0000-00001E020000}"/>
    <hyperlink ref="E554" location="A130394336C" display="A130394336C" xr:uid="{00000000-0004-0000-0000-00001F020000}"/>
    <hyperlink ref="E555" location="A130390521J" display="A130390521J" xr:uid="{00000000-0004-0000-0000-000020020000}"/>
    <hyperlink ref="E556" location="A130390528X" display="A130390528X" xr:uid="{00000000-0004-0000-0000-000021020000}"/>
    <hyperlink ref="E557" location="A130399303X" display="A130399303X" xr:uid="{00000000-0004-0000-0000-000022020000}"/>
    <hyperlink ref="E558" location="A130391214A" display="A130391214A" xr:uid="{00000000-0004-0000-0000-000023020000}"/>
    <hyperlink ref="E559" location="A130389947V" display="A130389947V" xr:uid="{00000000-0004-0000-0000-000024020000}"/>
    <hyperlink ref="E560" location="A130392460A" display="A130392460A" xr:uid="{00000000-0004-0000-0000-000025020000}"/>
    <hyperlink ref="E561" location="A130398953J" display="A130398953J" xr:uid="{00000000-0004-0000-0000-000026020000}"/>
    <hyperlink ref="E562" location="A130394511A" display="A130394511A" xr:uid="{00000000-0004-0000-0000-000027020000}"/>
    <hyperlink ref="E563" location="A130396933L" display="A130396933L" xr:uid="{00000000-0004-0000-0000-000028020000}"/>
    <hyperlink ref="E564" location="A130399695W" display="A130399695W" xr:uid="{00000000-0004-0000-0000-000029020000}"/>
    <hyperlink ref="E565" location="A130399702J" display="A130399702J" xr:uid="{00000000-0004-0000-0000-00002A020000}"/>
    <hyperlink ref="E566" location="A130392572V" display="A130392572V" xr:uid="{00000000-0004-0000-0000-00002B020000}"/>
    <hyperlink ref="E567" location="A130394553X" display="A130394553X" xr:uid="{00000000-0004-0000-0000-00002C020000}"/>
    <hyperlink ref="E568" location="A130395358K" display="A130395358K" xr:uid="{00000000-0004-0000-0000-00002D020000}"/>
    <hyperlink ref="E569" location="A130391977X" display="A130391977X" xr:uid="{00000000-0004-0000-0000-00002E020000}"/>
    <hyperlink ref="E570" location="A130390080L" display="A130390080L" xr:uid="{00000000-0004-0000-0000-00002F020000}"/>
    <hyperlink ref="E571" location="A130396723R" display="A130396723R" xr:uid="{00000000-0004-0000-0000-000030020000}"/>
    <hyperlink ref="E572" location="A130395708X" display="A130395708X" xr:uid="{00000000-0004-0000-0000-000031020000}"/>
    <hyperlink ref="E573" location="A130393258R" display="A130393258R" xr:uid="{00000000-0004-0000-0000-000032020000}"/>
    <hyperlink ref="E574" location="A130399219J" display="A130399219J" xr:uid="{00000000-0004-0000-0000-000033020000}"/>
    <hyperlink ref="E575" location="A130390500W" display="A130390500W" xr:uid="{00000000-0004-0000-0000-000034020000}"/>
    <hyperlink ref="E576" location="A130397108F" display="A130397108F" xr:uid="{00000000-0004-0000-0000-000035020000}"/>
    <hyperlink ref="E577" location="A130393419T" display="A130393419T" xr:uid="{00000000-0004-0000-0000-000036020000}"/>
    <hyperlink ref="E578" location="A130399583C" display="A130399583C" xr:uid="{00000000-0004-0000-0000-000037020000}"/>
    <hyperlink ref="E579" location="A130393139X" display="A130393139X" xr:uid="{00000000-0004-0000-0000-000038020000}"/>
    <hyperlink ref="E580" location="A130390913V" display="A130390913V" xr:uid="{00000000-0004-0000-0000-000039020000}"/>
    <hyperlink ref="E581" location="A130392978V" display="A130392978V" xr:uid="{00000000-0004-0000-0000-00003A020000}"/>
    <hyperlink ref="E582" location="A130392796F" display="A130392796F" xr:uid="{00000000-0004-0000-0000-00003B020000}"/>
    <hyperlink ref="E583" location="A130394840R" display="A130394840R" xr:uid="{00000000-0004-0000-0000-00003C020000}"/>
    <hyperlink ref="E584" location="A130392229K" display="A130392229K" xr:uid="{00000000-0004-0000-0000-00003D020000}"/>
    <hyperlink ref="E585" location="A130399723V" display="A130399723V" xr:uid="{00000000-0004-0000-0000-00003E020000}"/>
    <hyperlink ref="E586" location="A130391753L" display="A130391753L" xr:uid="{00000000-0004-0000-0000-00003F020000}"/>
    <hyperlink ref="E587" location="A130393272K" display="A130393272K" xr:uid="{00000000-0004-0000-0000-000040020000}"/>
    <hyperlink ref="E588" location="A130394567L" display="A130394567L" xr:uid="{00000000-0004-0000-0000-000041020000}"/>
    <hyperlink ref="E589" location="A130390696K" display="A130390696K" xr:uid="{00000000-0004-0000-0000-000042020000}"/>
    <hyperlink ref="E590" location="A130399751C" display="A130399751C" xr:uid="{00000000-0004-0000-0000-000043020000}"/>
    <hyperlink ref="E591" location="A130398474X" display="A130398474X" xr:uid="{00000000-0004-0000-0000-000044020000}"/>
    <hyperlink ref="E592" location="A130396982J" display="A130396982J" xr:uid="{00000000-0004-0000-0000-000045020000}"/>
    <hyperlink ref="E593" location="A130396674F" display="A130396674F" xr:uid="{00000000-0004-0000-0000-000046020000}"/>
    <hyperlink ref="E594" location="A130392593F" display="A130392593F" xr:uid="{00000000-0004-0000-0000-000047020000}"/>
    <hyperlink ref="E595" location="A130395526K" display="A130395526K" xr:uid="{00000000-0004-0000-0000-000048020000}"/>
    <hyperlink ref="E596" location="A130396527F" display="A130396527F" xr:uid="{00000000-0004-0000-0000-000049020000}"/>
    <hyperlink ref="E597" location="A130391081J" display="A130391081J" xr:uid="{00000000-0004-0000-0000-00004A020000}"/>
    <hyperlink ref="E598" location="A130392845R" display="A130392845R" xr:uid="{00000000-0004-0000-0000-00004B020000}"/>
    <hyperlink ref="E599" location="A130398201T" display="A130398201T" xr:uid="{00000000-0004-0000-0000-00004C020000}"/>
    <hyperlink ref="E600" location="A130398502W" display="A130398502W" xr:uid="{00000000-0004-0000-0000-00004D020000}"/>
    <hyperlink ref="E601" location="A130394399L" display="A130394399L" xr:uid="{00000000-0004-0000-0000-00004E020000}"/>
    <hyperlink ref="E602" location="A130393636L" display="A130393636L" xr:uid="{00000000-0004-0000-0000-00004F020000}"/>
    <hyperlink ref="E603" location="A130392019L" display="A130392019L" xr:uid="{00000000-0004-0000-0000-000050020000}"/>
    <hyperlink ref="E604" location="A130392607J" display="A130392607J" xr:uid="{00000000-0004-0000-0000-000051020000}"/>
    <hyperlink ref="E605" location="A130390388J" display="A130390388J" xr:uid="{00000000-0004-0000-0000-000052020000}"/>
    <hyperlink ref="E606" location="A130394140A" display="A130394140A" xr:uid="{00000000-0004-0000-0000-000053020000}"/>
    <hyperlink ref="E607" location="A130395806C" display="A130395806C" xr:uid="{00000000-0004-0000-0000-000054020000}"/>
    <hyperlink ref="E608" location="A130397816V" display="A130397816V" xr:uid="{00000000-0004-0000-0000-000055020000}"/>
    <hyperlink ref="E609" location="A130396485V" display="A130396485V" xr:uid="{00000000-0004-0000-0000-000056020000}"/>
    <hyperlink ref="E610" location="A130391508J" display="A130391508J" xr:uid="{00000000-0004-0000-0000-000057020000}"/>
    <hyperlink ref="E611" location="A130393650J" display="A130393650J" xr:uid="{00000000-0004-0000-0000-000058020000}"/>
    <hyperlink ref="E612" location="A130393314W" display="A130393314W" xr:uid="{00000000-0004-0000-0000-000059020000}"/>
    <hyperlink ref="E613" location="A130391242K" display="A130391242K" xr:uid="{00000000-0004-0000-0000-00005A020000}"/>
    <hyperlink ref="E614" location="A130398722X" display="A130398722X" xr:uid="{00000000-0004-0000-0000-00005B020000}"/>
    <hyperlink ref="E615" location="A130393321V" display="A130393321V" xr:uid="{00000000-0004-0000-0000-00005C020000}"/>
    <hyperlink ref="E616" location="A130398537W" display="A130398537W" xr:uid="{00000000-0004-0000-0000-00005D020000}"/>
    <hyperlink ref="E617" location="A130398243R" display="A130398243R" xr:uid="{00000000-0004-0000-0000-00005E020000}"/>
    <hyperlink ref="E618" location="A130393524V" display="A130393524V" xr:uid="{00000000-0004-0000-0000-00005F020000}"/>
    <hyperlink ref="E619" location="A130393671V" display="A130393671V" xr:uid="{00000000-0004-0000-0000-000060020000}"/>
    <hyperlink ref="E620" location="A130398565F" display="A130398565F" xr:uid="{00000000-0004-0000-0000-000061020000}"/>
    <hyperlink ref="E621" location="A130391326V" display="A130391326V" xr:uid="{00000000-0004-0000-0000-000062020000}"/>
    <hyperlink ref="E622" location="A130397157A" display="A130397157A" xr:uid="{00000000-0004-0000-0000-000063020000}"/>
    <hyperlink ref="E623" location="A130397606W" display="A130397606W" xr:uid="{00000000-0004-0000-0000-000064020000}"/>
    <hyperlink ref="E624" location="A130389982A" display="A130389982A" xr:uid="{00000000-0004-0000-0000-000065020000}"/>
    <hyperlink ref="E625" location="A130395407V" display="A130395407V" xr:uid="{00000000-0004-0000-0000-000066020000}"/>
    <hyperlink ref="E626" location="A130393510F" display="A130393510F" xr:uid="{00000000-0004-0000-0000-000067020000}"/>
    <hyperlink ref="E627" location="A130392152X" display="A130392152X" xr:uid="{00000000-0004-0000-0000-000068020000}"/>
    <hyperlink ref="E628" location="A130394168C" display="A130394168C" xr:uid="{00000000-0004-0000-0000-000069020000}"/>
    <hyperlink ref="E629" location="A130399618T" display="A130399618T" xr:uid="{00000000-0004-0000-0000-00006A020000}"/>
    <hyperlink ref="E630" location="A130392159R" display="A130392159R" xr:uid="{00000000-0004-0000-0000-00006B020000}"/>
    <hyperlink ref="E631" location="A130399205V" display="A130399205V" xr:uid="{00000000-0004-0000-0000-00006C020000}"/>
    <hyperlink ref="E632" location="A130396751X" display="A130396751X" xr:uid="{00000000-0004-0000-0000-00006D020000}"/>
    <hyperlink ref="E633" location="A130398306L" display="A130398306L" xr:uid="{00000000-0004-0000-0000-00006E020000}"/>
    <hyperlink ref="E634" location="A130392089V" display="A130392089V" xr:uid="{00000000-0004-0000-0000-00006F020000}"/>
    <hyperlink ref="E635" location="A130398313K" display="A130398313K" xr:uid="{00000000-0004-0000-0000-000070020000}"/>
    <hyperlink ref="E636" location="A130394693A" display="A130394693A" xr:uid="{00000000-0004-0000-0000-000071020000}"/>
    <hyperlink ref="E637" location="A130393377F" display="A130393377F" xr:uid="{00000000-0004-0000-0000-000072020000}"/>
    <hyperlink ref="E638" location="A130395568J" display="A130395568J" xr:uid="{00000000-0004-0000-0000-000073020000}"/>
    <hyperlink ref="E639" location="A130390878X" display="A130390878X" xr:uid="{00000000-0004-0000-0000-000074020000}"/>
    <hyperlink ref="E640" location="A130392509C" display="A130392509C" xr:uid="{00000000-0004-0000-0000-000075020000}"/>
    <hyperlink ref="E641" location="A130393111W" display="A130393111W" xr:uid="{00000000-0004-0000-0000-000076020000}"/>
    <hyperlink ref="E642" location="A130390822L" display="A130390822L" xr:uid="{00000000-0004-0000-0000-000077020000}"/>
    <hyperlink ref="E643" location="A130398285L" display="A130398285L" xr:uid="{00000000-0004-0000-0000-000078020000}"/>
    <hyperlink ref="E644" location="A130395134X" display="A130395134X" xr:uid="{00000000-0004-0000-0000-000079020000}"/>
    <hyperlink ref="E645" location="A130394224K" display="A130394224K" xr:uid="{00000000-0004-0000-0000-00007A020000}"/>
    <hyperlink ref="E646" location="A130399653X" display="A130399653X" xr:uid="{00000000-0004-0000-0000-00007B020000}"/>
    <hyperlink ref="E647" location="A130391578R" display="A130391578R" xr:uid="{00000000-0004-0000-0000-00007C020000}"/>
    <hyperlink ref="E648" location="A130399051R" display="A130399051R" xr:uid="{00000000-0004-0000-0000-00007D020000}"/>
    <hyperlink ref="E649" location="A130391123V" display="A130391123V" xr:uid="{00000000-0004-0000-0000-00007E020000}"/>
    <hyperlink ref="E650" location="A130396576A" display="A130396576A" xr:uid="{00000000-0004-0000-0000-00007F020000}"/>
    <hyperlink ref="E651" location="A130396793W" display="A130396793W" xr:uid="{00000000-0004-0000-0000-000080020000}"/>
    <hyperlink ref="E652" location="A130398439T" display="A130398439T" xr:uid="{00000000-0004-0000-0000-000081020000}"/>
    <hyperlink ref="E653" location="A130397227W" display="A130397227W" xr:uid="{00000000-0004-0000-0000-000082020000}"/>
    <hyperlink ref="E654" location="A130398743K" display="A130398743K" xr:uid="{00000000-0004-0000-0000-000083020000}"/>
    <hyperlink ref="E655" location="A130398600A" display="A130398600A" xr:uid="{00000000-0004-0000-0000-000084020000}"/>
    <hyperlink ref="E656" location="A130398607T" display="A130398607T" xr:uid="{00000000-0004-0000-0000-000085020000}"/>
    <hyperlink ref="E657" location="A130394630T" display="A130394630T" xr:uid="{00000000-0004-0000-0000-000086020000}"/>
    <hyperlink ref="E658" location="A130393335J" display="A130393335J" xr:uid="{00000000-0004-0000-0000-000087020000}"/>
    <hyperlink ref="E659" location="A130393706J" display="A130393706J" xr:uid="{00000000-0004-0000-0000-000088020000}"/>
    <hyperlink ref="E660" location="A130391144F" display="A130391144F" xr:uid="{00000000-0004-0000-0000-000089020000}"/>
    <hyperlink ref="E661" location="A130398750J" display="A130398750J" xr:uid="{00000000-0004-0000-0000-00008A020000}"/>
    <hyperlink ref="E662" location="A130399674K" display="A130399674K" xr:uid="{00000000-0004-0000-0000-00008B020000}"/>
    <hyperlink ref="E663" location="A130390031T" display="A130390031T" xr:uid="{00000000-0004-0000-0000-00008C020000}"/>
    <hyperlink ref="E664" location="A130398771V" display="A130398771V" xr:uid="{00000000-0004-0000-0000-00008D020000}"/>
    <hyperlink ref="E665" location="A130392544K" display="A130392544K" xr:uid="{00000000-0004-0000-0000-00008E020000}"/>
    <hyperlink ref="E666" location="A130390178K" display="A130390178K" xr:uid="{00000000-0004-0000-0000-00008F020000}"/>
    <hyperlink ref="E667" location="A130391361A" display="A130391361A" xr:uid="{00000000-0004-0000-0000-000090020000}"/>
    <hyperlink ref="E668" location="A130391375R" display="A130391375R" xr:uid="{00000000-0004-0000-0000-000091020000}"/>
    <hyperlink ref="E669" location="A130396618L" display="A130396618L" xr:uid="{00000000-0004-0000-0000-000092020000}"/>
    <hyperlink ref="E670" location="A130396583X" display="A130396583X" xr:uid="{00000000-0004-0000-0000-000093020000}"/>
    <hyperlink ref="E671" location="A130393790K" display="A130393790K" xr:uid="{00000000-0004-0000-0000-000094020000}"/>
    <hyperlink ref="E672" location="A130392355X" display="A130392355X" xr:uid="{00000000-0004-0000-0000-000095020000}"/>
    <hyperlink ref="E673" location="A130390360F" display="A130390360F" xr:uid="{00000000-0004-0000-0000-000096020000}"/>
    <hyperlink ref="E674" location="A130395505X" display="A130395505X" xr:uid="{00000000-0004-0000-0000-000097020000}"/>
    <hyperlink ref="E675" location="A130399310W" display="A130399310W" xr:uid="{00000000-0004-0000-0000-000098020000}"/>
    <hyperlink ref="E676" location="A130395645A" display="A130395645A" xr:uid="{00000000-0004-0000-0000-000099020000}"/>
    <hyperlink ref="E677" location="A130395659R" display="A130395659R" xr:uid="{00000000-0004-0000-0000-00009A020000}"/>
    <hyperlink ref="E678" location="A130399359K" display="A130399359K" xr:uid="{00000000-0004-0000-0000-00009B020000}"/>
    <hyperlink ref="E679" location="A130396716T" display="A130396716T" xr:uid="{00000000-0004-0000-0000-00009C020000}"/>
    <hyperlink ref="E680" location="A130396849W" display="A130396849W" xr:uid="{00000000-0004-0000-0000-00009D020000}"/>
    <hyperlink ref="E681" location="A130390206J" display="A130390206J" xr:uid="{00000000-0004-0000-0000-00009E020000}"/>
    <hyperlink ref="E682" location="A130398089C" display="A130398089C" xr:uid="{00000000-0004-0000-0000-00009F020000}"/>
    <hyperlink ref="E683" location="A130398110K" display="A130398110K" xr:uid="{00000000-0004-0000-0000-0000A0020000}"/>
    <hyperlink ref="E684" location="A130395687X" display="A130395687X" xr:uid="{00000000-0004-0000-0000-0000A1020000}"/>
    <hyperlink ref="E685" location="A130391935A" display="A130391935A" xr:uid="{00000000-0004-0000-0000-0000A2020000}"/>
    <hyperlink ref="E686" location="A130396702C" display="A130396702C" xr:uid="{00000000-0004-0000-0000-0000A3020000}"/>
    <hyperlink ref="E687" location="A130394434J" display="A130394434J" xr:uid="{00000000-0004-0000-0000-0000A4020000}"/>
    <hyperlink ref="E688" location="A130391851T" display="A130391851T" xr:uid="{00000000-0004-0000-0000-0000A5020000}"/>
    <hyperlink ref="E689" location="A130395617T" display="A130395617T" xr:uid="{00000000-0004-0000-0000-0000A6020000}"/>
    <hyperlink ref="E690" location="A130398694A" display="A130398694A" xr:uid="{00000000-0004-0000-0000-0000A7020000}"/>
    <hyperlink ref="E691" location="A130392453C" display="A130392453C" xr:uid="{00000000-0004-0000-0000-0000A8020000}"/>
    <hyperlink ref="E692" location="A130392467T" display="A130392467T" xr:uid="{00000000-0004-0000-0000-0000A9020000}"/>
    <hyperlink ref="E693" location="A130390213F" display="A130390213F" xr:uid="{00000000-0004-0000-0000-0000AA020000}"/>
    <hyperlink ref="E694" location="A130396912A" display="A130396912A" xr:uid="{00000000-0004-0000-0000-0000AB020000}"/>
    <hyperlink ref="E695" location="A130390633A" display="A130390633A" xr:uid="{00000000-0004-0000-0000-0000AC020000}"/>
    <hyperlink ref="E696" location="A130394812F" display="A130394812F" xr:uid="{00000000-0004-0000-0000-0000AD020000}"/>
    <hyperlink ref="E697" location="A130397255F" display="A130397255F" xr:uid="{00000000-0004-0000-0000-0000AE020000}"/>
    <hyperlink ref="E698" location="A130393930A" display="A130393930A" xr:uid="{00000000-0004-0000-0000-0000AF020000}"/>
    <hyperlink ref="E699" location="A130393265L" display="A130393265L" xr:uid="{00000000-0004-0000-0000-0000B0020000}"/>
    <hyperlink ref="E700" location="A130390234T" display="A130390234T" xr:uid="{00000000-0004-0000-0000-0000B1020000}"/>
    <hyperlink ref="E701" location="A130394539C" display="A130394539C" xr:uid="{00000000-0004-0000-0000-0000B2020000}"/>
    <hyperlink ref="E702" location="A130392579K" display="A130392579K" xr:uid="{00000000-0004-0000-0000-0000B3020000}"/>
    <hyperlink ref="E703" location="A130390444R" display="A130390444R" xr:uid="{00000000-0004-0000-0000-0000B4020000}"/>
    <hyperlink ref="E704" location="A130399408V" display="A130399408V" xr:uid="{00000000-0004-0000-0000-0000B5020000}"/>
    <hyperlink ref="E705" location="A130395722V" display="A130395722V" xr:uid="{00000000-0004-0000-0000-0000B6020000}"/>
    <hyperlink ref="E706" location="A130395491W" display="A130395491W" xr:uid="{00000000-0004-0000-0000-0000B7020000}"/>
    <hyperlink ref="E707" location="A130391809L" display="A130391809L" xr:uid="{00000000-0004-0000-0000-0000B8020000}"/>
    <hyperlink ref="E708" location="A130394714A" display="A130394714A" xr:uid="{00000000-0004-0000-0000-0000B9020000}"/>
    <hyperlink ref="E709" location="A130393426R" display="A130393426R" xr:uid="{00000000-0004-0000-0000-0000BA020000}"/>
    <hyperlink ref="E710" location="A130397087F" display="A130397087F" xr:uid="{00000000-0004-0000-0000-0000BB020000}"/>
    <hyperlink ref="E711" location="A130393146W" display="A130393146W" xr:uid="{00000000-0004-0000-0000-0000BC020000}"/>
    <hyperlink ref="E712" location="A130393461W" display="A130393461W" xr:uid="{00000000-0004-0000-0000-0000BD020000}"/>
    <hyperlink ref="E713" location="A130396667J" display="A130396667J" xr:uid="{00000000-0004-0000-0000-0000BE020000}"/>
    <hyperlink ref="E714" location="A130395365J" display="A130395365J" xr:uid="{00000000-0004-0000-0000-0000BF020000}"/>
    <hyperlink ref="E715" location="A130393601L" display="A130393601L" xr:uid="{00000000-0004-0000-0000-0000C0020000}"/>
    <hyperlink ref="E716" location="A130392236J" display="A130392236J" xr:uid="{00000000-0004-0000-0000-0000C1020000}"/>
    <hyperlink ref="E717" location="A130399730T" display="A130399730T" xr:uid="{00000000-0004-0000-0000-0000C2020000}"/>
    <hyperlink ref="E718" location="A130395519L" display="A130395519L" xr:uid="{00000000-0004-0000-0000-0000C3020000}"/>
    <hyperlink ref="E719" location="A130393286X" display="A130393286X" xr:uid="{00000000-0004-0000-0000-0000C4020000}"/>
    <hyperlink ref="E720" location="A130393300J" display="A130393300J" xr:uid="{00000000-0004-0000-0000-0000C5020000}"/>
    <hyperlink ref="E721" location="A130399471K" display="A130399471K" xr:uid="{00000000-0004-0000-0000-0000C6020000}"/>
    <hyperlink ref="E722" location="A130394861A" display="A130394861A" xr:uid="{00000000-0004-0000-0000-0000C7020000}"/>
    <hyperlink ref="E723" location="A130393622X" display="A130393622X" xr:uid="{00000000-0004-0000-0000-0000C8020000}"/>
    <hyperlink ref="E724" location="A130399485X" display="A130399485X" xr:uid="{00000000-0004-0000-0000-0000C9020000}"/>
    <hyperlink ref="E725" location="A130399191T" display="A130399191T" xr:uid="{00000000-0004-0000-0000-0000CA020000}"/>
    <hyperlink ref="E726" location="A130396275W" display="A130396275W" xr:uid="{00000000-0004-0000-0000-0000CB020000}"/>
    <hyperlink ref="E727" location="A130394385X" display="A130394385X" xr:uid="{00000000-0004-0000-0000-0000CC020000}"/>
    <hyperlink ref="E728" location="A130392831A" display="A130392831A" xr:uid="{00000000-0004-0000-0000-0000CD020000}"/>
    <hyperlink ref="E729" location="A130396030X" display="A130396030X" xr:uid="{00000000-0004-0000-0000-0000CE020000}"/>
    <hyperlink ref="E730" location="A130391543R" display="A130391543R" xr:uid="{00000000-0004-0000-0000-0000CF020000}"/>
    <hyperlink ref="E731" location="A130395778F" display="A130395778F" xr:uid="{00000000-0004-0000-0000-0000D0020000}"/>
    <hyperlink ref="E732" location="A130397304R" display="A130397304R" xr:uid="{00000000-0004-0000-0000-0000D1020000}"/>
    <hyperlink ref="E733" location="A130393097L" display="A130393097L" xr:uid="{00000000-0004-0000-0000-0000D2020000}"/>
    <hyperlink ref="E734" location="A130399765T" display="A130399765T" xr:uid="{00000000-0004-0000-0000-0000D3020000}"/>
    <hyperlink ref="E735" location="A130390738W" display="A130390738W" xr:uid="{00000000-0004-0000-0000-0000D4020000}"/>
    <hyperlink ref="E736" location="A130396303V" display="A130396303V" xr:uid="{00000000-0004-0000-0000-0000D5020000}"/>
    <hyperlink ref="E737" location="A130394301C" display="A130394301C" xr:uid="{00000000-0004-0000-0000-0000D6020000}"/>
    <hyperlink ref="E738" location="A130397802F" display="A130397802F" xr:uid="{00000000-0004-0000-0000-0000D7020000}"/>
    <hyperlink ref="E739" location="A130394602J" display="A130394602J" xr:uid="{00000000-0004-0000-0000-0000D8020000}"/>
    <hyperlink ref="E740" location="A130397830R" display="A130397830R" xr:uid="{00000000-0004-0000-0000-0000D9020000}"/>
    <hyperlink ref="E741" location="A130394112T" display="A130394112T" xr:uid="{00000000-0004-0000-0000-0000DA020000}"/>
    <hyperlink ref="E742" location="A130397788W" display="A130397788W" xr:uid="{00000000-0004-0000-0000-0000DB020000}"/>
    <hyperlink ref="E743" location="A130393657X" display="A130393657X" xr:uid="{00000000-0004-0000-0000-0000DC020000}"/>
    <hyperlink ref="E744" location="A130390766F" display="A130390766F" xr:uid="{00000000-0004-0000-0000-0000DD020000}"/>
    <hyperlink ref="E745" location="A130389975C" display="A130389975C" xr:uid="{00000000-0004-0000-0000-0000DE020000}"/>
    <hyperlink ref="E746" location="A130395113L" display="A130395113L" xr:uid="{00000000-0004-0000-0000-0000DF020000}"/>
    <hyperlink ref="E747" location="A130390787T" display="A130390787T" xr:uid="{00000000-0004-0000-0000-0000E0020000}"/>
    <hyperlink ref="E748" location="A130391109X" display="A130391109X" xr:uid="{00000000-0004-0000-0000-0000E1020000}"/>
    <hyperlink ref="E749" location="A130399527K" display="A130399527K" xr:uid="{00000000-0004-0000-0000-0000E2020000}"/>
    <hyperlink ref="E750" location="A130392180J" display="A130392180J" xr:uid="{00000000-0004-0000-0000-0000E3020000}"/>
    <hyperlink ref="E751" location="A130393678K" display="A130393678K" xr:uid="{00000000-0004-0000-0000-0000E4020000}"/>
    <hyperlink ref="E752" location="A130394938L" display="A130394938L" xr:uid="{00000000-0004-0000-0000-0000E5020000}"/>
    <hyperlink ref="E753" location="A130393909J" display="A130393909J" xr:uid="{00000000-0004-0000-0000-0000E6020000}"/>
    <hyperlink ref="E754" location="A130397164X" display="A130397164X" xr:uid="{00000000-0004-0000-0000-0000E7020000}"/>
    <hyperlink ref="E755" location="A130391340R" display="A130391340R" xr:uid="{00000000-0004-0000-0000-0000E8020000}"/>
    <hyperlink ref="E756" location="A130396198C" display="A130396198C" xr:uid="{00000000-0004-0000-0000-0000E9020000}"/>
    <hyperlink ref="E757" location="A130396548T" display="A130396548T" xr:uid="{00000000-0004-0000-0000-0000EA020000}"/>
    <hyperlink ref="E758" location="A130397136R" display="A130397136R" xr:uid="{00000000-0004-0000-0000-0000EB020000}"/>
    <hyperlink ref="E759" location="A130395939J" display="A130395939J" xr:uid="{00000000-0004-0000-0000-0000EC020000}"/>
    <hyperlink ref="E760" location="A130395414T" display="A130395414T" xr:uid="{00000000-0004-0000-0000-0000ED020000}"/>
    <hyperlink ref="E761" location="A130397129T" display="A130397129T" xr:uid="{00000000-0004-0000-0000-0000EE020000}"/>
    <hyperlink ref="E762" location="A130395953C" display="A130395953C" xr:uid="{00000000-0004-0000-0000-0000EF020000}"/>
    <hyperlink ref="E763" location="A130394308V" display="A130394308V" xr:uid="{00000000-0004-0000-0000-0000F0020000}"/>
    <hyperlink ref="E764" location="A130399282X" display="A130399282X" xr:uid="{00000000-0004-0000-0000-0000F1020000}"/>
    <hyperlink ref="E765" location="A130395841K" display="A130395841K" xr:uid="{00000000-0004-0000-0000-0000F2020000}"/>
    <hyperlink ref="E766" location="A130397073T" display="A130397073T" xr:uid="{00000000-0004-0000-0000-0000F3020000}"/>
    <hyperlink ref="E767" location="A130395855X" display="A130395855X" xr:uid="{00000000-0004-0000-0000-0000F4020000}"/>
    <hyperlink ref="E768" location="A130393405C" display="A130393405C" xr:uid="{00000000-0004-0000-0000-0000F5020000}"/>
    <hyperlink ref="E769" location="A130398334W" display="A130398334W" xr:uid="{00000000-0004-0000-0000-0000F6020000}"/>
    <hyperlink ref="E770" location="A130390493K" display="A130390493K" xr:uid="{00000000-0004-0000-0000-0000F7020000}"/>
    <hyperlink ref="E771" location="A130395890F" display="A130395890F" xr:uid="{00000000-0004-0000-0000-0000F8020000}"/>
    <hyperlink ref="E772" location="A130390003J" display="A130390003J" xr:uid="{00000000-0004-0000-0000-0000F9020000}"/>
    <hyperlink ref="E773" location="A130399268C" display="A130399268C" xr:uid="{00000000-0004-0000-0000-0000FA020000}"/>
    <hyperlink ref="E774" location="A130394637J" display="A130394637J" xr:uid="{00000000-0004-0000-0000-0000FB020000}"/>
    <hyperlink ref="E775" location="A130394658V" display="A130394658V" xr:uid="{00000000-0004-0000-0000-0000FC020000}"/>
    <hyperlink ref="E776" location="A130397550W" display="A130397550W" xr:uid="{00000000-0004-0000-0000-0000FD020000}"/>
    <hyperlink ref="E777" location="A130395421R" display="A130395421R" xr:uid="{00000000-0004-0000-0000-0000FE020000}"/>
    <hyperlink ref="E778" location="A130399660W" display="A130399660W" xr:uid="{00000000-0004-0000-0000-0000FF020000}"/>
    <hyperlink ref="E779" location="A130391585L" display="A130391585L" xr:uid="{00000000-0004-0000-0000-000000030000}"/>
    <hyperlink ref="E780" location="A130397872L" display="A130397872L" xr:uid="{00000000-0004-0000-0000-000001030000}"/>
    <hyperlink ref="E781" location="A130398586T" display="A130398586T" xr:uid="{00000000-0004-0000-0000-000002030000}"/>
    <hyperlink ref="E782" location="A130394210W" display="A130394210W" xr:uid="{00000000-0004-0000-0000-000003030000}"/>
    <hyperlink ref="E783" location="A130393167J" display="A130393167J" xr:uid="{00000000-0004-0000-0000-000004030000}"/>
    <hyperlink ref="E784" location="A130397213J" display="A130397213J" xr:uid="{00000000-0004-0000-0000-000005030000}"/>
    <hyperlink ref="E785" location="A130390983A" display="A130390983A" xr:uid="{00000000-0004-0000-0000-000006030000}"/>
    <hyperlink ref="E786" location="A130393839L" display="A130393839L" xr:uid="{00000000-0004-0000-0000-000007030000}"/>
    <hyperlink ref="E787" location="A130399814A" display="A130399814A" xr:uid="{00000000-0004-0000-0000-000008030000}"/>
    <hyperlink ref="E788" location="A130396065X" display="A130396065X" xr:uid="{00000000-0004-0000-0000-000009030000}"/>
    <hyperlink ref="E789" location="A130397038K" display="A130397038K" xr:uid="{00000000-0004-0000-0000-00000A030000}"/>
    <hyperlink ref="E790" location="A130392061T" display="A130392061T" xr:uid="{00000000-0004-0000-0000-00000B030000}"/>
    <hyperlink ref="E791" location="A130394973V" display="A130394973V" xr:uid="{00000000-0004-0000-0000-00000C030000}"/>
    <hyperlink ref="E792" location="A130399828R" display="A130399828R" xr:uid="{00000000-0004-0000-0000-00000D030000}"/>
    <hyperlink ref="E793" location="A130397571J" display="A130397571J" xr:uid="{00000000-0004-0000-0000-00000E030000}"/>
    <hyperlink ref="E794" location="A130393580L" display="A130393580L" xr:uid="{00000000-0004-0000-0000-00000F030000}"/>
    <hyperlink ref="E795" location="A130398764W" display="A130398764W" xr:uid="{00000000-0004-0000-0000-000010030000}"/>
    <hyperlink ref="E796" location="A130395169X" display="A130395169X" xr:uid="{00000000-0004-0000-0000-000011030000}"/>
    <hyperlink ref="E797" location="A130392551J" display="A130392551J" xr:uid="{00000000-0004-0000-0000-000012030000}"/>
    <hyperlink ref="E798" location="A130391459X" display="A130391459X" xr:uid="{00000000-0004-0000-0000-000013030000}"/>
    <hyperlink ref="E799" location="A130393951L" display="A130393951L" xr:uid="{00000000-0004-0000-0000-000014030000}"/>
    <hyperlink ref="E800" location="A130398841R" display="A130398841R" xr:uid="{00000000-0004-0000-0000-000015030000}"/>
    <hyperlink ref="E801" location="A130397886A" display="A130397886A" xr:uid="{00000000-0004-0000-0000-000016030000}"/>
    <hyperlink ref="E802" location="A130396590W" display="A130396590W" xr:uid="{00000000-0004-0000-0000-000017030000}"/>
    <hyperlink ref="E803" location="A130392481L" display="A130392481L" xr:uid="{00000000-0004-0000-0000-000018030000}"/>
    <hyperlink ref="E804" location="A130395008K" display="A130395008K" xr:uid="{00000000-0004-0000-0000-000019030000}"/>
    <hyperlink ref="E805" location="A130390367W" display="A130390367W" xr:uid="{00000000-0004-0000-0000-00001A030000}"/>
    <hyperlink ref="E806" location="A130393048T" display="A130393048T" xr:uid="{00000000-0004-0000-0000-00001B030000}"/>
    <hyperlink ref="E807" location="A130393209V" display="A130393209V" xr:uid="{00000000-0004-0000-0000-00001C030000}"/>
    <hyperlink ref="E808" location="A130398054C" display="A130398054C" xr:uid="{00000000-0004-0000-0000-00001D030000}"/>
    <hyperlink ref="E809" location="A130391893R" display="A130391893R" xr:uid="{00000000-0004-0000-0000-00001E030000}"/>
    <hyperlink ref="E810" location="A130398068T" display="A130398068T" xr:uid="{00000000-0004-0000-0000-00001F030000}"/>
    <hyperlink ref="E811" location="A130391725C" display="A130391725C" xr:uid="{00000000-0004-0000-0000-000020030000}"/>
    <hyperlink ref="E812" location="A130396856V" display="A130396856V" xr:uid="{00000000-0004-0000-0000-000021030000}"/>
    <hyperlink ref="E813" location="A130396443W" display="A130396443W" xr:uid="{00000000-0004-0000-0000-000022030000}"/>
    <hyperlink ref="E814" location="A130390563F" display="A130390563F" xr:uid="{00000000-0004-0000-0000-000023030000}"/>
    <hyperlink ref="E815" location="A130396884C" display="A130396884C" xr:uid="{00000000-0004-0000-0000-000024030000}"/>
    <hyperlink ref="E816" location="A130394483C" display="A130394483C" xr:uid="{00000000-0004-0000-0000-000025030000}"/>
    <hyperlink ref="E817" location="A130395701J" display="A130395701J" xr:uid="{00000000-0004-0000-0000-000026030000}"/>
    <hyperlink ref="E818" location="A130393041A" display="A130393041A" xr:uid="{00000000-0004-0000-0000-000027030000}"/>
    <hyperlink ref="E819" location="A130399296L" display="A130399296L" xr:uid="{00000000-0004-0000-0000-000028030000}"/>
    <hyperlink ref="E820" location="A130395610A" display="A130395610A" xr:uid="{00000000-0004-0000-0000-000029030000}"/>
    <hyperlink ref="E821" location="A130391872C" display="A130391872C" xr:uid="{00000000-0004-0000-0000-00002A030000}"/>
    <hyperlink ref="E822" location="A130391221X" display="A130391221X" xr:uid="{00000000-0004-0000-0000-00002B030000}"/>
    <hyperlink ref="E823" location="A130389954T" display="A130389954T" xr:uid="{00000000-0004-0000-0000-00002C030000}"/>
    <hyperlink ref="E824" location="A130397494R" display="A130397494R" xr:uid="{00000000-0004-0000-0000-00002D030000}"/>
    <hyperlink ref="E825" location="A130394098J" display="A130394098J" xr:uid="{00000000-0004-0000-0000-00002E030000}"/>
    <hyperlink ref="E826" location="A130396919T" display="A130396919T" xr:uid="{00000000-0004-0000-0000-00002F030000}"/>
    <hyperlink ref="E827" location="A130399429F" display="A130399429F" xr:uid="{00000000-0004-0000-0000-000030030000}"/>
    <hyperlink ref="E828" location="A130397241T" display="A130397241T" xr:uid="{00000000-0004-0000-0000-000031030000}"/>
    <hyperlink ref="E829" location="A130398453L" display="A130398453L" xr:uid="{00000000-0004-0000-0000-000032030000}"/>
    <hyperlink ref="E830" location="A130397613V" display="A130397613V" xr:uid="{00000000-0004-0000-0000-000033030000}"/>
    <hyperlink ref="E831" location="A130390654L" display="A130390654L" xr:uid="{00000000-0004-0000-0000-000034030000}"/>
    <hyperlink ref="E832" location="A130392789J" display="A130392789J" xr:uid="{00000000-0004-0000-0000-000035030000}"/>
    <hyperlink ref="E833" location="A130399443A" display="A130399443A" xr:uid="{00000000-0004-0000-0000-000036030000}"/>
    <hyperlink ref="E834" location="A130398792F" display="A130398792F" xr:uid="{00000000-0004-0000-0000-000037030000}"/>
    <hyperlink ref="E835" location="A130390451L" display="A130390451L" xr:uid="{00000000-0004-0000-0000-000038030000}"/>
    <hyperlink ref="E836" location="A130391949R" display="A130391949R" xr:uid="{00000000-0004-0000-0000-000039030000}"/>
    <hyperlink ref="E837" location="A130395729K" display="A130395729K" xr:uid="{00000000-0004-0000-0000-00003A030000}"/>
    <hyperlink ref="E838" location="A130394322R" display="A130394322R" xr:uid="{00000000-0004-0000-0000-00003B030000}"/>
    <hyperlink ref="E839" location="A130398005J" display="A130398005J" xr:uid="{00000000-0004-0000-0000-00003C030000}"/>
    <hyperlink ref="E840" location="A130393447A" display="A130393447A" xr:uid="{00000000-0004-0000-0000-00003D030000}"/>
    <hyperlink ref="E841" location="A130393433L" display="A130393433L" xr:uid="{00000000-0004-0000-0000-00003E030000}"/>
    <hyperlink ref="E842" location="A130392138C" display="A130392138C" xr:uid="{00000000-0004-0000-0000-00003F030000}"/>
    <hyperlink ref="E843" location="A130390507L" display="A130390507L" xr:uid="{00000000-0004-0000-0000-000040030000}"/>
    <hyperlink ref="E844" location="A130399604C" display="A130399604C" xr:uid="{00000000-0004-0000-0000-000041030000}"/>
    <hyperlink ref="E845" location="A130390381T" display="A130390381T" xr:uid="{00000000-0004-0000-0000-000042030000}"/>
    <hyperlink ref="E846" location="A130392803T" display="A130392803T" xr:uid="{00000000-0004-0000-0000-000043030000}"/>
    <hyperlink ref="E847" location="A130397262C" display="A130397262C" xr:uid="{00000000-0004-0000-0000-000044030000}"/>
    <hyperlink ref="E848" location="A130399716W" display="A130399716W" xr:uid="{00000000-0004-0000-0000-000045030000}"/>
    <hyperlink ref="E849" location="A130399737J" display="A130399737J" xr:uid="{00000000-0004-0000-0000-000046030000}"/>
    <hyperlink ref="E850" location="A130396730L" display="A130396730L" xr:uid="{00000000-0004-0000-0000-000047030000}"/>
    <hyperlink ref="E851" location="A130396954X" display="A130396954X" xr:uid="{00000000-0004-0000-0000-000048030000}"/>
    <hyperlink ref="E852" location="A130399464L" display="A130399464L" xr:uid="{00000000-0004-0000-0000-000049030000}"/>
    <hyperlink ref="E853" location="A130395750C" display="A130395750C" xr:uid="{00000000-0004-0000-0000-00004A030000}"/>
    <hyperlink ref="E854" location="A130392250C" display="A130392250C" xr:uid="{00000000-0004-0000-0000-00004B030000}"/>
    <hyperlink ref="E855" location="A130399758V" display="A130399758V" xr:uid="{00000000-0004-0000-0000-00004C030000}"/>
    <hyperlink ref="E856" location="A130394574K" display="A130394574K" xr:uid="{00000000-0004-0000-0000-00004D030000}"/>
    <hyperlink ref="E857" location="A130392992R" display="A130392992R" xr:uid="{00000000-0004-0000-0000-00004E030000}"/>
    <hyperlink ref="E858" location="A130392600T" display="A130392600T" xr:uid="{00000000-0004-0000-0000-00004F030000}"/>
    <hyperlink ref="E859" location="A130397977J" display="A130397977J" xr:uid="{00000000-0004-0000-0000-000050030000}"/>
    <hyperlink ref="E860" location="A130396534C" display="A130396534C" xr:uid="{00000000-0004-0000-0000-000051030000}"/>
    <hyperlink ref="E861" location="A130394889C" display="A130394889C" xr:uid="{00000000-0004-0000-0000-000052030000}"/>
    <hyperlink ref="E862" location="A130399009K" display="A130399009K" xr:uid="{00000000-0004-0000-0000-000053030000}"/>
    <hyperlink ref="E863" location="A130392012W" display="A130392012W" xr:uid="{00000000-0004-0000-0000-000054030000}"/>
    <hyperlink ref="E864" location="A130391095W" display="A130391095W" xr:uid="{00000000-0004-0000-0000-000055030000}"/>
    <hyperlink ref="E865" location="A130396737C" display="A130396737C" xr:uid="{00000000-0004-0000-0000-000056030000}"/>
    <hyperlink ref="E866" location="A130396023A" display="A130396023A" xr:uid="{00000000-0004-0000-0000-000057030000}"/>
    <hyperlink ref="E867" location="A130390745V" display="A130390745V" xr:uid="{00000000-0004-0000-0000-000058030000}"/>
    <hyperlink ref="E868" location="A130397634F" display="A130397634F" xr:uid="{00000000-0004-0000-0000-000059030000}"/>
    <hyperlink ref="E869" location="A130390395F" display="A130390395F" xr:uid="{00000000-0004-0000-0000-00005A030000}"/>
    <hyperlink ref="E870" location="A130395393T" display="A130395393T" xr:uid="{00000000-0004-0000-0000-00005B030000}"/>
    <hyperlink ref="E871" location="A130390759J" display="A130390759J" xr:uid="{00000000-0004-0000-0000-00005C030000}"/>
    <hyperlink ref="E872" location="A130398974V" display="A130398974V" xr:uid="{00000000-0004-0000-0000-00005D030000}"/>
    <hyperlink ref="E873" location="A130390262A" display="A130390262A" xr:uid="{00000000-0004-0000-0000-00005E030000}"/>
    <hyperlink ref="E874" location="A130396499J" display="A130396499J" xr:uid="{00000000-0004-0000-0000-00005F030000}"/>
    <hyperlink ref="E875" location="A130398523J" display="A130398523J" xr:uid="{00000000-0004-0000-0000-000060030000}"/>
    <hyperlink ref="E876" location="A130390773C" display="A130390773C" xr:uid="{00000000-0004-0000-0000-000061030000}"/>
    <hyperlink ref="E877" location="A130393811K" display="A130393811K" xr:uid="{00000000-0004-0000-0000-000062030000}"/>
    <hyperlink ref="E878" location="A130395120K" display="A130395120K" xr:uid="{00000000-0004-0000-0000-000063030000}"/>
    <hyperlink ref="E879" location="A130395813A" display="A130395813A" xr:uid="{00000000-0004-0000-0000-000064030000}"/>
    <hyperlink ref="E880" location="A130393664W" display="A130393664W" xr:uid="{00000000-0004-0000-0000-000065030000}"/>
    <hyperlink ref="E881" location="A130397024W" display="A130397024W" xr:uid="{00000000-0004-0000-0000-000066030000}"/>
    <hyperlink ref="E882" location="A130394763W" display="A130394763W" xr:uid="{00000000-0004-0000-0000-000067030000}"/>
    <hyperlink ref="E883" location="A130398551T" display="A130398551T" xr:uid="{00000000-0004-0000-0000-000068030000}"/>
    <hyperlink ref="E884" location="A130397346L" display="A130397346L" xr:uid="{00000000-0004-0000-0000-000069030000}"/>
    <hyperlink ref="E885" location="A130391333T" display="A130391333T" xr:uid="{00000000-0004-0000-0000-00006A030000}"/>
    <hyperlink ref="E886" location="A130390969F" display="A130390969F" xr:uid="{00000000-0004-0000-0000-00006B030000}"/>
    <hyperlink ref="E887" location="A130393916F" display="A130393916F" xr:uid="{00000000-0004-0000-0000-00006C030000}"/>
    <hyperlink ref="E888" location="A130389996R" display="A130389996R" xr:uid="{00000000-0004-0000-0000-00006D030000}"/>
    <hyperlink ref="E889" location="A130399023F" display="A130399023F" xr:uid="{00000000-0004-0000-0000-00006E030000}"/>
    <hyperlink ref="E890" location="A130397143L" display="A130397143L" xr:uid="{00000000-0004-0000-0000-00006F030000}"/>
    <hyperlink ref="E891" location="A130395946F" display="A130395946F" xr:uid="{00000000-0004-0000-0000-000070030000}"/>
    <hyperlink ref="E892" location="A130394175A" display="A130394175A" xr:uid="{00000000-0004-0000-0000-000071030000}"/>
    <hyperlink ref="E893" location="A130393475K" display="A130393475K" xr:uid="{00000000-0004-0000-0000-000072030000}"/>
    <hyperlink ref="E894" location="A130398397F" display="A130398397F" xr:uid="{00000000-0004-0000-0000-000073030000}"/>
    <hyperlink ref="E895" location="A130394315T" display="A130394315T" xr:uid="{00000000-0004-0000-0000-000074030000}"/>
    <hyperlink ref="E896" location="A130396758R" display="A130396758R" xr:uid="{00000000-0004-0000-0000-000075030000}"/>
    <hyperlink ref="E897" location="A130392075F" display="A130392075F" xr:uid="{00000000-0004-0000-0000-000076030000}"/>
    <hyperlink ref="E898" location="A130395869L" display="A130395869L" xr:uid="{00000000-0004-0000-0000-000077030000}"/>
    <hyperlink ref="E899" location="A130394686C" display="A130394686C" xr:uid="{00000000-0004-0000-0000-000078030000}"/>
    <hyperlink ref="E900" location="A130397080R" display="A130397080R" xr:uid="{00000000-0004-0000-0000-000079030000}"/>
    <hyperlink ref="E901" location="A130398341V" display="A130398341V" xr:uid="{00000000-0004-0000-0000-00007A030000}"/>
    <hyperlink ref="E902" location="A130393125K" display="A130393125K" xr:uid="{00000000-0004-0000-0000-00007B030000}"/>
    <hyperlink ref="E903" location="A130390885W" display="A130390885W" xr:uid="{00000000-0004-0000-0000-00007C030000}"/>
    <hyperlink ref="E904" location="A130390010F" display="A130390010F" xr:uid="{00000000-0004-0000-0000-00007D030000}"/>
    <hyperlink ref="E905" location="A130390486L" display="A130390486L" xr:uid="{00000000-0004-0000-0000-00007E030000}"/>
    <hyperlink ref="E906" location="A130394644F" display="A130394644F" xr:uid="{00000000-0004-0000-0000-00007F030000}"/>
    <hyperlink ref="E907" location="A130394665T" display="A130394665T" xr:uid="{00000000-0004-0000-0000-000080030000}"/>
    <hyperlink ref="E908" location="A130398729R" display="A130398729R" xr:uid="{00000000-0004-0000-0000-000081030000}"/>
    <hyperlink ref="E909" location="A130391613K" display="A130391613K" xr:uid="{00000000-0004-0000-0000-000082030000}"/>
    <hyperlink ref="E910" location="A130397192J" display="A130397192J" xr:uid="{00000000-0004-0000-0000-000083030000}"/>
    <hyperlink ref="E911" location="A130390297A" display="A130390297A" xr:uid="{00000000-0004-0000-0000-000084030000}"/>
    <hyperlink ref="E912" location="A130396569C" display="A130396569C" xr:uid="{00000000-0004-0000-0000-000085030000}"/>
    <hyperlink ref="E913" location="A130393692F" display="A130393692F" xr:uid="{00000000-0004-0000-0000-000086030000}"/>
    <hyperlink ref="E914" location="A130392887L" display="A130392887L" xr:uid="{00000000-0004-0000-0000-000087030000}"/>
    <hyperlink ref="E915" location="A130396800J" display="A130396800J" xr:uid="{00000000-0004-0000-0000-000088030000}"/>
    <hyperlink ref="E916" location="A130395967T" display="A130395967T" xr:uid="{00000000-0004-0000-0000-000089030000}"/>
    <hyperlink ref="E917" location="A130393552C" display="A130393552C" xr:uid="{00000000-0004-0000-0000-00008A030000}"/>
    <hyperlink ref="E918" location="A130397564K" display="A130397564K" xr:uid="{00000000-0004-0000-0000-00008B030000}"/>
    <hyperlink ref="E919" location="A130396044L" display="A130396044L" xr:uid="{00000000-0004-0000-0000-00008C030000}"/>
    <hyperlink ref="E920" location="A130391130T" display="A130391130T" xr:uid="{00000000-0004-0000-0000-00008D030000}"/>
    <hyperlink ref="E921" location="A130393349W" display="A130393349W" xr:uid="{00000000-0004-0000-0000-00008E030000}"/>
    <hyperlink ref="E922" location="A130399534J" display="A130399534J" xr:uid="{00000000-0004-0000-0000-00008F030000}"/>
    <hyperlink ref="E923" location="A130392341K" display="A130392341K" xr:uid="{00000000-0004-0000-0000-000090030000}"/>
    <hyperlink ref="E924" location="A130392348A" display="A130392348A" xr:uid="{00000000-0004-0000-0000-000091030000}"/>
    <hyperlink ref="E925" location="A130396226A" display="A130396226A" xr:uid="{00000000-0004-0000-0000-000092030000}"/>
    <hyperlink ref="E926" location="A130399681J" display="A130399681J" xr:uid="{00000000-0004-0000-0000-000093030000}"/>
    <hyperlink ref="E927" location="A130392537L" display="A130392537L" xr:uid="{00000000-0004-0000-0000-000094030000}"/>
    <hyperlink ref="E928" location="A130393867W" display="A130393867W" xr:uid="{00000000-0004-0000-0000-000095030000}"/>
    <hyperlink ref="E929" location="A130393888J" display="A130393888J" xr:uid="{00000000-0004-0000-0000-000096030000}"/>
    <hyperlink ref="E930" location="A130391466W" display="A130391466W" xr:uid="{00000000-0004-0000-0000-000097030000}"/>
    <hyperlink ref="E931" location="A130398827V" display="A130398827V" xr:uid="{00000000-0004-0000-0000-000098030000}"/>
    <hyperlink ref="E932" location="A130395232C" display="A130395232C" xr:uid="{00000000-0004-0000-0000-000099030000}"/>
    <hyperlink ref="E933" location="A130399121K" display="A130399121K" xr:uid="{00000000-0004-0000-0000-00009A030000}"/>
    <hyperlink ref="E934" location="A130396597L" display="A130396597L" xr:uid="{00000000-0004-0000-0000-00009B030000}"/>
    <hyperlink ref="E935" location="A130398715A" display="A130398715A" xr:uid="{00000000-0004-0000-0000-00009C030000}"/>
    <hyperlink ref="E936" location="A130393727V" display="A130393727V" xr:uid="{00000000-0004-0000-0000-00009D030000}"/>
    <hyperlink ref="E937" location="A130390374V" display="A130390374V" xr:uid="{00000000-0004-0000-0000-00009E030000}"/>
    <hyperlink ref="E938" location="A130391711R" display="A130391711R" xr:uid="{00000000-0004-0000-0000-00009F030000}"/>
    <hyperlink ref="E939" location="A130390549K" display="A130390549K" xr:uid="{00000000-0004-0000-0000-0000A0030000}"/>
    <hyperlink ref="E940" location="A130393216T" display="A130393216T" xr:uid="{00000000-0004-0000-0000-0000A1030000}"/>
    <hyperlink ref="E941" location="A130390556J" display="A130390556J" xr:uid="{00000000-0004-0000-0000-0000A2030000}"/>
    <hyperlink ref="E942" location="A130396835J" display="A130396835J" xr:uid="{00000000-0004-0000-0000-0000A3030000}"/>
    <hyperlink ref="E943" location="A130393069C" display="A130393069C" xr:uid="{00000000-0004-0000-0000-0000A4030000}"/>
    <hyperlink ref="E944" location="A130391907T" display="A130391907T" xr:uid="{00000000-0004-0000-0000-0000A5030000}"/>
    <hyperlink ref="E945" location="A130395344W" display="A130395344W" xr:uid="{00000000-0004-0000-0000-0000A6030000}"/>
    <hyperlink ref="E946" location="A130395673K" display="A130395673K" xr:uid="{00000000-0004-0000-0000-0000A7030000}"/>
    <hyperlink ref="E947" location="A130398117A" display="A130398117A" xr:uid="{00000000-0004-0000-0000-0000A8030000}"/>
    <hyperlink ref="E948" location="A130395694W" display="A130395694W" xr:uid="{00000000-0004-0000-0000-0000A9030000}"/>
    <hyperlink ref="E949" location="A130394490A" display="A130394490A" xr:uid="{00000000-0004-0000-0000-0000AA030000}"/>
    <hyperlink ref="E950" location="A130390416F" display="A130390416F" xr:uid="{00000000-0004-0000-0000-0000AB030000}"/>
    <hyperlink ref="E951" location="A130395596T" display="A130395596T" xr:uid="{00000000-0004-0000-0000-0000AC030000}"/>
    <hyperlink ref="E952" location="A130390542V" display="A130390542V" xr:uid="{00000000-0004-0000-0000-0000AD030000}"/>
    <hyperlink ref="E953" location="A130395624R" display="A130395624R" xr:uid="{00000000-0004-0000-0000-0000AE030000}"/>
    <hyperlink ref="E954" location="A130391228R" display="A130391228R" xr:uid="{00000000-0004-0000-0000-0000AF030000}"/>
    <hyperlink ref="E955" location="A130393783L" display="A130393783L" xr:uid="{00000000-0004-0000-0000-0000B0030000}"/>
    <hyperlink ref="E956" location="A130396163C" display="A130396163C" xr:uid="{00000000-0004-0000-0000-0000B1030000}"/>
    <hyperlink ref="E957" location="A130391487J" display="A130391487J" xr:uid="{00000000-0004-0000-0000-0000B2030000}"/>
    <hyperlink ref="E958" location="A130396926R" display="A130396926R" xr:uid="{00000000-0004-0000-0000-0000B3030000}"/>
    <hyperlink ref="E959" location="A130398166W" display="A130398166W" xr:uid="{00000000-0004-0000-0000-0000B4030000}"/>
    <hyperlink ref="E960" location="A130393587C" display="A130393587C" xr:uid="{00000000-0004-0000-0000-0000B5030000}"/>
    <hyperlink ref="E961" location="A130394826V" display="A130394826V" xr:uid="{00000000-0004-0000-0000-0000B6030000}"/>
    <hyperlink ref="E962" location="A130396261J" display="A130396261J" xr:uid="{00000000-0004-0000-0000-0000B7030000}"/>
    <hyperlink ref="E963" location="A130396947A" display="A130396947A" xr:uid="{00000000-0004-0000-0000-0000B8030000}"/>
    <hyperlink ref="E964" location="A130397774J" display="A130397774J" xr:uid="{00000000-0004-0000-0000-0000B9030000}"/>
    <hyperlink ref="E965" location="A130394546A" display="A130394546A" xr:uid="{00000000-0004-0000-0000-0000BA030000}"/>
    <hyperlink ref="E966" location="A130390087C" display="A130390087C" xr:uid="{00000000-0004-0000-0000-0000BB030000}"/>
    <hyperlink ref="E967" location="A130391739T" display="A130391739T" xr:uid="{00000000-0004-0000-0000-0000BC030000}"/>
    <hyperlink ref="E968" location="A130393251X" display="A130393251X" xr:uid="{00000000-0004-0000-0000-0000BD030000}"/>
    <hyperlink ref="E969" location="A130398145K" display="A130398145K" xr:uid="{00000000-0004-0000-0000-0000BE030000}"/>
    <hyperlink ref="E970" location="A130391697F" display="A130391697F" xr:uid="{00000000-0004-0000-0000-0000BF030000}"/>
    <hyperlink ref="E971" location="A130395575F" display="A130395575F" xr:uid="{00000000-0004-0000-0000-0000C0030000}"/>
    <hyperlink ref="E972" location="A130393454X" display="A130393454X" xr:uid="{00000000-0004-0000-0000-0000C1030000}"/>
    <hyperlink ref="E973" location="A130395904J" display="A130395904J" xr:uid="{00000000-0004-0000-0000-0000C2030000}"/>
    <hyperlink ref="E974" location="A130392145A" display="A130392145A" xr:uid="{00000000-0004-0000-0000-0000C3030000}"/>
    <hyperlink ref="E975" location="A130391823J" display="A130391823J" xr:uid="{00000000-0004-0000-0000-0000C4030000}"/>
    <hyperlink ref="E976" location="A130393468L" display="A130393468L" xr:uid="{00000000-0004-0000-0000-0000C5030000}"/>
    <hyperlink ref="E977" location="A130397935K" display="A130397935K" xr:uid="{00000000-0004-0000-0000-0000C6030000}"/>
    <hyperlink ref="E978" location="A130390248F" display="A130390248F" xr:uid="{00000000-0004-0000-0000-0000C7030000}"/>
    <hyperlink ref="E979" location="A130397269V" display="A130397269V" xr:uid="{00000000-0004-0000-0000-0000C8030000}"/>
    <hyperlink ref="E980" location="A130393608C" display="A130393608C" xr:uid="{00000000-0004-0000-0000-0000C9030000}"/>
    <hyperlink ref="E981" location="A130393615A" display="A130393615A" xr:uid="{00000000-0004-0000-0000-0000CA030000}"/>
    <hyperlink ref="E982" location="A130399247T" display="A130399247T" xr:uid="{00000000-0004-0000-0000-0000CB030000}"/>
    <hyperlink ref="E983" location="A130396961W" display="A130396961W" xr:uid="{00000000-0004-0000-0000-0000CC030000}"/>
    <hyperlink ref="E984" location="A130396968L" display="A130396968L" xr:uid="{00000000-0004-0000-0000-0000CD030000}"/>
    <hyperlink ref="E985" location="A130390703W" display="A130390703W" xr:uid="{00000000-0004-0000-0000-0000CE030000}"/>
    <hyperlink ref="E986" location="A130394868T" display="A130394868T" xr:uid="{00000000-0004-0000-0000-0000CF030000}"/>
    <hyperlink ref="E987" location="A130392271R" display="A130392271R" xr:uid="{00000000-0004-0000-0000-0000D0030000}"/>
    <hyperlink ref="E988" location="A130395764T" display="A130395764T" xr:uid="{00000000-0004-0000-0000-0000D1030000}"/>
    <hyperlink ref="E989" location="A130391676V" display="A130391676V" xr:uid="{00000000-0004-0000-0000-0000D2030000}"/>
    <hyperlink ref="E990" location="A130395218J" display="A130395218J" xr:uid="{00000000-0004-0000-0000-0000D3030000}"/>
    <hyperlink ref="E991" location="A130394392W" display="A130394392W" xr:uid="{00000000-0004-0000-0000-0000D4030000}"/>
    <hyperlink ref="E992" location="A130398988J" display="A130398988J" xr:uid="{00000000-0004-0000-0000-0000D5030000}"/>
    <hyperlink ref="E993" location="A130398481W" display="A130398481W" xr:uid="{00000000-0004-0000-0000-0000D6030000}"/>
    <hyperlink ref="E994" location="A130391550L" display="A130391550L" xr:uid="{00000000-0004-0000-0000-0000D7030000}"/>
    <hyperlink ref="E995" location="A130398208J" display="A130398208J" xr:uid="{00000000-0004-0000-0000-0000D8030000}"/>
    <hyperlink ref="E996" location="A130394903L" display="A130394903L" xr:uid="{00000000-0004-0000-0000-0000D9030000}"/>
    <hyperlink ref="E997" location="A130394406X" display="A130394406X" xr:uid="{00000000-0004-0000-0000-0000DA030000}"/>
    <hyperlink ref="E998" location="A130391067L" display="A130391067L" xr:uid="{00000000-0004-0000-0000-0000DB030000}"/>
    <hyperlink ref="E999" location="A130399492W" display="A130399492W" xr:uid="{00000000-0004-0000-0000-0000DC030000}"/>
    <hyperlink ref="E1000" location="A130396310T" display="A130396310T" xr:uid="{00000000-0004-0000-0000-0000DD030000}"/>
    <hyperlink ref="E1001" location="A130393013T" display="A130393013T" xr:uid="{00000000-0004-0000-0000-0000DE030000}"/>
    <hyperlink ref="E1002" location="A130395400C" display="A130395400C" xr:uid="{00000000-0004-0000-0000-0000DF030000}"/>
    <hyperlink ref="E1003" location="A130398222C" display="A130398222C" xr:uid="{00000000-0004-0000-0000-0000E0030000}"/>
    <hyperlink ref="E1004" location="A130398981T" display="A130398981T" xr:uid="{00000000-0004-0000-0000-0000E1030000}"/>
    <hyperlink ref="E1005" location="A130395372F" display="A130395372F" xr:uid="{00000000-0004-0000-0000-0000E2030000}"/>
    <hyperlink ref="E1006" location="A130396506V" display="A130396506V" xr:uid="{00000000-0004-0000-0000-0000E3030000}"/>
    <hyperlink ref="E1007" location="A130391102J" display="A130391102J" xr:uid="{00000000-0004-0000-0000-0000E4030000}"/>
    <hyperlink ref="E1008" location="A130390780A" display="A130390780A" xr:uid="{00000000-0004-0000-0000-0000E5030000}"/>
    <hyperlink ref="E1009" location="A130395099C" display="A130395099C" xr:uid="{00000000-0004-0000-0000-0000E6030000}"/>
    <hyperlink ref="E1010" location="A130397515R" display="A130397515R" xr:uid="{00000000-0004-0000-0000-0000E7030000}"/>
    <hyperlink ref="E1011" location="A130399513W" display="A130399513W" xr:uid="{00000000-0004-0000-0000-0000E8030000}"/>
    <hyperlink ref="E1012" location="A130394924X" display="A130394924X" xr:uid="{00000000-0004-0000-0000-0000E9030000}"/>
    <hyperlink ref="E1013" location="A130397031V" display="A130397031V" xr:uid="{00000000-0004-0000-0000-0000EA030000}"/>
    <hyperlink ref="E1014" location="A130398418F" display="A130398418F" xr:uid="{00000000-0004-0000-0000-0000EB030000}"/>
    <hyperlink ref="E1015" location="A130399786C" display="A130399786C" xr:uid="{00000000-0004-0000-0000-0000EC030000}"/>
    <hyperlink ref="E1016" location="A130393685J" display="A130393685J" xr:uid="{00000000-0004-0000-0000-0000ED030000}"/>
    <hyperlink ref="E1017" location="A130397592V" display="A130397592V" xr:uid="{00000000-0004-0000-0000-0000EE030000}"/>
    <hyperlink ref="E1018" location="A130397171W" display="A130397171W" xr:uid="{00000000-0004-0000-0000-0000EF030000}"/>
    <hyperlink ref="E1019" location="A130395204V" display="A130395204V" xr:uid="{00000000-0004-0000-0000-0000F0030000}"/>
    <hyperlink ref="E1020" location="A130397529C" display="A130397529C" xr:uid="{00000000-0004-0000-0000-0000F1030000}"/>
    <hyperlink ref="E1021" location="A130391564A" display="A130391564A" xr:uid="{00000000-0004-0000-0000-0000F2030000}"/>
    <hyperlink ref="E1022" location="A130397150K" display="A130397150K" xr:uid="{00000000-0004-0000-0000-0000F3030000}"/>
    <hyperlink ref="E1023" location="A130390927J" display="A130390927J" xr:uid="{00000000-0004-0000-0000-0000F4030000}"/>
    <hyperlink ref="E1024" location="A130397858T" display="A130397858T" xr:uid="{00000000-0004-0000-0000-0000F5030000}"/>
    <hyperlink ref="E1025" location="A130395932T" display="A130395932T" xr:uid="{00000000-0004-0000-0000-0000F6030000}"/>
    <hyperlink ref="E1026" location="A130390941C" display="A130390941C" xr:uid="{00000000-0004-0000-0000-0000F7030000}"/>
    <hyperlink ref="E1027" location="A130391690R" display="A130391690R" xr:uid="{00000000-0004-0000-0000-0000F8030000}"/>
    <hyperlink ref="E1028" location="A130396765L" display="A130396765L" xr:uid="{00000000-0004-0000-0000-0000F9030000}"/>
    <hyperlink ref="E1029" location="A130390836A" display="A130390836A" xr:uid="{00000000-0004-0000-0000-0000FA030000}"/>
    <hyperlink ref="E1030" location="A130395876K" display="A130395876K" xr:uid="{00000000-0004-0000-0000-0000FB030000}"/>
    <hyperlink ref="E1031" location="A130397066V" display="A130397066V" xr:uid="{00000000-0004-0000-0000-0000FC030000}"/>
    <hyperlink ref="E1032" location="A130392117T" display="A130392117T" xr:uid="{00000000-0004-0000-0000-0000FD030000}"/>
    <hyperlink ref="E1033" location="A130398348K" display="A130398348K" xr:uid="{00000000-0004-0000-0000-0000FE030000}"/>
    <hyperlink ref="E1034" location="A130397984F" display="A130397984F" xr:uid="{00000000-0004-0000-0000-0000FF030000}"/>
    <hyperlink ref="E1035" location="A130394707C" display="A130394707C" xr:uid="{00000000-0004-0000-0000-000000040000}"/>
    <hyperlink ref="E1036" location="A130397536A" display="A130397536A" xr:uid="{00000000-0004-0000-0000-000001040000}"/>
    <hyperlink ref="E1037" location="A130395547W" display="A130395547W" xr:uid="{00000000-0004-0000-0000-000002040000}"/>
    <hyperlink ref="E1038" location="A130397052F" display="A130397052F" xr:uid="{00000000-0004-0000-0000-000003040000}"/>
    <hyperlink ref="E1039" location="A130398299A" display="A130398299A" xr:uid="{00000000-0004-0000-0000-000004040000}"/>
    <hyperlink ref="E1040" location="A130398736L" display="A130398736L" xr:uid="{00000000-0004-0000-0000-000005040000}"/>
    <hyperlink ref="E1041" location="A130399086R" display="A130399086R" xr:uid="{00000000-0004-0000-0000-000006040000}"/>
    <hyperlink ref="E1042" location="A130398425C" display="A130398425C" xr:uid="{00000000-0004-0000-0000-000007040000}"/>
    <hyperlink ref="E1043" location="A130391592K" display="A130391592K" xr:uid="{00000000-0004-0000-0000-000008040000}"/>
    <hyperlink ref="E1044" location="A130392866A" display="A130392866A" xr:uid="{00000000-0004-0000-0000-000009040000}"/>
    <hyperlink ref="E1045" location="A130399807C" display="A130399807C" xr:uid="{00000000-0004-0000-0000-00000A040000}"/>
    <hyperlink ref="E1046" location="A130390304L" display="A130390304L" xr:uid="{00000000-0004-0000-0000-00000B040000}"/>
    <hyperlink ref="E1047" location="A130391837W" display="A130391837W" xr:uid="{00000000-0004-0000-0000-00000C040000}"/>
    <hyperlink ref="E1048" location="A130398446R" display="A130398446R" xr:uid="{00000000-0004-0000-0000-00000D040000}"/>
    <hyperlink ref="E1049" location="A130392201J" display="A130392201J" xr:uid="{00000000-0004-0000-0000-00000E040000}"/>
    <hyperlink ref="E1050" location="A130392530W" display="A130392530W" xr:uid="{00000000-0004-0000-0000-00000F040000}"/>
    <hyperlink ref="E1051" location="A130392320X" display="A130392320X" xr:uid="{00000000-0004-0000-0000-000010040000}"/>
    <hyperlink ref="E1052" location="A130398614R" display="A130398614R" xr:uid="{00000000-0004-0000-0000-000011040000}"/>
    <hyperlink ref="E1053" location="A130393356V" display="A130393356V" xr:uid="{00000000-0004-0000-0000-000012040000}"/>
    <hyperlink ref="E1054" location="A130393342F" display="A130393342F" xr:uid="{00000000-0004-0000-0000-000013040000}"/>
    <hyperlink ref="E1055" location="A130397367X" display="A130397367X" xr:uid="{00000000-0004-0000-0000-000014040000}"/>
    <hyperlink ref="E1056" location="A130396079L" display="A130396079L" xr:uid="{00000000-0004-0000-0000-000015040000}"/>
    <hyperlink ref="E1057" location="A130395162J" display="A130395162J" xr:uid="{00000000-0004-0000-0000-000016040000}"/>
    <hyperlink ref="E1058" location="A130394805J" display="A130394805J" xr:uid="{00000000-0004-0000-0000-000017040000}"/>
    <hyperlink ref="E1059" location="A130391312F" display="A130391312F" xr:uid="{00000000-0004-0000-0000-000018040000}"/>
    <hyperlink ref="E1060" location="A130398778K" display="A130398778K" xr:uid="{00000000-0004-0000-0000-000019040000}"/>
    <hyperlink ref="E1061" location="A130395183V" display="A130395183V" xr:uid="{00000000-0004-0000-0000-00001A040000}"/>
    <hyperlink ref="E1062" location="A130395288R" display="A130395288R" xr:uid="{00000000-0004-0000-0000-00001B040000}"/>
    <hyperlink ref="E1063" location="A130390101L" display="A130390101L" xr:uid="{00000000-0004-0000-0000-00001C040000}"/>
    <hyperlink ref="E1064" location="A130397641C" display="A130397641C" xr:uid="{00000000-0004-0000-0000-00001D040000}"/>
    <hyperlink ref="E1065" location="A130399128A" display="A130399128A" xr:uid="{00000000-0004-0000-0000-00001E040000}"/>
    <hyperlink ref="E1066" location="A130394238X" display="A130394238X" xr:uid="{00000000-0004-0000-0000-00001F040000}"/>
    <hyperlink ref="E1067" location="A130392488C" display="A130392488C" xr:uid="{00000000-0004-0000-0000-00002004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1E99-2C1E-445C-B18F-C4FBA658DEC1}">
  <dimension ref="A1:AM152"/>
  <sheetViews>
    <sheetView topLeftCell="H1" workbookViewId="0">
      <selection activeCell="D152" sqref="D152"/>
    </sheetView>
  </sheetViews>
  <sheetFormatPr defaultRowHeight="15" outlineLevelCol="1" x14ac:dyDescent="0.25"/>
  <cols>
    <col min="1" max="1" width="17.140625" customWidth="1"/>
    <col min="2" max="11" width="18.140625" customWidth="1"/>
    <col min="19" max="27" width="9.140625" customWidth="1" outlineLevel="1"/>
    <col min="29" max="39" width="9.140625" outlineLevel="1"/>
  </cols>
  <sheetData>
    <row r="1" spans="1:11" ht="21" x14ac:dyDescent="0.35">
      <c r="A1" s="19" t="s">
        <v>2071</v>
      </c>
    </row>
    <row r="2" spans="1:11" x14ac:dyDescent="0.25">
      <c r="A2" s="21" t="s">
        <v>2072</v>
      </c>
    </row>
    <row r="4" spans="1:11" ht="15.75" x14ac:dyDescent="0.25">
      <c r="A4" s="22" t="s">
        <v>2073</v>
      </c>
    </row>
    <row r="6" spans="1:11" x14ac:dyDescent="0.25">
      <c r="A6" s="26" t="s">
        <v>2074</v>
      </c>
      <c r="B6" s="27" t="s">
        <v>2075</v>
      </c>
      <c r="C6" s="27" t="s">
        <v>2076</v>
      </c>
      <c r="D6" s="27" t="s">
        <v>2089</v>
      </c>
      <c r="E6" s="27" t="s">
        <v>2077</v>
      </c>
      <c r="F6" s="27" t="s">
        <v>2090</v>
      </c>
      <c r="G6" s="27" t="s">
        <v>2078</v>
      </c>
      <c r="H6" s="27" t="s">
        <v>2079</v>
      </c>
      <c r="I6" s="27" t="s">
        <v>2091</v>
      </c>
      <c r="J6" s="27" t="s">
        <v>2080</v>
      </c>
      <c r="K6" s="28" t="s">
        <v>2092</v>
      </c>
    </row>
    <row r="7" spans="1:11" x14ac:dyDescent="0.25">
      <c r="A7" s="29" t="s">
        <v>2081</v>
      </c>
      <c r="B7" s="30">
        <f>Data1!BM111</f>
        <v>115.58</v>
      </c>
      <c r="C7" s="30">
        <f>Data1!BM99</f>
        <v>88.39</v>
      </c>
      <c r="D7" s="30">
        <f>Data1!BM75</f>
        <v>93.54</v>
      </c>
      <c r="E7" s="31">
        <f t="shared" ref="E7:E14" si="0">B7/C7-1</f>
        <v>0.30761398348229441</v>
      </c>
      <c r="F7" s="31">
        <f t="shared" ref="F7:F14" si="1">B7/D7-1</f>
        <v>0.23562112465255503</v>
      </c>
      <c r="G7" s="30">
        <f>Data1!BN111</f>
        <v>102.71</v>
      </c>
      <c r="H7" s="30">
        <f>Data1!BN99</f>
        <v>94.47</v>
      </c>
      <c r="I7" s="30">
        <f>Data1!BN75</f>
        <v>85.4</v>
      </c>
      <c r="J7" s="31">
        <f t="shared" ref="J7:J14" si="2">G7/H7-1</f>
        <v>8.7223457182174169E-2</v>
      </c>
      <c r="K7" s="32">
        <f t="shared" ref="K7:K14" si="3">G7/I7-1</f>
        <v>0.20269320843091321</v>
      </c>
    </row>
    <row r="8" spans="1:11" x14ac:dyDescent="0.25">
      <c r="A8" s="33" t="s">
        <v>2082</v>
      </c>
      <c r="B8" s="34">
        <f>Data1!GO111</f>
        <v>121.55</v>
      </c>
      <c r="C8" s="34">
        <f>Data1!GO99</f>
        <v>108.1</v>
      </c>
      <c r="D8" s="34">
        <f>Data1!GO75</f>
        <v>107.55</v>
      </c>
      <c r="E8" s="35">
        <f t="shared" si="0"/>
        <v>0.12442183163737286</v>
      </c>
      <c r="F8" s="35">
        <f t="shared" si="1"/>
        <v>0.13017201301720127</v>
      </c>
      <c r="G8" s="34">
        <f>Data1!GP111</f>
        <v>98.39</v>
      </c>
      <c r="H8" s="34">
        <f>Data1!GP99</f>
        <v>92.84</v>
      </c>
      <c r="I8" s="34">
        <f>Data1!GP75</f>
        <v>93.55</v>
      </c>
      <c r="J8" s="35">
        <f t="shared" si="2"/>
        <v>5.9780267126238629E-2</v>
      </c>
      <c r="K8" s="36">
        <f t="shared" si="3"/>
        <v>5.1737039016568787E-2</v>
      </c>
    </row>
    <row r="9" spans="1:11" x14ac:dyDescent="0.25">
      <c r="A9" s="29" t="s">
        <v>2083</v>
      </c>
      <c r="B9" s="30">
        <f>Data2!CA111</f>
        <v>113.46</v>
      </c>
      <c r="C9" s="30">
        <f>Data2!CA99</f>
        <v>79.290000000000006</v>
      </c>
      <c r="D9" s="30">
        <f>Data2!CA75</f>
        <v>88.18</v>
      </c>
      <c r="E9" s="31">
        <f t="shared" si="0"/>
        <v>0.43094967839576226</v>
      </c>
      <c r="F9" s="31">
        <f t="shared" si="1"/>
        <v>0.28668632342934885</v>
      </c>
      <c r="G9" s="30">
        <f>Data2!CB111</f>
        <v>98.35</v>
      </c>
      <c r="H9" s="30">
        <f>Data2!CB99</f>
        <v>97.31</v>
      </c>
      <c r="I9" s="30">
        <f>Data2!CB75</f>
        <v>96.35</v>
      </c>
      <c r="J9" s="31">
        <f t="shared" si="2"/>
        <v>1.0687493577227425E-2</v>
      </c>
      <c r="K9" s="32">
        <f t="shared" si="3"/>
        <v>2.0757654385054503E-2</v>
      </c>
    </row>
    <row r="10" spans="1:11" x14ac:dyDescent="0.25">
      <c r="A10" s="33" t="s">
        <v>2084</v>
      </c>
      <c r="B10" s="34">
        <f>Data2!HC111</f>
        <v>115.65</v>
      </c>
      <c r="C10" s="34">
        <f>Data2!HC99</f>
        <v>99.14</v>
      </c>
      <c r="D10" s="34">
        <f>Data2!HC75</f>
        <v>96.87</v>
      </c>
      <c r="E10" s="35">
        <f t="shared" si="0"/>
        <v>0.16653217671979026</v>
      </c>
      <c r="F10" s="35">
        <f t="shared" si="1"/>
        <v>0.19386807061009592</v>
      </c>
      <c r="G10" s="34">
        <f>Data2!HD111</f>
        <v>98.56</v>
      </c>
      <c r="H10" s="34">
        <f>Data2!HD99</f>
        <v>95.82</v>
      </c>
      <c r="I10" s="34">
        <f>Data2!HD75</f>
        <v>85.96</v>
      </c>
      <c r="J10" s="35">
        <f t="shared" si="2"/>
        <v>2.8595282821958001E-2</v>
      </c>
      <c r="K10" s="36">
        <f t="shared" si="3"/>
        <v>0.14657980456026065</v>
      </c>
    </row>
    <row r="11" spans="1:11" x14ac:dyDescent="0.25">
      <c r="A11" s="29" t="s">
        <v>2085</v>
      </c>
      <c r="B11" s="30">
        <f>Data3!CO111</f>
        <v>90.07</v>
      </c>
      <c r="C11" s="30">
        <f>Data3!CO99</f>
        <v>25.71</v>
      </c>
      <c r="D11" s="30">
        <f>Data3!CO75</f>
        <v>92.86</v>
      </c>
      <c r="E11" s="31">
        <f t="shared" si="0"/>
        <v>2.5033061065733175</v>
      </c>
      <c r="F11" s="31">
        <f t="shared" si="1"/>
        <v>-3.0045229377557714E-2</v>
      </c>
      <c r="G11" s="30">
        <f>Data3!CP111</f>
        <v>101.81</v>
      </c>
      <c r="H11" s="30">
        <f>Data3!CP99</f>
        <v>96.91</v>
      </c>
      <c r="I11" s="30">
        <f>Data3!CP75</f>
        <v>85.48</v>
      </c>
      <c r="J11" s="31">
        <f t="shared" si="2"/>
        <v>5.0562377463626129E-2</v>
      </c>
      <c r="K11" s="32">
        <f t="shared" si="3"/>
        <v>0.19103883949461853</v>
      </c>
    </row>
    <row r="12" spans="1:11" x14ac:dyDescent="0.25">
      <c r="A12" s="33" t="s">
        <v>2086</v>
      </c>
      <c r="B12" s="34">
        <f>Data3!HQ111</f>
        <v>112.33</v>
      </c>
      <c r="C12" s="34">
        <f>Data3!HQ99</f>
        <v>98.38</v>
      </c>
      <c r="D12" s="34">
        <f>Data3!HQ75</f>
        <v>101.1</v>
      </c>
      <c r="E12" s="35">
        <f t="shared" si="0"/>
        <v>0.14179711323439737</v>
      </c>
      <c r="F12" s="35">
        <f t="shared" si="1"/>
        <v>0.1110781404549952</v>
      </c>
      <c r="G12" s="34">
        <f>Data3!HR111</f>
        <v>100.79</v>
      </c>
      <c r="H12" s="34">
        <f>Data3!HR99</f>
        <v>97.83</v>
      </c>
      <c r="I12" s="34">
        <f>Data3!HR75</f>
        <v>89.99</v>
      </c>
      <c r="J12" s="35">
        <f t="shared" si="2"/>
        <v>3.0256567515077215E-2</v>
      </c>
      <c r="K12" s="36">
        <f t="shared" si="3"/>
        <v>0.12001333481497967</v>
      </c>
    </row>
    <row r="13" spans="1:11" x14ac:dyDescent="0.25">
      <c r="A13" s="29" t="s">
        <v>2087</v>
      </c>
      <c r="B13" s="30">
        <f>Data4!DC111</f>
        <v>115.92</v>
      </c>
      <c r="C13" s="30">
        <f>Data4!DC99</f>
        <v>96.31</v>
      </c>
      <c r="D13" s="30">
        <f>Data4!DC75</f>
        <v>104.48</v>
      </c>
      <c r="E13" s="31">
        <f t="shared" si="0"/>
        <v>0.20361333194891484</v>
      </c>
      <c r="F13" s="31">
        <f t="shared" si="1"/>
        <v>0.10949464012251142</v>
      </c>
      <c r="G13" s="30">
        <f>Data4!DD111</f>
        <v>114.68</v>
      </c>
      <c r="H13" s="30">
        <f>Data4!DD99</f>
        <v>109.1</v>
      </c>
      <c r="I13" s="30">
        <f>Data4!DD75</f>
        <v>91.4</v>
      </c>
      <c r="J13" s="31">
        <f t="shared" si="2"/>
        <v>5.1145737855178952E-2</v>
      </c>
      <c r="K13" s="32">
        <f t="shared" si="3"/>
        <v>0.25470459518599564</v>
      </c>
    </row>
    <row r="14" spans="1:11" x14ac:dyDescent="0.25">
      <c r="A14" s="37" t="s">
        <v>2088</v>
      </c>
      <c r="B14" s="38">
        <f>Data4!IE111</f>
        <v>114.61</v>
      </c>
      <c r="C14" s="38">
        <f>Data4!IE99</f>
        <v>87.66</v>
      </c>
      <c r="D14" s="38">
        <f>Data4!IE75</f>
        <v>89.44</v>
      </c>
      <c r="E14" s="39">
        <f t="shared" si="0"/>
        <v>0.30743782797170893</v>
      </c>
      <c r="F14" s="39">
        <f t="shared" si="1"/>
        <v>0.28141771019678008</v>
      </c>
      <c r="G14" s="38">
        <f>Data4!IF111</f>
        <v>99.81</v>
      </c>
      <c r="H14" s="38">
        <f>Data4!IF99</f>
        <v>98.44</v>
      </c>
      <c r="I14" s="38">
        <f>Data4!IF75</f>
        <v>80.27</v>
      </c>
      <c r="J14" s="39">
        <f t="shared" si="2"/>
        <v>1.3917106867127327E-2</v>
      </c>
      <c r="K14" s="40">
        <f t="shared" si="3"/>
        <v>0.24342842905194972</v>
      </c>
    </row>
    <row r="16" spans="1:11" ht="15.75" x14ac:dyDescent="0.25">
      <c r="A16" s="22" t="s">
        <v>2093</v>
      </c>
    </row>
    <row r="18" spans="1:27" x14ac:dyDescent="0.25">
      <c r="A18" s="24" t="s">
        <v>2094</v>
      </c>
      <c r="B18" s="41" t="s">
        <v>2095</v>
      </c>
      <c r="C18" s="41" t="s">
        <v>2096</v>
      </c>
      <c r="D18" s="41" t="s">
        <v>2097</v>
      </c>
      <c r="E18" s="41" t="s">
        <v>2098</v>
      </c>
      <c r="F18" s="41" t="s">
        <v>2099</v>
      </c>
      <c r="G18" s="41" t="s">
        <v>2100</v>
      </c>
      <c r="H18" s="41" t="s">
        <v>2101</v>
      </c>
      <c r="I18" s="41" t="s">
        <v>2102</v>
      </c>
      <c r="J18" s="42" t="s">
        <v>2103</v>
      </c>
      <c r="K18" s="42" t="s">
        <v>2104</v>
      </c>
      <c r="L18" s="42" t="s">
        <v>2105</v>
      </c>
      <c r="M18" s="42" t="s">
        <v>2106</v>
      </c>
      <c r="N18" s="42" t="s">
        <v>2107</v>
      </c>
      <c r="O18" s="42" t="s">
        <v>2108</v>
      </c>
      <c r="P18" s="42" t="s">
        <v>2109</v>
      </c>
      <c r="Q18" s="42" t="s">
        <v>2110</v>
      </c>
      <c r="S18" s="24" t="s">
        <v>2094</v>
      </c>
      <c r="T18" s="42" t="s">
        <v>2081</v>
      </c>
      <c r="U18" s="42" t="s">
        <v>2082</v>
      </c>
      <c r="V18" s="42" t="s">
        <v>2083</v>
      </c>
      <c r="W18" s="42" t="s">
        <v>2084</v>
      </c>
      <c r="X18" s="42" t="s">
        <v>2085</v>
      </c>
      <c r="Y18" s="42" t="s">
        <v>2086</v>
      </c>
      <c r="Z18" s="42" t="s">
        <v>2087</v>
      </c>
      <c r="AA18" s="42" t="s">
        <v>2088</v>
      </c>
    </row>
    <row r="19" spans="1:27" x14ac:dyDescent="0.25">
      <c r="A19" s="43">
        <f>Data1!A60</f>
        <v>44470</v>
      </c>
      <c r="B19" s="25">
        <f>Data1!BM60</f>
        <v>72.41</v>
      </c>
      <c r="C19" s="25">
        <f>Data1!GO60</f>
        <v>100.83</v>
      </c>
      <c r="D19" s="25">
        <f>Data2!CA60</f>
        <v>71.14</v>
      </c>
      <c r="E19" s="25">
        <f>Data2!HC60</f>
        <v>84.11</v>
      </c>
      <c r="F19" s="25">
        <f>Data3!CO60</f>
        <v>90.6</v>
      </c>
      <c r="G19" s="25">
        <f>Data3!HQ60</f>
        <v>90.34</v>
      </c>
      <c r="H19" s="25">
        <f>Data4!DC60</f>
        <v>101.44</v>
      </c>
      <c r="I19" s="25">
        <f>Data4!IE60</f>
        <v>82.83</v>
      </c>
      <c r="J19" s="25">
        <f>Data1!BN60</f>
        <v>71.13</v>
      </c>
      <c r="K19" s="25">
        <f>Data1!GP60</f>
        <v>60.92</v>
      </c>
      <c r="L19" s="25">
        <f>Data2!CB60</f>
        <v>84.69</v>
      </c>
      <c r="M19" s="25">
        <f>Data2!HD60</f>
        <v>72.2</v>
      </c>
      <c r="N19" s="25">
        <f>Data3!CP60</f>
        <v>82.13</v>
      </c>
      <c r="O19" s="25">
        <f>Data3!HR60</f>
        <v>82.27</v>
      </c>
      <c r="P19" s="25">
        <f>Data4!DD60</f>
        <v>85.34</v>
      </c>
      <c r="Q19" s="25">
        <f>Data4!IF60</f>
        <v>75.260000000000005</v>
      </c>
      <c r="S19" s="43">
        <f>A19</f>
        <v>44470</v>
      </c>
      <c r="T19" s="25">
        <f t="shared" ref="T19:AA19" si="4">J19</f>
        <v>71.13</v>
      </c>
      <c r="U19" s="25">
        <f t="shared" si="4"/>
        <v>60.92</v>
      </c>
      <c r="V19" s="25">
        <f t="shared" si="4"/>
        <v>84.69</v>
      </c>
      <c r="W19" s="25">
        <f t="shared" si="4"/>
        <v>72.2</v>
      </c>
      <c r="X19" s="25">
        <f t="shared" si="4"/>
        <v>82.13</v>
      </c>
      <c r="Y19" s="25">
        <f t="shared" si="4"/>
        <v>82.27</v>
      </c>
      <c r="Z19" s="25">
        <f t="shared" si="4"/>
        <v>85.34</v>
      </c>
      <c r="AA19" s="25">
        <f t="shared" si="4"/>
        <v>75.260000000000005</v>
      </c>
    </row>
    <row r="20" spans="1:27" x14ac:dyDescent="0.25">
      <c r="A20" s="43">
        <f>Data1!A61</f>
        <v>44501</v>
      </c>
      <c r="B20" s="25">
        <f>Data1!BM61</f>
        <v>73.849999999999994</v>
      </c>
      <c r="C20" s="25">
        <f>Data1!GO61</f>
        <v>102.25</v>
      </c>
      <c r="D20" s="25">
        <f>Data2!CA61</f>
        <v>71.14</v>
      </c>
      <c r="E20" s="25">
        <f>Data2!HC61</f>
        <v>84.11</v>
      </c>
      <c r="F20" s="25">
        <f>Data3!CO61</f>
        <v>90.6</v>
      </c>
      <c r="G20" s="25">
        <f>Data3!HQ61</f>
        <v>90.34</v>
      </c>
      <c r="H20" s="25">
        <f>Data4!DC61</f>
        <v>101.44</v>
      </c>
      <c r="I20" s="25">
        <f>Data4!IE61</f>
        <v>82.83</v>
      </c>
      <c r="J20" s="25">
        <f>Data1!BN61</f>
        <v>71.13</v>
      </c>
      <c r="K20" s="25">
        <f>Data1!GP61</f>
        <v>63.74</v>
      </c>
      <c r="L20" s="25">
        <f>Data2!CB61</f>
        <v>84.69</v>
      </c>
      <c r="M20" s="25">
        <f>Data2!HD61</f>
        <v>72.2</v>
      </c>
      <c r="N20" s="25">
        <f>Data3!CP61</f>
        <v>82.13</v>
      </c>
      <c r="O20" s="25">
        <f>Data3!HR61</f>
        <v>82.27</v>
      </c>
      <c r="P20" s="25">
        <f>Data4!DD61</f>
        <v>85.34</v>
      </c>
      <c r="Q20" s="25">
        <f>Data4!IF61</f>
        <v>75.260000000000005</v>
      </c>
      <c r="S20" s="43">
        <f t="shared" ref="S20:S70" si="5">A20</f>
        <v>44501</v>
      </c>
      <c r="T20" s="25">
        <f t="shared" ref="T20:T70" si="6">J20</f>
        <v>71.13</v>
      </c>
      <c r="U20" s="25">
        <f t="shared" ref="U20:U70" si="7">K20</f>
        <v>63.74</v>
      </c>
      <c r="V20" s="25">
        <f t="shared" ref="V20:V70" si="8">L20</f>
        <v>84.69</v>
      </c>
      <c r="W20" s="25">
        <f t="shared" ref="W20:W70" si="9">M20</f>
        <v>72.2</v>
      </c>
      <c r="X20" s="25">
        <f t="shared" ref="X20:X70" si="10">N20</f>
        <v>82.13</v>
      </c>
      <c r="Y20" s="25">
        <f t="shared" ref="Y20:Y70" si="11">O20</f>
        <v>82.27</v>
      </c>
      <c r="Z20" s="25">
        <f t="shared" ref="Z20:Z70" si="12">P20</f>
        <v>85.34</v>
      </c>
      <c r="AA20" s="25">
        <f t="shared" ref="AA20:AA70" si="13">Q20</f>
        <v>75.260000000000005</v>
      </c>
    </row>
    <row r="21" spans="1:27" x14ac:dyDescent="0.25">
      <c r="A21" s="43">
        <f>Data1!A62</f>
        <v>44531</v>
      </c>
      <c r="B21" s="25">
        <f>Data1!BM62</f>
        <v>74.599999999999994</v>
      </c>
      <c r="C21" s="25">
        <f>Data1!GO62</f>
        <v>101.84</v>
      </c>
      <c r="D21" s="25">
        <f>Data2!CA62</f>
        <v>71</v>
      </c>
      <c r="E21" s="25">
        <f>Data2!HC62</f>
        <v>84.27</v>
      </c>
      <c r="F21" s="25">
        <f>Data3!CO62</f>
        <v>90.6</v>
      </c>
      <c r="G21" s="25">
        <f>Data3!HQ62</f>
        <v>90.34</v>
      </c>
      <c r="H21" s="25">
        <f>Data4!DC62</f>
        <v>101.44</v>
      </c>
      <c r="I21" s="25">
        <f>Data4!IE62</f>
        <v>83.25</v>
      </c>
      <c r="J21" s="25">
        <f>Data1!BN62</f>
        <v>72.83</v>
      </c>
      <c r="K21" s="25">
        <f>Data1!GP62</f>
        <v>65.819999999999993</v>
      </c>
      <c r="L21" s="25">
        <f>Data2!CB62</f>
        <v>86.1</v>
      </c>
      <c r="M21" s="25">
        <f>Data2!HD62</f>
        <v>72.2</v>
      </c>
      <c r="N21" s="25">
        <f>Data3!CP62</f>
        <v>82.13</v>
      </c>
      <c r="O21" s="25">
        <f>Data3!HR62</f>
        <v>83.17</v>
      </c>
      <c r="P21" s="25">
        <f>Data4!DD62</f>
        <v>87.2</v>
      </c>
      <c r="Q21" s="25">
        <f>Data4!IF62</f>
        <v>75.260000000000005</v>
      </c>
      <c r="S21" s="43">
        <f t="shared" si="5"/>
        <v>44531</v>
      </c>
      <c r="T21" s="25">
        <f t="shared" si="6"/>
        <v>72.83</v>
      </c>
      <c r="U21" s="25">
        <f t="shared" si="7"/>
        <v>65.819999999999993</v>
      </c>
      <c r="V21" s="25">
        <f t="shared" si="8"/>
        <v>86.1</v>
      </c>
      <c r="W21" s="25">
        <f t="shared" si="9"/>
        <v>72.2</v>
      </c>
      <c r="X21" s="25">
        <f t="shared" si="10"/>
        <v>82.13</v>
      </c>
      <c r="Y21" s="25">
        <f t="shared" si="11"/>
        <v>83.17</v>
      </c>
      <c r="Z21" s="25">
        <f t="shared" si="12"/>
        <v>87.2</v>
      </c>
      <c r="AA21" s="25">
        <f t="shared" si="13"/>
        <v>75.260000000000005</v>
      </c>
    </row>
    <row r="22" spans="1:27" x14ac:dyDescent="0.25">
      <c r="A22" s="43">
        <f>Data1!A63</f>
        <v>44562</v>
      </c>
      <c r="B22" s="25">
        <f>Data1!BM63</f>
        <v>74.45</v>
      </c>
      <c r="C22" s="25">
        <f>Data1!GO63</f>
        <v>101.12</v>
      </c>
      <c r="D22" s="25">
        <f>Data2!CA63</f>
        <v>71</v>
      </c>
      <c r="E22" s="25">
        <f>Data2!HC63</f>
        <v>84.27</v>
      </c>
      <c r="F22" s="25">
        <f>Data3!CO63</f>
        <v>90.6</v>
      </c>
      <c r="G22" s="25">
        <f>Data3!HQ63</f>
        <v>90.34</v>
      </c>
      <c r="H22" s="25">
        <f>Data4!DC63</f>
        <v>101.44</v>
      </c>
      <c r="I22" s="25">
        <f>Data4!IE63</f>
        <v>88.02</v>
      </c>
      <c r="J22" s="25">
        <f>Data1!BN63</f>
        <v>72.83</v>
      </c>
      <c r="K22" s="25">
        <f>Data1!GP63</f>
        <v>66.930000000000007</v>
      </c>
      <c r="L22" s="25">
        <f>Data2!CB63</f>
        <v>86.1</v>
      </c>
      <c r="M22" s="25">
        <f>Data2!HD63</f>
        <v>72.2</v>
      </c>
      <c r="N22" s="25">
        <f>Data3!CP63</f>
        <v>82.13</v>
      </c>
      <c r="O22" s="25">
        <f>Data3!HR63</f>
        <v>83.86</v>
      </c>
      <c r="P22" s="25">
        <f>Data4!DD63</f>
        <v>87.2</v>
      </c>
      <c r="Q22" s="25">
        <f>Data4!IF63</f>
        <v>75.260000000000005</v>
      </c>
      <c r="S22" s="43">
        <f t="shared" si="5"/>
        <v>44562</v>
      </c>
      <c r="T22" s="25">
        <f t="shared" si="6"/>
        <v>72.83</v>
      </c>
      <c r="U22" s="25">
        <f t="shared" si="7"/>
        <v>66.930000000000007</v>
      </c>
      <c r="V22" s="25">
        <f t="shared" si="8"/>
        <v>86.1</v>
      </c>
      <c r="W22" s="25">
        <f t="shared" si="9"/>
        <v>72.2</v>
      </c>
      <c r="X22" s="25">
        <f t="shared" si="10"/>
        <v>82.13</v>
      </c>
      <c r="Y22" s="25">
        <f t="shared" si="11"/>
        <v>83.86</v>
      </c>
      <c r="Z22" s="25">
        <f t="shared" si="12"/>
        <v>87.2</v>
      </c>
      <c r="AA22" s="25">
        <f t="shared" si="13"/>
        <v>75.260000000000005</v>
      </c>
    </row>
    <row r="23" spans="1:27" x14ac:dyDescent="0.25">
      <c r="A23" s="43">
        <f>Data1!A64</f>
        <v>44593</v>
      </c>
      <c r="B23" s="25">
        <f>Data1!BM64</f>
        <v>74.45</v>
      </c>
      <c r="C23" s="25">
        <f>Data1!GO64</f>
        <v>100.26</v>
      </c>
      <c r="D23" s="25">
        <f>Data2!CA64</f>
        <v>70.150000000000006</v>
      </c>
      <c r="E23" s="25">
        <f>Data2!HC64</f>
        <v>84.27</v>
      </c>
      <c r="F23" s="25">
        <f>Data3!CO64</f>
        <v>90.6</v>
      </c>
      <c r="G23" s="25">
        <f>Data3!HQ64</f>
        <v>90.34</v>
      </c>
      <c r="H23" s="25">
        <f>Data4!DC64</f>
        <v>101.44</v>
      </c>
      <c r="I23" s="25">
        <f>Data4!IE64</f>
        <v>88.02</v>
      </c>
      <c r="J23" s="25">
        <f>Data1!BN64</f>
        <v>72.83</v>
      </c>
      <c r="K23" s="25">
        <f>Data1!GP64</f>
        <v>69.27</v>
      </c>
      <c r="L23" s="25">
        <f>Data2!CB64</f>
        <v>86.1</v>
      </c>
      <c r="M23" s="25">
        <f>Data2!HD64</f>
        <v>72.2</v>
      </c>
      <c r="N23" s="25">
        <f>Data3!CP64</f>
        <v>82.13</v>
      </c>
      <c r="O23" s="25">
        <f>Data3!HR64</f>
        <v>83.86</v>
      </c>
      <c r="P23" s="25">
        <f>Data4!DD64</f>
        <v>87.2</v>
      </c>
      <c r="Q23" s="25">
        <f>Data4!IF64</f>
        <v>75.260000000000005</v>
      </c>
      <c r="S23" s="43">
        <f t="shared" si="5"/>
        <v>44593</v>
      </c>
      <c r="T23" s="25">
        <f t="shared" si="6"/>
        <v>72.83</v>
      </c>
      <c r="U23" s="25">
        <f t="shared" si="7"/>
        <v>69.27</v>
      </c>
      <c r="V23" s="25">
        <f t="shared" si="8"/>
        <v>86.1</v>
      </c>
      <c r="W23" s="25">
        <f t="shared" si="9"/>
        <v>72.2</v>
      </c>
      <c r="X23" s="25">
        <f t="shared" si="10"/>
        <v>82.13</v>
      </c>
      <c r="Y23" s="25">
        <f t="shared" si="11"/>
        <v>83.86</v>
      </c>
      <c r="Z23" s="25">
        <f t="shared" si="12"/>
        <v>87.2</v>
      </c>
      <c r="AA23" s="25">
        <f t="shared" si="13"/>
        <v>75.260000000000005</v>
      </c>
    </row>
    <row r="24" spans="1:27" x14ac:dyDescent="0.25">
      <c r="A24" s="43">
        <f>Data1!A65</f>
        <v>44621</v>
      </c>
      <c r="B24" s="25">
        <f>Data1!BM65</f>
        <v>74.31</v>
      </c>
      <c r="C24" s="25">
        <f>Data1!GO65</f>
        <v>100.26</v>
      </c>
      <c r="D24" s="25">
        <f>Data2!CA65</f>
        <v>70.150000000000006</v>
      </c>
      <c r="E24" s="25">
        <f>Data2!HC65</f>
        <v>84.27</v>
      </c>
      <c r="F24" s="25">
        <f>Data3!CO65</f>
        <v>90.6</v>
      </c>
      <c r="G24" s="25">
        <f>Data3!HQ65</f>
        <v>90.34</v>
      </c>
      <c r="H24" s="25">
        <f>Data4!DC65</f>
        <v>101.44</v>
      </c>
      <c r="I24" s="25">
        <f>Data4!IE65</f>
        <v>88.02</v>
      </c>
      <c r="J24" s="25">
        <f>Data1!BN65</f>
        <v>72.83</v>
      </c>
      <c r="K24" s="25">
        <f>Data1!GP65</f>
        <v>69.25</v>
      </c>
      <c r="L24" s="25">
        <f>Data2!CB65</f>
        <v>86.87</v>
      </c>
      <c r="M24" s="25">
        <f>Data2!HD65</f>
        <v>72.2</v>
      </c>
      <c r="N24" s="25">
        <f>Data3!CP65</f>
        <v>82.13</v>
      </c>
      <c r="O24" s="25">
        <f>Data3!HR65</f>
        <v>86.47</v>
      </c>
      <c r="P24" s="25">
        <f>Data4!DD65</f>
        <v>89.11</v>
      </c>
      <c r="Q24" s="25">
        <f>Data4!IF65</f>
        <v>75.260000000000005</v>
      </c>
      <c r="S24" s="43">
        <f t="shared" si="5"/>
        <v>44621</v>
      </c>
      <c r="T24" s="25">
        <f t="shared" si="6"/>
        <v>72.83</v>
      </c>
      <c r="U24" s="25">
        <f t="shared" si="7"/>
        <v>69.25</v>
      </c>
      <c r="V24" s="25">
        <f t="shared" si="8"/>
        <v>86.87</v>
      </c>
      <c r="W24" s="25">
        <f t="shared" si="9"/>
        <v>72.2</v>
      </c>
      <c r="X24" s="25">
        <f t="shared" si="10"/>
        <v>82.13</v>
      </c>
      <c r="Y24" s="25">
        <f t="shared" si="11"/>
        <v>86.47</v>
      </c>
      <c r="Z24" s="25">
        <f t="shared" si="12"/>
        <v>89.11</v>
      </c>
      <c r="AA24" s="25">
        <f t="shared" si="13"/>
        <v>75.260000000000005</v>
      </c>
    </row>
    <row r="25" spans="1:27" x14ac:dyDescent="0.25">
      <c r="A25" s="43">
        <f>Data1!A66</f>
        <v>44652</v>
      </c>
      <c r="B25" s="25">
        <f>Data1!BM66</f>
        <v>73.010000000000005</v>
      </c>
      <c r="C25" s="25">
        <f>Data1!GO66</f>
        <v>100.39</v>
      </c>
      <c r="D25" s="25">
        <f>Data2!CA66</f>
        <v>70.45</v>
      </c>
      <c r="E25" s="25">
        <f>Data2!HC66</f>
        <v>84.4</v>
      </c>
      <c r="F25" s="25">
        <f>Data3!CO66</f>
        <v>90.6</v>
      </c>
      <c r="G25" s="25">
        <f>Data3!HQ66</f>
        <v>90.34</v>
      </c>
      <c r="H25" s="25">
        <f>Data4!DC66</f>
        <v>101.44</v>
      </c>
      <c r="I25" s="25">
        <f>Data4!IE66</f>
        <v>88.02</v>
      </c>
      <c r="J25" s="25">
        <f>Data1!BN66</f>
        <v>72.31</v>
      </c>
      <c r="K25" s="25">
        <f>Data1!GP66</f>
        <v>69.25</v>
      </c>
      <c r="L25" s="25">
        <f>Data2!CB66</f>
        <v>86.87</v>
      </c>
      <c r="M25" s="25">
        <f>Data2!HD66</f>
        <v>72.2</v>
      </c>
      <c r="N25" s="25">
        <f>Data3!CP66</f>
        <v>82.13</v>
      </c>
      <c r="O25" s="25">
        <f>Data3!HR66</f>
        <v>86.47</v>
      </c>
      <c r="P25" s="25">
        <f>Data4!DD66</f>
        <v>89.11</v>
      </c>
      <c r="Q25" s="25">
        <f>Data4!IF66</f>
        <v>75.260000000000005</v>
      </c>
      <c r="S25" s="43">
        <f t="shared" si="5"/>
        <v>44652</v>
      </c>
      <c r="T25" s="25">
        <f t="shared" si="6"/>
        <v>72.31</v>
      </c>
      <c r="U25" s="25">
        <f t="shared" si="7"/>
        <v>69.25</v>
      </c>
      <c r="V25" s="25">
        <f t="shared" si="8"/>
        <v>86.87</v>
      </c>
      <c r="W25" s="25">
        <f t="shared" si="9"/>
        <v>72.2</v>
      </c>
      <c r="X25" s="25">
        <f t="shared" si="10"/>
        <v>82.13</v>
      </c>
      <c r="Y25" s="25">
        <f t="shared" si="11"/>
        <v>86.47</v>
      </c>
      <c r="Z25" s="25">
        <f t="shared" si="12"/>
        <v>89.11</v>
      </c>
      <c r="AA25" s="25">
        <f t="shared" si="13"/>
        <v>75.260000000000005</v>
      </c>
    </row>
    <row r="26" spans="1:27" x14ac:dyDescent="0.25">
      <c r="A26" s="43">
        <f>Data1!A67</f>
        <v>44682</v>
      </c>
      <c r="B26" s="25">
        <f>Data1!BM67</f>
        <v>73.44</v>
      </c>
      <c r="C26" s="25">
        <f>Data1!GO67</f>
        <v>100.01</v>
      </c>
      <c r="D26" s="25">
        <f>Data2!CA67</f>
        <v>70.08</v>
      </c>
      <c r="E26" s="25">
        <f>Data2!HC67</f>
        <v>85.54</v>
      </c>
      <c r="F26" s="25">
        <f>Data3!CO67</f>
        <v>90.6</v>
      </c>
      <c r="G26" s="25">
        <f>Data3!HQ67</f>
        <v>90.34</v>
      </c>
      <c r="H26" s="25">
        <f>Data4!DC67</f>
        <v>101.44</v>
      </c>
      <c r="I26" s="25">
        <f>Data4!IE67</f>
        <v>88.02</v>
      </c>
      <c r="J26" s="25">
        <f>Data1!BN67</f>
        <v>70.989999999999995</v>
      </c>
      <c r="K26" s="25">
        <f>Data1!GP67</f>
        <v>66.209999999999994</v>
      </c>
      <c r="L26" s="25">
        <f>Data2!CB67</f>
        <v>86.87</v>
      </c>
      <c r="M26" s="25">
        <f>Data2!HD67</f>
        <v>71.37</v>
      </c>
      <c r="N26" s="25">
        <f>Data3!CP67</f>
        <v>82.13</v>
      </c>
      <c r="O26" s="25">
        <f>Data3!HR67</f>
        <v>86.47</v>
      </c>
      <c r="P26" s="25">
        <f>Data4!DD67</f>
        <v>89.11</v>
      </c>
      <c r="Q26" s="25">
        <f>Data4!IF67</f>
        <v>75.260000000000005</v>
      </c>
      <c r="S26" s="43">
        <f t="shared" si="5"/>
        <v>44682</v>
      </c>
      <c r="T26" s="25">
        <f t="shared" si="6"/>
        <v>70.989999999999995</v>
      </c>
      <c r="U26" s="25">
        <f t="shared" si="7"/>
        <v>66.209999999999994</v>
      </c>
      <c r="V26" s="25">
        <f t="shared" si="8"/>
        <v>86.87</v>
      </c>
      <c r="W26" s="25">
        <f t="shared" si="9"/>
        <v>71.37</v>
      </c>
      <c r="X26" s="25">
        <f t="shared" si="10"/>
        <v>82.13</v>
      </c>
      <c r="Y26" s="25">
        <f t="shared" si="11"/>
        <v>86.47</v>
      </c>
      <c r="Z26" s="25">
        <f t="shared" si="12"/>
        <v>89.11</v>
      </c>
      <c r="AA26" s="25">
        <f t="shared" si="13"/>
        <v>75.260000000000005</v>
      </c>
    </row>
    <row r="27" spans="1:27" x14ac:dyDescent="0.25">
      <c r="A27" s="43">
        <f>Data1!A68</f>
        <v>44713</v>
      </c>
      <c r="B27" s="25">
        <f>Data1!BM68</f>
        <v>77.73</v>
      </c>
      <c r="C27" s="25">
        <f>Data1!GO68</f>
        <v>99.57</v>
      </c>
      <c r="D27" s="25">
        <f>Data2!CA68</f>
        <v>72.7</v>
      </c>
      <c r="E27" s="25">
        <f>Data2!HC68</f>
        <v>87.11</v>
      </c>
      <c r="F27" s="25">
        <f>Data3!CO68</f>
        <v>90.6</v>
      </c>
      <c r="G27" s="25">
        <f>Data3!HQ68</f>
        <v>90.34</v>
      </c>
      <c r="H27" s="25">
        <f>Data4!DC68</f>
        <v>101.44</v>
      </c>
      <c r="I27" s="25">
        <f>Data4!IE68</f>
        <v>89.66</v>
      </c>
      <c r="J27" s="25">
        <f>Data1!BN68</f>
        <v>72.95</v>
      </c>
      <c r="K27" s="25">
        <f>Data1!GP68</f>
        <v>69.38</v>
      </c>
      <c r="L27" s="25">
        <f>Data2!CB68</f>
        <v>88.31</v>
      </c>
      <c r="M27" s="25">
        <f>Data2!HD68</f>
        <v>73.62</v>
      </c>
      <c r="N27" s="25">
        <f>Data3!CP68</f>
        <v>82.13</v>
      </c>
      <c r="O27" s="25">
        <f>Data3!HR68</f>
        <v>87.3</v>
      </c>
      <c r="P27" s="25">
        <f>Data4!DD68</f>
        <v>87.02</v>
      </c>
      <c r="Q27" s="25">
        <f>Data4!IF68</f>
        <v>75.260000000000005</v>
      </c>
      <c r="S27" s="43">
        <f t="shared" si="5"/>
        <v>44713</v>
      </c>
      <c r="T27" s="25">
        <f t="shared" si="6"/>
        <v>72.95</v>
      </c>
      <c r="U27" s="25">
        <f t="shared" si="7"/>
        <v>69.38</v>
      </c>
      <c r="V27" s="25">
        <f t="shared" si="8"/>
        <v>88.31</v>
      </c>
      <c r="W27" s="25">
        <f t="shared" si="9"/>
        <v>73.62</v>
      </c>
      <c r="X27" s="25">
        <f t="shared" si="10"/>
        <v>82.13</v>
      </c>
      <c r="Y27" s="25">
        <f t="shared" si="11"/>
        <v>87.3</v>
      </c>
      <c r="Z27" s="25">
        <f t="shared" si="12"/>
        <v>87.02</v>
      </c>
      <c r="AA27" s="25">
        <f t="shared" si="13"/>
        <v>75.260000000000005</v>
      </c>
    </row>
    <row r="28" spans="1:27" x14ac:dyDescent="0.25">
      <c r="A28" s="43">
        <f>Data1!A69</f>
        <v>44743</v>
      </c>
      <c r="B28" s="25">
        <f>Data1!BM69</f>
        <v>92.38</v>
      </c>
      <c r="C28" s="25">
        <f>Data1!GO69</f>
        <v>107.05</v>
      </c>
      <c r="D28" s="25">
        <f>Data2!CA69</f>
        <v>84.34</v>
      </c>
      <c r="E28" s="25">
        <f>Data2!HC69</f>
        <v>94.89</v>
      </c>
      <c r="F28" s="25">
        <f>Data3!CO69</f>
        <v>14.2</v>
      </c>
      <c r="G28" s="25">
        <f>Data3!HQ69</f>
        <v>101.1</v>
      </c>
      <c r="H28" s="25">
        <f>Data4!DC69</f>
        <v>104.48</v>
      </c>
      <c r="I28" s="25">
        <f>Data4!IE69</f>
        <v>88.56</v>
      </c>
      <c r="J28" s="25">
        <f>Data1!BN69</f>
        <v>81.87</v>
      </c>
      <c r="K28" s="25">
        <f>Data1!GP69</f>
        <v>76.67</v>
      </c>
      <c r="L28" s="25">
        <f>Data2!CB69</f>
        <v>93.91</v>
      </c>
      <c r="M28" s="25">
        <f>Data2!HD69</f>
        <v>84.46</v>
      </c>
      <c r="N28" s="25">
        <f>Data3!CP69</f>
        <v>84.62</v>
      </c>
      <c r="O28" s="25">
        <f>Data3!HR69</f>
        <v>87.57</v>
      </c>
      <c r="P28" s="25">
        <f>Data4!DD69</f>
        <v>87.02</v>
      </c>
      <c r="Q28" s="25">
        <f>Data4!IF69</f>
        <v>78.12</v>
      </c>
      <c r="S28" s="43">
        <f t="shared" si="5"/>
        <v>44743</v>
      </c>
      <c r="T28" s="25">
        <f t="shared" si="6"/>
        <v>81.87</v>
      </c>
      <c r="U28" s="25">
        <f t="shared" si="7"/>
        <v>76.67</v>
      </c>
      <c r="V28" s="25">
        <f t="shared" si="8"/>
        <v>93.91</v>
      </c>
      <c r="W28" s="25">
        <f t="shared" si="9"/>
        <v>84.46</v>
      </c>
      <c r="X28" s="25">
        <f t="shared" si="10"/>
        <v>84.62</v>
      </c>
      <c r="Y28" s="25">
        <f t="shared" si="11"/>
        <v>87.57</v>
      </c>
      <c r="Z28" s="25">
        <f t="shared" si="12"/>
        <v>87.02</v>
      </c>
      <c r="AA28" s="25">
        <f t="shared" si="13"/>
        <v>78.12</v>
      </c>
    </row>
    <row r="29" spans="1:27" x14ac:dyDescent="0.25">
      <c r="A29" s="43">
        <f>Data1!A70</f>
        <v>44774</v>
      </c>
      <c r="B29" s="25">
        <f>Data1!BM70</f>
        <v>93.08</v>
      </c>
      <c r="C29" s="25">
        <f>Data1!GO70</f>
        <v>108.12</v>
      </c>
      <c r="D29" s="25">
        <f>Data2!CA70</f>
        <v>88.1</v>
      </c>
      <c r="E29" s="25">
        <f>Data2!HC70</f>
        <v>96.81</v>
      </c>
      <c r="F29" s="25">
        <f>Data3!CO70</f>
        <v>14.2</v>
      </c>
      <c r="G29" s="25">
        <f>Data3!HQ70</f>
        <v>101.1</v>
      </c>
      <c r="H29" s="25">
        <f>Data4!DC70</f>
        <v>104.48</v>
      </c>
      <c r="I29" s="25">
        <f>Data4!IE70</f>
        <v>89.2</v>
      </c>
      <c r="J29" s="25">
        <f>Data1!BN70</f>
        <v>81.87</v>
      </c>
      <c r="K29" s="25">
        <f>Data1!GP70</f>
        <v>78.28</v>
      </c>
      <c r="L29" s="25">
        <f>Data2!CB70</f>
        <v>93.91</v>
      </c>
      <c r="M29" s="25">
        <f>Data2!HD70</f>
        <v>83.85</v>
      </c>
      <c r="N29" s="25">
        <f>Data3!CP70</f>
        <v>84.62</v>
      </c>
      <c r="O29" s="25">
        <f>Data3!HR70</f>
        <v>87.57</v>
      </c>
      <c r="P29" s="25">
        <f>Data4!DD70</f>
        <v>87.02</v>
      </c>
      <c r="Q29" s="25">
        <f>Data4!IF70</f>
        <v>80.27</v>
      </c>
      <c r="S29" s="43">
        <f t="shared" si="5"/>
        <v>44774</v>
      </c>
      <c r="T29" s="25">
        <f t="shared" si="6"/>
        <v>81.87</v>
      </c>
      <c r="U29" s="25">
        <f t="shared" si="7"/>
        <v>78.28</v>
      </c>
      <c r="V29" s="25">
        <f t="shared" si="8"/>
        <v>93.91</v>
      </c>
      <c r="W29" s="25">
        <f t="shared" si="9"/>
        <v>83.85</v>
      </c>
      <c r="X29" s="25">
        <f t="shared" si="10"/>
        <v>84.62</v>
      </c>
      <c r="Y29" s="25">
        <f t="shared" si="11"/>
        <v>87.57</v>
      </c>
      <c r="Z29" s="25">
        <f t="shared" si="12"/>
        <v>87.02</v>
      </c>
      <c r="AA29" s="25">
        <f t="shared" si="13"/>
        <v>80.27</v>
      </c>
    </row>
    <row r="30" spans="1:27" x14ac:dyDescent="0.25">
      <c r="A30" s="43">
        <f>Data1!A71</f>
        <v>44805</v>
      </c>
      <c r="B30" s="25">
        <f>Data1!BM71</f>
        <v>92.4</v>
      </c>
      <c r="C30" s="25">
        <f>Data1!GO71</f>
        <v>108.12</v>
      </c>
      <c r="D30" s="25">
        <f>Data2!CA71</f>
        <v>55.51</v>
      </c>
      <c r="E30" s="25">
        <f>Data2!HC71</f>
        <v>97.12</v>
      </c>
      <c r="F30" s="25">
        <f>Data3!CO71</f>
        <v>14.2</v>
      </c>
      <c r="G30" s="25">
        <f>Data3!HQ71</f>
        <v>101.1</v>
      </c>
      <c r="H30" s="25">
        <f>Data4!DC71</f>
        <v>104.48</v>
      </c>
      <c r="I30" s="25">
        <f>Data4!IE71</f>
        <v>89.61</v>
      </c>
      <c r="J30" s="25">
        <f>Data1!BN71</f>
        <v>82.63</v>
      </c>
      <c r="K30" s="25">
        <f>Data1!GP71</f>
        <v>78.28</v>
      </c>
      <c r="L30" s="25">
        <f>Data2!CB71</f>
        <v>94.14</v>
      </c>
      <c r="M30" s="25">
        <f>Data2!HD71</f>
        <v>85.59</v>
      </c>
      <c r="N30" s="25">
        <f>Data3!CP71</f>
        <v>84.62</v>
      </c>
      <c r="O30" s="25">
        <f>Data3!HR71</f>
        <v>88.57</v>
      </c>
      <c r="P30" s="25">
        <f>Data4!DD71</f>
        <v>88.18</v>
      </c>
      <c r="Q30" s="25">
        <f>Data4!IF71</f>
        <v>80.27</v>
      </c>
      <c r="S30" s="43">
        <f t="shared" si="5"/>
        <v>44805</v>
      </c>
      <c r="T30" s="25">
        <f t="shared" si="6"/>
        <v>82.63</v>
      </c>
      <c r="U30" s="25">
        <f t="shared" si="7"/>
        <v>78.28</v>
      </c>
      <c r="V30" s="25">
        <f t="shared" si="8"/>
        <v>94.14</v>
      </c>
      <c r="W30" s="25">
        <f t="shared" si="9"/>
        <v>85.59</v>
      </c>
      <c r="X30" s="25">
        <f t="shared" si="10"/>
        <v>84.62</v>
      </c>
      <c r="Y30" s="25">
        <f t="shared" si="11"/>
        <v>88.57</v>
      </c>
      <c r="Z30" s="25">
        <f t="shared" si="12"/>
        <v>88.18</v>
      </c>
      <c r="AA30" s="25">
        <f t="shared" si="13"/>
        <v>80.27</v>
      </c>
    </row>
    <row r="31" spans="1:27" x14ac:dyDescent="0.25">
      <c r="A31" s="43">
        <f>Data1!A72</f>
        <v>44835</v>
      </c>
      <c r="B31" s="25">
        <f>Data1!BM72</f>
        <v>93.29</v>
      </c>
      <c r="C31" s="25">
        <f>Data1!GO72</f>
        <v>107.7</v>
      </c>
      <c r="D31" s="25">
        <f>Data2!CA72</f>
        <v>56.73</v>
      </c>
      <c r="E31" s="25">
        <f>Data2!HC72</f>
        <v>97.62</v>
      </c>
      <c r="F31" s="25">
        <f>Data3!CO72</f>
        <v>88.92</v>
      </c>
      <c r="G31" s="25">
        <f>Data3!HQ72</f>
        <v>92.8</v>
      </c>
      <c r="H31" s="25">
        <f>Data4!DC72</f>
        <v>104.48</v>
      </c>
      <c r="I31" s="25">
        <f>Data4!IE72</f>
        <v>90.21</v>
      </c>
      <c r="J31" s="25">
        <f>Data1!BN72</f>
        <v>82.85</v>
      </c>
      <c r="K31" s="25">
        <f>Data1!GP72</f>
        <v>74.36</v>
      </c>
      <c r="L31" s="25">
        <f>Data2!CB72</f>
        <v>94.32</v>
      </c>
      <c r="M31" s="25">
        <f>Data2!HD72</f>
        <v>84.44</v>
      </c>
      <c r="N31" s="25">
        <f>Data3!CP72</f>
        <v>84.62</v>
      </c>
      <c r="O31" s="25">
        <f>Data3!HR72</f>
        <v>88.57</v>
      </c>
      <c r="P31" s="25">
        <f>Data4!DD72</f>
        <v>88.18</v>
      </c>
      <c r="Q31" s="25">
        <f>Data4!IF72</f>
        <v>80.27</v>
      </c>
      <c r="S31" s="43">
        <f t="shared" si="5"/>
        <v>44835</v>
      </c>
      <c r="T31" s="25">
        <f t="shared" si="6"/>
        <v>82.85</v>
      </c>
      <c r="U31" s="25">
        <f t="shared" si="7"/>
        <v>74.36</v>
      </c>
      <c r="V31" s="25">
        <f t="shared" si="8"/>
        <v>94.32</v>
      </c>
      <c r="W31" s="25">
        <f t="shared" si="9"/>
        <v>84.44</v>
      </c>
      <c r="X31" s="25">
        <f t="shared" si="10"/>
        <v>84.62</v>
      </c>
      <c r="Y31" s="25">
        <f t="shared" si="11"/>
        <v>88.57</v>
      </c>
      <c r="Z31" s="25">
        <f t="shared" si="12"/>
        <v>88.18</v>
      </c>
      <c r="AA31" s="25">
        <f t="shared" si="13"/>
        <v>80.27</v>
      </c>
    </row>
    <row r="32" spans="1:27" x14ac:dyDescent="0.25">
      <c r="A32" s="43">
        <f>Data1!A73</f>
        <v>44866</v>
      </c>
      <c r="B32" s="25">
        <f>Data1!BM73</f>
        <v>93.72</v>
      </c>
      <c r="C32" s="25">
        <f>Data1!GO73</f>
        <v>107.7</v>
      </c>
      <c r="D32" s="25">
        <f>Data2!CA73</f>
        <v>54.78</v>
      </c>
      <c r="E32" s="25">
        <f>Data2!HC73</f>
        <v>96.87</v>
      </c>
      <c r="F32" s="25">
        <f>Data3!CO73</f>
        <v>88.92</v>
      </c>
      <c r="G32" s="25">
        <f>Data3!HQ73</f>
        <v>92.8</v>
      </c>
      <c r="H32" s="25">
        <f>Data4!DC73</f>
        <v>104.48</v>
      </c>
      <c r="I32" s="25">
        <f>Data4!IE73</f>
        <v>89.44</v>
      </c>
      <c r="J32" s="25">
        <f>Data1!BN73</f>
        <v>82.53</v>
      </c>
      <c r="K32" s="25">
        <f>Data1!GP73</f>
        <v>77.790000000000006</v>
      </c>
      <c r="L32" s="25">
        <f>Data2!CB73</f>
        <v>94.05</v>
      </c>
      <c r="M32" s="25">
        <f>Data2!HD73</f>
        <v>84.16</v>
      </c>
      <c r="N32" s="25">
        <f>Data3!CP73</f>
        <v>84.62</v>
      </c>
      <c r="O32" s="25">
        <f>Data3!HR73</f>
        <v>88.57</v>
      </c>
      <c r="P32" s="25">
        <f>Data4!DD73</f>
        <v>88.18</v>
      </c>
      <c r="Q32" s="25">
        <f>Data4!IF73</f>
        <v>80.27</v>
      </c>
      <c r="S32" s="43">
        <f t="shared" si="5"/>
        <v>44866</v>
      </c>
      <c r="T32" s="25">
        <f t="shared" si="6"/>
        <v>82.53</v>
      </c>
      <c r="U32" s="25">
        <f t="shared" si="7"/>
        <v>77.790000000000006</v>
      </c>
      <c r="V32" s="25">
        <f t="shared" si="8"/>
        <v>94.05</v>
      </c>
      <c r="W32" s="25">
        <f t="shared" si="9"/>
        <v>84.16</v>
      </c>
      <c r="X32" s="25">
        <f t="shared" si="10"/>
        <v>84.62</v>
      </c>
      <c r="Y32" s="25">
        <f t="shared" si="11"/>
        <v>88.57</v>
      </c>
      <c r="Z32" s="25">
        <f t="shared" si="12"/>
        <v>88.18</v>
      </c>
      <c r="AA32" s="25">
        <f t="shared" si="13"/>
        <v>80.27</v>
      </c>
    </row>
    <row r="33" spans="1:27" x14ac:dyDescent="0.25">
      <c r="A33" s="43">
        <f>Data1!A74</f>
        <v>44896</v>
      </c>
      <c r="B33" s="25">
        <f>Data1!BM74</f>
        <v>93.72</v>
      </c>
      <c r="C33" s="25">
        <f>Data1!GO74</f>
        <v>107.55</v>
      </c>
      <c r="D33" s="25">
        <f>Data2!CA74</f>
        <v>88.18</v>
      </c>
      <c r="E33" s="25">
        <f>Data2!HC74</f>
        <v>96.87</v>
      </c>
      <c r="F33" s="25">
        <f>Data3!CO74</f>
        <v>88.92</v>
      </c>
      <c r="G33" s="25">
        <f>Data3!HQ74</f>
        <v>92.8</v>
      </c>
      <c r="H33" s="25">
        <f>Data4!DC74</f>
        <v>104.48</v>
      </c>
      <c r="I33" s="25">
        <f>Data4!IE74</f>
        <v>89.44</v>
      </c>
      <c r="J33" s="25">
        <f>Data1!BN74</f>
        <v>85.4</v>
      </c>
      <c r="K33" s="25">
        <f>Data1!GP74</f>
        <v>81.72</v>
      </c>
      <c r="L33" s="25">
        <f>Data2!CB74</f>
        <v>96.35</v>
      </c>
      <c r="M33" s="25">
        <f>Data2!HD74</f>
        <v>85.96</v>
      </c>
      <c r="N33" s="25">
        <f>Data3!CP74</f>
        <v>84.62</v>
      </c>
      <c r="O33" s="25">
        <f>Data3!HR74</f>
        <v>88.57</v>
      </c>
      <c r="P33" s="25">
        <f>Data4!DD74</f>
        <v>91.4</v>
      </c>
      <c r="Q33" s="25">
        <f>Data4!IF74</f>
        <v>80.27</v>
      </c>
      <c r="S33" s="43">
        <f t="shared" si="5"/>
        <v>44896</v>
      </c>
      <c r="T33" s="25">
        <f t="shared" si="6"/>
        <v>85.4</v>
      </c>
      <c r="U33" s="25">
        <f t="shared" si="7"/>
        <v>81.72</v>
      </c>
      <c r="V33" s="25">
        <f t="shared" si="8"/>
        <v>96.35</v>
      </c>
      <c r="W33" s="25">
        <f t="shared" si="9"/>
        <v>85.96</v>
      </c>
      <c r="X33" s="25">
        <f t="shared" si="10"/>
        <v>84.62</v>
      </c>
      <c r="Y33" s="25">
        <f t="shared" si="11"/>
        <v>88.57</v>
      </c>
      <c r="Z33" s="25">
        <f t="shared" si="12"/>
        <v>91.4</v>
      </c>
      <c r="AA33" s="25">
        <f t="shared" si="13"/>
        <v>80.27</v>
      </c>
    </row>
    <row r="34" spans="1:27" x14ac:dyDescent="0.25">
      <c r="A34" s="43">
        <f>Data1!A75</f>
        <v>44927</v>
      </c>
      <c r="B34" s="25">
        <f>Data1!BM75</f>
        <v>93.54</v>
      </c>
      <c r="C34" s="25">
        <f>Data1!GO75</f>
        <v>107.55</v>
      </c>
      <c r="D34" s="25">
        <f>Data2!CA75</f>
        <v>88.18</v>
      </c>
      <c r="E34" s="25">
        <f>Data2!HC75</f>
        <v>96.87</v>
      </c>
      <c r="F34" s="25">
        <f>Data3!CO75</f>
        <v>92.86</v>
      </c>
      <c r="G34" s="25">
        <f>Data3!HQ75</f>
        <v>101.1</v>
      </c>
      <c r="H34" s="25">
        <f>Data4!DC75</f>
        <v>104.48</v>
      </c>
      <c r="I34" s="25">
        <f>Data4!IE75</f>
        <v>89.44</v>
      </c>
      <c r="J34" s="25">
        <f>Data1!BN75</f>
        <v>85.4</v>
      </c>
      <c r="K34" s="25">
        <f>Data1!GP75</f>
        <v>93.55</v>
      </c>
      <c r="L34" s="25">
        <f>Data2!CB75</f>
        <v>96.35</v>
      </c>
      <c r="M34" s="25">
        <f>Data2!HD75</f>
        <v>85.96</v>
      </c>
      <c r="N34" s="25">
        <f>Data3!CP75</f>
        <v>85.48</v>
      </c>
      <c r="O34" s="25">
        <f>Data3!HR75</f>
        <v>89.99</v>
      </c>
      <c r="P34" s="25">
        <f>Data4!DD75</f>
        <v>91.4</v>
      </c>
      <c r="Q34" s="25">
        <f>Data4!IF75</f>
        <v>80.27</v>
      </c>
      <c r="S34" s="43">
        <f t="shared" si="5"/>
        <v>44927</v>
      </c>
      <c r="T34" s="25">
        <f t="shared" si="6"/>
        <v>85.4</v>
      </c>
      <c r="U34" s="25">
        <f t="shared" si="7"/>
        <v>93.55</v>
      </c>
      <c r="V34" s="25">
        <f t="shared" si="8"/>
        <v>96.35</v>
      </c>
      <c r="W34" s="25">
        <f t="shared" si="9"/>
        <v>85.96</v>
      </c>
      <c r="X34" s="25">
        <f t="shared" si="10"/>
        <v>85.48</v>
      </c>
      <c r="Y34" s="25">
        <f t="shared" si="11"/>
        <v>89.99</v>
      </c>
      <c r="Z34" s="25">
        <f t="shared" si="12"/>
        <v>91.4</v>
      </c>
      <c r="AA34" s="25">
        <f t="shared" si="13"/>
        <v>80.27</v>
      </c>
    </row>
    <row r="35" spans="1:27" x14ac:dyDescent="0.25">
      <c r="A35" s="43">
        <f>Data1!A76</f>
        <v>44958</v>
      </c>
      <c r="B35" s="25">
        <f>Data1!BM76</f>
        <v>93.54</v>
      </c>
      <c r="C35" s="25">
        <f>Data1!GO76</f>
        <v>107.55</v>
      </c>
      <c r="D35" s="25">
        <f>Data2!CA76</f>
        <v>88.18</v>
      </c>
      <c r="E35" s="25">
        <f>Data2!HC76</f>
        <v>96.87</v>
      </c>
      <c r="F35" s="25">
        <f>Data3!CO76</f>
        <v>92.86</v>
      </c>
      <c r="G35" s="25">
        <f>Data3!HQ76</f>
        <v>101.1</v>
      </c>
      <c r="H35" s="25">
        <f>Data4!DC76</f>
        <v>104.48</v>
      </c>
      <c r="I35" s="25">
        <f>Data4!IE76</f>
        <v>89.44</v>
      </c>
      <c r="J35" s="25">
        <f>Data1!BN76</f>
        <v>88.12</v>
      </c>
      <c r="K35" s="25">
        <f>Data1!GP76</f>
        <v>93.58</v>
      </c>
      <c r="L35" s="25">
        <f>Data2!CB76</f>
        <v>98.58</v>
      </c>
      <c r="M35" s="25">
        <f>Data2!HD76</f>
        <v>88.74</v>
      </c>
      <c r="N35" s="25">
        <f>Data3!CP76</f>
        <v>85.48</v>
      </c>
      <c r="O35" s="25">
        <f>Data3!HR76</f>
        <v>89.99</v>
      </c>
      <c r="P35" s="25">
        <f>Data4!DD76</f>
        <v>91.4</v>
      </c>
      <c r="Q35" s="25">
        <f>Data4!IF76</f>
        <v>81.3</v>
      </c>
      <c r="S35" s="43">
        <f t="shared" si="5"/>
        <v>44958</v>
      </c>
      <c r="T35" s="25">
        <f t="shared" si="6"/>
        <v>88.12</v>
      </c>
      <c r="U35" s="25">
        <f t="shared" si="7"/>
        <v>93.58</v>
      </c>
      <c r="V35" s="25">
        <f t="shared" si="8"/>
        <v>98.58</v>
      </c>
      <c r="W35" s="25">
        <f t="shared" si="9"/>
        <v>88.74</v>
      </c>
      <c r="X35" s="25">
        <f t="shared" si="10"/>
        <v>85.48</v>
      </c>
      <c r="Y35" s="25">
        <f t="shared" si="11"/>
        <v>89.99</v>
      </c>
      <c r="Z35" s="25">
        <f t="shared" si="12"/>
        <v>91.4</v>
      </c>
      <c r="AA35" s="25">
        <f t="shared" si="13"/>
        <v>81.3</v>
      </c>
    </row>
    <row r="36" spans="1:27" x14ac:dyDescent="0.25">
      <c r="A36" s="43">
        <f>Data1!A77</f>
        <v>44986</v>
      </c>
      <c r="B36" s="25">
        <f>Data1!BM77</f>
        <v>93.54</v>
      </c>
      <c r="C36" s="25">
        <f>Data1!GO77</f>
        <v>106.9</v>
      </c>
      <c r="D36" s="25">
        <f>Data2!CA77</f>
        <v>88.18</v>
      </c>
      <c r="E36" s="25">
        <f>Data2!HC77</f>
        <v>97.1</v>
      </c>
      <c r="F36" s="25">
        <f>Data3!CO77</f>
        <v>92.86</v>
      </c>
      <c r="G36" s="25">
        <f>Data3!HQ77</f>
        <v>101.1</v>
      </c>
      <c r="H36" s="25">
        <f>Data4!DC77</f>
        <v>104.48</v>
      </c>
      <c r="I36" s="25">
        <f>Data4!IE77</f>
        <v>89.44</v>
      </c>
      <c r="J36" s="25">
        <f>Data1!BN77</f>
        <v>88.12</v>
      </c>
      <c r="K36" s="25">
        <f>Data1!GP77</f>
        <v>94.11</v>
      </c>
      <c r="L36" s="25">
        <f>Data2!CB77</f>
        <v>98.58</v>
      </c>
      <c r="M36" s="25">
        <f>Data2!HD77</f>
        <v>88.74</v>
      </c>
      <c r="N36" s="25">
        <f>Data3!CP77</f>
        <v>85.48</v>
      </c>
      <c r="O36" s="25">
        <f>Data3!HR77</f>
        <v>90.68</v>
      </c>
      <c r="P36" s="25">
        <f>Data4!DD77</f>
        <v>96.12</v>
      </c>
      <c r="Q36" s="25">
        <f>Data4!IF77</f>
        <v>81.3</v>
      </c>
      <c r="S36" s="43">
        <f t="shared" si="5"/>
        <v>44986</v>
      </c>
      <c r="T36" s="25">
        <f t="shared" si="6"/>
        <v>88.12</v>
      </c>
      <c r="U36" s="25">
        <f t="shared" si="7"/>
        <v>94.11</v>
      </c>
      <c r="V36" s="25">
        <f t="shared" si="8"/>
        <v>98.58</v>
      </c>
      <c r="W36" s="25">
        <f t="shared" si="9"/>
        <v>88.74</v>
      </c>
      <c r="X36" s="25">
        <f t="shared" si="10"/>
        <v>85.48</v>
      </c>
      <c r="Y36" s="25">
        <f t="shared" si="11"/>
        <v>90.68</v>
      </c>
      <c r="Z36" s="25">
        <f t="shared" si="12"/>
        <v>96.12</v>
      </c>
      <c r="AA36" s="25">
        <f t="shared" si="13"/>
        <v>81.3</v>
      </c>
    </row>
    <row r="37" spans="1:27" x14ac:dyDescent="0.25">
      <c r="A37" s="43">
        <f>Data1!A78</f>
        <v>45017</v>
      </c>
      <c r="B37" s="25">
        <f>Data1!BM78</f>
        <v>92.6</v>
      </c>
      <c r="C37" s="25">
        <f>Data1!GO78</f>
        <v>104.41</v>
      </c>
      <c r="D37" s="25">
        <f>Data2!CA78</f>
        <v>88.18</v>
      </c>
      <c r="E37" s="25">
        <f>Data2!HC78</f>
        <v>97.1</v>
      </c>
      <c r="F37" s="25">
        <f>Data3!CO78</f>
        <v>92.86</v>
      </c>
      <c r="G37" s="25">
        <f>Data3!HQ78</f>
        <v>101.1</v>
      </c>
      <c r="H37" s="25">
        <f>Data4!DC78</f>
        <v>104.48</v>
      </c>
      <c r="I37" s="25">
        <f>Data4!IE78</f>
        <v>88.62</v>
      </c>
      <c r="J37" s="25">
        <f>Data1!BN78</f>
        <v>88.12</v>
      </c>
      <c r="K37" s="25">
        <f>Data1!GP78</f>
        <v>94.11</v>
      </c>
      <c r="L37" s="25">
        <f>Data2!CB78</f>
        <v>98.58</v>
      </c>
      <c r="M37" s="25">
        <f>Data2!HD78</f>
        <v>88.74</v>
      </c>
      <c r="N37" s="25">
        <f>Data3!CP78</f>
        <v>85.48</v>
      </c>
      <c r="O37" s="25">
        <f>Data3!HR78</f>
        <v>92.32</v>
      </c>
      <c r="P37" s="25">
        <f>Data4!DD78</f>
        <v>96.12</v>
      </c>
      <c r="Q37" s="25">
        <f>Data4!IF78</f>
        <v>80.569999999999993</v>
      </c>
      <c r="S37" s="43">
        <f t="shared" si="5"/>
        <v>45017</v>
      </c>
      <c r="T37" s="25">
        <f t="shared" si="6"/>
        <v>88.12</v>
      </c>
      <c r="U37" s="25">
        <f t="shared" si="7"/>
        <v>94.11</v>
      </c>
      <c r="V37" s="25">
        <f t="shared" si="8"/>
        <v>98.58</v>
      </c>
      <c r="W37" s="25">
        <f t="shared" si="9"/>
        <v>88.74</v>
      </c>
      <c r="X37" s="25">
        <f t="shared" si="10"/>
        <v>85.48</v>
      </c>
      <c r="Y37" s="25">
        <f t="shared" si="11"/>
        <v>92.32</v>
      </c>
      <c r="Z37" s="25">
        <f t="shared" si="12"/>
        <v>96.12</v>
      </c>
      <c r="AA37" s="25">
        <f t="shared" si="13"/>
        <v>80.569999999999993</v>
      </c>
    </row>
    <row r="38" spans="1:27" x14ac:dyDescent="0.25">
      <c r="A38" s="43">
        <f>Data1!A79</f>
        <v>45047</v>
      </c>
      <c r="B38" s="25">
        <f>Data1!BM79</f>
        <v>91.61</v>
      </c>
      <c r="C38" s="25">
        <f>Data1!GO79</f>
        <v>102.83</v>
      </c>
      <c r="D38" s="25">
        <f>Data2!CA79</f>
        <v>88.18</v>
      </c>
      <c r="E38" s="25">
        <f>Data2!HC79</f>
        <v>96.9</v>
      </c>
      <c r="F38" s="25">
        <f>Data3!CO79</f>
        <v>92.86</v>
      </c>
      <c r="G38" s="25">
        <f>Data3!HQ79</f>
        <v>101.1</v>
      </c>
      <c r="H38" s="25">
        <f>Data4!DC79</f>
        <v>104.48</v>
      </c>
      <c r="I38" s="25">
        <f>Data4!IE79</f>
        <v>88.62</v>
      </c>
      <c r="J38" s="25">
        <f>Data1!BN79</f>
        <v>88.12</v>
      </c>
      <c r="K38" s="25">
        <f>Data1!GP79</f>
        <v>90.58</v>
      </c>
      <c r="L38" s="25">
        <f>Data2!CB79</f>
        <v>98.58</v>
      </c>
      <c r="M38" s="25">
        <f>Data2!HD79</f>
        <v>88.74</v>
      </c>
      <c r="N38" s="25">
        <f>Data3!CP79</f>
        <v>85.48</v>
      </c>
      <c r="O38" s="25">
        <f>Data3!HR79</f>
        <v>92.32</v>
      </c>
      <c r="P38" s="25">
        <f>Data4!DD79</f>
        <v>96.12</v>
      </c>
      <c r="Q38" s="25">
        <f>Data4!IF79</f>
        <v>80.569999999999993</v>
      </c>
      <c r="S38" s="43">
        <f t="shared" si="5"/>
        <v>45047</v>
      </c>
      <c r="T38" s="25">
        <f t="shared" si="6"/>
        <v>88.12</v>
      </c>
      <c r="U38" s="25">
        <f t="shared" si="7"/>
        <v>90.58</v>
      </c>
      <c r="V38" s="25">
        <f t="shared" si="8"/>
        <v>98.58</v>
      </c>
      <c r="W38" s="25">
        <f t="shared" si="9"/>
        <v>88.74</v>
      </c>
      <c r="X38" s="25">
        <f t="shared" si="10"/>
        <v>85.48</v>
      </c>
      <c r="Y38" s="25">
        <f t="shared" si="11"/>
        <v>92.32</v>
      </c>
      <c r="Z38" s="25">
        <f t="shared" si="12"/>
        <v>96.12</v>
      </c>
      <c r="AA38" s="25">
        <f t="shared" si="13"/>
        <v>80.569999999999993</v>
      </c>
    </row>
    <row r="39" spans="1:27" x14ac:dyDescent="0.25">
      <c r="A39" s="43">
        <f>Data1!A80</f>
        <v>45078</v>
      </c>
      <c r="B39" s="25">
        <f>Data1!BM80</f>
        <v>92.51</v>
      </c>
      <c r="C39" s="25">
        <f>Data1!GO80</f>
        <v>98.31</v>
      </c>
      <c r="D39" s="25">
        <f>Data2!CA80</f>
        <v>87.88</v>
      </c>
      <c r="E39" s="25">
        <f>Data2!HC80</f>
        <v>95.86</v>
      </c>
      <c r="F39" s="25">
        <f>Data3!CO80</f>
        <v>92.86</v>
      </c>
      <c r="G39" s="25">
        <f>Data3!HQ80</f>
        <v>101.1</v>
      </c>
      <c r="H39" s="25">
        <f>Data4!DC80</f>
        <v>104.48</v>
      </c>
      <c r="I39" s="25">
        <f>Data4!IE80</f>
        <v>87.91</v>
      </c>
      <c r="J39" s="25">
        <f>Data1!BN80</f>
        <v>88.12</v>
      </c>
      <c r="K39" s="25">
        <f>Data1!GP80</f>
        <v>89.47</v>
      </c>
      <c r="L39" s="25">
        <f>Data2!CB80</f>
        <v>98.1</v>
      </c>
      <c r="M39" s="25">
        <f>Data2!HD80</f>
        <v>88.74</v>
      </c>
      <c r="N39" s="25">
        <f>Data3!CP80</f>
        <v>85.48</v>
      </c>
      <c r="O39" s="25">
        <f>Data3!HR80</f>
        <v>92.32</v>
      </c>
      <c r="P39" s="25">
        <f>Data4!DD80</f>
        <v>102.09</v>
      </c>
      <c r="Q39" s="25">
        <f>Data4!IF80</f>
        <v>80.27</v>
      </c>
      <c r="S39" s="43">
        <f t="shared" si="5"/>
        <v>45078</v>
      </c>
      <c r="T39" s="25">
        <f t="shared" si="6"/>
        <v>88.12</v>
      </c>
      <c r="U39" s="25">
        <f t="shared" si="7"/>
        <v>89.47</v>
      </c>
      <c r="V39" s="25">
        <f t="shared" si="8"/>
        <v>98.1</v>
      </c>
      <c r="W39" s="25">
        <f t="shared" si="9"/>
        <v>88.74</v>
      </c>
      <c r="X39" s="25">
        <f t="shared" si="10"/>
        <v>85.48</v>
      </c>
      <c r="Y39" s="25">
        <f t="shared" si="11"/>
        <v>92.32</v>
      </c>
      <c r="Z39" s="25">
        <f t="shared" si="12"/>
        <v>102.09</v>
      </c>
      <c r="AA39" s="25">
        <f t="shared" si="13"/>
        <v>80.27</v>
      </c>
    </row>
    <row r="40" spans="1:27" x14ac:dyDescent="0.25">
      <c r="A40" s="43">
        <f>Data1!A81</f>
        <v>45108</v>
      </c>
      <c r="B40" s="25">
        <f>Data1!BM81</f>
        <v>102.62</v>
      </c>
      <c r="C40" s="25">
        <f>Data1!GO81</f>
        <v>124.19</v>
      </c>
      <c r="D40" s="25">
        <f>Data2!CA81</f>
        <v>78.17</v>
      </c>
      <c r="E40" s="25">
        <f>Data2!HC81</f>
        <v>111.48</v>
      </c>
      <c r="F40" s="25">
        <f>Data3!CO81</f>
        <v>51.61</v>
      </c>
      <c r="G40" s="25">
        <f>Data3!HQ81</f>
        <v>101.79</v>
      </c>
      <c r="H40" s="25">
        <f>Data4!DC81</f>
        <v>104.34</v>
      </c>
      <c r="I40" s="25">
        <f>Data4!IE81</f>
        <v>85.11</v>
      </c>
      <c r="J40" s="25">
        <f>Data1!BN81</f>
        <v>91.47</v>
      </c>
      <c r="K40" s="25">
        <f>Data1!GP81</f>
        <v>89.61</v>
      </c>
      <c r="L40" s="25">
        <f>Data2!CB81</f>
        <v>99.14</v>
      </c>
      <c r="M40" s="25">
        <f>Data2!HD81</f>
        <v>92.33</v>
      </c>
      <c r="N40" s="25">
        <f>Data3!CP81</f>
        <v>91.47</v>
      </c>
      <c r="O40" s="25">
        <f>Data3!HR81</f>
        <v>92.32</v>
      </c>
      <c r="P40" s="25">
        <f>Data4!DD81</f>
        <v>102.09</v>
      </c>
      <c r="Q40" s="25">
        <f>Data4!IF81</f>
        <v>90.2</v>
      </c>
      <c r="S40" s="43">
        <f t="shared" si="5"/>
        <v>45108</v>
      </c>
      <c r="T40" s="25">
        <f t="shared" si="6"/>
        <v>91.47</v>
      </c>
      <c r="U40" s="25">
        <f t="shared" si="7"/>
        <v>89.61</v>
      </c>
      <c r="V40" s="25">
        <f t="shared" si="8"/>
        <v>99.14</v>
      </c>
      <c r="W40" s="25">
        <f t="shared" si="9"/>
        <v>92.33</v>
      </c>
      <c r="X40" s="25">
        <f t="shared" si="10"/>
        <v>91.47</v>
      </c>
      <c r="Y40" s="25">
        <f t="shared" si="11"/>
        <v>92.32</v>
      </c>
      <c r="Z40" s="25">
        <f t="shared" si="12"/>
        <v>102.09</v>
      </c>
      <c r="AA40" s="25">
        <f t="shared" si="13"/>
        <v>90.2</v>
      </c>
    </row>
    <row r="41" spans="1:27" x14ac:dyDescent="0.25">
      <c r="A41" s="43">
        <f>Data1!A82</f>
        <v>45139</v>
      </c>
      <c r="B41" s="25">
        <f>Data1!BM82</f>
        <v>103.38</v>
      </c>
      <c r="C41" s="25">
        <f>Data1!GO82</f>
        <v>116.15</v>
      </c>
      <c r="D41" s="25">
        <f>Data2!CA82</f>
        <v>79.989999999999995</v>
      </c>
      <c r="E41" s="25">
        <f>Data2!HC82</f>
        <v>111.48</v>
      </c>
      <c r="F41" s="25">
        <f>Data3!CO82</f>
        <v>51.61</v>
      </c>
      <c r="G41" s="25">
        <f>Data3!HQ82</f>
        <v>101.79</v>
      </c>
      <c r="H41" s="25">
        <f>Data4!DC82</f>
        <v>104.34</v>
      </c>
      <c r="I41" s="25">
        <f>Data4!IE82</f>
        <v>84.88</v>
      </c>
      <c r="J41" s="25">
        <f>Data1!BN82</f>
        <v>92.37</v>
      </c>
      <c r="K41" s="25">
        <f>Data1!GP82</f>
        <v>89.8</v>
      </c>
      <c r="L41" s="25">
        <f>Data2!CB82</f>
        <v>100.09</v>
      </c>
      <c r="M41" s="25">
        <f>Data2!HD82</f>
        <v>93.45</v>
      </c>
      <c r="N41" s="25">
        <f>Data3!CP82</f>
        <v>91.47</v>
      </c>
      <c r="O41" s="25">
        <f>Data3!HR82</f>
        <v>92.6</v>
      </c>
      <c r="P41" s="25">
        <f>Data4!DD82</f>
        <v>102.1</v>
      </c>
      <c r="Q41" s="25">
        <f>Data4!IF82</f>
        <v>90.4</v>
      </c>
      <c r="S41" s="43">
        <f t="shared" si="5"/>
        <v>45139</v>
      </c>
      <c r="T41" s="25">
        <f t="shared" si="6"/>
        <v>92.37</v>
      </c>
      <c r="U41" s="25">
        <f t="shared" si="7"/>
        <v>89.8</v>
      </c>
      <c r="V41" s="25">
        <f t="shared" si="8"/>
        <v>100.09</v>
      </c>
      <c r="W41" s="25">
        <f t="shared" si="9"/>
        <v>93.45</v>
      </c>
      <c r="X41" s="25">
        <f t="shared" si="10"/>
        <v>91.47</v>
      </c>
      <c r="Y41" s="25">
        <f t="shared" si="11"/>
        <v>92.6</v>
      </c>
      <c r="Z41" s="25">
        <f t="shared" si="12"/>
        <v>102.1</v>
      </c>
      <c r="AA41" s="25">
        <f t="shared" si="13"/>
        <v>90.4</v>
      </c>
    </row>
    <row r="42" spans="1:27" x14ac:dyDescent="0.25">
      <c r="A42" s="43">
        <f>Data1!A83</f>
        <v>45170</v>
      </c>
      <c r="B42" s="25">
        <f>Data1!BM83</f>
        <v>103.24</v>
      </c>
      <c r="C42" s="25">
        <f>Data1!GO83</f>
        <v>117.82</v>
      </c>
      <c r="D42" s="25">
        <f>Data2!CA83</f>
        <v>79.09</v>
      </c>
      <c r="E42" s="25">
        <f>Data2!HC83</f>
        <v>111.48</v>
      </c>
      <c r="F42" s="25">
        <f>Data3!CO83</f>
        <v>51.61</v>
      </c>
      <c r="G42" s="25">
        <f>Data3!HQ83</f>
        <v>101.79</v>
      </c>
      <c r="H42" s="25">
        <f>Data4!DC83</f>
        <v>104.34</v>
      </c>
      <c r="I42" s="25">
        <f>Data4!IE83</f>
        <v>84.88</v>
      </c>
      <c r="J42" s="25">
        <f>Data1!BN83</f>
        <v>91.75</v>
      </c>
      <c r="K42" s="25">
        <f>Data1!GP83</f>
        <v>90.58</v>
      </c>
      <c r="L42" s="25">
        <f>Data2!CB83</f>
        <v>98.31</v>
      </c>
      <c r="M42" s="25">
        <f>Data2!HD83</f>
        <v>91.67</v>
      </c>
      <c r="N42" s="25">
        <f>Data3!CP83</f>
        <v>91.47</v>
      </c>
      <c r="O42" s="25">
        <f>Data3!HR83</f>
        <v>90.53</v>
      </c>
      <c r="P42" s="25">
        <f>Data4!DD83</f>
        <v>103.21</v>
      </c>
      <c r="Q42" s="25">
        <f>Data4!IF83</f>
        <v>90.4</v>
      </c>
      <c r="S42" s="43">
        <f t="shared" si="5"/>
        <v>45170</v>
      </c>
      <c r="T42" s="25">
        <f t="shared" si="6"/>
        <v>91.75</v>
      </c>
      <c r="U42" s="25">
        <f t="shared" si="7"/>
        <v>90.58</v>
      </c>
      <c r="V42" s="25">
        <f t="shared" si="8"/>
        <v>98.31</v>
      </c>
      <c r="W42" s="25">
        <f t="shared" si="9"/>
        <v>91.67</v>
      </c>
      <c r="X42" s="25">
        <f t="shared" si="10"/>
        <v>91.47</v>
      </c>
      <c r="Y42" s="25">
        <f t="shared" si="11"/>
        <v>90.53</v>
      </c>
      <c r="Z42" s="25">
        <f t="shared" si="12"/>
        <v>103.21</v>
      </c>
      <c r="AA42" s="25">
        <f t="shared" si="13"/>
        <v>90.4</v>
      </c>
    </row>
    <row r="43" spans="1:27" x14ac:dyDescent="0.25">
      <c r="A43" s="43">
        <f>Data1!A84</f>
        <v>45200</v>
      </c>
      <c r="B43" s="25">
        <f>Data1!BM84</f>
        <v>100.46</v>
      </c>
      <c r="C43" s="25">
        <f>Data1!GO84</f>
        <v>115.88</v>
      </c>
      <c r="D43" s="25">
        <f>Data2!CA84</f>
        <v>79.790000000000006</v>
      </c>
      <c r="E43" s="25">
        <f>Data2!HC84</f>
        <v>108.79</v>
      </c>
      <c r="F43" s="25">
        <f>Data3!CO84</f>
        <v>95.18</v>
      </c>
      <c r="G43" s="25">
        <f>Data3!HQ84</f>
        <v>109.27</v>
      </c>
      <c r="H43" s="25">
        <f>Data4!DC84</f>
        <v>97.51</v>
      </c>
      <c r="I43" s="25">
        <f>Data4!IE84</f>
        <v>86.08</v>
      </c>
      <c r="J43" s="25">
        <f>Data1!BN84</f>
        <v>91.75</v>
      </c>
      <c r="K43" s="25">
        <f>Data1!GP84</f>
        <v>86.46</v>
      </c>
      <c r="L43" s="25">
        <f>Data2!CB84</f>
        <v>96.9</v>
      </c>
      <c r="M43" s="25">
        <f>Data2!HD84</f>
        <v>91.67</v>
      </c>
      <c r="N43" s="25">
        <f>Data3!CP84</f>
        <v>91.47</v>
      </c>
      <c r="O43" s="25">
        <f>Data3!HR84</f>
        <v>90.15</v>
      </c>
      <c r="P43" s="25">
        <f>Data4!DD84</f>
        <v>103.75</v>
      </c>
      <c r="Q43" s="25">
        <f>Data4!IF84</f>
        <v>91.27</v>
      </c>
      <c r="S43" s="43">
        <f t="shared" si="5"/>
        <v>45200</v>
      </c>
      <c r="T43" s="25">
        <f t="shared" si="6"/>
        <v>91.75</v>
      </c>
      <c r="U43" s="25">
        <f t="shared" si="7"/>
        <v>86.46</v>
      </c>
      <c r="V43" s="25">
        <f t="shared" si="8"/>
        <v>96.9</v>
      </c>
      <c r="W43" s="25">
        <f t="shared" si="9"/>
        <v>91.67</v>
      </c>
      <c r="X43" s="25">
        <f t="shared" si="10"/>
        <v>91.47</v>
      </c>
      <c r="Y43" s="25">
        <f t="shared" si="11"/>
        <v>90.15</v>
      </c>
      <c r="Z43" s="25">
        <f t="shared" si="12"/>
        <v>103.75</v>
      </c>
      <c r="AA43" s="25">
        <f t="shared" si="13"/>
        <v>91.27</v>
      </c>
    </row>
    <row r="44" spans="1:27" x14ac:dyDescent="0.25">
      <c r="A44" s="43">
        <f>Data1!A85</f>
        <v>45231</v>
      </c>
      <c r="B44" s="25">
        <f>Data1!BM85</f>
        <v>100.09</v>
      </c>
      <c r="C44" s="25">
        <f>Data1!GO85</f>
        <v>118.35</v>
      </c>
      <c r="D44" s="25">
        <f>Data2!CA85</f>
        <v>79.790000000000006</v>
      </c>
      <c r="E44" s="25">
        <f>Data2!HC85</f>
        <v>108.79</v>
      </c>
      <c r="F44" s="25">
        <f>Data3!CO85</f>
        <v>95.18</v>
      </c>
      <c r="G44" s="25">
        <f>Data3!HQ85</f>
        <v>109.27</v>
      </c>
      <c r="H44" s="25">
        <f>Data4!DC85</f>
        <v>97.51</v>
      </c>
      <c r="I44" s="25">
        <f>Data4!IE85</f>
        <v>86.08</v>
      </c>
      <c r="J44" s="25">
        <f>Data1!BN85</f>
        <v>91.75</v>
      </c>
      <c r="K44" s="25">
        <f>Data1!GP85</f>
        <v>90.09</v>
      </c>
      <c r="L44" s="25">
        <f>Data2!CB85</f>
        <v>96.9</v>
      </c>
      <c r="M44" s="25">
        <f>Data2!HD85</f>
        <v>91.67</v>
      </c>
      <c r="N44" s="25">
        <f>Data3!CP85</f>
        <v>91.47</v>
      </c>
      <c r="O44" s="25">
        <f>Data3!HR85</f>
        <v>90.15</v>
      </c>
      <c r="P44" s="25">
        <f>Data4!DD85</f>
        <v>104.45</v>
      </c>
      <c r="Q44" s="25">
        <f>Data4!IF85</f>
        <v>91.27</v>
      </c>
      <c r="S44" s="43">
        <f t="shared" si="5"/>
        <v>45231</v>
      </c>
      <c r="T44" s="25">
        <f t="shared" si="6"/>
        <v>91.75</v>
      </c>
      <c r="U44" s="25">
        <f t="shared" si="7"/>
        <v>90.09</v>
      </c>
      <c r="V44" s="25">
        <f t="shared" si="8"/>
        <v>96.9</v>
      </c>
      <c r="W44" s="25">
        <f t="shared" si="9"/>
        <v>91.67</v>
      </c>
      <c r="X44" s="25">
        <f t="shared" si="10"/>
        <v>91.47</v>
      </c>
      <c r="Y44" s="25">
        <f t="shared" si="11"/>
        <v>90.15</v>
      </c>
      <c r="Z44" s="25">
        <f t="shared" si="12"/>
        <v>104.45</v>
      </c>
      <c r="AA44" s="25">
        <f t="shared" si="13"/>
        <v>91.27</v>
      </c>
    </row>
    <row r="45" spans="1:27" x14ac:dyDescent="0.25">
      <c r="A45" s="43">
        <f>Data1!A86</f>
        <v>45261</v>
      </c>
      <c r="B45" s="25">
        <f>Data1!BM86</f>
        <v>98.71</v>
      </c>
      <c r="C45" s="25">
        <f>Data1!GO86</f>
        <v>116.71</v>
      </c>
      <c r="D45" s="25">
        <f>Data2!CA86</f>
        <v>79.790000000000006</v>
      </c>
      <c r="E45" s="25">
        <f>Data2!HC86</f>
        <v>108.79</v>
      </c>
      <c r="F45" s="25">
        <f>Data3!CO86</f>
        <v>51.61</v>
      </c>
      <c r="G45" s="25">
        <f>Data3!HQ86</f>
        <v>109.27</v>
      </c>
      <c r="H45" s="25">
        <f>Data4!DC86</f>
        <v>97.51</v>
      </c>
      <c r="I45" s="25">
        <f>Data4!IE86</f>
        <v>86.08</v>
      </c>
      <c r="J45" s="25">
        <f>Data1!BN86</f>
        <v>91.47</v>
      </c>
      <c r="K45" s="25">
        <f>Data1!GP86</f>
        <v>89.49</v>
      </c>
      <c r="L45" s="25">
        <f>Data2!CB86</f>
        <v>97.17</v>
      </c>
      <c r="M45" s="25">
        <f>Data2!HD86</f>
        <v>91.37</v>
      </c>
      <c r="N45" s="25">
        <f>Data3!CP86</f>
        <v>91.47</v>
      </c>
      <c r="O45" s="25">
        <f>Data3!HR86</f>
        <v>90.48</v>
      </c>
      <c r="P45" s="25">
        <f>Data4!DD86</f>
        <v>105.14</v>
      </c>
      <c r="Q45" s="25">
        <f>Data4!IF86</f>
        <v>91.27</v>
      </c>
      <c r="S45" s="43">
        <f t="shared" si="5"/>
        <v>45261</v>
      </c>
      <c r="T45" s="25">
        <f t="shared" si="6"/>
        <v>91.47</v>
      </c>
      <c r="U45" s="25">
        <f t="shared" si="7"/>
        <v>89.49</v>
      </c>
      <c r="V45" s="25">
        <f t="shared" si="8"/>
        <v>97.17</v>
      </c>
      <c r="W45" s="25">
        <f t="shared" si="9"/>
        <v>91.37</v>
      </c>
      <c r="X45" s="25">
        <f t="shared" si="10"/>
        <v>91.47</v>
      </c>
      <c r="Y45" s="25">
        <f t="shared" si="11"/>
        <v>90.48</v>
      </c>
      <c r="Z45" s="25">
        <f t="shared" si="12"/>
        <v>105.14</v>
      </c>
      <c r="AA45" s="25">
        <f t="shared" si="13"/>
        <v>91.27</v>
      </c>
    </row>
    <row r="46" spans="1:27" x14ac:dyDescent="0.25">
      <c r="A46" s="43">
        <f>Data1!A87</f>
        <v>45292</v>
      </c>
      <c r="B46" s="25">
        <f>Data1!BM87</f>
        <v>100.37</v>
      </c>
      <c r="C46" s="25">
        <f>Data1!GO87</f>
        <v>116.89</v>
      </c>
      <c r="D46" s="25">
        <f>Data2!CA87</f>
        <v>79.790000000000006</v>
      </c>
      <c r="E46" s="25">
        <f>Data2!HC87</f>
        <v>110.04</v>
      </c>
      <c r="F46" s="25">
        <f>Data3!CO87</f>
        <v>51.61</v>
      </c>
      <c r="G46" s="25">
        <f>Data3!HQ87</f>
        <v>110.51</v>
      </c>
      <c r="H46" s="25">
        <f>Data4!DC87</f>
        <v>100.93</v>
      </c>
      <c r="I46" s="25">
        <f>Data4!IE87</f>
        <v>86.94</v>
      </c>
      <c r="J46" s="25">
        <f>Data1!BN87</f>
        <v>89.34</v>
      </c>
      <c r="K46" s="25">
        <f>Data1!GP87</f>
        <v>87.23</v>
      </c>
      <c r="L46" s="25">
        <f>Data2!CB87</f>
        <v>97.17</v>
      </c>
      <c r="M46" s="25">
        <f>Data2!HD87</f>
        <v>91.37</v>
      </c>
      <c r="N46" s="25">
        <f>Data3!CP87</f>
        <v>91.47</v>
      </c>
      <c r="O46" s="25">
        <f>Data3!HR87</f>
        <v>92.62</v>
      </c>
      <c r="P46" s="25">
        <f>Data4!DD87</f>
        <v>105.14</v>
      </c>
      <c r="Q46" s="25">
        <f>Data4!IF87</f>
        <v>91.27</v>
      </c>
      <c r="S46" s="43">
        <f t="shared" si="5"/>
        <v>45292</v>
      </c>
      <c r="T46" s="25">
        <f t="shared" si="6"/>
        <v>89.34</v>
      </c>
      <c r="U46" s="25">
        <f t="shared" si="7"/>
        <v>87.23</v>
      </c>
      <c r="V46" s="25">
        <f t="shared" si="8"/>
        <v>97.17</v>
      </c>
      <c r="W46" s="25">
        <f t="shared" si="9"/>
        <v>91.37</v>
      </c>
      <c r="X46" s="25">
        <f t="shared" si="10"/>
        <v>91.47</v>
      </c>
      <c r="Y46" s="25">
        <f t="shared" si="11"/>
        <v>92.62</v>
      </c>
      <c r="Z46" s="25">
        <f t="shared" si="12"/>
        <v>105.14</v>
      </c>
      <c r="AA46" s="25">
        <f t="shared" si="13"/>
        <v>91.27</v>
      </c>
    </row>
    <row r="47" spans="1:27" x14ac:dyDescent="0.25">
      <c r="A47" s="43">
        <f>Data1!A88</f>
        <v>45323</v>
      </c>
      <c r="B47" s="25">
        <f>Data1!BM88</f>
        <v>99.85</v>
      </c>
      <c r="C47" s="25">
        <f>Data1!GO88</f>
        <v>115.82</v>
      </c>
      <c r="D47" s="25">
        <f>Data2!CA88</f>
        <v>79.790000000000006</v>
      </c>
      <c r="E47" s="25">
        <f>Data2!HC88</f>
        <v>110.04</v>
      </c>
      <c r="F47" s="25">
        <f>Data3!CO88</f>
        <v>51.61</v>
      </c>
      <c r="G47" s="25">
        <f>Data3!HQ88</f>
        <v>110.51</v>
      </c>
      <c r="H47" s="25">
        <f>Data4!DC88</f>
        <v>100.93</v>
      </c>
      <c r="I47" s="25">
        <f>Data4!IE88</f>
        <v>82.76</v>
      </c>
      <c r="J47" s="25">
        <f>Data1!BN88</f>
        <v>89.34</v>
      </c>
      <c r="K47" s="25">
        <f>Data1!GP88</f>
        <v>87.23</v>
      </c>
      <c r="L47" s="25">
        <f>Data2!CB88</f>
        <v>97.17</v>
      </c>
      <c r="M47" s="25">
        <f>Data2!HD88</f>
        <v>91.37</v>
      </c>
      <c r="N47" s="25">
        <f>Data3!CP88</f>
        <v>91.47</v>
      </c>
      <c r="O47" s="25">
        <f>Data3!HR88</f>
        <v>92.62</v>
      </c>
      <c r="P47" s="25">
        <f>Data4!DD88</f>
        <v>103.97</v>
      </c>
      <c r="Q47" s="25">
        <f>Data4!IF88</f>
        <v>88.82</v>
      </c>
      <c r="S47" s="43">
        <f t="shared" si="5"/>
        <v>45323</v>
      </c>
      <c r="T47" s="25">
        <f t="shared" si="6"/>
        <v>89.34</v>
      </c>
      <c r="U47" s="25">
        <f t="shared" si="7"/>
        <v>87.23</v>
      </c>
      <c r="V47" s="25">
        <f t="shared" si="8"/>
        <v>97.17</v>
      </c>
      <c r="W47" s="25">
        <f t="shared" si="9"/>
        <v>91.37</v>
      </c>
      <c r="X47" s="25">
        <f t="shared" si="10"/>
        <v>91.47</v>
      </c>
      <c r="Y47" s="25">
        <f t="shared" si="11"/>
        <v>92.62</v>
      </c>
      <c r="Z47" s="25">
        <f t="shared" si="12"/>
        <v>103.97</v>
      </c>
      <c r="AA47" s="25">
        <f t="shared" si="13"/>
        <v>88.82</v>
      </c>
    </row>
    <row r="48" spans="1:27" x14ac:dyDescent="0.25">
      <c r="A48" s="43">
        <f>Data1!A89</f>
        <v>45352</v>
      </c>
      <c r="B48" s="25">
        <f>Data1!BM89</f>
        <v>99.16</v>
      </c>
      <c r="C48" s="25">
        <f>Data1!GO89</f>
        <v>115.82</v>
      </c>
      <c r="D48" s="25">
        <f>Data2!CA89</f>
        <v>79.790000000000006</v>
      </c>
      <c r="E48" s="25">
        <f>Data2!HC89</f>
        <v>110.04</v>
      </c>
      <c r="F48" s="25">
        <f>Data3!CO89</f>
        <v>95.18</v>
      </c>
      <c r="G48" s="25">
        <f>Data3!HQ89</f>
        <v>110.51</v>
      </c>
      <c r="H48" s="25">
        <f>Data4!DC89</f>
        <v>100.93</v>
      </c>
      <c r="I48" s="25">
        <f>Data4!IE89</f>
        <v>82.76</v>
      </c>
      <c r="J48" s="25">
        <f>Data1!BN89</f>
        <v>87.59</v>
      </c>
      <c r="K48" s="25">
        <f>Data1!GP89</f>
        <v>87.15</v>
      </c>
      <c r="L48" s="25">
        <f>Data2!CB89</f>
        <v>97.17</v>
      </c>
      <c r="M48" s="25">
        <f>Data2!HD89</f>
        <v>93.71</v>
      </c>
      <c r="N48" s="25">
        <f>Data3!CP89</f>
        <v>91.47</v>
      </c>
      <c r="O48" s="25">
        <f>Data3!HR89</f>
        <v>95.03</v>
      </c>
      <c r="P48" s="25">
        <f>Data4!DD89</f>
        <v>100.72</v>
      </c>
      <c r="Q48" s="25">
        <f>Data4!IF89</f>
        <v>88.82</v>
      </c>
      <c r="S48" s="43">
        <f t="shared" si="5"/>
        <v>45352</v>
      </c>
      <c r="T48" s="25">
        <f t="shared" si="6"/>
        <v>87.59</v>
      </c>
      <c r="U48" s="25">
        <f t="shared" si="7"/>
        <v>87.15</v>
      </c>
      <c r="V48" s="25">
        <f t="shared" si="8"/>
        <v>97.17</v>
      </c>
      <c r="W48" s="25">
        <f t="shared" si="9"/>
        <v>93.71</v>
      </c>
      <c r="X48" s="25">
        <f t="shared" si="10"/>
        <v>91.47</v>
      </c>
      <c r="Y48" s="25">
        <f t="shared" si="11"/>
        <v>95.03</v>
      </c>
      <c r="Z48" s="25">
        <f t="shared" si="12"/>
        <v>100.72</v>
      </c>
      <c r="AA48" s="25">
        <f t="shared" si="13"/>
        <v>88.82</v>
      </c>
    </row>
    <row r="49" spans="1:27" x14ac:dyDescent="0.25">
      <c r="A49" s="43">
        <f>Data1!A90</f>
        <v>45383</v>
      </c>
      <c r="B49" s="25">
        <f>Data1!BM90</f>
        <v>97.31</v>
      </c>
      <c r="C49" s="25">
        <f>Data1!GO90</f>
        <v>112.06</v>
      </c>
      <c r="D49" s="25">
        <f>Data2!CA90</f>
        <v>78.33</v>
      </c>
      <c r="E49" s="25">
        <f>Data2!HC90</f>
        <v>108.87</v>
      </c>
      <c r="F49" s="25">
        <f>Data3!CO90</f>
        <v>95.18</v>
      </c>
      <c r="G49" s="25">
        <f>Data3!HQ90</f>
        <v>100.55</v>
      </c>
      <c r="H49" s="25">
        <f>Data4!DC90</f>
        <v>100.93</v>
      </c>
      <c r="I49" s="25">
        <f>Data4!IE90</f>
        <v>84.05</v>
      </c>
      <c r="J49" s="25">
        <f>Data1!BN90</f>
        <v>87.59</v>
      </c>
      <c r="K49" s="25">
        <f>Data1!GP90</f>
        <v>86.16</v>
      </c>
      <c r="L49" s="25">
        <f>Data2!CB90</f>
        <v>97.36</v>
      </c>
      <c r="M49" s="25">
        <f>Data2!HD90</f>
        <v>93.75</v>
      </c>
      <c r="N49" s="25">
        <f>Data3!CP90</f>
        <v>91.47</v>
      </c>
      <c r="O49" s="25">
        <f>Data3!HR90</f>
        <v>91.23</v>
      </c>
      <c r="P49" s="25">
        <f>Data4!DD90</f>
        <v>103.5</v>
      </c>
      <c r="Q49" s="25">
        <f>Data4!IF90</f>
        <v>88.82</v>
      </c>
      <c r="S49" s="43">
        <f t="shared" si="5"/>
        <v>45383</v>
      </c>
      <c r="T49" s="25">
        <f t="shared" si="6"/>
        <v>87.59</v>
      </c>
      <c r="U49" s="25">
        <f t="shared" si="7"/>
        <v>86.16</v>
      </c>
      <c r="V49" s="25">
        <f t="shared" si="8"/>
        <v>97.36</v>
      </c>
      <c r="W49" s="25">
        <f t="shared" si="9"/>
        <v>93.75</v>
      </c>
      <c r="X49" s="25">
        <f t="shared" si="10"/>
        <v>91.47</v>
      </c>
      <c r="Y49" s="25">
        <f t="shared" si="11"/>
        <v>91.23</v>
      </c>
      <c r="Z49" s="25">
        <f t="shared" si="12"/>
        <v>103.5</v>
      </c>
      <c r="AA49" s="25">
        <f t="shared" si="13"/>
        <v>88.82</v>
      </c>
    </row>
    <row r="50" spans="1:27" x14ac:dyDescent="0.25">
      <c r="A50" s="43">
        <f>Data1!A91</f>
        <v>45413</v>
      </c>
      <c r="B50" s="25">
        <f>Data1!BM91</f>
        <v>96.86</v>
      </c>
      <c r="C50" s="25">
        <f>Data1!GO91</f>
        <v>119.37</v>
      </c>
      <c r="D50" s="25">
        <f>Data2!CA91</f>
        <v>78.33</v>
      </c>
      <c r="E50" s="25">
        <f>Data2!HC91</f>
        <v>108.87</v>
      </c>
      <c r="F50" s="25">
        <f>Data3!CO91</f>
        <v>95.18</v>
      </c>
      <c r="G50" s="25">
        <f>Data3!HQ91</f>
        <v>100.55</v>
      </c>
      <c r="H50" s="25">
        <f>Data4!DC91</f>
        <v>100.93</v>
      </c>
      <c r="I50" s="25">
        <f>Data4!IE91</f>
        <v>84.05</v>
      </c>
      <c r="J50" s="25">
        <f>Data1!BN91</f>
        <v>87.59</v>
      </c>
      <c r="K50" s="25">
        <f>Data1!GP91</f>
        <v>82.14</v>
      </c>
      <c r="L50" s="25">
        <f>Data2!CB91</f>
        <v>97.56</v>
      </c>
      <c r="M50" s="25">
        <f>Data2!HD91</f>
        <v>93.75</v>
      </c>
      <c r="N50" s="25">
        <f>Data3!CP91</f>
        <v>91.47</v>
      </c>
      <c r="O50" s="25">
        <f>Data3!HR91</f>
        <v>91.23</v>
      </c>
      <c r="P50" s="25">
        <f>Data4!DD91</f>
        <v>104.32</v>
      </c>
      <c r="Q50" s="25">
        <f>Data4!IF91</f>
        <v>88.82</v>
      </c>
      <c r="S50" s="43">
        <f t="shared" si="5"/>
        <v>45413</v>
      </c>
      <c r="T50" s="25">
        <f t="shared" si="6"/>
        <v>87.59</v>
      </c>
      <c r="U50" s="25">
        <f t="shared" si="7"/>
        <v>82.14</v>
      </c>
      <c r="V50" s="25">
        <f t="shared" si="8"/>
        <v>97.56</v>
      </c>
      <c r="W50" s="25">
        <f t="shared" si="9"/>
        <v>93.75</v>
      </c>
      <c r="X50" s="25">
        <f t="shared" si="10"/>
        <v>91.47</v>
      </c>
      <c r="Y50" s="25">
        <f t="shared" si="11"/>
        <v>91.23</v>
      </c>
      <c r="Z50" s="25">
        <f t="shared" si="12"/>
        <v>104.32</v>
      </c>
      <c r="AA50" s="25">
        <f t="shared" si="13"/>
        <v>88.82</v>
      </c>
    </row>
    <row r="51" spans="1:27" x14ac:dyDescent="0.25">
      <c r="A51" s="43">
        <f>Data1!A92</f>
        <v>45444</v>
      </c>
      <c r="B51" s="25">
        <f>Data1!BM92</f>
        <v>97.07</v>
      </c>
      <c r="C51" s="25">
        <f>Data1!GO92</f>
        <v>119.02</v>
      </c>
      <c r="D51" s="25">
        <f>Data2!CA92</f>
        <v>78.33</v>
      </c>
      <c r="E51" s="25">
        <f>Data2!HC92</f>
        <v>108.87</v>
      </c>
      <c r="F51" s="25">
        <f>Data3!CO92</f>
        <v>95.18</v>
      </c>
      <c r="G51" s="25">
        <f>Data3!HQ92</f>
        <v>100.55</v>
      </c>
      <c r="H51" s="25">
        <f>Data4!DC92</f>
        <v>100.93</v>
      </c>
      <c r="I51" s="25">
        <f>Data4!IE92</f>
        <v>84.05</v>
      </c>
      <c r="J51" s="25">
        <f>Data1!BN92</f>
        <v>87.59</v>
      </c>
      <c r="K51" s="25">
        <f>Data1!GP92</f>
        <v>86.29</v>
      </c>
      <c r="L51" s="25">
        <f>Data2!CB92</f>
        <v>96.95</v>
      </c>
      <c r="M51" s="25">
        <f>Data2!HD92</f>
        <v>93.75</v>
      </c>
      <c r="N51" s="25">
        <f>Data3!CP92</f>
        <v>91.47</v>
      </c>
      <c r="O51" s="25">
        <f>Data3!HR92</f>
        <v>92.77</v>
      </c>
      <c r="P51" s="25">
        <f>Data4!DD92</f>
        <v>104.32</v>
      </c>
      <c r="Q51" s="25">
        <f>Data4!IF92</f>
        <v>88.82</v>
      </c>
      <c r="S51" s="43">
        <f t="shared" si="5"/>
        <v>45444</v>
      </c>
      <c r="T51" s="25">
        <f t="shared" si="6"/>
        <v>87.59</v>
      </c>
      <c r="U51" s="25">
        <f t="shared" si="7"/>
        <v>86.29</v>
      </c>
      <c r="V51" s="25">
        <f t="shared" si="8"/>
        <v>96.95</v>
      </c>
      <c r="W51" s="25">
        <f t="shared" si="9"/>
        <v>93.75</v>
      </c>
      <c r="X51" s="25">
        <f t="shared" si="10"/>
        <v>91.47</v>
      </c>
      <c r="Y51" s="25">
        <f t="shared" si="11"/>
        <v>92.77</v>
      </c>
      <c r="Z51" s="25">
        <f t="shared" si="12"/>
        <v>104.32</v>
      </c>
      <c r="AA51" s="25">
        <f t="shared" si="13"/>
        <v>88.82</v>
      </c>
    </row>
    <row r="52" spans="1:27" x14ac:dyDescent="0.25">
      <c r="A52" s="43">
        <f>Data1!A93</f>
        <v>45474</v>
      </c>
      <c r="B52" s="25">
        <f>Data1!BM93</f>
        <v>104.15</v>
      </c>
      <c r="C52" s="25">
        <f>Data1!GO93</f>
        <v>121.22</v>
      </c>
      <c r="D52" s="25">
        <f>Data2!CA93</f>
        <v>5.57</v>
      </c>
      <c r="E52" s="25">
        <f>Data2!HC93</f>
        <v>115.21</v>
      </c>
      <c r="F52" s="25">
        <f>Data3!CO93</f>
        <v>73.61</v>
      </c>
      <c r="G52" s="25">
        <f>Data3!HQ93</f>
        <v>59.64</v>
      </c>
      <c r="H52" s="25">
        <f>Data4!DC93</f>
        <v>112.23</v>
      </c>
      <c r="I52" s="25">
        <f>Data4!IE93</f>
        <v>100.89</v>
      </c>
      <c r="J52" s="25">
        <f>Data1!BN93</f>
        <v>92.49</v>
      </c>
      <c r="K52" s="25">
        <f>Data1!GP93</f>
        <v>91.42</v>
      </c>
      <c r="L52" s="25">
        <f>Data2!CB93</f>
        <v>98.94</v>
      </c>
      <c r="M52" s="25">
        <f>Data2!HD93</f>
        <v>98.18</v>
      </c>
      <c r="N52" s="25">
        <f>Data3!CP93</f>
        <v>96.31</v>
      </c>
      <c r="O52" s="25">
        <f>Data3!HR93</f>
        <v>92.97</v>
      </c>
      <c r="P52" s="25">
        <f>Data4!DD93</f>
        <v>104.64</v>
      </c>
      <c r="Q52" s="25">
        <f>Data4!IF93</f>
        <v>97.71</v>
      </c>
      <c r="S52" s="43">
        <f t="shared" si="5"/>
        <v>45474</v>
      </c>
      <c r="T52" s="25">
        <f t="shared" si="6"/>
        <v>92.49</v>
      </c>
      <c r="U52" s="25">
        <f t="shared" si="7"/>
        <v>91.42</v>
      </c>
      <c r="V52" s="25">
        <f t="shared" si="8"/>
        <v>98.94</v>
      </c>
      <c r="W52" s="25">
        <f t="shared" si="9"/>
        <v>98.18</v>
      </c>
      <c r="X52" s="25">
        <f t="shared" si="10"/>
        <v>96.31</v>
      </c>
      <c r="Y52" s="25">
        <f t="shared" si="11"/>
        <v>92.97</v>
      </c>
      <c r="Z52" s="25">
        <f t="shared" si="12"/>
        <v>104.64</v>
      </c>
      <c r="AA52" s="25">
        <f t="shared" si="13"/>
        <v>97.71</v>
      </c>
    </row>
    <row r="53" spans="1:27" x14ac:dyDescent="0.25">
      <c r="A53" s="43">
        <f>Data1!A94</f>
        <v>45505</v>
      </c>
      <c r="B53" s="25">
        <f>Data1!BM94</f>
        <v>94.37</v>
      </c>
      <c r="C53" s="25">
        <f>Data1!GO94</f>
        <v>112.55</v>
      </c>
      <c r="D53" s="25">
        <f>Data2!CA94</f>
        <v>5.57</v>
      </c>
      <c r="E53" s="25">
        <f>Data2!HC94</f>
        <v>99.14</v>
      </c>
      <c r="F53" s="25">
        <f>Data3!CO94</f>
        <v>25.71</v>
      </c>
      <c r="G53" s="25">
        <f>Data3!HQ94</f>
        <v>47.31</v>
      </c>
      <c r="H53" s="25">
        <f>Data4!DC94</f>
        <v>96.31</v>
      </c>
      <c r="I53" s="25">
        <f>Data4!IE94</f>
        <v>87.04</v>
      </c>
      <c r="J53" s="25">
        <f>Data1!BN94</f>
        <v>93.32</v>
      </c>
      <c r="K53" s="25">
        <f>Data1!GP94</f>
        <v>92.33</v>
      </c>
      <c r="L53" s="25">
        <f>Data2!CB94</f>
        <v>99.4</v>
      </c>
      <c r="M53" s="25">
        <f>Data2!HD94</f>
        <v>98.99</v>
      </c>
      <c r="N53" s="25">
        <f>Data3!CP94</f>
        <v>96.31</v>
      </c>
      <c r="O53" s="25">
        <f>Data3!HR94</f>
        <v>93.76</v>
      </c>
      <c r="P53" s="25">
        <f>Data4!DD94</f>
        <v>104.64</v>
      </c>
      <c r="Q53" s="25">
        <f>Data4!IF94</f>
        <v>98.44</v>
      </c>
      <c r="S53" s="43">
        <f t="shared" si="5"/>
        <v>45505</v>
      </c>
      <c r="T53" s="25">
        <f t="shared" si="6"/>
        <v>93.32</v>
      </c>
      <c r="U53" s="25">
        <f t="shared" si="7"/>
        <v>92.33</v>
      </c>
      <c r="V53" s="25">
        <f t="shared" si="8"/>
        <v>99.4</v>
      </c>
      <c r="W53" s="25">
        <f t="shared" si="9"/>
        <v>98.99</v>
      </c>
      <c r="X53" s="25">
        <f t="shared" si="10"/>
        <v>96.31</v>
      </c>
      <c r="Y53" s="25">
        <f t="shared" si="11"/>
        <v>93.76</v>
      </c>
      <c r="Z53" s="25">
        <f t="shared" si="12"/>
        <v>104.64</v>
      </c>
      <c r="AA53" s="25">
        <f t="shared" si="13"/>
        <v>98.44</v>
      </c>
    </row>
    <row r="54" spans="1:27" x14ac:dyDescent="0.25">
      <c r="A54" s="43">
        <f>Data1!A95</f>
        <v>45536</v>
      </c>
      <c r="B54" s="25">
        <f>Data1!BM95</f>
        <v>86.59</v>
      </c>
      <c r="C54" s="25">
        <f>Data1!GO95</f>
        <v>99.42</v>
      </c>
      <c r="D54" s="25">
        <f>Data2!CA95</f>
        <v>5.57</v>
      </c>
      <c r="E54" s="25">
        <f>Data2!HC95</f>
        <v>99.14</v>
      </c>
      <c r="F54" s="25">
        <f>Data3!CO95</f>
        <v>25.71</v>
      </c>
      <c r="G54" s="25">
        <f>Data3!HQ95</f>
        <v>47.31</v>
      </c>
      <c r="H54" s="25">
        <f>Data4!DC95</f>
        <v>96.31</v>
      </c>
      <c r="I54" s="25">
        <f>Data4!IE95</f>
        <v>86.57</v>
      </c>
      <c r="J54" s="25">
        <f>Data1!BN95</f>
        <v>93.32</v>
      </c>
      <c r="K54" s="25">
        <f>Data1!GP95</f>
        <v>92.33</v>
      </c>
      <c r="L54" s="25">
        <f>Data2!CB95</f>
        <v>100.93</v>
      </c>
      <c r="M54" s="25">
        <f>Data2!HD95</f>
        <v>98.99</v>
      </c>
      <c r="N54" s="25">
        <f>Data3!CP95</f>
        <v>96.31</v>
      </c>
      <c r="O54" s="25">
        <f>Data3!HR95</f>
        <v>95.19</v>
      </c>
      <c r="P54" s="25">
        <f>Data4!DD95</f>
        <v>106.18</v>
      </c>
      <c r="Q54" s="25">
        <f>Data4!IF95</f>
        <v>98.44</v>
      </c>
      <c r="S54" s="43">
        <f t="shared" si="5"/>
        <v>45536</v>
      </c>
      <c r="T54" s="25">
        <f t="shared" si="6"/>
        <v>93.32</v>
      </c>
      <c r="U54" s="25">
        <f t="shared" si="7"/>
        <v>92.33</v>
      </c>
      <c r="V54" s="25">
        <f t="shared" si="8"/>
        <v>100.93</v>
      </c>
      <c r="W54" s="25">
        <f t="shared" si="9"/>
        <v>98.99</v>
      </c>
      <c r="X54" s="25">
        <f t="shared" si="10"/>
        <v>96.31</v>
      </c>
      <c r="Y54" s="25">
        <f t="shared" si="11"/>
        <v>95.19</v>
      </c>
      <c r="Z54" s="25">
        <f t="shared" si="12"/>
        <v>106.18</v>
      </c>
      <c r="AA54" s="25">
        <f t="shared" si="13"/>
        <v>98.44</v>
      </c>
    </row>
    <row r="55" spans="1:27" x14ac:dyDescent="0.25">
      <c r="A55" s="43">
        <f>Data1!A96</f>
        <v>45566</v>
      </c>
      <c r="B55" s="25">
        <f>Data1!BM96</f>
        <v>70.05</v>
      </c>
      <c r="C55" s="25">
        <f>Data1!GO96</f>
        <v>77.099999999999994</v>
      </c>
      <c r="D55" s="25">
        <f>Data2!CA96</f>
        <v>17.559999999999999</v>
      </c>
      <c r="E55" s="25">
        <f>Data2!HC96</f>
        <v>83.56</v>
      </c>
      <c r="F55" s="25">
        <f>Data3!CO96</f>
        <v>49.66</v>
      </c>
      <c r="G55" s="25">
        <f>Data3!HQ96</f>
        <v>86.05</v>
      </c>
      <c r="H55" s="25">
        <f>Data4!DC96</f>
        <v>80.38</v>
      </c>
      <c r="I55" s="25">
        <f>Data4!IE96</f>
        <v>73.05</v>
      </c>
      <c r="J55" s="25">
        <f>Data1!BN96</f>
        <v>98.75</v>
      </c>
      <c r="K55" s="25">
        <f>Data1!GP96</f>
        <v>88.78</v>
      </c>
      <c r="L55" s="25">
        <f>Data2!CB96</f>
        <v>97.05</v>
      </c>
      <c r="M55" s="25">
        <f>Data2!HD96</f>
        <v>97.45</v>
      </c>
      <c r="N55" s="25">
        <f>Data3!CP96</f>
        <v>96.31</v>
      </c>
      <c r="O55" s="25">
        <f>Data3!HR96</f>
        <v>93.67</v>
      </c>
      <c r="P55" s="25">
        <f>Data4!DD96</f>
        <v>106.69</v>
      </c>
      <c r="Q55" s="25">
        <f>Data4!IF96</f>
        <v>98.44</v>
      </c>
      <c r="S55" s="43">
        <f t="shared" si="5"/>
        <v>45566</v>
      </c>
      <c r="T55" s="25">
        <f t="shared" si="6"/>
        <v>98.75</v>
      </c>
      <c r="U55" s="25">
        <f t="shared" si="7"/>
        <v>88.78</v>
      </c>
      <c r="V55" s="25">
        <f t="shared" si="8"/>
        <v>97.05</v>
      </c>
      <c r="W55" s="25">
        <f t="shared" si="9"/>
        <v>97.45</v>
      </c>
      <c r="X55" s="25">
        <f t="shared" si="10"/>
        <v>96.31</v>
      </c>
      <c r="Y55" s="25">
        <f t="shared" si="11"/>
        <v>93.67</v>
      </c>
      <c r="Z55" s="25">
        <f t="shared" si="12"/>
        <v>106.69</v>
      </c>
      <c r="AA55" s="25">
        <f t="shared" si="13"/>
        <v>98.44</v>
      </c>
    </row>
    <row r="56" spans="1:27" x14ac:dyDescent="0.25">
      <c r="A56" s="43">
        <f>Data1!A97</f>
        <v>45597</v>
      </c>
      <c r="B56" s="25">
        <f>Data1!BM97</f>
        <v>81.489999999999995</v>
      </c>
      <c r="C56" s="25">
        <f>Data1!GO97</f>
        <v>86.45</v>
      </c>
      <c r="D56" s="25">
        <f>Data2!CA97</f>
        <v>17.95</v>
      </c>
      <c r="E56" s="25">
        <f>Data2!HC97</f>
        <v>99.14</v>
      </c>
      <c r="F56" s="25">
        <f>Data3!CO97</f>
        <v>97.56</v>
      </c>
      <c r="G56" s="25">
        <f>Data3!HQ97</f>
        <v>98.38</v>
      </c>
      <c r="H56" s="25">
        <f>Data4!DC97</f>
        <v>96.31</v>
      </c>
      <c r="I56" s="25">
        <f>Data4!IE97</f>
        <v>87.66</v>
      </c>
      <c r="J56" s="25">
        <f>Data1!BN97</f>
        <v>98.75</v>
      </c>
      <c r="K56" s="25">
        <f>Data1!GP97</f>
        <v>94.36</v>
      </c>
      <c r="L56" s="25">
        <f>Data2!CB97</f>
        <v>97.05</v>
      </c>
      <c r="M56" s="25">
        <f>Data2!HD97</f>
        <v>95.82</v>
      </c>
      <c r="N56" s="25">
        <f>Data3!CP97</f>
        <v>96.31</v>
      </c>
      <c r="O56" s="25">
        <f>Data3!HR97</f>
        <v>92.74</v>
      </c>
      <c r="P56" s="25">
        <f>Data4!DD97</f>
        <v>106.69</v>
      </c>
      <c r="Q56" s="25">
        <f>Data4!IF97</f>
        <v>98.44</v>
      </c>
      <c r="S56" s="43">
        <f t="shared" si="5"/>
        <v>45597</v>
      </c>
      <c r="T56" s="25">
        <f t="shared" si="6"/>
        <v>98.75</v>
      </c>
      <c r="U56" s="25">
        <f t="shared" si="7"/>
        <v>94.36</v>
      </c>
      <c r="V56" s="25">
        <f t="shared" si="8"/>
        <v>97.05</v>
      </c>
      <c r="W56" s="25">
        <f t="shared" si="9"/>
        <v>95.82</v>
      </c>
      <c r="X56" s="25">
        <f t="shared" si="10"/>
        <v>96.31</v>
      </c>
      <c r="Y56" s="25">
        <f t="shared" si="11"/>
        <v>92.74</v>
      </c>
      <c r="Z56" s="25">
        <f t="shared" si="12"/>
        <v>106.69</v>
      </c>
      <c r="AA56" s="25">
        <f t="shared" si="13"/>
        <v>98.44</v>
      </c>
    </row>
    <row r="57" spans="1:27" x14ac:dyDescent="0.25">
      <c r="A57" s="43">
        <f>Data1!A98</f>
        <v>45627</v>
      </c>
      <c r="B57" s="25">
        <f>Data1!BM98</f>
        <v>88.39</v>
      </c>
      <c r="C57" s="25">
        <f>Data1!GO98</f>
        <v>99.35</v>
      </c>
      <c r="D57" s="25">
        <f>Data2!CA98</f>
        <v>17.95</v>
      </c>
      <c r="E57" s="25">
        <f>Data2!HC98</f>
        <v>99.14</v>
      </c>
      <c r="F57" s="25">
        <f>Data3!CO98</f>
        <v>39.36</v>
      </c>
      <c r="G57" s="25">
        <f>Data3!HQ98</f>
        <v>98.38</v>
      </c>
      <c r="H57" s="25">
        <f>Data4!DC98</f>
        <v>96.31</v>
      </c>
      <c r="I57" s="25">
        <f>Data4!IE98</f>
        <v>87.66</v>
      </c>
      <c r="J57" s="25">
        <f>Data1!BN98</f>
        <v>94.47</v>
      </c>
      <c r="K57" s="25">
        <f>Data1!GP98</f>
        <v>92.84</v>
      </c>
      <c r="L57" s="25">
        <f>Data2!CB98</f>
        <v>97.31</v>
      </c>
      <c r="M57" s="25">
        <f>Data2!HD98</f>
        <v>95.82</v>
      </c>
      <c r="N57" s="25">
        <f>Data3!CP98</f>
        <v>96.31</v>
      </c>
      <c r="O57" s="25">
        <f>Data3!HR98</f>
        <v>95.03</v>
      </c>
      <c r="P57" s="25">
        <f>Data4!DD98</f>
        <v>107.13</v>
      </c>
      <c r="Q57" s="25">
        <f>Data4!IF98</f>
        <v>98.44</v>
      </c>
      <c r="S57" s="43">
        <f t="shared" si="5"/>
        <v>45627</v>
      </c>
      <c r="T57" s="25">
        <f t="shared" si="6"/>
        <v>94.47</v>
      </c>
      <c r="U57" s="25">
        <f t="shared" si="7"/>
        <v>92.84</v>
      </c>
      <c r="V57" s="25">
        <f t="shared" si="8"/>
        <v>97.31</v>
      </c>
      <c r="W57" s="25">
        <f t="shared" si="9"/>
        <v>95.82</v>
      </c>
      <c r="X57" s="25">
        <f t="shared" si="10"/>
        <v>96.31</v>
      </c>
      <c r="Y57" s="25">
        <f t="shared" si="11"/>
        <v>95.03</v>
      </c>
      <c r="Z57" s="25">
        <f t="shared" si="12"/>
        <v>107.13</v>
      </c>
      <c r="AA57" s="25">
        <f t="shared" si="13"/>
        <v>98.44</v>
      </c>
    </row>
    <row r="58" spans="1:27" x14ac:dyDescent="0.25">
      <c r="A58" s="43">
        <f>Data1!A99</f>
        <v>45658</v>
      </c>
      <c r="B58" s="25">
        <f>Data1!BM99</f>
        <v>88.39</v>
      </c>
      <c r="C58" s="25">
        <f>Data1!GO99</f>
        <v>108.1</v>
      </c>
      <c r="D58" s="25">
        <f>Data2!CA99</f>
        <v>79.290000000000006</v>
      </c>
      <c r="E58" s="25">
        <f>Data2!HC99</f>
        <v>99.14</v>
      </c>
      <c r="F58" s="25">
        <f>Data3!CO99</f>
        <v>25.71</v>
      </c>
      <c r="G58" s="25">
        <f>Data3!HQ99</f>
        <v>98.38</v>
      </c>
      <c r="H58" s="25">
        <f>Data4!DC99</f>
        <v>96.31</v>
      </c>
      <c r="I58" s="25">
        <f>Data4!IE99</f>
        <v>87.66</v>
      </c>
      <c r="J58" s="25">
        <f>Data1!BN99</f>
        <v>94.47</v>
      </c>
      <c r="K58" s="25">
        <f>Data1!GP99</f>
        <v>92.84</v>
      </c>
      <c r="L58" s="25">
        <f>Data2!CB99</f>
        <v>97.31</v>
      </c>
      <c r="M58" s="25">
        <f>Data2!HD99</f>
        <v>95.82</v>
      </c>
      <c r="N58" s="25">
        <f>Data3!CP99</f>
        <v>96.91</v>
      </c>
      <c r="O58" s="25">
        <f>Data3!HR99</f>
        <v>97.83</v>
      </c>
      <c r="P58" s="25">
        <f>Data4!DD99</f>
        <v>109.1</v>
      </c>
      <c r="Q58" s="25">
        <f>Data4!IF99</f>
        <v>98.44</v>
      </c>
      <c r="S58" s="43">
        <f t="shared" si="5"/>
        <v>45658</v>
      </c>
      <c r="T58" s="25">
        <f t="shared" si="6"/>
        <v>94.47</v>
      </c>
      <c r="U58" s="25">
        <f t="shared" si="7"/>
        <v>92.84</v>
      </c>
      <c r="V58" s="25">
        <f t="shared" si="8"/>
        <v>97.31</v>
      </c>
      <c r="W58" s="25">
        <f t="shared" si="9"/>
        <v>95.82</v>
      </c>
      <c r="X58" s="25">
        <f t="shared" si="10"/>
        <v>96.91</v>
      </c>
      <c r="Y58" s="25">
        <f t="shared" si="11"/>
        <v>97.83</v>
      </c>
      <c r="Z58" s="25">
        <f t="shared" si="12"/>
        <v>109.1</v>
      </c>
      <c r="AA58" s="25">
        <f t="shared" si="13"/>
        <v>98.44</v>
      </c>
    </row>
    <row r="59" spans="1:27" x14ac:dyDescent="0.25">
      <c r="A59" s="43">
        <f>Data1!A100</f>
        <v>45689</v>
      </c>
      <c r="B59" s="25">
        <f>Data1!BM100</f>
        <v>88.53</v>
      </c>
      <c r="C59" s="25">
        <f>Data1!GO100</f>
        <v>98.67</v>
      </c>
      <c r="D59" s="25">
        <f>Data2!CA100</f>
        <v>78.48</v>
      </c>
      <c r="E59" s="25">
        <f>Data2!HC100</f>
        <v>98.25</v>
      </c>
      <c r="F59" s="25">
        <f>Data3!CO100</f>
        <v>25.71</v>
      </c>
      <c r="G59" s="25">
        <f>Data3!HQ100</f>
        <v>98.38</v>
      </c>
      <c r="H59" s="25">
        <f>Data4!DC100</f>
        <v>96.31</v>
      </c>
      <c r="I59" s="25">
        <f>Data4!IE100</f>
        <v>89.07</v>
      </c>
      <c r="J59" s="25">
        <f>Data1!BN100</f>
        <v>94.47</v>
      </c>
      <c r="K59" s="25">
        <f>Data1!GP100</f>
        <v>93.1</v>
      </c>
      <c r="L59" s="25">
        <f>Data2!CB100</f>
        <v>97.31</v>
      </c>
      <c r="M59" s="25">
        <f>Data2!HD100</f>
        <v>96.14</v>
      </c>
      <c r="N59" s="25">
        <f>Data3!CP100</f>
        <v>96.91</v>
      </c>
      <c r="O59" s="25">
        <f>Data3!HR100</f>
        <v>95.78</v>
      </c>
      <c r="P59" s="25">
        <f>Data4!DD100</f>
        <v>109.1</v>
      </c>
      <c r="Q59" s="25">
        <f>Data4!IF100</f>
        <v>98.44</v>
      </c>
      <c r="S59" s="43">
        <f t="shared" si="5"/>
        <v>45689</v>
      </c>
      <c r="T59" s="25">
        <f t="shared" si="6"/>
        <v>94.47</v>
      </c>
      <c r="U59" s="25">
        <f t="shared" si="7"/>
        <v>93.1</v>
      </c>
      <c r="V59" s="25">
        <f t="shared" si="8"/>
        <v>97.31</v>
      </c>
      <c r="W59" s="25">
        <f t="shared" si="9"/>
        <v>96.14</v>
      </c>
      <c r="X59" s="25">
        <f t="shared" si="10"/>
        <v>96.91</v>
      </c>
      <c r="Y59" s="25">
        <f t="shared" si="11"/>
        <v>95.78</v>
      </c>
      <c r="Z59" s="25">
        <f t="shared" si="12"/>
        <v>109.1</v>
      </c>
      <c r="AA59" s="25">
        <f t="shared" si="13"/>
        <v>98.44</v>
      </c>
    </row>
    <row r="60" spans="1:27" x14ac:dyDescent="0.25">
      <c r="A60" s="43">
        <f>Data1!A101</f>
        <v>45717</v>
      </c>
      <c r="B60" s="25">
        <f>Data1!BM101</f>
        <v>91.28</v>
      </c>
      <c r="C60" s="25">
        <f>Data1!GO101</f>
        <v>98.67</v>
      </c>
      <c r="D60" s="25">
        <f>Data2!CA101</f>
        <v>78.22</v>
      </c>
      <c r="E60" s="25">
        <f>Data2!HC101</f>
        <v>98.25</v>
      </c>
      <c r="F60" s="25">
        <f>Data3!CO101</f>
        <v>83.91</v>
      </c>
      <c r="G60" s="25">
        <f>Data3!HQ101</f>
        <v>98.38</v>
      </c>
      <c r="H60" s="25">
        <f>Data4!DC101</f>
        <v>96.31</v>
      </c>
      <c r="I60" s="25">
        <f>Data4!IE101</f>
        <v>89.07</v>
      </c>
      <c r="J60" s="25">
        <f>Data1!BN101</f>
        <v>94.47</v>
      </c>
      <c r="K60" s="25">
        <f>Data1!GP101</f>
        <v>93.1</v>
      </c>
      <c r="L60" s="25">
        <f>Data2!CB101</f>
        <v>97.31</v>
      </c>
      <c r="M60" s="25">
        <f>Data2!HD101</f>
        <v>96.14</v>
      </c>
      <c r="N60" s="25">
        <f>Data3!CP101</f>
        <v>94.8</v>
      </c>
      <c r="O60" s="25">
        <f>Data3!HR101</f>
        <v>97.53</v>
      </c>
      <c r="P60" s="25">
        <f>Data4!DD101</f>
        <v>108.92</v>
      </c>
      <c r="Q60" s="25">
        <f>Data4!IF101</f>
        <v>98.44</v>
      </c>
      <c r="S60" s="43">
        <f t="shared" si="5"/>
        <v>45717</v>
      </c>
      <c r="T60" s="25">
        <f t="shared" si="6"/>
        <v>94.47</v>
      </c>
      <c r="U60" s="25">
        <f t="shared" si="7"/>
        <v>93.1</v>
      </c>
      <c r="V60" s="25">
        <f t="shared" si="8"/>
        <v>97.31</v>
      </c>
      <c r="W60" s="25">
        <f t="shared" si="9"/>
        <v>96.14</v>
      </c>
      <c r="X60" s="25">
        <f t="shared" si="10"/>
        <v>94.8</v>
      </c>
      <c r="Y60" s="25">
        <f t="shared" si="11"/>
        <v>97.53</v>
      </c>
      <c r="Z60" s="25">
        <f t="shared" si="12"/>
        <v>108.92</v>
      </c>
      <c r="AA60" s="25">
        <f t="shared" si="13"/>
        <v>98.44</v>
      </c>
    </row>
    <row r="61" spans="1:27" x14ac:dyDescent="0.25">
      <c r="A61" s="43">
        <f>Data1!A102</f>
        <v>45748</v>
      </c>
      <c r="B61" s="25">
        <f>Data1!BM102</f>
        <v>90.37</v>
      </c>
      <c r="C61" s="25">
        <f>Data1!GO102</f>
        <v>91.06</v>
      </c>
      <c r="D61" s="25">
        <f>Data2!CA102</f>
        <v>95.65</v>
      </c>
      <c r="E61" s="25">
        <f>Data2!HC102</f>
        <v>98.39</v>
      </c>
      <c r="F61" s="25">
        <f>Data3!CO102</f>
        <v>97.56</v>
      </c>
      <c r="G61" s="25">
        <f>Data3!HQ102</f>
        <v>88.42</v>
      </c>
      <c r="H61" s="25">
        <f>Data4!DC102</f>
        <v>96.31</v>
      </c>
      <c r="I61" s="25">
        <f>Data4!IE102</f>
        <v>89.07</v>
      </c>
      <c r="J61" s="25">
        <f>Data1!BN102</f>
        <v>94.47</v>
      </c>
      <c r="K61" s="25">
        <f>Data1!GP102</f>
        <v>92.34</v>
      </c>
      <c r="L61" s="25">
        <f>Data2!CB102</f>
        <v>97.31</v>
      </c>
      <c r="M61" s="25">
        <f>Data2!HD102</f>
        <v>94.19</v>
      </c>
      <c r="N61" s="25">
        <f>Data3!CP102</f>
        <v>94.8</v>
      </c>
      <c r="O61" s="25">
        <f>Data3!HR102</f>
        <v>97.4</v>
      </c>
      <c r="P61" s="25">
        <f>Data4!DD102</f>
        <v>108.22</v>
      </c>
      <c r="Q61" s="25">
        <f>Data4!IF102</f>
        <v>98.44</v>
      </c>
      <c r="S61" s="43">
        <f t="shared" si="5"/>
        <v>45748</v>
      </c>
      <c r="T61" s="25">
        <f t="shared" si="6"/>
        <v>94.47</v>
      </c>
      <c r="U61" s="25">
        <f t="shared" si="7"/>
        <v>92.34</v>
      </c>
      <c r="V61" s="25">
        <f t="shared" si="8"/>
        <v>97.31</v>
      </c>
      <c r="W61" s="25">
        <f t="shared" si="9"/>
        <v>94.19</v>
      </c>
      <c r="X61" s="25">
        <f t="shared" si="10"/>
        <v>94.8</v>
      </c>
      <c r="Y61" s="25">
        <f t="shared" si="11"/>
        <v>97.4</v>
      </c>
      <c r="Z61" s="25">
        <f t="shared" si="12"/>
        <v>108.22</v>
      </c>
      <c r="AA61" s="25">
        <f t="shared" si="13"/>
        <v>98.44</v>
      </c>
    </row>
    <row r="62" spans="1:27" x14ac:dyDescent="0.25">
      <c r="A62" s="43">
        <f>Data1!A103</f>
        <v>45778</v>
      </c>
      <c r="B62" s="25">
        <f>Data1!BM103</f>
        <v>90.87</v>
      </c>
      <c r="C62" s="25">
        <f>Data1!GO103</f>
        <v>99.74</v>
      </c>
      <c r="D62" s="25">
        <f>Data2!CA103</f>
        <v>95.04</v>
      </c>
      <c r="E62" s="25">
        <f>Data2!HC103</f>
        <v>98.39</v>
      </c>
      <c r="F62" s="25">
        <f>Data3!CO103</f>
        <v>97.56</v>
      </c>
      <c r="G62" s="25">
        <f>Data3!HQ103</f>
        <v>78.55</v>
      </c>
      <c r="H62" s="25">
        <f>Data4!DC103</f>
        <v>96.31</v>
      </c>
      <c r="I62" s="25">
        <f>Data4!IE103</f>
        <v>89.07</v>
      </c>
      <c r="J62" s="25">
        <f>Data1!BN103</f>
        <v>94.47</v>
      </c>
      <c r="K62" s="25">
        <f>Data1!GP103</f>
        <v>88.44</v>
      </c>
      <c r="L62" s="25">
        <f>Data2!CB103</f>
        <v>97.31</v>
      </c>
      <c r="M62" s="25">
        <f>Data2!HD103</f>
        <v>94.19</v>
      </c>
      <c r="N62" s="25">
        <f>Data3!CP103</f>
        <v>94.8</v>
      </c>
      <c r="O62" s="25">
        <f>Data3!HR103</f>
        <v>97.4</v>
      </c>
      <c r="P62" s="25">
        <f>Data4!DD103</f>
        <v>98.38</v>
      </c>
      <c r="Q62" s="25">
        <f>Data4!IF103</f>
        <v>98.44</v>
      </c>
      <c r="S62" s="43">
        <f t="shared" si="5"/>
        <v>45778</v>
      </c>
      <c r="T62" s="25">
        <f t="shared" si="6"/>
        <v>94.47</v>
      </c>
      <c r="U62" s="25">
        <f t="shared" si="7"/>
        <v>88.44</v>
      </c>
      <c r="V62" s="25">
        <f t="shared" si="8"/>
        <v>97.31</v>
      </c>
      <c r="W62" s="25">
        <f t="shared" si="9"/>
        <v>94.19</v>
      </c>
      <c r="X62" s="25">
        <f t="shared" si="10"/>
        <v>94.8</v>
      </c>
      <c r="Y62" s="25">
        <f t="shared" si="11"/>
        <v>97.4</v>
      </c>
      <c r="Z62" s="25">
        <f t="shared" si="12"/>
        <v>98.38</v>
      </c>
      <c r="AA62" s="25">
        <f t="shared" si="13"/>
        <v>98.44</v>
      </c>
    </row>
    <row r="63" spans="1:27" x14ac:dyDescent="0.25">
      <c r="A63" s="43">
        <f>Data1!A104</f>
        <v>45809</v>
      </c>
      <c r="B63" s="25">
        <f>Data1!BM104</f>
        <v>89.8</v>
      </c>
      <c r="C63" s="25">
        <f>Data1!GO104</f>
        <v>99.74</v>
      </c>
      <c r="D63" s="25">
        <f>Data2!CA104</f>
        <v>94.08</v>
      </c>
      <c r="E63" s="25">
        <f>Data2!HC104</f>
        <v>99.65</v>
      </c>
      <c r="F63" s="25">
        <f>Data3!CO104</f>
        <v>97.56</v>
      </c>
      <c r="G63" s="25">
        <f>Data3!HQ104</f>
        <v>78.55</v>
      </c>
      <c r="H63" s="25">
        <f>Data4!DC104</f>
        <v>96.31</v>
      </c>
      <c r="I63" s="25">
        <f>Data4!IE104</f>
        <v>89.07</v>
      </c>
      <c r="J63" s="25">
        <f>Data1!BN104</f>
        <v>93.65</v>
      </c>
      <c r="K63" s="25">
        <f>Data1!GP104</f>
        <v>89.49</v>
      </c>
      <c r="L63" s="25">
        <f>Data2!CB104</f>
        <v>96.99</v>
      </c>
      <c r="M63" s="25">
        <f>Data2!HD104</f>
        <v>94.19</v>
      </c>
      <c r="N63" s="25">
        <f>Data3!CP104</f>
        <v>94.8</v>
      </c>
      <c r="O63" s="25">
        <f>Data3!HR104</f>
        <v>97.93</v>
      </c>
      <c r="P63" s="25">
        <f>Data4!DD104</f>
        <v>99.65</v>
      </c>
      <c r="Q63" s="25">
        <f>Data4!IF104</f>
        <v>98.44</v>
      </c>
      <c r="S63" s="43">
        <f t="shared" si="5"/>
        <v>45809</v>
      </c>
      <c r="T63" s="25">
        <f t="shared" si="6"/>
        <v>93.65</v>
      </c>
      <c r="U63" s="25">
        <f t="shared" si="7"/>
        <v>89.49</v>
      </c>
      <c r="V63" s="25">
        <f t="shared" si="8"/>
        <v>96.99</v>
      </c>
      <c r="W63" s="25">
        <f t="shared" si="9"/>
        <v>94.19</v>
      </c>
      <c r="X63" s="25">
        <f t="shared" si="10"/>
        <v>94.8</v>
      </c>
      <c r="Y63" s="25">
        <f t="shared" si="11"/>
        <v>97.93</v>
      </c>
      <c r="Z63" s="25">
        <f t="shared" si="12"/>
        <v>99.65</v>
      </c>
      <c r="AA63" s="25">
        <f t="shared" si="13"/>
        <v>98.44</v>
      </c>
    </row>
    <row r="64" spans="1:27" x14ac:dyDescent="0.25">
      <c r="A64" s="43">
        <f>Data1!A105</f>
        <v>45839</v>
      </c>
      <c r="B64" s="25">
        <f>Data1!BM105</f>
        <v>116.91</v>
      </c>
      <c r="C64" s="25">
        <f>Data1!GO105</f>
        <v>101.28</v>
      </c>
      <c r="D64" s="25">
        <f>Data2!CA105</f>
        <v>99.84</v>
      </c>
      <c r="E64" s="25">
        <f>Data2!HC105</f>
        <v>100.17</v>
      </c>
      <c r="F64" s="25">
        <f>Data3!CO105</f>
        <v>100</v>
      </c>
      <c r="G64" s="25">
        <f>Data3!HQ105</f>
        <v>90.13</v>
      </c>
      <c r="H64" s="25">
        <f>Data4!DC105</f>
        <v>100</v>
      </c>
      <c r="I64" s="25">
        <f>Data4!IE105</f>
        <v>115.45</v>
      </c>
      <c r="J64" s="25">
        <f>Data1!BN105</f>
        <v>99.04</v>
      </c>
      <c r="K64" s="25">
        <f>Data1!GP105</f>
        <v>95.91</v>
      </c>
      <c r="L64" s="25">
        <f>Data2!CB105</f>
        <v>99.2</v>
      </c>
      <c r="M64" s="25">
        <f>Data2!HD105</f>
        <v>100.12</v>
      </c>
      <c r="N64" s="25">
        <f>Data3!CP105</f>
        <v>100</v>
      </c>
      <c r="O64" s="25">
        <f>Data3!HR105</f>
        <v>98.66</v>
      </c>
      <c r="P64" s="25">
        <f>Data4!DD105</f>
        <v>99.65</v>
      </c>
      <c r="Q64" s="25">
        <f>Data4!IF105</f>
        <v>100</v>
      </c>
      <c r="S64" s="43">
        <f t="shared" si="5"/>
        <v>45839</v>
      </c>
      <c r="T64" s="25">
        <f t="shared" si="6"/>
        <v>99.04</v>
      </c>
      <c r="U64" s="25">
        <f t="shared" si="7"/>
        <v>95.91</v>
      </c>
      <c r="V64" s="25">
        <f t="shared" si="8"/>
        <v>99.2</v>
      </c>
      <c r="W64" s="25">
        <f t="shared" si="9"/>
        <v>100.12</v>
      </c>
      <c r="X64" s="25">
        <f t="shared" si="10"/>
        <v>100</v>
      </c>
      <c r="Y64" s="25">
        <f t="shared" si="11"/>
        <v>98.66</v>
      </c>
      <c r="Z64" s="25">
        <f t="shared" si="12"/>
        <v>99.65</v>
      </c>
      <c r="AA64" s="25">
        <f t="shared" si="13"/>
        <v>100</v>
      </c>
    </row>
    <row r="65" spans="1:39" x14ac:dyDescent="0.25">
      <c r="A65" s="43">
        <f>Data1!A106</f>
        <v>45870</v>
      </c>
      <c r="B65" s="25">
        <f>Data1!BM106</f>
        <v>100.94</v>
      </c>
      <c r="C65" s="25">
        <f>Data1!GO106</f>
        <v>100.35</v>
      </c>
      <c r="D65" s="25">
        <f>Data2!CA106</f>
        <v>100</v>
      </c>
      <c r="E65" s="25">
        <f>Data2!HC106</f>
        <v>100</v>
      </c>
      <c r="F65" s="25">
        <f>Data3!CO106</f>
        <v>100</v>
      </c>
      <c r="G65" s="25">
        <f>Data3!HQ106</f>
        <v>100</v>
      </c>
      <c r="H65" s="25">
        <f>Data4!DC106</f>
        <v>100</v>
      </c>
      <c r="I65" s="25">
        <f>Data4!IE106</f>
        <v>100</v>
      </c>
      <c r="J65" s="25">
        <f>Data1!BN106</f>
        <v>99.86</v>
      </c>
      <c r="K65" s="25">
        <f>Data1!GP106</f>
        <v>95.96</v>
      </c>
      <c r="L65" s="25">
        <f>Data2!CB106</f>
        <v>99.96</v>
      </c>
      <c r="M65" s="25">
        <f>Data2!HD106</f>
        <v>100.12</v>
      </c>
      <c r="N65" s="25">
        <f>Data3!CP106</f>
        <v>100</v>
      </c>
      <c r="O65" s="25">
        <f>Data3!HR106</f>
        <v>99.17</v>
      </c>
      <c r="P65" s="25">
        <f>Data4!DD106</f>
        <v>100</v>
      </c>
      <c r="Q65" s="25">
        <f>Data4!IF106</f>
        <v>100</v>
      </c>
      <c r="S65" s="43">
        <f t="shared" si="5"/>
        <v>45870</v>
      </c>
      <c r="T65" s="25">
        <f t="shared" si="6"/>
        <v>99.86</v>
      </c>
      <c r="U65" s="25">
        <f t="shared" si="7"/>
        <v>95.96</v>
      </c>
      <c r="V65" s="25">
        <f t="shared" si="8"/>
        <v>99.96</v>
      </c>
      <c r="W65" s="25">
        <f t="shared" si="9"/>
        <v>100.12</v>
      </c>
      <c r="X65" s="25">
        <f t="shared" si="10"/>
        <v>100</v>
      </c>
      <c r="Y65" s="25">
        <f t="shared" si="11"/>
        <v>99.17</v>
      </c>
      <c r="Z65" s="25">
        <f t="shared" si="12"/>
        <v>100</v>
      </c>
      <c r="AA65" s="25">
        <f t="shared" si="13"/>
        <v>100</v>
      </c>
    </row>
    <row r="66" spans="1:39" x14ac:dyDescent="0.25">
      <c r="A66" s="43">
        <f>Data1!A107</f>
        <v>45901</v>
      </c>
      <c r="B66" s="25">
        <f>Data1!BM107</f>
        <v>100</v>
      </c>
      <c r="C66" s="25">
        <f>Data1!GO107</f>
        <v>100</v>
      </c>
      <c r="D66" s="25">
        <f>Data2!CA107</f>
        <v>100</v>
      </c>
      <c r="E66" s="25">
        <f>Data2!HC107</f>
        <v>100</v>
      </c>
      <c r="F66" s="25">
        <f>Data3!CO107</f>
        <v>100</v>
      </c>
      <c r="G66" s="25">
        <f>Data3!HQ107</f>
        <v>100</v>
      </c>
      <c r="H66" s="25">
        <f>Data4!DC107</f>
        <v>100</v>
      </c>
      <c r="I66" s="25">
        <f>Data4!IE107</f>
        <v>100</v>
      </c>
      <c r="J66" s="25">
        <f>Data1!BN107</f>
        <v>100</v>
      </c>
      <c r="K66" s="25">
        <f>Data1!GP107</f>
        <v>100</v>
      </c>
      <c r="L66" s="25">
        <f>Data2!CB107</f>
        <v>100</v>
      </c>
      <c r="M66" s="25">
        <f>Data2!HD107</f>
        <v>100</v>
      </c>
      <c r="N66" s="25">
        <f>Data3!CP107</f>
        <v>100</v>
      </c>
      <c r="O66" s="25">
        <f>Data3!HR107</f>
        <v>100</v>
      </c>
      <c r="P66" s="25">
        <f>Data4!DD107</f>
        <v>100</v>
      </c>
      <c r="Q66" s="25">
        <f>Data4!IF107</f>
        <v>100</v>
      </c>
      <c r="S66" s="43">
        <f t="shared" si="5"/>
        <v>45901</v>
      </c>
      <c r="T66" s="25">
        <f t="shared" si="6"/>
        <v>100</v>
      </c>
      <c r="U66" s="25">
        <f t="shared" si="7"/>
        <v>100</v>
      </c>
      <c r="V66" s="25">
        <f t="shared" si="8"/>
        <v>100</v>
      </c>
      <c r="W66" s="25">
        <f t="shared" si="9"/>
        <v>100</v>
      </c>
      <c r="X66" s="25">
        <f t="shared" si="10"/>
        <v>100</v>
      </c>
      <c r="Y66" s="25">
        <f t="shared" si="11"/>
        <v>100</v>
      </c>
      <c r="Z66" s="25">
        <f t="shared" si="12"/>
        <v>100</v>
      </c>
      <c r="AA66" s="25">
        <f t="shared" si="13"/>
        <v>100</v>
      </c>
    </row>
    <row r="67" spans="1:39" x14ac:dyDescent="0.25">
      <c r="A67" s="43">
        <f>Data1!A108</f>
        <v>45931</v>
      </c>
      <c r="B67" s="25">
        <f>Data1!BM108</f>
        <v>81.209999999999994</v>
      </c>
      <c r="C67" s="25">
        <f>Data1!GO108</f>
        <v>99.89</v>
      </c>
      <c r="D67" s="25">
        <f>Data2!CA108</f>
        <v>99.82</v>
      </c>
      <c r="E67" s="25">
        <f>Data2!HC108</f>
        <v>99.68</v>
      </c>
      <c r="F67" s="25">
        <f>Data3!CO108</f>
        <v>79.14</v>
      </c>
      <c r="G67" s="25">
        <f>Data3!HQ108</f>
        <v>100</v>
      </c>
      <c r="H67" s="25">
        <f>Data4!DC108</f>
        <v>100</v>
      </c>
      <c r="I67" s="25">
        <f>Data4!IE108</f>
        <v>85.39</v>
      </c>
      <c r="J67" s="25">
        <f>Data1!BN108</f>
        <v>100</v>
      </c>
      <c r="K67" s="25">
        <f>Data1!GP108</f>
        <v>93.5</v>
      </c>
      <c r="L67" s="25">
        <f>Data2!CB108</f>
        <v>99.75</v>
      </c>
      <c r="M67" s="25">
        <f>Data2!HD108</f>
        <v>99.07</v>
      </c>
      <c r="N67" s="25">
        <f>Data3!CP108</f>
        <v>100</v>
      </c>
      <c r="O67" s="25">
        <f>Data3!HR108</f>
        <v>102.75</v>
      </c>
      <c r="P67" s="25">
        <f>Data4!DD108</f>
        <v>109.4</v>
      </c>
      <c r="Q67" s="25">
        <f>Data4!IF108</f>
        <v>99.81</v>
      </c>
      <c r="S67" s="43">
        <f t="shared" si="5"/>
        <v>45931</v>
      </c>
      <c r="T67" s="25">
        <f t="shared" si="6"/>
        <v>100</v>
      </c>
      <c r="U67" s="25">
        <f t="shared" si="7"/>
        <v>93.5</v>
      </c>
      <c r="V67" s="25">
        <f t="shared" si="8"/>
        <v>99.75</v>
      </c>
      <c r="W67" s="25">
        <f t="shared" si="9"/>
        <v>99.07</v>
      </c>
      <c r="X67" s="25">
        <f t="shared" si="10"/>
        <v>100</v>
      </c>
      <c r="Y67" s="25">
        <f t="shared" si="11"/>
        <v>102.75</v>
      </c>
      <c r="Z67" s="25">
        <f t="shared" si="12"/>
        <v>109.4</v>
      </c>
      <c r="AA67" s="25">
        <f t="shared" si="13"/>
        <v>99.81</v>
      </c>
    </row>
    <row r="68" spans="1:39" x14ac:dyDescent="0.25">
      <c r="A68" s="43">
        <f>Data1!A109</f>
        <v>45962</v>
      </c>
      <c r="B68" s="25">
        <f>Data1!BM109</f>
        <v>98.58</v>
      </c>
      <c r="C68" s="25">
        <f>Data1!GO109</f>
        <v>99.84</v>
      </c>
      <c r="D68" s="25">
        <f>Data2!CA109</f>
        <v>99.82</v>
      </c>
      <c r="E68" s="25">
        <f>Data2!HC109</f>
        <v>100.29</v>
      </c>
      <c r="F68" s="25">
        <f>Data3!CO109</f>
        <v>69.209999999999994</v>
      </c>
      <c r="G68" s="25">
        <f>Data3!HQ109</f>
        <v>100</v>
      </c>
      <c r="H68" s="25">
        <f>Data4!DC109</f>
        <v>100</v>
      </c>
      <c r="I68" s="25">
        <f>Data4!IE109</f>
        <v>100</v>
      </c>
      <c r="J68" s="25">
        <f>Data1!BN109</f>
        <v>102.71</v>
      </c>
      <c r="K68" s="25">
        <f>Data1!GP109</f>
        <v>98.39</v>
      </c>
      <c r="L68" s="25">
        <f>Data2!CB109</f>
        <v>100</v>
      </c>
      <c r="M68" s="25">
        <f>Data2!HD109</f>
        <v>99.07</v>
      </c>
      <c r="N68" s="25">
        <f>Data3!CP109</f>
        <v>101.15</v>
      </c>
      <c r="O68" s="25">
        <f>Data3!HR109</f>
        <v>99.89</v>
      </c>
      <c r="P68" s="25">
        <f>Data4!DD109</f>
        <v>100</v>
      </c>
      <c r="Q68" s="25">
        <f>Data4!IF109</f>
        <v>99.81</v>
      </c>
      <c r="S68" s="43">
        <f t="shared" si="5"/>
        <v>45962</v>
      </c>
      <c r="T68" s="25">
        <f t="shared" si="6"/>
        <v>102.71</v>
      </c>
      <c r="U68" s="25">
        <f t="shared" si="7"/>
        <v>98.39</v>
      </c>
      <c r="V68" s="25">
        <f t="shared" si="8"/>
        <v>100</v>
      </c>
      <c r="W68" s="25">
        <f t="shared" si="9"/>
        <v>99.07</v>
      </c>
      <c r="X68" s="25">
        <f t="shared" si="10"/>
        <v>101.15</v>
      </c>
      <c r="Y68" s="25">
        <f t="shared" si="11"/>
        <v>99.89</v>
      </c>
      <c r="Z68" s="25">
        <f t="shared" si="12"/>
        <v>100</v>
      </c>
      <c r="AA68" s="25">
        <f t="shared" si="13"/>
        <v>99.81</v>
      </c>
    </row>
    <row r="69" spans="1:39" x14ac:dyDescent="0.25">
      <c r="A69" s="43">
        <f>Data1!A110</f>
        <v>45992</v>
      </c>
      <c r="B69" s="25">
        <f>Data1!BM110</f>
        <v>98.58</v>
      </c>
      <c r="C69" s="25">
        <f>Data1!GO110</f>
        <v>99.91</v>
      </c>
      <c r="D69" s="25">
        <f>Data2!CA110</f>
        <v>99.82</v>
      </c>
      <c r="E69" s="25">
        <f>Data2!HC110</f>
        <v>100.29</v>
      </c>
      <c r="F69" s="25">
        <f>Data3!CO110</f>
        <v>69.209999999999994</v>
      </c>
      <c r="G69" s="25">
        <f>Data3!HQ110</f>
        <v>100</v>
      </c>
      <c r="H69" s="25">
        <f>Data4!DC110</f>
        <v>100</v>
      </c>
      <c r="I69" s="25">
        <f>Data4!IE110</f>
        <v>100</v>
      </c>
      <c r="J69" s="25">
        <f>Data1!BN110</f>
        <v>102.71</v>
      </c>
      <c r="K69" s="25">
        <f>Data1!GP110</f>
        <v>98.39</v>
      </c>
      <c r="L69" s="25">
        <f>Data2!CB110</f>
        <v>98.35</v>
      </c>
      <c r="M69" s="25">
        <f>Data2!HD110</f>
        <v>99.07</v>
      </c>
      <c r="N69" s="25">
        <f>Data3!CP110</f>
        <v>101.15</v>
      </c>
      <c r="O69" s="25">
        <f>Data3!HR110</f>
        <v>99.36</v>
      </c>
      <c r="P69" s="25">
        <f>Data4!DD110</f>
        <v>109.26</v>
      </c>
      <c r="Q69" s="25">
        <f>Data4!IF110</f>
        <v>99.81</v>
      </c>
      <c r="S69" s="43">
        <f t="shared" si="5"/>
        <v>45992</v>
      </c>
      <c r="T69" s="25">
        <f t="shared" si="6"/>
        <v>102.71</v>
      </c>
      <c r="U69" s="25">
        <f t="shared" si="7"/>
        <v>98.39</v>
      </c>
      <c r="V69" s="25">
        <f t="shared" si="8"/>
        <v>98.35</v>
      </c>
      <c r="W69" s="25">
        <f t="shared" si="9"/>
        <v>99.07</v>
      </c>
      <c r="X69" s="25">
        <f t="shared" si="10"/>
        <v>101.15</v>
      </c>
      <c r="Y69" s="25">
        <f t="shared" si="11"/>
        <v>99.36</v>
      </c>
      <c r="Z69" s="25">
        <f t="shared" si="12"/>
        <v>109.26</v>
      </c>
      <c r="AA69" s="25">
        <f t="shared" si="13"/>
        <v>99.81</v>
      </c>
    </row>
    <row r="70" spans="1:39" x14ac:dyDescent="0.25">
      <c r="A70" s="43">
        <f>Data1!A111</f>
        <v>46023</v>
      </c>
      <c r="B70" s="25">
        <f>Data1!BM111</f>
        <v>115.58</v>
      </c>
      <c r="C70" s="25">
        <f>Data1!GO111</f>
        <v>121.55</v>
      </c>
      <c r="D70" s="25">
        <f>Data2!CA111</f>
        <v>113.46</v>
      </c>
      <c r="E70" s="25">
        <f>Data2!HC111</f>
        <v>115.65</v>
      </c>
      <c r="F70" s="25">
        <f>Data3!CO111</f>
        <v>90.07</v>
      </c>
      <c r="G70" s="25">
        <f>Data3!HQ111</f>
        <v>112.33</v>
      </c>
      <c r="H70" s="25">
        <f>Data4!DC111</f>
        <v>115.92</v>
      </c>
      <c r="I70" s="25">
        <f>Data4!IE111</f>
        <v>114.61</v>
      </c>
      <c r="J70" s="25">
        <f>Data1!BN111</f>
        <v>102.71</v>
      </c>
      <c r="K70" s="25">
        <f>Data1!GP111</f>
        <v>98.39</v>
      </c>
      <c r="L70" s="25">
        <f>Data2!CB111</f>
        <v>98.35</v>
      </c>
      <c r="M70" s="25">
        <f>Data2!HD111</f>
        <v>98.56</v>
      </c>
      <c r="N70" s="25">
        <f>Data3!CP111</f>
        <v>101.81</v>
      </c>
      <c r="O70" s="25">
        <f>Data3!HR111</f>
        <v>100.79</v>
      </c>
      <c r="P70" s="25">
        <f>Data4!DD111</f>
        <v>114.68</v>
      </c>
      <c r="Q70" s="25">
        <f>Data4!IF111</f>
        <v>99.81</v>
      </c>
      <c r="S70" s="43">
        <f t="shared" si="5"/>
        <v>46023</v>
      </c>
      <c r="T70" s="25">
        <f t="shared" si="6"/>
        <v>102.71</v>
      </c>
      <c r="U70" s="25">
        <f t="shared" si="7"/>
        <v>98.39</v>
      </c>
      <c r="V70" s="25">
        <f t="shared" si="8"/>
        <v>98.35</v>
      </c>
      <c r="W70" s="25">
        <f t="shared" si="9"/>
        <v>98.56</v>
      </c>
      <c r="X70" s="25">
        <f t="shared" si="10"/>
        <v>101.81</v>
      </c>
      <c r="Y70" s="25">
        <f t="shared" si="11"/>
        <v>100.79</v>
      </c>
      <c r="Z70" s="25">
        <f t="shared" si="12"/>
        <v>114.68</v>
      </c>
      <c r="AA70" s="25">
        <f t="shared" si="13"/>
        <v>99.81</v>
      </c>
    </row>
    <row r="72" spans="1:39" x14ac:dyDescent="0.25">
      <c r="A72" s="44" t="s">
        <v>2111</v>
      </c>
    </row>
    <row r="73" spans="1:39" x14ac:dyDescent="0.25">
      <c r="A73" s="20" t="s">
        <v>2112</v>
      </c>
    </row>
    <row r="74" spans="1:39" x14ac:dyDescent="0.25">
      <c r="A74" s="20" t="s">
        <v>2113</v>
      </c>
    </row>
    <row r="75" spans="1:39" x14ac:dyDescent="0.25">
      <c r="A75" s="20" t="s">
        <v>2114</v>
      </c>
    </row>
    <row r="76" spans="1:39" x14ac:dyDescent="0.25">
      <c r="A76" s="20" t="s">
        <v>2115</v>
      </c>
    </row>
    <row r="78" spans="1:39" ht="15.75" x14ac:dyDescent="0.25">
      <c r="A78" s="22" t="s">
        <v>2116</v>
      </c>
    </row>
    <row r="79" spans="1:39" x14ac:dyDescent="0.25">
      <c r="A79" s="21" t="s">
        <v>2117</v>
      </c>
    </row>
    <row r="80" spans="1:39" x14ac:dyDescent="0.25">
      <c r="A80" s="24" t="s">
        <v>2094</v>
      </c>
      <c r="B80" s="41" t="s">
        <v>2095</v>
      </c>
      <c r="C80" s="41" t="s">
        <v>2096</v>
      </c>
      <c r="D80" s="41" t="s">
        <v>2097</v>
      </c>
      <c r="E80" s="41" t="s">
        <v>2098</v>
      </c>
      <c r="F80" s="41" t="s">
        <v>2099</v>
      </c>
      <c r="G80" s="41" t="s">
        <v>2100</v>
      </c>
      <c r="H80" s="41" t="s">
        <v>2101</v>
      </c>
      <c r="I80" s="41" t="s">
        <v>2102</v>
      </c>
      <c r="J80" s="42" t="s">
        <v>2103</v>
      </c>
      <c r="K80" s="42" t="s">
        <v>2104</v>
      </c>
      <c r="L80" s="42" t="s">
        <v>2105</v>
      </c>
      <c r="M80" s="42" t="s">
        <v>2106</v>
      </c>
      <c r="N80" s="42" t="s">
        <v>2107</v>
      </c>
      <c r="O80" s="42" t="s">
        <v>2108</v>
      </c>
      <c r="P80" s="42" t="s">
        <v>2109</v>
      </c>
      <c r="Q80" s="42" t="s">
        <v>2110</v>
      </c>
      <c r="AE80" s="58" t="s">
        <v>2094</v>
      </c>
      <c r="AF80" s="58" t="s">
        <v>2081</v>
      </c>
      <c r="AG80" s="58" t="s">
        <v>2082</v>
      </c>
      <c r="AH80" s="58" t="s">
        <v>2083</v>
      </c>
      <c r="AI80" s="58" t="s">
        <v>2084</v>
      </c>
      <c r="AJ80" s="58" t="s">
        <v>2085</v>
      </c>
      <c r="AK80" s="58" t="s">
        <v>2086</v>
      </c>
      <c r="AL80" s="58" t="s">
        <v>2087</v>
      </c>
      <c r="AM80" s="58" t="s">
        <v>2088</v>
      </c>
    </row>
    <row r="81" spans="1:39" x14ac:dyDescent="0.25">
      <c r="A81" s="43">
        <f>A19</f>
        <v>44470</v>
      </c>
      <c r="B81" s="45">
        <f t="shared" ref="B81:Q81" si="14">B19/B$19</f>
        <v>1</v>
      </c>
      <c r="C81" s="45">
        <f t="shared" si="14"/>
        <v>1</v>
      </c>
      <c r="D81" s="45">
        <f t="shared" si="14"/>
        <v>1</v>
      </c>
      <c r="E81" s="45">
        <f t="shared" si="14"/>
        <v>1</v>
      </c>
      <c r="F81" s="45">
        <f t="shared" si="14"/>
        <v>1</v>
      </c>
      <c r="G81" s="45">
        <f t="shared" si="14"/>
        <v>1</v>
      </c>
      <c r="H81" s="45">
        <f t="shared" si="14"/>
        <v>1</v>
      </c>
      <c r="I81" s="45">
        <f t="shared" si="14"/>
        <v>1</v>
      </c>
      <c r="J81" s="45">
        <f t="shared" si="14"/>
        <v>1</v>
      </c>
      <c r="K81" s="45">
        <f t="shared" si="14"/>
        <v>1</v>
      </c>
      <c r="L81" s="45">
        <f t="shared" si="14"/>
        <v>1</v>
      </c>
      <c r="M81" s="45">
        <f t="shared" si="14"/>
        <v>1</v>
      </c>
      <c r="N81" s="45">
        <f t="shared" si="14"/>
        <v>1</v>
      </c>
      <c r="O81" s="45">
        <f t="shared" si="14"/>
        <v>1</v>
      </c>
      <c r="P81" s="45">
        <f t="shared" si="14"/>
        <v>1</v>
      </c>
      <c r="Q81" s="45">
        <f t="shared" si="14"/>
        <v>1</v>
      </c>
      <c r="AE81" s="43">
        <f>A81</f>
        <v>44470</v>
      </c>
      <c r="AF81" s="45">
        <f t="shared" ref="AF81:AM81" si="15">J81</f>
        <v>1</v>
      </c>
      <c r="AG81" s="45">
        <f t="shared" si="15"/>
        <v>1</v>
      </c>
      <c r="AH81" s="45">
        <f t="shared" si="15"/>
        <v>1</v>
      </c>
      <c r="AI81" s="45">
        <f t="shared" si="15"/>
        <v>1</v>
      </c>
      <c r="AJ81" s="45">
        <f t="shared" si="15"/>
        <v>1</v>
      </c>
      <c r="AK81" s="45">
        <f t="shared" si="15"/>
        <v>1</v>
      </c>
      <c r="AL81" s="45">
        <f t="shared" si="15"/>
        <v>1</v>
      </c>
      <c r="AM81" s="45">
        <f t="shared" si="15"/>
        <v>1</v>
      </c>
    </row>
    <row r="82" spans="1:39" x14ac:dyDescent="0.25">
      <c r="A82" s="43">
        <f t="shared" ref="A82:A132" si="16">A20</f>
        <v>44501</v>
      </c>
      <c r="B82" s="45">
        <f t="shared" ref="B82:Q82" si="17">B20/B$19</f>
        <v>1.0198867559729319</v>
      </c>
      <c r="C82" s="45">
        <f t="shared" si="17"/>
        <v>1.0140831101854606</v>
      </c>
      <c r="D82" s="45">
        <f t="shared" si="17"/>
        <v>1</v>
      </c>
      <c r="E82" s="45">
        <f t="shared" si="17"/>
        <v>1</v>
      </c>
      <c r="F82" s="45">
        <f t="shared" si="17"/>
        <v>1</v>
      </c>
      <c r="G82" s="45">
        <f t="shared" si="17"/>
        <v>1</v>
      </c>
      <c r="H82" s="45">
        <f t="shared" si="17"/>
        <v>1</v>
      </c>
      <c r="I82" s="45">
        <f t="shared" si="17"/>
        <v>1</v>
      </c>
      <c r="J82" s="45">
        <f t="shared" si="17"/>
        <v>1</v>
      </c>
      <c r="K82" s="45">
        <f t="shared" si="17"/>
        <v>1.04629021667761</v>
      </c>
      <c r="L82" s="45">
        <f t="shared" si="17"/>
        <v>1</v>
      </c>
      <c r="M82" s="45">
        <f t="shared" si="17"/>
        <v>1</v>
      </c>
      <c r="N82" s="45">
        <f t="shared" si="17"/>
        <v>1</v>
      </c>
      <c r="O82" s="45">
        <f t="shared" si="17"/>
        <v>1</v>
      </c>
      <c r="P82" s="45">
        <f t="shared" si="17"/>
        <v>1</v>
      </c>
      <c r="Q82" s="45">
        <f t="shared" si="17"/>
        <v>1</v>
      </c>
      <c r="AE82" s="43">
        <f t="shared" ref="AE82:AE132" si="18">A82</f>
        <v>44501</v>
      </c>
      <c r="AF82" s="45">
        <f t="shared" ref="AF82:AF132" si="19">J82</f>
        <v>1</v>
      </c>
      <c r="AG82" s="45">
        <f t="shared" ref="AG82:AG132" si="20">K82</f>
        <v>1.04629021667761</v>
      </c>
      <c r="AH82" s="45">
        <f t="shared" ref="AH82:AH132" si="21">L82</f>
        <v>1</v>
      </c>
      <c r="AI82" s="45">
        <f t="shared" ref="AI82:AI132" si="22">M82</f>
        <v>1</v>
      </c>
      <c r="AJ82" s="45">
        <f t="shared" ref="AJ82:AJ132" si="23">N82</f>
        <v>1</v>
      </c>
      <c r="AK82" s="45">
        <f t="shared" ref="AK82:AK132" si="24">O82</f>
        <v>1</v>
      </c>
      <c r="AL82" s="45">
        <f t="shared" ref="AL82:AL132" si="25">P82</f>
        <v>1</v>
      </c>
      <c r="AM82" s="45">
        <f t="shared" ref="AM82:AM132" si="26">Q82</f>
        <v>1</v>
      </c>
    </row>
    <row r="83" spans="1:39" x14ac:dyDescent="0.25">
      <c r="A83" s="43">
        <f t="shared" si="16"/>
        <v>44531</v>
      </c>
      <c r="B83" s="45">
        <f t="shared" ref="B83:Q83" si="27">B21/B$19</f>
        <v>1.0302444413755005</v>
      </c>
      <c r="C83" s="45">
        <f t="shared" si="27"/>
        <v>1.0100168600614896</v>
      </c>
      <c r="D83" s="45">
        <f t="shared" si="27"/>
        <v>0.99803204947989876</v>
      </c>
      <c r="E83" s="45">
        <f t="shared" si="27"/>
        <v>1.0019022708358103</v>
      </c>
      <c r="F83" s="45">
        <f t="shared" si="27"/>
        <v>1</v>
      </c>
      <c r="G83" s="45">
        <f t="shared" si="27"/>
        <v>1</v>
      </c>
      <c r="H83" s="45">
        <f t="shared" si="27"/>
        <v>1</v>
      </c>
      <c r="I83" s="45">
        <f t="shared" si="27"/>
        <v>1.0050706265845708</v>
      </c>
      <c r="J83" s="45">
        <f t="shared" si="27"/>
        <v>1.0238999015886405</v>
      </c>
      <c r="K83" s="45">
        <f t="shared" si="27"/>
        <v>1.0804333552199605</v>
      </c>
      <c r="L83" s="45">
        <f t="shared" si="27"/>
        <v>1.016648955012398</v>
      </c>
      <c r="M83" s="45">
        <f t="shared" si="27"/>
        <v>1</v>
      </c>
      <c r="N83" s="45">
        <f t="shared" si="27"/>
        <v>1</v>
      </c>
      <c r="O83" s="45">
        <f t="shared" si="27"/>
        <v>1.0109395891576518</v>
      </c>
      <c r="P83" s="45">
        <f t="shared" si="27"/>
        <v>1.0217951722521679</v>
      </c>
      <c r="Q83" s="45">
        <f t="shared" si="27"/>
        <v>1</v>
      </c>
      <c r="AE83" s="43">
        <f t="shared" si="18"/>
        <v>44531</v>
      </c>
      <c r="AF83" s="45">
        <f t="shared" si="19"/>
        <v>1.0238999015886405</v>
      </c>
      <c r="AG83" s="45">
        <f t="shared" si="20"/>
        <v>1.0804333552199605</v>
      </c>
      <c r="AH83" s="45">
        <f t="shared" si="21"/>
        <v>1.016648955012398</v>
      </c>
      <c r="AI83" s="45">
        <f t="shared" si="22"/>
        <v>1</v>
      </c>
      <c r="AJ83" s="45">
        <f t="shared" si="23"/>
        <v>1</v>
      </c>
      <c r="AK83" s="45">
        <f t="shared" si="24"/>
        <v>1.0109395891576518</v>
      </c>
      <c r="AL83" s="45">
        <f t="shared" si="25"/>
        <v>1.0217951722521679</v>
      </c>
      <c r="AM83" s="45">
        <f t="shared" si="26"/>
        <v>1</v>
      </c>
    </row>
    <row r="84" spans="1:39" x14ac:dyDescent="0.25">
      <c r="A84" s="43">
        <f t="shared" si="16"/>
        <v>44562</v>
      </c>
      <c r="B84" s="45">
        <f t="shared" ref="B84:Q84" si="28">B22/B$19</f>
        <v>1.028172904294987</v>
      </c>
      <c r="C84" s="45">
        <f t="shared" si="28"/>
        <v>1.0028761281364673</v>
      </c>
      <c r="D84" s="45">
        <f t="shared" si="28"/>
        <v>0.99803204947989876</v>
      </c>
      <c r="E84" s="45">
        <f t="shared" si="28"/>
        <v>1.0019022708358103</v>
      </c>
      <c r="F84" s="45">
        <f t="shared" si="28"/>
        <v>1</v>
      </c>
      <c r="G84" s="45">
        <f t="shared" si="28"/>
        <v>1</v>
      </c>
      <c r="H84" s="45">
        <f t="shared" si="28"/>
        <v>1</v>
      </c>
      <c r="I84" s="45">
        <f t="shared" si="28"/>
        <v>1.0626584570807678</v>
      </c>
      <c r="J84" s="45">
        <f t="shared" si="28"/>
        <v>1.0238999015886405</v>
      </c>
      <c r="K84" s="45">
        <f t="shared" si="28"/>
        <v>1.0986539724228497</v>
      </c>
      <c r="L84" s="45">
        <f t="shared" si="28"/>
        <v>1.016648955012398</v>
      </c>
      <c r="M84" s="45">
        <f t="shared" si="28"/>
        <v>1</v>
      </c>
      <c r="N84" s="45">
        <f t="shared" si="28"/>
        <v>1</v>
      </c>
      <c r="O84" s="45">
        <f t="shared" si="28"/>
        <v>1.0193266075118512</v>
      </c>
      <c r="P84" s="45">
        <f t="shared" si="28"/>
        <v>1.0217951722521679</v>
      </c>
      <c r="Q84" s="45">
        <f t="shared" si="28"/>
        <v>1</v>
      </c>
      <c r="AE84" s="43">
        <f t="shared" si="18"/>
        <v>44562</v>
      </c>
      <c r="AF84" s="45">
        <f t="shared" si="19"/>
        <v>1.0238999015886405</v>
      </c>
      <c r="AG84" s="45">
        <f t="shared" si="20"/>
        <v>1.0986539724228497</v>
      </c>
      <c r="AH84" s="45">
        <f t="shared" si="21"/>
        <v>1.016648955012398</v>
      </c>
      <c r="AI84" s="45">
        <f t="shared" si="22"/>
        <v>1</v>
      </c>
      <c r="AJ84" s="45">
        <f t="shared" si="23"/>
        <v>1</v>
      </c>
      <c r="AK84" s="45">
        <f t="shared" si="24"/>
        <v>1.0193266075118512</v>
      </c>
      <c r="AL84" s="45">
        <f t="shared" si="25"/>
        <v>1.0217951722521679</v>
      </c>
      <c r="AM84" s="45">
        <f t="shared" si="26"/>
        <v>1</v>
      </c>
    </row>
    <row r="85" spans="1:39" x14ac:dyDescent="0.25">
      <c r="A85" s="43">
        <f t="shared" si="16"/>
        <v>44593</v>
      </c>
      <c r="B85" s="45">
        <f t="shared" ref="B85:Q85" si="29">B23/B$19</f>
        <v>1.028172904294987</v>
      </c>
      <c r="C85" s="45">
        <f t="shared" si="29"/>
        <v>0.99434692055935736</v>
      </c>
      <c r="D85" s="45">
        <f t="shared" si="29"/>
        <v>0.98608377846499862</v>
      </c>
      <c r="E85" s="45">
        <f t="shared" si="29"/>
        <v>1.0019022708358103</v>
      </c>
      <c r="F85" s="45">
        <f t="shared" si="29"/>
        <v>1</v>
      </c>
      <c r="G85" s="45">
        <f t="shared" si="29"/>
        <v>1</v>
      </c>
      <c r="H85" s="45">
        <f t="shared" si="29"/>
        <v>1</v>
      </c>
      <c r="I85" s="45">
        <f t="shared" si="29"/>
        <v>1.0626584570807678</v>
      </c>
      <c r="J85" s="45">
        <f t="shared" si="29"/>
        <v>1.0238999015886405</v>
      </c>
      <c r="K85" s="45">
        <f t="shared" si="29"/>
        <v>1.1370650032829941</v>
      </c>
      <c r="L85" s="45">
        <f t="shared" si="29"/>
        <v>1.016648955012398</v>
      </c>
      <c r="M85" s="45">
        <f t="shared" si="29"/>
        <v>1</v>
      </c>
      <c r="N85" s="45">
        <f t="shared" si="29"/>
        <v>1</v>
      </c>
      <c r="O85" s="45">
        <f t="shared" si="29"/>
        <v>1.0193266075118512</v>
      </c>
      <c r="P85" s="45">
        <f t="shared" si="29"/>
        <v>1.0217951722521679</v>
      </c>
      <c r="Q85" s="45">
        <f t="shared" si="29"/>
        <v>1</v>
      </c>
      <c r="AE85" s="43">
        <f t="shared" si="18"/>
        <v>44593</v>
      </c>
      <c r="AF85" s="45">
        <f t="shared" si="19"/>
        <v>1.0238999015886405</v>
      </c>
      <c r="AG85" s="45">
        <f t="shared" si="20"/>
        <v>1.1370650032829941</v>
      </c>
      <c r="AH85" s="45">
        <f t="shared" si="21"/>
        <v>1.016648955012398</v>
      </c>
      <c r="AI85" s="45">
        <f t="shared" si="22"/>
        <v>1</v>
      </c>
      <c r="AJ85" s="45">
        <f t="shared" si="23"/>
        <v>1</v>
      </c>
      <c r="AK85" s="45">
        <f t="shared" si="24"/>
        <v>1.0193266075118512</v>
      </c>
      <c r="AL85" s="45">
        <f t="shared" si="25"/>
        <v>1.0217951722521679</v>
      </c>
      <c r="AM85" s="45">
        <f t="shared" si="26"/>
        <v>1</v>
      </c>
    </row>
    <row r="86" spans="1:39" x14ac:dyDescent="0.25">
      <c r="A86" s="43">
        <f t="shared" si="16"/>
        <v>44621</v>
      </c>
      <c r="B86" s="45">
        <f t="shared" ref="B86:Q86" si="30">B24/B$19</f>
        <v>1.0262394696865074</v>
      </c>
      <c r="C86" s="45">
        <f t="shared" si="30"/>
        <v>0.99434692055935736</v>
      </c>
      <c r="D86" s="45">
        <f t="shared" si="30"/>
        <v>0.98608377846499862</v>
      </c>
      <c r="E86" s="45">
        <f t="shared" si="30"/>
        <v>1.0019022708358103</v>
      </c>
      <c r="F86" s="45">
        <f t="shared" si="30"/>
        <v>1</v>
      </c>
      <c r="G86" s="45">
        <f t="shared" si="30"/>
        <v>1</v>
      </c>
      <c r="H86" s="45">
        <f t="shared" si="30"/>
        <v>1</v>
      </c>
      <c r="I86" s="45">
        <f t="shared" si="30"/>
        <v>1.0626584570807678</v>
      </c>
      <c r="J86" s="45">
        <f t="shared" si="30"/>
        <v>1.0238999015886405</v>
      </c>
      <c r="K86" s="45">
        <f t="shared" si="30"/>
        <v>1.1367367038739329</v>
      </c>
      <c r="L86" s="45">
        <f t="shared" si="30"/>
        <v>1.0257409375368993</v>
      </c>
      <c r="M86" s="45">
        <f t="shared" si="30"/>
        <v>1</v>
      </c>
      <c r="N86" s="45">
        <f t="shared" si="30"/>
        <v>1</v>
      </c>
      <c r="O86" s="45">
        <f t="shared" si="30"/>
        <v>1.051051416069041</v>
      </c>
      <c r="P86" s="45">
        <f t="shared" si="30"/>
        <v>1.0441762362315443</v>
      </c>
      <c r="Q86" s="45">
        <f t="shared" si="30"/>
        <v>1</v>
      </c>
      <c r="AE86" s="43">
        <f t="shared" si="18"/>
        <v>44621</v>
      </c>
      <c r="AF86" s="45">
        <f t="shared" si="19"/>
        <v>1.0238999015886405</v>
      </c>
      <c r="AG86" s="45">
        <f t="shared" si="20"/>
        <v>1.1367367038739329</v>
      </c>
      <c r="AH86" s="45">
        <f t="shared" si="21"/>
        <v>1.0257409375368993</v>
      </c>
      <c r="AI86" s="45">
        <f t="shared" si="22"/>
        <v>1</v>
      </c>
      <c r="AJ86" s="45">
        <f t="shared" si="23"/>
        <v>1</v>
      </c>
      <c r="AK86" s="45">
        <f t="shared" si="24"/>
        <v>1.051051416069041</v>
      </c>
      <c r="AL86" s="45">
        <f t="shared" si="25"/>
        <v>1.0441762362315443</v>
      </c>
      <c r="AM86" s="45">
        <f t="shared" si="26"/>
        <v>1</v>
      </c>
    </row>
    <row r="87" spans="1:39" x14ac:dyDescent="0.25">
      <c r="A87" s="43">
        <f t="shared" si="16"/>
        <v>44652</v>
      </c>
      <c r="B87" s="45">
        <f t="shared" ref="B87:Q87" si="31">B25/B$19</f>
        <v>1.0082861483220551</v>
      </c>
      <c r="C87" s="45">
        <f t="shared" si="31"/>
        <v>0.99563621937915303</v>
      </c>
      <c r="D87" s="45">
        <f t="shared" si="31"/>
        <v>0.99030081529378688</v>
      </c>
      <c r="E87" s="45">
        <f t="shared" si="31"/>
        <v>1.0034478658899062</v>
      </c>
      <c r="F87" s="45">
        <f t="shared" si="31"/>
        <v>1</v>
      </c>
      <c r="G87" s="45">
        <f t="shared" si="31"/>
        <v>1</v>
      </c>
      <c r="H87" s="45">
        <f t="shared" si="31"/>
        <v>1</v>
      </c>
      <c r="I87" s="45">
        <f t="shared" si="31"/>
        <v>1.0626584570807678</v>
      </c>
      <c r="J87" s="45">
        <f t="shared" si="31"/>
        <v>1.0165893434556448</v>
      </c>
      <c r="K87" s="45">
        <f t="shared" si="31"/>
        <v>1.1367367038739329</v>
      </c>
      <c r="L87" s="45">
        <f t="shared" si="31"/>
        <v>1.0257409375368993</v>
      </c>
      <c r="M87" s="45">
        <f t="shared" si="31"/>
        <v>1</v>
      </c>
      <c r="N87" s="45">
        <f t="shared" si="31"/>
        <v>1</v>
      </c>
      <c r="O87" s="45">
        <f t="shared" si="31"/>
        <v>1.051051416069041</v>
      </c>
      <c r="P87" s="45">
        <f t="shared" si="31"/>
        <v>1.0441762362315443</v>
      </c>
      <c r="Q87" s="45">
        <f t="shared" si="31"/>
        <v>1</v>
      </c>
      <c r="AE87" s="43">
        <f t="shared" si="18"/>
        <v>44652</v>
      </c>
      <c r="AF87" s="45">
        <f t="shared" si="19"/>
        <v>1.0165893434556448</v>
      </c>
      <c r="AG87" s="45">
        <f t="shared" si="20"/>
        <v>1.1367367038739329</v>
      </c>
      <c r="AH87" s="45">
        <f t="shared" si="21"/>
        <v>1.0257409375368993</v>
      </c>
      <c r="AI87" s="45">
        <f t="shared" si="22"/>
        <v>1</v>
      </c>
      <c r="AJ87" s="45">
        <f t="shared" si="23"/>
        <v>1</v>
      </c>
      <c r="AK87" s="45">
        <f t="shared" si="24"/>
        <v>1.051051416069041</v>
      </c>
      <c r="AL87" s="45">
        <f t="shared" si="25"/>
        <v>1.0441762362315443</v>
      </c>
      <c r="AM87" s="45">
        <f t="shared" si="26"/>
        <v>1</v>
      </c>
    </row>
    <row r="88" spans="1:39" x14ac:dyDescent="0.25">
      <c r="A88" s="43">
        <f t="shared" si="16"/>
        <v>44682</v>
      </c>
      <c r="B88" s="45">
        <f t="shared" ref="B88:Q88" si="32">B26/B$19</f>
        <v>1.0142245546195277</v>
      </c>
      <c r="C88" s="45">
        <f t="shared" si="32"/>
        <v>0.99186749975205801</v>
      </c>
      <c r="D88" s="45">
        <f t="shared" si="32"/>
        <v>0.98509980320494794</v>
      </c>
      <c r="E88" s="45">
        <f t="shared" si="32"/>
        <v>1.0170015455950541</v>
      </c>
      <c r="F88" s="45">
        <f t="shared" si="32"/>
        <v>1</v>
      </c>
      <c r="G88" s="45">
        <f t="shared" si="32"/>
        <v>1</v>
      </c>
      <c r="H88" s="45">
        <f t="shared" si="32"/>
        <v>1</v>
      </c>
      <c r="I88" s="45">
        <f t="shared" si="32"/>
        <v>1.0626584570807678</v>
      </c>
      <c r="J88" s="45">
        <f t="shared" si="32"/>
        <v>0.99803177281034727</v>
      </c>
      <c r="K88" s="45">
        <f t="shared" si="32"/>
        <v>1.0868351936966512</v>
      </c>
      <c r="L88" s="45">
        <f t="shared" si="32"/>
        <v>1.0257409375368993</v>
      </c>
      <c r="M88" s="45">
        <f t="shared" si="32"/>
        <v>0.98850415512465373</v>
      </c>
      <c r="N88" s="45">
        <f t="shared" si="32"/>
        <v>1</v>
      </c>
      <c r="O88" s="45">
        <f t="shared" si="32"/>
        <v>1.051051416069041</v>
      </c>
      <c r="P88" s="45">
        <f t="shared" si="32"/>
        <v>1.0441762362315443</v>
      </c>
      <c r="Q88" s="45">
        <f t="shared" si="32"/>
        <v>1</v>
      </c>
      <c r="AE88" s="43">
        <f t="shared" si="18"/>
        <v>44682</v>
      </c>
      <c r="AF88" s="45">
        <f t="shared" si="19"/>
        <v>0.99803177281034727</v>
      </c>
      <c r="AG88" s="45">
        <f t="shared" si="20"/>
        <v>1.0868351936966512</v>
      </c>
      <c r="AH88" s="45">
        <f t="shared" si="21"/>
        <v>1.0257409375368993</v>
      </c>
      <c r="AI88" s="45">
        <f t="shared" si="22"/>
        <v>0.98850415512465373</v>
      </c>
      <c r="AJ88" s="45">
        <f t="shared" si="23"/>
        <v>1</v>
      </c>
      <c r="AK88" s="45">
        <f t="shared" si="24"/>
        <v>1.051051416069041</v>
      </c>
      <c r="AL88" s="45">
        <f t="shared" si="25"/>
        <v>1.0441762362315443</v>
      </c>
      <c r="AM88" s="45">
        <f t="shared" si="26"/>
        <v>1</v>
      </c>
    </row>
    <row r="89" spans="1:39" x14ac:dyDescent="0.25">
      <c r="A89" s="43">
        <f t="shared" si="16"/>
        <v>44713</v>
      </c>
      <c r="B89" s="45">
        <f t="shared" ref="B89:Q89" si="33">B27/B$19</f>
        <v>1.0734705151222208</v>
      </c>
      <c r="C89" s="45">
        <f t="shared" si="33"/>
        <v>0.98750371913121093</v>
      </c>
      <c r="D89" s="45">
        <f t="shared" si="33"/>
        <v>1.0219285915096992</v>
      </c>
      <c r="E89" s="45">
        <f t="shared" si="33"/>
        <v>1.0356675781714422</v>
      </c>
      <c r="F89" s="45">
        <f t="shared" si="33"/>
        <v>1</v>
      </c>
      <c r="G89" s="45">
        <f t="shared" si="33"/>
        <v>1</v>
      </c>
      <c r="H89" s="45">
        <f t="shared" si="33"/>
        <v>1</v>
      </c>
      <c r="I89" s="45">
        <f t="shared" si="33"/>
        <v>1.0824580466014728</v>
      </c>
      <c r="J89" s="45">
        <f t="shared" si="33"/>
        <v>1.0255869534654858</v>
      </c>
      <c r="K89" s="45">
        <f t="shared" si="33"/>
        <v>1.1388706500328298</v>
      </c>
      <c r="L89" s="45">
        <f t="shared" si="33"/>
        <v>1.0427441256346677</v>
      </c>
      <c r="M89" s="45">
        <f t="shared" si="33"/>
        <v>1.0196675900277008</v>
      </c>
      <c r="N89" s="45">
        <f t="shared" si="33"/>
        <v>1</v>
      </c>
      <c r="O89" s="45">
        <f t="shared" si="33"/>
        <v>1.0611401482922087</v>
      </c>
      <c r="P89" s="45">
        <f t="shared" si="33"/>
        <v>1.019685962034216</v>
      </c>
      <c r="Q89" s="45">
        <f t="shared" si="33"/>
        <v>1</v>
      </c>
      <c r="AE89" s="43">
        <f t="shared" si="18"/>
        <v>44713</v>
      </c>
      <c r="AF89" s="45">
        <f t="shared" si="19"/>
        <v>1.0255869534654858</v>
      </c>
      <c r="AG89" s="45">
        <f t="shared" si="20"/>
        <v>1.1388706500328298</v>
      </c>
      <c r="AH89" s="45">
        <f t="shared" si="21"/>
        <v>1.0427441256346677</v>
      </c>
      <c r="AI89" s="45">
        <f t="shared" si="22"/>
        <v>1.0196675900277008</v>
      </c>
      <c r="AJ89" s="45">
        <f t="shared" si="23"/>
        <v>1</v>
      </c>
      <c r="AK89" s="45">
        <f t="shared" si="24"/>
        <v>1.0611401482922087</v>
      </c>
      <c r="AL89" s="45">
        <f t="shared" si="25"/>
        <v>1.019685962034216</v>
      </c>
      <c r="AM89" s="45">
        <f t="shared" si="26"/>
        <v>1</v>
      </c>
    </row>
    <row r="90" spans="1:39" x14ac:dyDescent="0.25">
      <c r="A90" s="43">
        <f t="shared" si="16"/>
        <v>44743</v>
      </c>
      <c r="B90" s="45">
        <f t="shared" ref="B90:Q90" si="34">B28/B$19</f>
        <v>1.2757906366523961</v>
      </c>
      <c r="C90" s="45">
        <f t="shared" si="34"/>
        <v>1.0616879896856095</v>
      </c>
      <c r="D90" s="45">
        <f t="shared" si="34"/>
        <v>1.1855496204666855</v>
      </c>
      <c r="E90" s="45">
        <f t="shared" si="34"/>
        <v>1.1281654975627156</v>
      </c>
      <c r="F90" s="45">
        <f t="shared" si="34"/>
        <v>0.15673289183222958</v>
      </c>
      <c r="G90" s="45">
        <f t="shared" si="34"/>
        <v>1.1191056010626521</v>
      </c>
      <c r="H90" s="45">
        <f t="shared" si="34"/>
        <v>1.0299684542586751</v>
      </c>
      <c r="I90" s="45">
        <f t="shared" si="34"/>
        <v>1.0691778341180731</v>
      </c>
      <c r="J90" s="45">
        <f t="shared" si="34"/>
        <v>1.1509911429776467</v>
      </c>
      <c r="K90" s="45">
        <f t="shared" si="34"/>
        <v>1.2585357846355876</v>
      </c>
      <c r="L90" s="45">
        <f t="shared" si="34"/>
        <v>1.1088676349037667</v>
      </c>
      <c r="M90" s="45">
        <f t="shared" si="34"/>
        <v>1.1698060941828254</v>
      </c>
      <c r="N90" s="45">
        <f t="shared" si="34"/>
        <v>1.0303177888713018</v>
      </c>
      <c r="O90" s="45">
        <f t="shared" si="34"/>
        <v>1.064422025039504</v>
      </c>
      <c r="P90" s="45">
        <f t="shared" si="34"/>
        <v>1.019685962034216</v>
      </c>
      <c r="Q90" s="45">
        <f t="shared" si="34"/>
        <v>1.0380015944724954</v>
      </c>
      <c r="AE90" s="43">
        <f t="shared" si="18"/>
        <v>44743</v>
      </c>
      <c r="AF90" s="45">
        <f t="shared" si="19"/>
        <v>1.1509911429776467</v>
      </c>
      <c r="AG90" s="45">
        <f t="shared" si="20"/>
        <v>1.2585357846355876</v>
      </c>
      <c r="AH90" s="45">
        <f t="shared" si="21"/>
        <v>1.1088676349037667</v>
      </c>
      <c r="AI90" s="45">
        <f t="shared" si="22"/>
        <v>1.1698060941828254</v>
      </c>
      <c r="AJ90" s="45">
        <f t="shared" si="23"/>
        <v>1.0303177888713018</v>
      </c>
      <c r="AK90" s="45">
        <f t="shared" si="24"/>
        <v>1.064422025039504</v>
      </c>
      <c r="AL90" s="45">
        <f t="shared" si="25"/>
        <v>1.019685962034216</v>
      </c>
      <c r="AM90" s="45">
        <f t="shared" si="26"/>
        <v>1.0380015944724954</v>
      </c>
    </row>
    <row r="91" spans="1:39" x14ac:dyDescent="0.25">
      <c r="A91" s="43">
        <f t="shared" si="16"/>
        <v>44774</v>
      </c>
      <c r="B91" s="45">
        <f t="shared" ref="B91:Q91" si="35">B29/B$19</f>
        <v>1.2854578096947935</v>
      </c>
      <c r="C91" s="45">
        <f t="shared" si="35"/>
        <v>1.0722999107408511</v>
      </c>
      <c r="D91" s="45">
        <f t="shared" si="35"/>
        <v>1.238403148720832</v>
      </c>
      <c r="E91" s="45">
        <f t="shared" si="35"/>
        <v>1.1509927475924384</v>
      </c>
      <c r="F91" s="45">
        <f t="shared" si="35"/>
        <v>0.15673289183222958</v>
      </c>
      <c r="G91" s="45">
        <f t="shared" si="35"/>
        <v>1.1191056010626521</v>
      </c>
      <c r="H91" s="45">
        <f t="shared" si="35"/>
        <v>1.0299684542586751</v>
      </c>
      <c r="I91" s="45">
        <f t="shared" si="35"/>
        <v>1.0769045031993241</v>
      </c>
      <c r="J91" s="45">
        <f t="shared" si="35"/>
        <v>1.1509911429776467</v>
      </c>
      <c r="K91" s="45">
        <f t="shared" si="35"/>
        <v>1.2849638870650033</v>
      </c>
      <c r="L91" s="45">
        <f t="shared" si="35"/>
        <v>1.1088676349037667</v>
      </c>
      <c r="M91" s="45">
        <f t="shared" si="35"/>
        <v>1.1613573407202216</v>
      </c>
      <c r="N91" s="45">
        <f t="shared" si="35"/>
        <v>1.0303177888713018</v>
      </c>
      <c r="O91" s="45">
        <f t="shared" si="35"/>
        <v>1.064422025039504</v>
      </c>
      <c r="P91" s="45">
        <f t="shared" si="35"/>
        <v>1.019685962034216</v>
      </c>
      <c r="Q91" s="45">
        <f t="shared" si="35"/>
        <v>1.0665692266808395</v>
      </c>
      <c r="AE91" s="43">
        <f t="shared" si="18"/>
        <v>44774</v>
      </c>
      <c r="AF91" s="45">
        <f t="shared" si="19"/>
        <v>1.1509911429776467</v>
      </c>
      <c r="AG91" s="45">
        <f t="shared" si="20"/>
        <v>1.2849638870650033</v>
      </c>
      <c r="AH91" s="45">
        <f t="shared" si="21"/>
        <v>1.1088676349037667</v>
      </c>
      <c r="AI91" s="45">
        <f t="shared" si="22"/>
        <v>1.1613573407202216</v>
      </c>
      <c r="AJ91" s="45">
        <f t="shared" si="23"/>
        <v>1.0303177888713018</v>
      </c>
      <c r="AK91" s="45">
        <f t="shared" si="24"/>
        <v>1.064422025039504</v>
      </c>
      <c r="AL91" s="45">
        <f t="shared" si="25"/>
        <v>1.019685962034216</v>
      </c>
      <c r="AM91" s="45">
        <f t="shared" si="26"/>
        <v>1.0665692266808395</v>
      </c>
    </row>
    <row r="92" spans="1:39" x14ac:dyDescent="0.25">
      <c r="A92" s="43">
        <f t="shared" si="16"/>
        <v>44805</v>
      </c>
      <c r="B92" s="45">
        <f t="shared" ref="B92:Q92" si="36">B30/B$19</f>
        <v>1.2760668415964647</v>
      </c>
      <c r="C92" s="45">
        <f t="shared" si="36"/>
        <v>1.0722999107408511</v>
      </c>
      <c r="D92" s="45">
        <f t="shared" si="36"/>
        <v>0.78029238122012934</v>
      </c>
      <c r="E92" s="45">
        <f t="shared" si="36"/>
        <v>1.1546783973368209</v>
      </c>
      <c r="F92" s="45">
        <f t="shared" si="36"/>
        <v>0.15673289183222958</v>
      </c>
      <c r="G92" s="45">
        <f t="shared" si="36"/>
        <v>1.1191056010626521</v>
      </c>
      <c r="H92" s="45">
        <f t="shared" si="36"/>
        <v>1.0299684542586751</v>
      </c>
      <c r="I92" s="45">
        <f t="shared" si="36"/>
        <v>1.0818544005795001</v>
      </c>
      <c r="J92" s="45">
        <f t="shared" si="36"/>
        <v>1.161675804864333</v>
      </c>
      <c r="K92" s="45">
        <f t="shared" si="36"/>
        <v>1.2849638870650033</v>
      </c>
      <c r="L92" s="45">
        <f t="shared" si="36"/>
        <v>1.1115834218916048</v>
      </c>
      <c r="M92" s="45">
        <f t="shared" si="36"/>
        <v>1.1854570637119113</v>
      </c>
      <c r="N92" s="45">
        <f t="shared" si="36"/>
        <v>1.0303177888713018</v>
      </c>
      <c r="O92" s="45">
        <f t="shared" si="36"/>
        <v>1.0765771241035613</v>
      </c>
      <c r="P92" s="45">
        <f t="shared" si="36"/>
        <v>1.0332786501054605</v>
      </c>
      <c r="Q92" s="45">
        <f t="shared" si="36"/>
        <v>1.0665692266808395</v>
      </c>
      <c r="AE92" s="43">
        <f t="shared" si="18"/>
        <v>44805</v>
      </c>
      <c r="AF92" s="45">
        <f t="shared" si="19"/>
        <v>1.161675804864333</v>
      </c>
      <c r="AG92" s="45">
        <f t="shared" si="20"/>
        <v>1.2849638870650033</v>
      </c>
      <c r="AH92" s="45">
        <f t="shared" si="21"/>
        <v>1.1115834218916048</v>
      </c>
      <c r="AI92" s="45">
        <f t="shared" si="22"/>
        <v>1.1854570637119113</v>
      </c>
      <c r="AJ92" s="45">
        <f t="shared" si="23"/>
        <v>1.0303177888713018</v>
      </c>
      <c r="AK92" s="45">
        <f t="shared" si="24"/>
        <v>1.0765771241035613</v>
      </c>
      <c r="AL92" s="45">
        <f t="shared" si="25"/>
        <v>1.0332786501054605</v>
      </c>
      <c r="AM92" s="45">
        <f t="shared" si="26"/>
        <v>1.0665692266808395</v>
      </c>
    </row>
    <row r="93" spans="1:39" x14ac:dyDescent="0.25">
      <c r="A93" s="43">
        <f t="shared" si="16"/>
        <v>44835</v>
      </c>
      <c r="B93" s="45">
        <f t="shared" ref="B93:Q93" si="37">B31/B$19</f>
        <v>1.2883579616075129</v>
      </c>
      <c r="C93" s="45">
        <f t="shared" si="37"/>
        <v>1.0681344837845879</v>
      </c>
      <c r="D93" s="45">
        <f t="shared" si="37"/>
        <v>0.79744166432386843</v>
      </c>
      <c r="E93" s="45">
        <f t="shared" si="37"/>
        <v>1.160622993698728</v>
      </c>
      <c r="F93" s="45">
        <f t="shared" si="37"/>
        <v>0.98145695364238417</v>
      </c>
      <c r="G93" s="45">
        <f t="shared" si="37"/>
        <v>1.0272304626964799</v>
      </c>
      <c r="H93" s="45">
        <f t="shared" si="37"/>
        <v>1.0299684542586751</v>
      </c>
      <c r="I93" s="45">
        <f t="shared" si="37"/>
        <v>1.0890981528431727</v>
      </c>
      <c r="J93" s="45">
        <f t="shared" si="37"/>
        <v>1.1647687333052157</v>
      </c>
      <c r="K93" s="45">
        <f t="shared" si="37"/>
        <v>1.2206172028890347</v>
      </c>
      <c r="L93" s="45">
        <f t="shared" si="37"/>
        <v>1.1137088204038257</v>
      </c>
      <c r="M93" s="45">
        <f t="shared" si="37"/>
        <v>1.1695290858725762</v>
      </c>
      <c r="N93" s="45">
        <f t="shared" si="37"/>
        <v>1.0303177888713018</v>
      </c>
      <c r="O93" s="45">
        <f t="shared" si="37"/>
        <v>1.0765771241035613</v>
      </c>
      <c r="P93" s="45">
        <f t="shared" si="37"/>
        <v>1.0332786501054605</v>
      </c>
      <c r="Q93" s="45">
        <f t="shared" si="37"/>
        <v>1.0665692266808395</v>
      </c>
      <c r="AE93" s="43">
        <f t="shared" si="18"/>
        <v>44835</v>
      </c>
      <c r="AF93" s="45">
        <f t="shared" si="19"/>
        <v>1.1647687333052157</v>
      </c>
      <c r="AG93" s="45">
        <f t="shared" si="20"/>
        <v>1.2206172028890347</v>
      </c>
      <c r="AH93" s="45">
        <f t="shared" si="21"/>
        <v>1.1137088204038257</v>
      </c>
      <c r="AI93" s="45">
        <f t="shared" si="22"/>
        <v>1.1695290858725762</v>
      </c>
      <c r="AJ93" s="45">
        <f t="shared" si="23"/>
        <v>1.0303177888713018</v>
      </c>
      <c r="AK93" s="45">
        <f t="shared" si="24"/>
        <v>1.0765771241035613</v>
      </c>
      <c r="AL93" s="45">
        <f t="shared" si="25"/>
        <v>1.0332786501054605</v>
      </c>
      <c r="AM93" s="45">
        <f t="shared" si="26"/>
        <v>1.0665692266808395</v>
      </c>
    </row>
    <row r="94" spans="1:39" x14ac:dyDescent="0.25">
      <c r="A94" s="43">
        <f t="shared" si="16"/>
        <v>44866</v>
      </c>
      <c r="B94" s="45">
        <f t="shared" ref="B94:Q94" si="38">B32/B$19</f>
        <v>1.2942963679049855</v>
      </c>
      <c r="C94" s="45">
        <f t="shared" si="38"/>
        <v>1.0681344837845879</v>
      </c>
      <c r="D94" s="45">
        <f t="shared" si="38"/>
        <v>0.77003092493674441</v>
      </c>
      <c r="E94" s="45">
        <f t="shared" si="38"/>
        <v>1.1517060991558674</v>
      </c>
      <c r="F94" s="45">
        <f t="shared" si="38"/>
        <v>0.98145695364238417</v>
      </c>
      <c r="G94" s="45">
        <f t="shared" si="38"/>
        <v>1.0272304626964799</v>
      </c>
      <c r="H94" s="45">
        <f t="shared" si="38"/>
        <v>1.0299684542586751</v>
      </c>
      <c r="I94" s="45">
        <f t="shared" si="38"/>
        <v>1.0798020041047929</v>
      </c>
      <c r="J94" s="45">
        <f t="shared" si="38"/>
        <v>1.1602699283002953</v>
      </c>
      <c r="K94" s="45">
        <f t="shared" si="38"/>
        <v>1.2769205515430073</v>
      </c>
      <c r="L94" s="45">
        <f t="shared" si="38"/>
        <v>1.1105207226354941</v>
      </c>
      <c r="M94" s="45">
        <f t="shared" si="38"/>
        <v>1.1656509695290858</v>
      </c>
      <c r="N94" s="45">
        <f t="shared" si="38"/>
        <v>1.0303177888713018</v>
      </c>
      <c r="O94" s="45">
        <f t="shared" si="38"/>
        <v>1.0765771241035613</v>
      </c>
      <c r="P94" s="45">
        <f t="shared" si="38"/>
        <v>1.0332786501054605</v>
      </c>
      <c r="Q94" s="45">
        <f t="shared" si="38"/>
        <v>1.0665692266808395</v>
      </c>
      <c r="AE94" s="43">
        <f t="shared" si="18"/>
        <v>44866</v>
      </c>
      <c r="AF94" s="45">
        <f t="shared" si="19"/>
        <v>1.1602699283002953</v>
      </c>
      <c r="AG94" s="45">
        <f t="shared" si="20"/>
        <v>1.2769205515430073</v>
      </c>
      <c r="AH94" s="45">
        <f t="shared" si="21"/>
        <v>1.1105207226354941</v>
      </c>
      <c r="AI94" s="45">
        <f t="shared" si="22"/>
        <v>1.1656509695290858</v>
      </c>
      <c r="AJ94" s="45">
        <f t="shared" si="23"/>
        <v>1.0303177888713018</v>
      </c>
      <c r="AK94" s="45">
        <f t="shared" si="24"/>
        <v>1.0765771241035613</v>
      </c>
      <c r="AL94" s="45">
        <f t="shared" si="25"/>
        <v>1.0332786501054605</v>
      </c>
      <c r="AM94" s="45">
        <f t="shared" si="26"/>
        <v>1.0665692266808395</v>
      </c>
    </row>
    <row r="95" spans="1:39" x14ac:dyDescent="0.25">
      <c r="A95" s="43">
        <f t="shared" si="16"/>
        <v>44896</v>
      </c>
      <c r="B95" s="45">
        <f t="shared" ref="B95:Q95" si="39">B33/B$19</f>
        <v>1.2942963679049855</v>
      </c>
      <c r="C95" s="45">
        <f t="shared" si="39"/>
        <v>1.0666468313002082</v>
      </c>
      <c r="D95" s="45">
        <f t="shared" si="39"/>
        <v>1.2395276918751759</v>
      </c>
      <c r="E95" s="45">
        <f t="shared" si="39"/>
        <v>1.1517060991558674</v>
      </c>
      <c r="F95" s="45">
        <f t="shared" si="39"/>
        <v>0.98145695364238417</v>
      </c>
      <c r="G95" s="45">
        <f t="shared" si="39"/>
        <v>1.0272304626964799</v>
      </c>
      <c r="H95" s="45">
        <f t="shared" si="39"/>
        <v>1.0299684542586751</v>
      </c>
      <c r="I95" s="45">
        <f t="shared" si="39"/>
        <v>1.0798020041047929</v>
      </c>
      <c r="J95" s="45">
        <f t="shared" si="39"/>
        <v>1.2006185856881768</v>
      </c>
      <c r="K95" s="45">
        <f t="shared" si="39"/>
        <v>1.3414313854235063</v>
      </c>
      <c r="L95" s="45">
        <f t="shared" si="39"/>
        <v>1.1376785925138742</v>
      </c>
      <c r="M95" s="45">
        <f t="shared" si="39"/>
        <v>1.1905817174515234</v>
      </c>
      <c r="N95" s="45">
        <f t="shared" si="39"/>
        <v>1.0303177888713018</v>
      </c>
      <c r="O95" s="45">
        <f t="shared" si="39"/>
        <v>1.0765771241035613</v>
      </c>
      <c r="P95" s="45">
        <f t="shared" si="39"/>
        <v>1.071010077337708</v>
      </c>
      <c r="Q95" s="45">
        <f t="shared" si="39"/>
        <v>1.0665692266808395</v>
      </c>
      <c r="AE95" s="43">
        <f t="shared" si="18"/>
        <v>44896</v>
      </c>
      <c r="AF95" s="45">
        <f t="shared" si="19"/>
        <v>1.2006185856881768</v>
      </c>
      <c r="AG95" s="45">
        <f t="shared" si="20"/>
        <v>1.3414313854235063</v>
      </c>
      <c r="AH95" s="45">
        <f t="shared" si="21"/>
        <v>1.1376785925138742</v>
      </c>
      <c r="AI95" s="45">
        <f t="shared" si="22"/>
        <v>1.1905817174515234</v>
      </c>
      <c r="AJ95" s="45">
        <f t="shared" si="23"/>
        <v>1.0303177888713018</v>
      </c>
      <c r="AK95" s="45">
        <f t="shared" si="24"/>
        <v>1.0765771241035613</v>
      </c>
      <c r="AL95" s="45">
        <f t="shared" si="25"/>
        <v>1.071010077337708</v>
      </c>
      <c r="AM95" s="45">
        <f t="shared" si="26"/>
        <v>1.0665692266808395</v>
      </c>
    </row>
    <row r="96" spans="1:39" x14ac:dyDescent="0.25">
      <c r="A96" s="43">
        <f t="shared" si="16"/>
        <v>44927</v>
      </c>
      <c r="B96" s="45">
        <f t="shared" ref="B96:Q96" si="40">B34/B$19</f>
        <v>1.2918105234083692</v>
      </c>
      <c r="C96" s="45">
        <f t="shared" si="40"/>
        <v>1.0666468313002082</v>
      </c>
      <c r="D96" s="45">
        <f t="shared" si="40"/>
        <v>1.2395276918751759</v>
      </c>
      <c r="E96" s="45">
        <f t="shared" si="40"/>
        <v>1.1517060991558674</v>
      </c>
      <c r="F96" s="45">
        <f t="shared" si="40"/>
        <v>1.0249448123620311</v>
      </c>
      <c r="G96" s="45">
        <f t="shared" si="40"/>
        <v>1.1191056010626521</v>
      </c>
      <c r="H96" s="45">
        <f t="shared" si="40"/>
        <v>1.0299684542586751</v>
      </c>
      <c r="I96" s="45">
        <f t="shared" si="40"/>
        <v>1.0798020041047929</v>
      </c>
      <c r="J96" s="45">
        <f t="shared" si="40"/>
        <v>1.2006185856881768</v>
      </c>
      <c r="K96" s="45">
        <f t="shared" si="40"/>
        <v>1.5356204858831253</v>
      </c>
      <c r="L96" s="45">
        <f t="shared" si="40"/>
        <v>1.1376785925138742</v>
      </c>
      <c r="M96" s="45">
        <f t="shared" si="40"/>
        <v>1.1905817174515234</v>
      </c>
      <c r="N96" s="45">
        <f t="shared" si="40"/>
        <v>1.0407889930597833</v>
      </c>
      <c r="O96" s="45">
        <f t="shared" si="40"/>
        <v>1.093837364774523</v>
      </c>
      <c r="P96" s="45">
        <f t="shared" si="40"/>
        <v>1.071010077337708</v>
      </c>
      <c r="Q96" s="45">
        <f t="shared" si="40"/>
        <v>1.0665692266808395</v>
      </c>
      <c r="AE96" s="43">
        <f t="shared" si="18"/>
        <v>44927</v>
      </c>
      <c r="AF96" s="45">
        <f t="shared" si="19"/>
        <v>1.2006185856881768</v>
      </c>
      <c r="AG96" s="45">
        <f t="shared" si="20"/>
        <v>1.5356204858831253</v>
      </c>
      <c r="AH96" s="45">
        <f t="shared" si="21"/>
        <v>1.1376785925138742</v>
      </c>
      <c r="AI96" s="45">
        <f t="shared" si="22"/>
        <v>1.1905817174515234</v>
      </c>
      <c r="AJ96" s="45">
        <f t="shared" si="23"/>
        <v>1.0407889930597833</v>
      </c>
      <c r="AK96" s="45">
        <f t="shared" si="24"/>
        <v>1.093837364774523</v>
      </c>
      <c r="AL96" s="45">
        <f t="shared" si="25"/>
        <v>1.071010077337708</v>
      </c>
      <c r="AM96" s="45">
        <f t="shared" si="26"/>
        <v>1.0665692266808395</v>
      </c>
    </row>
    <row r="97" spans="1:39" x14ac:dyDescent="0.25">
      <c r="A97" s="43">
        <f t="shared" si="16"/>
        <v>44958</v>
      </c>
      <c r="B97" s="45">
        <f t="shared" ref="B97:Q97" si="41">B35/B$19</f>
        <v>1.2918105234083692</v>
      </c>
      <c r="C97" s="45">
        <f t="shared" si="41"/>
        <v>1.0666468313002082</v>
      </c>
      <c r="D97" s="45">
        <f t="shared" si="41"/>
        <v>1.2395276918751759</v>
      </c>
      <c r="E97" s="45">
        <f t="shared" si="41"/>
        <v>1.1517060991558674</v>
      </c>
      <c r="F97" s="45">
        <f t="shared" si="41"/>
        <v>1.0249448123620311</v>
      </c>
      <c r="G97" s="45">
        <f t="shared" si="41"/>
        <v>1.1191056010626521</v>
      </c>
      <c r="H97" s="45">
        <f t="shared" si="41"/>
        <v>1.0299684542586751</v>
      </c>
      <c r="I97" s="45">
        <f t="shared" si="41"/>
        <v>1.0798020041047929</v>
      </c>
      <c r="J97" s="45">
        <f t="shared" si="41"/>
        <v>1.2388584282300015</v>
      </c>
      <c r="K97" s="45">
        <f t="shared" si="41"/>
        <v>1.5361129349967169</v>
      </c>
      <c r="L97" s="45">
        <f t="shared" si="41"/>
        <v>1.1640099185263904</v>
      </c>
      <c r="M97" s="45">
        <f t="shared" si="41"/>
        <v>1.2290858725761771</v>
      </c>
      <c r="N97" s="45">
        <f t="shared" si="41"/>
        <v>1.0407889930597833</v>
      </c>
      <c r="O97" s="45">
        <f t="shared" si="41"/>
        <v>1.093837364774523</v>
      </c>
      <c r="P97" s="45">
        <f t="shared" si="41"/>
        <v>1.071010077337708</v>
      </c>
      <c r="Q97" s="45">
        <f t="shared" si="41"/>
        <v>1.0802551155992559</v>
      </c>
      <c r="AE97" s="43">
        <f t="shared" si="18"/>
        <v>44958</v>
      </c>
      <c r="AF97" s="45">
        <f t="shared" si="19"/>
        <v>1.2388584282300015</v>
      </c>
      <c r="AG97" s="45">
        <f t="shared" si="20"/>
        <v>1.5361129349967169</v>
      </c>
      <c r="AH97" s="45">
        <f t="shared" si="21"/>
        <v>1.1640099185263904</v>
      </c>
      <c r="AI97" s="45">
        <f t="shared" si="22"/>
        <v>1.2290858725761771</v>
      </c>
      <c r="AJ97" s="45">
        <f t="shared" si="23"/>
        <v>1.0407889930597833</v>
      </c>
      <c r="AK97" s="45">
        <f t="shared" si="24"/>
        <v>1.093837364774523</v>
      </c>
      <c r="AL97" s="45">
        <f t="shared" si="25"/>
        <v>1.071010077337708</v>
      </c>
      <c r="AM97" s="45">
        <f t="shared" si="26"/>
        <v>1.0802551155992559</v>
      </c>
    </row>
    <row r="98" spans="1:39" x14ac:dyDescent="0.25">
      <c r="A98" s="43">
        <f t="shared" si="16"/>
        <v>44986</v>
      </c>
      <c r="B98" s="45">
        <f t="shared" ref="B98:Q98" si="42">B36/B$19</f>
        <v>1.2918105234083692</v>
      </c>
      <c r="C98" s="45">
        <f t="shared" si="42"/>
        <v>1.0602003372012299</v>
      </c>
      <c r="D98" s="45">
        <f t="shared" si="42"/>
        <v>1.2395276918751759</v>
      </c>
      <c r="E98" s="45">
        <f t="shared" si="42"/>
        <v>1.1544406134823444</v>
      </c>
      <c r="F98" s="45">
        <f t="shared" si="42"/>
        <v>1.0249448123620311</v>
      </c>
      <c r="G98" s="45">
        <f t="shared" si="42"/>
        <v>1.1191056010626521</v>
      </c>
      <c r="H98" s="45">
        <f t="shared" si="42"/>
        <v>1.0299684542586751</v>
      </c>
      <c r="I98" s="45">
        <f t="shared" si="42"/>
        <v>1.0798020041047929</v>
      </c>
      <c r="J98" s="45">
        <f t="shared" si="42"/>
        <v>1.2388584282300015</v>
      </c>
      <c r="K98" s="45">
        <f t="shared" si="42"/>
        <v>1.544812869336835</v>
      </c>
      <c r="L98" s="45">
        <f t="shared" si="42"/>
        <v>1.1640099185263904</v>
      </c>
      <c r="M98" s="45">
        <f t="shared" si="42"/>
        <v>1.2290858725761771</v>
      </c>
      <c r="N98" s="45">
        <f t="shared" si="42"/>
        <v>1.0407889930597833</v>
      </c>
      <c r="O98" s="45">
        <f t="shared" si="42"/>
        <v>1.1022243831287226</v>
      </c>
      <c r="P98" s="45">
        <f t="shared" si="42"/>
        <v>1.1263182563862197</v>
      </c>
      <c r="Q98" s="45">
        <f t="shared" si="42"/>
        <v>1.0802551155992559</v>
      </c>
      <c r="AE98" s="43">
        <f t="shared" si="18"/>
        <v>44986</v>
      </c>
      <c r="AF98" s="45">
        <f t="shared" si="19"/>
        <v>1.2388584282300015</v>
      </c>
      <c r="AG98" s="45">
        <f t="shared" si="20"/>
        <v>1.544812869336835</v>
      </c>
      <c r="AH98" s="45">
        <f t="shared" si="21"/>
        <v>1.1640099185263904</v>
      </c>
      <c r="AI98" s="45">
        <f t="shared" si="22"/>
        <v>1.2290858725761771</v>
      </c>
      <c r="AJ98" s="45">
        <f t="shared" si="23"/>
        <v>1.0407889930597833</v>
      </c>
      <c r="AK98" s="45">
        <f t="shared" si="24"/>
        <v>1.1022243831287226</v>
      </c>
      <c r="AL98" s="45">
        <f t="shared" si="25"/>
        <v>1.1263182563862197</v>
      </c>
      <c r="AM98" s="45">
        <f t="shared" si="26"/>
        <v>1.0802551155992559</v>
      </c>
    </row>
    <row r="99" spans="1:39" x14ac:dyDescent="0.25">
      <c r="A99" s="43">
        <f t="shared" si="16"/>
        <v>45017</v>
      </c>
      <c r="B99" s="45">
        <f t="shared" ref="B99:Q99" si="43">B37/B$19</f>
        <v>1.2788288910371495</v>
      </c>
      <c r="C99" s="45">
        <f t="shared" si="43"/>
        <v>1.0355053059605277</v>
      </c>
      <c r="D99" s="45">
        <f t="shared" si="43"/>
        <v>1.2395276918751759</v>
      </c>
      <c r="E99" s="45">
        <f t="shared" si="43"/>
        <v>1.1544406134823444</v>
      </c>
      <c r="F99" s="45">
        <f t="shared" si="43"/>
        <v>1.0249448123620311</v>
      </c>
      <c r="G99" s="45">
        <f t="shared" si="43"/>
        <v>1.1191056010626521</v>
      </c>
      <c r="H99" s="45">
        <f t="shared" si="43"/>
        <v>1.0299684542586751</v>
      </c>
      <c r="I99" s="45">
        <f t="shared" si="43"/>
        <v>1.0699022093444406</v>
      </c>
      <c r="J99" s="45">
        <f t="shared" si="43"/>
        <v>1.2388584282300015</v>
      </c>
      <c r="K99" s="45">
        <f t="shared" si="43"/>
        <v>1.544812869336835</v>
      </c>
      <c r="L99" s="45">
        <f t="shared" si="43"/>
        <v>1.1640099185263904</v>
      </c>
      <c r="M99" s="45">
        <f t="shared" si="43"/>
        <v>1.2290858725761771</v>
      </c>
      <c r="N99" s="45">
        <f t="shared" si="43"/>
        <v>1.0407889930597833</v>
      </c>
      <c r="O99" s="45">
        <f t="shared" si="43"/>
        <v>1.1221587455937765</v>
      </c>
      <c r="P99" s="45">
        <f t="shared" si="43"/>
        <v>1.1263182563862197</v>
      </c>
      <c r="Q99" s="45">
        <f t="shared" si="43"/>
        <v>1.0705554079192132</v>
      </c>
      <c r="AE99" s="43">
        <f t="shared" si="18"/>
        <v>45017</v>
      </c>
      <c r="AF99" s="45">
        <f t="shared" si="19"/>
        <v>1.2388584282300015</v>
      </c>
      <c r="AG99" s="45">
        <f t="shared" si="20"/>
        <v>1.544812869336835</v>
      </c>
      <c r="AH99" s="45">
        <f t="shared" si="21"/>
        <v>1.1640099185263904</v>
      </c>
      <c r="AI99" s="45">
        <f t="shared" si="22"/>
        <v>1.2290858725761771</v>
      </c>
      <c r="AJ99" s="45">
        <f t="shared" si="23"/>
        <v>1.0407889930597833</v>
      </c>
      <c r="AK99" s="45">
        <f t="shared" si="24"/>
        <v>1.1221587455937765</v>
      </c>
      <c r="AL99" s="45">
        <f t="shared" si="25"/>
        <v>1.1263182563862197</v>
      </c>
      <c r="AM99" s="45">
        <f t="shared" si="26"/>
        <v>1.0705554079192132</v>
      </c>
    </row>
    <row r="100" spans="1:39" x14ac:dyDescent="0.25">
      <c r="A100" s="43">
        <f t="shared" si="16"/>
        <v>45047</v>
      </c>
      <c r="B100" s="45">
        <f t="shared" ref="B100:Q100" si="44">B38/B$19</f>
        <v>1.2651567463057589</v>
      </c>
      <c r="C100" s="45">
        <f t="shared" si="44"/>
        <v>1.0198353664583952</v>
      </c>
      <c r="D100" s="45">
        <f t="shared" si="44"/>
        <v>1.2395276918751759</v>
      </c>
      <c r="E100" s="45">
        <f t="shared" si="44"/>
        <v>1.1520627749375818</v>
      </c>
      <c r="F100" s="45">
        <f t="shared" si="44"/>
        <v>1.0249448123620311</v>
      </c>
      <c r="G100" s="45">
        <f t="shared" si="44"/>
        <v>1.1191056010626521</v>
      </c>
      <c r="H100" s="45">
        <f t="shared" si="44"/>
        <v>1.0299684542586751</v>
      </c>
      <c r="I100" s="45">
        <f t="shared" si="44"/>
        <v>1.0699022093444406</v>
      </c>
      <c r="J100" s="45">
        <f t="shared" si="44"/>
        <v>1.2388584282300015</v>
      </c>
      <c r="K100" s="45">
        <f t="shared" si="44"/>
        <v>1.4868680236375573</v>
      </c>
      <c r="L100" s="45">
        <f t="shared" si="44"/>
        <v>1.1640099185263904</v>
      </c>
      <c r="M100" s="45">
        <f t="shared" si="44"/>
        <v>1.2290858725761771</v>
      </c>
      <c r="N100" s="45">
        <f t="shared" si="44"/>
        <v>1.0407889930597833</v>
      </c>
      <c r="O100" s="45">
        <f t="shared" si="44"/>
        <v>1.1221587455937765</v>
      </c>
      <c r="P100" s="45">
        <f t="shared" si="44"/>
        <v>1.1263182563862197</v>
      </c>
      <c r="Q100" s="45">
        <f t="shared" si="44"/>
        <v>1.0705554079192132</v>
      </c>
      <c r="AE100" s="43">
        <f t="shared" si="18"/>
        <v>45047</v>
      </c>
      <c r="AF100" s="45">
        <f t="shared" si="19"/>
        <v>1.2388584282300015</v>
      </c>
      <c r="AG100" s="45">
        <f t="shared" si="20"/>
        <v>1.4868680236375573</v>
      </c>
      <c r="AH100" s="45">
        <f t="shared" si="21"/>
        <v>1.1640099185263904</v>
      </c>
      <c r="AI100" s="45">
        <f t="shared" si="22"/>
        <v>1.2290858725761771</v>
      </c>
      <c r="AJ100" s="45">
        <f t="shared" si="23"/>
        <v>1.0407889930597833</v>
      </c>
      <c r="AK100" s="45">
        <f t="shared" si="24"/>
        <v>1.1221587455937765</v>
      </c>
      <c r="AL100" s="45">
        <f t="shared" si="25"/>
        <v>1.1263182563862197</v>
      </c>
      <c r="AM100" s="45">
        <f t="shared" si="26"/>
        <v>1.0705554079192132</v>
      </c>
    </row>
    <row r="101" spans="1:39" x14ac:dyDescent="0.25">
      <c r="A101" s="43">
        <f t="shared" si="16"/>
        <v>45078</v>
      </c>
      <c r="B101" s="45">
        <f t="shared" ref="B101:Q101" si="45">B39/B$19</f>
        <v>1.2775859687888413</v>
      </c>
      <c r="C101" s="45">
        <f t="shared" si="45"/>
        <v>0.97500743826242198</v>
      </c>
      <c r="D101" s="45">
        <f t="shared" si="45"/>
        <v>1.2353106550463873</v>
      </c>
      <c r="E101" s="45">
        <f t="shared" si="45"/>
        <v>1.1396980145048152</v>
      </c>
      <c r="F101" s="45">
        <f t="shared" si="45"/>
        <v>1.0249448123620311</v>
      </c>
      <c r="G101" s="45">
        <f t="shared" si="45"/>
        <v>1.1191056010626521</v>
      </c>
      <c r="H101" s="45">
        <f t="shared" si="45"/>
        <v>1.0299684542586751</v>
      </c>
      <c r="I101" s="45">
        <f t="shared" si="45"/>
        <v>1.0613304358324278</v>
      </c>
      <c r="J101" s="45">
        <f t="shared" si="45"/>
        <v>1.2388584282300015</v>
      </c>
      <c r="K101" s="45">
        <f t="shared" si="45"/>
        <v>1.4686474064346684</v>
      </c>
      <c r="L101" s="45">
        <f t="shared" si="45"/>
        <v>1.1583421891604675</v>
      </c>
      <c r="M101" s="45">
        <f t="shared" si="45"/>
        <v>1.2290858725761771</v>
      </c>
      <c r="N101" s="45">
        <f t="shared" si="45"/>
        <v>1.0407889930597833</v>
      </c>
      <c r="O101" s="45">
        <f t="shared" si="45"/>
        <v>1.1221587455937765</v>
      </c>
      <c r="P101" s="45">
        <f t="shared" si="45"/>
        <v>1.1962737286149518</v>
      </c>
      <c r="Q101" s="45">
        <f t="shared" si="45"/>
        <v>1.0665692266808395</v>
      </c>
      <c r="AE101" s="43">
        <f t="shared" si="18"/>
        <v>45078</v>
      </c>
      <c r="AF101" s="45">
        <f t="shared" si="19"/>
        <v>1.2388584282300015</v>
      </c>
      <c r="AG101" s="45">
        <f t="shared" si="20"/>
        <v>1.4686474064346684</v>
      </c>
      <c r="AH101" s="45">
        <f t="shared" si="21"/>
        <v>1.1583421891604675</v>
      </c>
      <c r="AI101" s="45">
        <f t="shared" si="22"/>
        <v>1.2290858725761771</v>
      </c>
      <c r="AJ101" s="45">
        <f t="shared" si="23"/>
        <v>1.0407889930597833</v>
      </c>
      <c r="AK101" s="45">
        <f t="shared" si="24"/>
        <v>1.1221587455937765</v>
      </c>
      <c r="AL101" s="45">
        <f t="shared" si="25"/>
        <v>1.1962737286149518</v>
      </c>
      <c r="AM101" s="45">
        <f t="shared" si="26"/>
        <v>1.0665692266808395</v>
      </c>
    </row>
    <row r="102" spans="1:39" x14ac:dyDescent="0.25">
      <c r="A102" s="43">
        <f t="shared" si="16"/>
        <v>45108</v>
      </c>
      <c r="B102" s="45">
        <f t="shared" ref="B102:Q102" si="46">B40/B$19</f>
        <v>1.4172075680154677</v>
      </c>
      <c r="C102" s="45">
        <f t="shared" si="46"/>
        <v>1.2316770802340573</v>
      </c>
      <c r="D102" s="45">
        <f t="shared" si="46"/>
        <v>1.0988192296879393</v>
      </c>
      <c r="E102" s="45">
        <f t="shared" si="46"/>
        <v>1.3254072048507908</v>
      </c>
      <c r="F102" s="45">
        <f t="shared" si="46"/>
        <v>0.56964679911699778</v>
      </c>
      <c r="G102" s="45">
        <f t="shared" si="46"/>
        <v>1.1267434137702015</v>
      </c>
      <c r="H102" s="45">
        <f t="shared" si="46"/>
        <v>1.0285883280757098</v>
      </c>
      <c r="I102" s="45">
        <f t="shared" si="46"/>
        <v>1.0275262586019558</v>
      </c>
      <c r="J102" s="45">
        <f t="shared" si="46"/>
        <v>1.2859552931252636</v>
      </c>
      <c r="K102" s="45">
        <f t="shared" si="46"/>
        <v>1.4709455022980957</v>
      </c>
      <c r="L102" s="45">
        <f t="shared" si="46"/>
        <v>1.1706222694533004</v>
      </c>
      <c r="M102" s="45">
        <f t="shared" si="46"/>
        <v>1.2788088642659279</v>
      </c>
      <c r="N102" s="45">
        <f t="shared" si="46"/>
        <v>1.1137221478144406</v>
      </c>
      <c r="O102" s="45">
        <f t="shared" si="46"/>
        <v>1.1221587455937765</v>
      </c>
      <c r="P102" s="45">
        <f t="shared" si="46"/>
        <v>1.1962737286149518</v>
      </c>
      <c r="Q102" s="45">
        <f t="shared" si="46"/>
        <v>1.1985118256710072</v>
      </c>
      <c r="AE102" s="43">
        <f t="shared" si="18"/>
        <v>45108</v>
      </c>
      <c r="AF102" s="45">
        <f t="shared" si="19"/>
        <v>1.2859552931252636</v>
      </c>
      <c r="AG102" s="45">
        <f t="shared" si="20"/>
        <v>1.4709455022980957</v>
      </c>
      <c r="AH102" s="45">
        <f t="shared" si="21"/>
        <v>1.1706222694533004</v>
      </c>
      <c r="AI102" s="45">
        <f t="shared" si="22"/>
        <v>1.2788088642659279</v>
      </c>
      <c r="AJ102" s="45">
        <f t="shared" si="23"/>
        <v>1.1137221478144406</v>
      </c>
      <c r="AK102" s="45">
        <f t="shared" si="24"/>
        <v>1.1221587455937765</v>
      </c>
      <c r="AL102" s="45">
        <f t="shared" si="25"/>
        <v>1.1962737286149518</v>
      </c>
      <c r="AM102" s="45">
        <f t="shared" si="26"/>
        <v>1.1985118256710072</v>
      </c>
    </row>
    <row r="103" spans="1:39" x14ac:dyDescent="0.25">
      <c r="A103" s="43">
        <f t="shared" si="16"/>
        <v>45139</v>
      </c>
      <c r="B103" s="45">
        <f t="shared" ref="B103:Q103" si="47">B41/B$19</f>
        <v>1.4277033558900705</v>
      </c>
      <c r="C103" s="45">
        <f t="shared" si="47"/>
        <v>1.1519389070713082</v>
      </c>
      <c r="D103" s="45">
        <f t="shared" si="47"/>
        <v>1.1244025864492548</v>
      </c>
      <c r="E103" s="45">
        <f t="shared" si="47"/>
        <v>1.3254072048507908</v>
      </c>
      <c r="F103" s="45">
        <f t="shared" si="47"/>
        <v>0.56964679911699778</v>
      </c>
      <c r="G103" s="45">
        <f t="shared" si="47"/>
        <v>1.1267434137702015</v>
      </c>
      <c r="H103" s="45">
        <f t="shared" si="47"/>
        <v>1.0285883280757098</v>
      </c>
      <c r="I103" s="45">
        <f t="shared" si="47"/>
        <v>1.0247494869008813</v>
      </c>
      <c r="J103" s="45">
        <f t="shared" si="47"/>
        <v>1.2986081822016029</v>
      </c>
      <c r="K103" s="45">
        <f t="shared" si="47"/>
        <v>1.4740643466841759</v>
      </c>
      <c r="L103" s="45">
        <f t="shared" si="47"/>
        <v>1.1818396504900226</v>
      </c>
      <c r="M103" s="45">
        <f t="shared" si="47"/>
        <v>1.2943213296398892</v>
      </c>
      <c r="N103" s="45">
        <f t="shared" si="47"/>
        <v>1.1137221478144406</v>
      </c>
      <c r="O103" s="45">
        <f t="shared" si="47"/>
        <v>1.1255621733317127</v>
      </c>
      <c r="P103" s="45">
        <f t="shared" si="47"/>
        <v>1.1963909069603935</v>
      </c>
      <c r="Q103" s="45">
        <f t="shared" si="47"/>
        <v>1.2011692798299229</v>
      </c>
      <c r="AE103" s="43">
        <f t="shared" si="18"/>
        <v>45139</v>
      </c>
      <c r="AF103" s="45">
        <f t="shared" si="19"/>
        <v>1.2986081822016029</v>
      </c>
      <c r="AG103" s="45">
        <f t="shared" si="20"/>
        <v>1.4740643466841759</v>
      </c>
      <c r="AH103" s="45">
        <f t="shared" si="21"/>
        <v>1.1818396504900226</v>
      </c>
      <c r="AI103" s="45">
        <f t="shared" si="22"/>
        <v>1.2943213296398892</v>
      </c>
      <c r="AJ103" s="45">
        <f t="shared" si="23"/>
        <v>1.1137221478144406</v>
      </c>
      <c r="AK103" s="45">
        <f t="shared" si="24"/>
        <v>1.1255621733317127</v>
      </c>
      <c r="AL103" s="45">
        <f t="shared" si="25"/>
        <v>1.1963909069603935</v>
      </c>
      <c r="AM103" s="45">
        <f t="shared" si="26"/>
        <v>1.2011692798299229</v>
      </c>
    </row>
    <row r="104" spans="1:39" x14ac:dyDescent="0.25">
      <c r="A104" s="43">
        <f t="shared" si="16"/>
        <v>45170</v>
      </c>
      <c r="B104" s="45">
        <f t="shared" ref="B104:Q104" si="48">B42/B$19</f>
        <v>1.4257699212815909</v>
      </c>
      <c r="C104" s="45">
        <f t="shared" si="48"/>
        <v>1.1685014380640681</v>
      </c>
      <c r="D104" s="45">
        <f t="shared" si="48"/>
        <v>1.1117514759628901</v>
      </c>
      <c r="E104" s="45">
        <f t="shared" si="48"/>
        <v>1.3254072048507908</v>
      </c>
      <c r="F104" s="45">
        <f t="shared" si="48"/>
        <v>0.56964679911699778</v>
      </c>
      <c r="G104" s="45">
        <f t="shared" si="48"/>
        <v>1.1267434137702015</v>
      </c>
      <c r="H104" s="45">
        <f t="shared" si="48"/>
        <v>1.0285883280757098</v>
      </c>
      <c r="I104" s="45">
        <f t="shared" si="48"/>
        <v>1.0247494869008813</v>
      </c>
      <c r="J104" s="45">
        <f t="shared" si="48"/>
        <v>1.2898917475045693</v>
      </c>
      <c r="K104" s="45">
        <f t="shared" si="48"/>
        <v>1.4868680236375573</v>
      </c>
      <c r="L104" s="45">
        <f t="shared" si="48"/>
        <v>1.160821820758059</v>
      </c>
      <c r="M104" s="45">
        <f t="shared" si="48"/>
        <v>1.2696675900277008</v>
      </c>
      <c r="N104" s="45">
        <f t="shared" si="48"/>
        <v>1.1137221478144406</v>
      </c>
      <c r="O104" s="45">
        <f t="shared" si="48"/>
        <v>1.100401118269114</v>
      </c>
      <c r="P104" s="45">
        <f t="shared" si="48"/>
        <v>1.2093977033044292</v>
      </c>
      <c r="Q104" s="45">
        <f t="shared" si="48"/>
        <v>1.2011692798299229</v>
      </c>
      <c r="AE104" s="43">
        <f t="shared" si="18"/>
        <v>45170</v>
      </c>
      <c r="AF104" s="45">
        <f t="shared" si="19"/>
        <v>1.2898917475045693</v>
      </c>
      <c r="AG104" s="45">
        <f t="shared" si="20"/>
        <v>1.4868680236375573</v>
      </c>
      <c r="AH104" s="45">
        <f t="shared" si="21"/>
        <v>1.160821820758059</v>
      </c>
      <c r="AI104" s="45">
        <f t="shared" si="22"/>
        <v>1.2696675900277008</v>
      </c>
      <c r="AJ104" s="45">
        <f t="shared" si="23"/>
        <v>1.1137221478144406</v>
      </c>
      <c r="AK104" s="45">
        <f t="shared" si="24"/>
        <v>1.100401118269114</v>
      </c>
      <c r="AL104" s="45">
        <f t="shared" si="25"/>
        <v>1.2093977033044292</v>
      </c>
      <c r="AM104" s="45">
        <f t="shared" si="26"/>
        <v>1.2011692798299229</v>
      </c>
    </row>
    <row r="105" spans="1:39" x14ac:dyDescent="0.25">
      <c r="A105" s="43">
        <f t="shared" si="16"/>
        <v>45200</v>
      </c>
      <c r="B105" s="45">
        <f t="shared" ref="B105:Q105" si="49">B43/B$19</f>
        <v>1.3873774340560696</v>
      </c>
      <c r="C105" s="45">
        <f t="shared" si="49"/>
        <v>1.1492611325994246</v>
      </c>
      <c r="D105" s="45">
        <f t="shared" si="49"/>
        <v>1.1215912285633962</v>
      </c>
      <c r="E105" s="45">
        <f t="shared" si="49"/>
        <v>1.2934252764237308</v>
      </c>
      <c r="F105" s="45">
        <f t="shared" si="49"/>
        <v>1.0505518763796911</v>
      </c>
      <c r="G105" s="45">
        <f t="shared" si="49"/>
        <v>1.2095417312375469</v>
      </c>
      <c r="H105" s="45">
        <f t="shared" si="49"/>
        <v>0.96125788643533128</v>
      </c>
      <c r="I105" s="45">
        <f t="shared" si="49"/>
        <v>1.0392369914282265</v>
      </c>
      <c r="J105" s="45">
        <f t="shared" si="49"/>
        <v>1.2898917475045693</v>
      </c>
      <c r="K105" s="45">
        <f t="shared" si="49"/>
        <v>1.4192383453709783</v>
      </c>
      <c r="L105" s="45">
        <f t="shared" si="49"/>
        <v>1.1441728657456607</v>
      </c>
      <c r="M105" s="45">
        <f t="shared" si="49"/>
        <v>1.2696675900277008</v>
      </c>
      <c r="N105" s="45">
        <f t="shared" si="49"/>
        <v>1.1137221478144406</v>
      </c>
      <c r="O105" s="45">
        <f t="shared" si="49"/>
        <v>1.0957821806247723</v>
      </c>
      <c r="P105" s="45">
        <f t="shared" si="49"/>
        <v>1.2157253339582845</v>
      </c>
      <c r="Q105" s="45">
        <f t="shared" si="49"/>
        <v>1.2127292054212064</v>
      </c>
      <c r="AE105" s="43">
        <f t="shared" si="18"/>
        <v>45200</v>
      </c>
      <c r="AF105" s="45">
        <f t="shared" si="19"/>
        <v>1.2898917475045693</v>
      </c>
      <c r="AG105" s="45">
        <f t="shared" si="20"/>
        <v>1.4192383453709783</v>
      </c>
      <c r="AH105" s="45">
        <f t="shared" si="21"/>
        <v>1.1441728657456607</v>
      </c>
      <c r="AI105" s="45">
        <f t="shared" si="22"/>
        <v>1.2696675900277008</v>
      </c>
      <c r="AJ105" s="45">
        <f t="shared" si="23"/>
        <v>1.1137221478144406</v>
      </c>
      <c r="AK105" s="45">
        <f t="shared" si="24"/>
        <v>1.0957821806247723</v>
      </c>
      <c r="AL105" s="45">
        <f t="shared" si="25"/>
        <v>1.2157253339582845</v>
      </c>
      <c r="AM105" s="45">
        <f t="shared" si="26"/>
        <v>1.2127292054212064</v>
      </c>
    </row>
    <row r="106" spans="1:39" x14ac:dyDescent="0.25">
      <c r="A106" s="43">
        <f t="shared" si="16"/>
        <v>45231</v>
      </c>
      <c r="B106" s="45">
        <f t="shared" ref="B106:Q106" si="50">B44/B$19</f>
        <v>1.3822676425908025</v>
      </c>
      <c r="C106" s="45">
        <f t="shared" si="50"/>
        <v>1.173757810175543</v>
      </c>
      <c r="D106" s="45">
        <f t="shared" si="50"/>
        <v>1.1215912285633962</v>
      </c>
      <c r="E106" s="45">
        <f t="shared" si="50"/>
        <v>1.2934252764237308</v>
      </c>
      <c r="F106" s="45">
        <f t="shared" si="50"/>
        <v>1.0505518763796911</v>
      </c>
      <c r="G106" s="45">
        <f t="shared" si="50"/>
        <v>1.2095417312375469</v>
      </c>
      <c r="H106" s="45">
        <f t="shared" si="50"/>
        <v>0.96125788643533128</v>
      </c>
      <c r="I106" s="45">
        <f t="shared" si="50"/>
        <v>1.0392369914282265</v>
      </c>
      <c r="J106" s="45">
        <f t="shared" si="50"/>
        <v>1.2898917475045693</v>
      </c>
      <c r="K106" s="45">
        <f t="shared" si="50"/>
        <v>1.4788246881155613</v>
      </c>
      <c r="L106" s="45">
        <f t="shared" si="50"/>
        <v>1.1441728657456607</v>
      </c>
      <c r="M106" s="45">
        <f t="shared" si="50"/>
        <v>1.2696675900277008</v>
      </c>
      <c r="N106" s="45">
        <f t="shared" si="50"/>
        <v>1.1137221478144406</v>
      </c>
      <c r="O106" s="45">
        <f t="shared" si="50"/>
        <v>1.0957821806247723</v>
      </c>
      <c r="P106" s="45">
        <f t="shared" si="50"/>
        <v>1.2239278181392079</v>
      </c>
      <c r="Q106" s="45">
        <f t="shared" si="50"/>
        <v>1.2127292054212064</v>
      </c>
      <c r="AE106" s="43">
        <f t="shared" si="18"/>
        <v>45231</v>
      </c>
      <c r="AF106" s="45">
        <f t="shared" si="19"/>
        <v>1.2898917475045693</v>
      </c>
      <c r="AG106" s="45">
        <f t="shared" si="20"/>
        <v>1.4788246881155613</v>
      </c>
      <c r="AH106" s="45">
        <f t="shared" si="21"/>
        <v>1.1441728657456607</v>
      </c>
      <c r="AI106" s="45">
        <f t="shared" si="22"/>
        <v>1.2696675900277008</v>
      </c>
      <c r="AJ106" s="45">
        <f t="shared" si="23"/>
        <v>1.1137221478144406</v>
      </c>
      <c r="AK106" s="45">
        <f t="shared" si="24"/>
        <v>1.0957821806247723</v>
      </c>
      <c r="AL106" s="45">
        <f t="shared" si="25"/>
        <v>1.2239278181392079</v>
      </c>
      <c r="AM106" s="45">
        <f t="shared" si="26"/>
        <v>1.2127292054212064</v>
      </c>
    </row>
    <row r="107" spans="1:39" x14ac:dyDescent="0.25">
      <c r="A107" s="43">
        <f t="shared" si="16"/>
        <v>45261</v>
      </c>
      <c r="B107" s="45">
        <f t="shared" ref="B107:Q107" si="51">B45/B$19</f>
        <v>1.363209501450076</v>
      </c>
      <c r="C107" s="45">
        <f t="shared" si="51"/>
        <v>1.1574928096796588</v>
      </c>
      <c r="D107" s="45">
        <f t="shared" si="51"/>
        <v>1.1215912285633962</v>
      </c>
      <c r="E107" s="45">
        <f t="shared" si="51"/>
        <v>1.2934252764237308</v>
      </c>
      <c r="F107" s="45">
        <f t="shared" si="51"/>
        <v>0.56964679911699778</v>
      </c>
      <c r="G107" s="45">
        <f t="shared" si="51"/>
        <v>1.2095417312375469</v>
      </c>
      <c r="H107" s="45">
        <f t="shared" si="51"/>
        <v>0.96125788643533128</v>
      </c>
      <c r="I107" s="45">
        <f t="shared" si="51"/>
        <v>1.0392369914282265</v>
      </c>
      <c r="J107" s="45">
        <f t="shared" si="51"/>
        <v>1.2859552931252636</v>
      </c>
      <c r="K107" s="45">
        <f t="shared" si="51"/>
        <v>1.4689757058437294</v>
      </c>
      <c r="L107" s="45">
        <f t="shared" si="51"/>
        <v>1.1473609635139923</v>
      </c>
      <c r="M107" s="45">
        <f t="shared" si="51"/>
        <v>1.2655124653739613</v>
      </c>
      <c r="N107" s="45">
        <f t="shared" si="51"/>
        <v>1.1137221478144406</v>
      </c>
      <c r="O107" s="45">
        <f t="shared" si="51"/>
        <v>1.0997933633159112</v>
      </c>
      <c r="P107" s="45">
        <f t="shared" si="51"/>
        <v>1.2320131239746894</v>
      </c>
      <c r="Q107" s="45">
        <f t="shared" si="51"/>
        <v>1.2127292054212064</v>
      </c>
      <c r="AE107" s="43">
        <f t="shared" si="18"/>
        <v>45261</v>
      </c>
      <c r="AF107" s="45">
        <f t="shared" si="19"/>
        <v>1.2859552931252636</v>
      </c>
      <c r="AG107" s="45">
        <f t="shared" si="20"/>
        <v>1.4689757058437294</v>
      </c>
      <c r="AH107" s="45">
        <f t="shared" si="21"/>
        <v>1.1473609635139923</v>
      </c>
      <c r="AI107" s="45">
        <f t="shared" si="22"/>
        <v>1.2655124653739613</v>
      </c>
      <c r="AJ107" s="45">
        <f t="shared" si="23"/>
        <v>1.1137221478144406</v>
      </c>
      <c r="AK107" s="45">
        <f t="shared" si="24"/>
        <v>1.0997933633159112</v>
      </c>
      <c r="AL107" s="45">
        <f t="shared" si="25"/>
        <v>1.2320131239746894</v>
      </c>
      <c r="AM107" s="45">
        <f t="shared" si="26"/>
        <v>1.2127292054212064</v>
      </c>
    </row>
    <row r="108" spans="1:39" x14ac:dyDescent="0.25">
      <c r="A108" s="43">
        <f t="shared" si="16"/>
        <v>45292</v>
      </c>
      <c r="B108" s="45">
        <f t="shared" ref="B108:Q108" si="52">B46/B$19</f>
        <v>1.3861345118077615</v>
      </c>
      <c r="C108" s="45">
        <f t="shared" si="52"/>
        <v>1.1592779926609145</v>
      </c>
      <c r="D108" s="45">
        <f t="shared" si="52"/>
        <v>1.1215912285633962</v>
      </c>
      <c r="E108" s="45">
        <f t="shared" si="52"/>
        <v>1.3082867673284986</v>
      </c>
      <c r="F108" s="45">
        <f t="shared" si="52"/>
        <v>0.56964679911699778</v>
      </c>
      <c r="G108" s="45">
        <f t="shared" si="52"/>
        <v>1.2232676555235775</v>
      </c>
      <c r="H108" s="45">
        <f t="shared" si="52"/>
        <v>0.99497239747634081</v>
      </c>
      <c r="I108" s="45">
        <f t="shared" si="52"/>
        <v>1.0496197030061571</v>
      </c>
      <c r="J108" s="45">
        <f t="shared" si="52"/>
        <v>1.2560101223112612</v>
      </c>
      <c r="K108" s="45">
        <f t="shared" si="52"/>
        <v>1.4318778726198294</v>
      </c>
      <c r="L108" s="45">
        <f t="shared" si="52"/>
        <v>1.1473609635139923</v>
      </c>
      <c r="M108" s="45">
        <f t="shared" si="52"/>
        <v>1.2655124653739613</v>
      </c>
      <c r="N108" s="45">
        <f t="shared" si="52"/>
        <v>1.1137221478144406</v>
      </c>
      <c r="O108" s="45">
        <f t="shared" si="52"/>
        <v>1.1258052753129939</v>
      </c>
      <c r="P108" s="45">
        <f t="shared" si="52"/>
        <v>1.2320131239746894</v>
      </c>
      <c r="Q108" s="45">
        <f t="shared" si="52"/>
        <v>1.2127292054212064</v>
      </c>
      <c r="AE108" s="43">
        <f t="shared" si="18"/>
        <v>45292</v>
      </c>
      <c r="AF108" s="45">
        <f t="shared" si="19"/>
        <v>1.2560101223112612</v>
      </c>
      <c r="AG108" s="45">
        <f t="shared" si="20"/>
        <v>1.4318778726198294</v>
      </c>
      <c r="AH108" s="45">
        <f t="shared" si="21"/>
        <v>1.1473609635139923</v>
      </c>
      <c r="AI108" s="45">
        <f t="shared" si="22"/>
        <v>1.2655124653739613</v>
      </c>
      <c r="AJ108" s="45">
        <f t="shared" si="23"/>
        <v>1.1137221478144406</v>
      </c>
      <c r="AK108" s="45">
        <f t="shared" si="24"/>
        <v>1.1258052753129939</v>
      </c>
      <c r="AL108" s="45">
        <f t="shared" si="25"/>
        <v>1.2320131239746894</v>
      </c>
      <c r="AM108" s="45">
        <f t="shared" si="26"/>
        <v>1.2127292054212064</v>
      </c>
    </row>
    <row r="109" spans="1:39" x14ac:dyDescent="0.25">
      <c r="A109" s="43">
        <f t="shared" si="16"/>
        <v>45323</v>
      </c>
      <c r="B109" s="45">
        <f t="shared" ref="B109:Q109" si="53">B47/B$19</f>
        <v>1.3789531832619804</v>
      </c>
      <c r="C109" s="45">
        <f t="shared" si="53"/>
        <v>1.1486660716056729</v>
      </c>
      <c r="D109" s="45">
        <f t="shared" si="53"/>
        <v>1.1215912285633962</v>
      </c>
      <c r="E109" s="45">
        <f t="shared" si="53"/>
        <v>1.3082867673284986</v>
      </c>
      <c r="F109" s="45">
        <f t="shared" si="53"/>
        <v>0.56964679911699778</v>
      </c>
      <c r="G109" s="45">
        <f t="shared" si="53"/>
        <v>1.2232676555235775</v>
      </c>
      <c r="H109" s="45">
        <f t="shared" si="53"/>
        <v>0.99497239747634081</v>
      </c>
      <c r="I109" s="45">
        <f t="shared" si="53"/>
        <v>0.99915489556923831</v>
      </c>
      <c r="J109" s="45">
        <f t="shared" si="53"/>
        <v>1.2560101223112612</v>
      </c>
      <c r="K109" s="45">
        <f t="shared" si="53"/>
        <v>1.4318778726198294</v>
      </c>
      <c r="L109" s="45">
        <f t="shared" si="53"/>
        <v>1.1473609635139923</v>
      </c>
      <c r="M109" s="45">
        <f t="shared" si="53"/>
        <v>1.2655124653739613</v>
      </c>
      <c r="N109" s="45">
        <f t="shared" si="53"/>
        <v>1.1137221478144406</v>
      </c>
      <c r="O109" s="45">
        <f t="shared" si="53"/>
        <v>1.1258052753129939</v>
      </c>
      <c r="P109" s="45">
        <f t="shared" si="53"/>
        <v>1.2183032575580033</v>
      </c>
      <c r="Q109" s="45">
        <f t="shared" si="53"/>
        <v>1.1801753919744882</v>
      </c>
      <c r="AE109" s="43">
        <f t="shared" si="18"/>
        <v>45323</v>
      </c>
      <c r="AF109" s="45">
        <f t="shared" si="19"/>
        <v>1.2560101223112612</v>
      </c>
      <c r="AG109" s="45">
        <f t="shared" si="20"/>
        <v>1.4318778726198294</v>
      </c>
      <c r="AH109" s="45">
        <f t="shared" si="21"/>
        <v>1.1473609635139923</v>
      </c>
      <c r="AI109" s="45">
        <f t="shared" si="22"/>
        <v>1.2655124653739613</v>
      </c>
      <c r="AJ109" s="45">
        <f t="shared" si="23"/>
        <v>1.1137221478144406</v>
      </c>
      <c r="AK109" s="45">
        <f t="shared" si="24"/>
        <v>1.1258052753129939</v>
      </c>
      <c r="AL109" s="45">
        <f t="shared" si="25"/>
        <v>1.2183032575580033</v>
      </c>
      <c r="AM109" s="45">
        <f t="shared" si="26"/>
        <v>1.1801753919744882</v>
      </c>
    </row>
    <row r="110" spans="1:39" x14ac:dyDescent="0.25">
      <c r="A110" s="43">
        <f t="shared" si="16"/>
        <v>45352</v>
      </c>
      <c r="B110" s="45">
        <f t="shared" ref="B110:Q110" si="54">B48/B$19</f>
        <v>1.3694241126916171</v>
      </c>
      <c r="C110" s="45">
        <f t="shared" si="54"/>
        <v>1.1486660716056729</v>
      </c>
      <c r="D110" s="45">
        <f t="shared" si="54"/>
        <v>1.1215912285633962</v>
      </c>
      <c r="E110" s="45">
        <f t="shared" si="54"/>
        <v>1.3082867673284986</v>
      </c>
      <c r="F110" s="45">
        <f t="shared" si="54"/>
        <v>1.0505518763796911</v>
      </c>
      <c r="G110" s="45">
        <f t="shared" si="54"/>
        <v>1.2232676555235775</v>
      </c>
      <c r="H110" s="45">
        <f t="shared" si="54"/>
        <v>0.99497239747634081</v>
      </c>
      <c r="I110" s="45">
        <f t="shared" si="54"/>
        <v>0.99915489556923831</v>
      </c>
      <c r="J110" s="45">
        <f t="shared" si="54"/>
        <v>1.2314072824406019</v>
      </c>
      <c r="K110" s="45">
        <f t="shared" si="54"/>
        <v>1.430564674983585</v>
      </c>
      <c r="L110" s="45">
        <f t="shared" si="54"/>
        <v>1.1473609635139923</v>
      </c>
      <c r="M110" s="45">
        <f t="shared" si="54"/>
        <v>1.29792243767313</v>
      </c>
      <c r="N110" s="45">
        <f t="shared" si="54"/>
        <v>1.1137221478144406</v>
      </c>
      <c r="O110" s="45">
        <f t="shared" si="54"/>
        <v>1.1550990640573722</v>
      </c>
      <c r="P110" s="45">
        <f t="shared" si="54"/>
        <v>1.1802202952894305</v>
      </c>
      <c r="Q110" s="45">
        <f t="shared" si="54"/>
        <v>1.1801753919744882</v>
      </c>
      <c r="AE110" s="43">
        <f t="shared" si="18"/>
        <v>45352</v>
      </c>
      <c r="AF110" s="45">
        <f t="shared" si="19"/>
        <v>1.2314072824406019</v>
      </c>
      <c r="AG110" s="45">
        <f t="shared" si="20"/>
        <v>1.430564674983585</v>
      </c>
      <c r="AH110" s="45">
        <f t="shared" si="21"/>
        <v>1.1473609635139923</v>
      </c>
      <c r="AI110" s="45">
        <f t="shared" si="22"/>
        <v>1.29792243767313</v>
      </c>
      <c r="AJ110" s="45">
        <f t="shared" si="23"/>
        <v>1.1137221478144406</v>
      </c>
      <c r="AK110" s="45">
        <f t="shared" si="24"/>
        <v>1.1550990640573722</v>
      </c>
      <c r="AL110" s="45">
        <f t="shared" si="25"/>
        <v>1.1802202952894305</v>
      </c>
      <c r="AM110" s="45">
        <f t="shared" si="26"/>
        <v>1.1801753919744882</v>
      </c>
    </row>
    <row r="111" spans="1:39" x14ac:dyDescent="0.25">
      <c r="A111" s="43">
        <f t="shared" si="16"/>
        <v>45383</v>
      </c>
      <c r="B111" s="45">
        <f t="shared" ref="B111:Q111" si="55">B49/B$19</f>
        <v>1.3438751553652812</v>
      </c>
      <c r="C111" s="45">
        <f t="shared" si="55"/>
        <v>1.1113755826638898</v>
      </c>
      <c r="D111" s="45">
        <f t="shared" si="55"/>
        <v>1.1010683159966264</v>
      </c>
      <c r="E111" s="45">
        <f t="shared" si="55"/>
        <v>1.2943764118416361</v>
      </c>
      <c r="F111" s="45">
        <f t="shared" si="55"/>
        <v>1.0505518763796911</v>
      </c>
      <c r="G111" s="45">
        <f t="shared" si="55"/>
        <v>1.1130174894841709</v>
      </c>
      <c r="H111" s="45">
        <f t="shared" si="55"/>
        <v>0.99497239747634081</v>
      </c>
      <c r="I111" s="45">
        <f t="shared" si="55"/>
        <v>1.0147289629361342</v>
      </c>
      <c r="J111" s="45">
        <f t="shared" si="55"/>
        <v>1.2314072824406019</v>
      </c>
      <c r="K111" s="45">
        <f t="shared" si="55"/>
        <v>1.4143138542350622</v>
      </c>
      <c r="L111" s="45">
        <f t="shared" si="55"/>
        <v>1.1496044397213367</v>
      </c>
      <c r="M111" s="45">
        <f t="shared" si="55"/>
        <v>1.2984764542936287</v>
      </c>
      <c r="N111" s="45">
        <f t="shared" si="55"/>
        <v>1.1137221478144406</v>
      </c>
      <c r="O111" s="45">
        <f t="shared" si="55"/>
        <v>1.1089096876139541</v>
      </c>
      <c r="P111" s="45">
        <f t="shared" si="55"/>
        <v>1.2127958753222403</v>
      </c>
      <c r="Q111" s="45">
        <f t="shared" si="55"/>
        <v>1.1801753919744882</v>
      </c>
      <c r="AE111" s="43">
        <f t="shared" si="18"/>
        <v>45383</v>
      </c>
      <c r="AF111" s="45">
        <f t="shared" si="19"/>
        <v>1.2314072824406019</v>
      </c>
      <c r="AG111" s="45">
        <f t="shared" si="20"/>
        <v>1.4143138542350622</v>
      </c>
      <c r="AH111" s="45">
        <f t="shared" si="21"/>
        <v>1.1496044397213367</v>
      </c>
      <c r="AI111" s="45">
        <f t="shared" si="22"/>
        <v>1.2984764542936287</v>
      </c>
      <c r="AJ111" s="45">
        <f t="shared" si="23"/>
        <v>1.1137221478144406</v>
      </c>
      <c r="AK111" s="45">
        <f t="shared" si="24"/>
        <v>1.1089096876139541</v>
      </c>
      <c r="AL111" s="45">
        <f t="shared" si="25"/>
        <v>1.2127958753222403</v>
      </c>
      <c r="AM111" s="45">
        <f t="shared" si="26"/>
        <v>1.1801753919744882</v>
      </c>
    </row>
    <row r="112" spans="1:39" x14ac:dyDescent="0.25">
      <c r="A112" s="43">
        <f t="shared" si="16"/>
        <v>45413</v>
      </c>
      <c r="B112" s="45">
        <f t="shared" ref="B112:Q112" si="56">B50/B$19</f>
        <v>1.3376605441237399</v>
      </c>
      <c r="C112" s="45">
        <f t="shared" si="56"/>
        <v>1.1838738470693246</v>
      </c>
      <c r="D112" s="45">
        <f t="shared" si="56"/>
        <v>1.1010683159966264</v>
      </c>
      <c r="E112" s="45">
        <f t="shared" si="56"/>
        <v>1.2943764118416361</v>
      </c>
      <c r="F112" s="45">
        <f t="shared" si="56"/>
        <v>1.0505518763796911</v>
      </c>
      <c r="G112" s="45">
        <f t="shared" si="56"/>
        <v>1.1130174894841709</v>
      </c>
      <c r="H112" s="45">
        <f t="shared" si="56"/>
        <v>0.99497239747634081</v>
      </c>
      <c r="I112" s="45">
        <f t="shared" si="56"/>
        <v>1.0147289629361342</v>
      </c>
      <c r="J112" s="45">
        <f t="shared" si="56"/>
        <v>1.2314072824406019</v>
      </c>
      <c r="K112" s="45">
        <f t="shared" si="56"/>
        <v>1.3483256730137885</v>
      </c>
      <c r="L112" s="45">
        <f t="shared" si="56"/>
        <v>1.1519659936238045</v>
      </c>
      <c r="M112" s="45">
        <f t="shared" si="56"/>
        <v>1.2984764542936287</v>
      </c>
      <c r="N112" s="45">
        <f t="shared" si="56"/>
        <v>1.1137221478144406</v>
      </c>
      <c r="O112" s="45">
        <f t="shared" si="56"/>
        <v>1.1089096876139541</v>
      </c>
      <c r="P112" s="45">
        <f t="shared" si="56"/>
        <v>1.2224044996484649</v>
      </c>
      <c r="Q112" s="45">
        <f t="shared" si="56"/>
        <v>1.1801753919744882</v>
      </c>
      <c r="AE112" s="43">
        <f t="shared" si="18"/>
        <v>45413</v>
      </c>
      <c r="AF112" s="45">
        <f t="shared" si="19"/>
        <v>1.2314072824406019</v>
      </c>
      <c r="AG112" s="45">
        <f t="shared" si="20"/>
        <v>1.3483256730137885</v>
      </c>
      <c r="AH112" s="45">
        <f t="shared" si="21"/>
        <v>1.1519659936238045</v>
      </c>
      <c r="AI112" s="45">
        <f t="shared" si="22"/>
        <v>1.2984764542936287</v>
      </c>
      <c r="AJ112" s="45">
        <f t="shared" si="23"/>
        <v>1.1137221478144406</v>
      </c>
      <c r="AK112" s="45">
        <f t="shared" si="24"/>
        <v>1.1089096876139541</v>
      </c>
      <c r="AL112" s="45">
        <f t="shared" si="25"/>
        <v>1.2224044996484649</v>
      </c>
      <c r="AM112" s="45">
        <f t="shared" si="26"/>
        <v>1.1801753919744882</v>
      </c>
    </row>
    <row r="113" spans="1:39" x14ac:dyDescent="0.25">
      <c r="A113" s="43">
        <f t="shared" si="16"/>
        <v>45444</v>
      </c>
      <c r="B113" s="45">
        <f t="shared" ref="B113:Q113" si="57">B51/B$19</f>
        <v>1.3405606960364591</v>
      </c>
      <c r="C113" s="45">
        <f t="shared" si="57"/>
        <v>1.1804026579391054</v>
      </c>
      <c r="D113" s="45">
        <f t="shared" si="57"/>
        <v>1.1010683159966264</v>
      </c>
      <c r="E113" s="45">
        <f t="shared" si="57"/>
        <v>1.2943764118416361</v>
      </c>
      <c r="F113" s="45">
        <f t="shared" si="57"/>
        <v>1.0505518763796911</v>
      </c>
      <c r="G113" s="45">
        <f t="shared" si="57"/>
        <v>1.1130174894841709</v>
      </c>
      <c r="H113" s="45">
        <f t="shared" si="57"/>
        <v>0.99497239747634081</v>
      </c>
      <c r="I113" s="45">
        <f t="shared" si="57"/>
        <v>1.0147289629361342</v>
      </c>
      <c r="J113" s="45">
        <f t="shared" si="57"/>
        <v>1.2314072824406019</v>
      </c>
      <c r="K113" s="45">
        <f t="shared" si="57"/>
        <v>1.4164478003939593</v>
      </c>
      <c r="L113" s="45">
        <f t="shared" si="57"/>
        <v>1.1447632542212776</v>
      </c>
      <c r="M113" s="45">
        <f t="shared" si="57"/>
        <v>1.2984764542936287</v>
      </c>
      <c r="N113" s="45">
        <f t="shared" si="57"/>
        <v>1.1137221478144406</v>
      </c>
      <c r="O113" s="45">
        <f t="shared" si="57"/>
        <v>1.1276285401726025</v>
      </c>
      <c r="P113" s="45">
        <f t="shared" si="57"/>
        <v>1.2224044996484649</v>
      </c>
      <c r="Q113" s="45">
        <f t="shared" si="57"/>
        <v>1.1801753919744882</v>
      </c>
      <c r="AE113" s="43">
        <f t="shared" si="18"/>
        <v>45444</v>
      </c>
      <c r="AF113" s="45">
        <f t="shared" si="19"/>
        <v>1.2314072824406019</v>
      </c>
      <c r="AG113" s="45">
        <f t="shared" si="20"/>
        <v>1.4164478003939593</v>
      </c>
      <c r="AH113" s="45">
        <f t="shared" si="21"/>
        <v>1.1447632542212776</v>
      </c>
      <c r="AI113" s="45">
        <f t="shared" si="22"/>
        <v>1.2984764542936287</v>
      </c>
      <c r="AJ113" s="45">
        <f t="shared" si="23"/>
        <v>1.1137221478144406</v>
      </c>
      <c r="AK113" s="45">
        <f t="shared" si="24"/>
        <v>1.1276285401726025</v>
      </c>
      <c r="AL113" s="45">
        <f t="shared" si="25"/>
        <v>1.2224044996484649</v>
      </c>
      <c r="AM113" s="45">
        <f t="shared" si="26"/>
        <v>1.1801753919744882</v>
      </c>
    </row>
    <row r="114" spans="1:39" x14ac:dyDescent="0.25">
      <c r="A114" s="43">
        <f t="shared" si="16"/>
        <v>45474</v>
      </c>
      <c r="B114" s="45">
        <f t="shared" ref="B114:Q114" si="58">B52/B$19</f>
        <v>1.4383372462367079</v>
      </c>
      <c r="C114" s="45">
        <f t="shared" si="58"/>
        <v>1.2022215610433402</v>
      </c>
      <c r="D114" s="45">
        <f t="shared" si="58"/>
        <v>7.8296317121169523E-2</v>
      </c>
      <c r="E114" s="45">
        <f t="shared" si="58"/>
        <v>1.3697538937106171</v>
      </c>
      <c r="F114" s="45">
        <f t="shared" si="58"/>
        <v>0.81247240618101546</v>
      </c>
      <c r="G114" s="45">
        <f t="shared" si="58"/>
        <v>0.66017268098295323</v>
      </c>
      <c r="H114" s="45">
        <f t="shared" si="58"/>
        <v>1.1063682965299686</v>
      </c>
      <c r="I114" s="45">
        <f t="shared" si="58"/>
        <v>1.2180369431365448</v>
      </c>
      <c r="J114" s="45">
        <f t="shared" si="58"/>
        <v>1.3002952340784479</v>
      </c>
      <c r="K114" s="45">
        <f t="shared" si="58"/>
        <v>1.5006565988181222</v>
      </c>
      <c r="L114" s="45">
        <f t="shared" si="58"/>
        <v>1.1682607155508324</v>
      </c>
      <c r="M114" s="45">
        <f t="shared" si="58"/>
        <v>1.3598337950138504</v>
      </c>
      <c r="N114" s="45">
        <f t="shared" si="58"/>
        <v>1.1726531109217095</v>
      </c>
      <c r="O114" s="45">
        <f t="shared" si="58"/>
        <v>1.130059559985414</v>
      </c>
      <c r="P114" s="45">
        <f t="shared" si="58"/>
        <v>1.2261542067026012</v>
      </c>
      <c r="Q114" s="45">
        <f t="shared" si="58"/>
        <v>1.2982992293382938</v>
      </c>
      <c r="AE114" s="43">
        <f t="shared" si="18"/>
        <v>45474</v>
      </c>
      <c r="AF114" s="45">
        <f t="shared" si="19"/>
        <v>1.3002952340784479</v>
      </c>
      <c r="AG114" s="45">
        <f t="shared" si="20"/>
        <v>1.5006565988181222</v>
      </c>
      <c r="AH114" s="45">
        <f t="shared" si="21"/>
        <v>1.1682607155508324</v>
      </c>
      <c r="AI114" s="45">
        <f t="shared" si="22"/>
        <v>1.3598337950138504</v>
      </c>
      <c r="AJ114" s="45">
        <f t="shared" si="23"/>
        <v>1.1726531109217095</v>
      </c>
      <c r="AK114" s="45">
        <f t="shared" si="24"/>
        <v>1.130059559985414</v>
      </c>
      <c r="AL114" s="45">
        <f t="shared" si="25"/>
        <v>1.2261542067026012</v>
      </c>
      <c r="AM114" s="45">
        <f t="shared" si="26"/>
        <v>1.2982992293382938</v>
      </c>
    </row>
    <row r="115" spans="1:39" x14ac:dyDescent="0.25">
      <c r="A115" s="43">
        <f t="shared" si="16"/>
        <v>45505</v>
      </c>
      <c r="B115" s="45">
        <f t="shared" ref="B115:Q115" si="59">B53/B$19</f>
        <v>1.3032730285872118</v>
      </c>
      <c r="C115" s="45">
        <f t="shared" si="59"/>
        <v>1.1162352474461965</v>
      </c>
      <c r="D115" s="45">
        <f t="shared" si="59"/>
        <v>7.8296317121169523E-2</v>
      </c>
      <c r="E115" s="45">
        <f t="shared" si="59"/>
        <v>1.1786945666389252</v>
      </c>
      <c r="F115" s="45">
        <f t="shared" si="59"/>
        <v>0.28377483443708612</v>
      </c>
      <c r="G115" s="45">
        <f t="shared" si="59"/>
        <v>0.52368828868718176</v>
      </c>
      <c r="H115" s="45">
        <f t="shared" si="59"/>
        <v>0.94942823343848581</v>
      </c>
      <c r="I115" s="45">
        <f t="shared" si="59"/>
        <v>1.0508269950501028</v>
      </c>
      <c r="J115" s="45">
        <f t="shared" si="59"/>
        <v>1.3119640095599607</v>
      </c>
      <c r="K115" s="45">
        <f t="shared" si="59"/>
        <v>1.5155942219304004</v>
      </c>
      <c r="L115" s="45">
        <f t="shared" si="59"/>
        <v>1.1736922895265085</v>
      </c>
      <c r="M115" s="45">
        <f t="shared" si="59"/>
        <v>1.3710526315789473</v>
      </c>
      <c r="N115" s="45">
        <f t="shared" si="59"/>
        <v>1.1726531109217095</v>
      </c>
      <c r="O115" s="45">
        <f t="shared" si="59"/>
        <v>1.1396620882460193</v>
      </c>
      <c r="P115" s="45">
        <f t="shared" si="59"/>
        <v>1.2261542067026012</v>
      </c>
      <c r="Q115" s="45">
        <f t="shared" si="59"/>
        <v>1.3079989370183362</v>
      </c>
      <c r="AE115" s="43">
        <f t="shared" si="18"/>
        <v>45505</v>
      </c>
      <c r="AF115" s="45">
        <f t="shared" si="19"/>
        <v>1.3119640095599607</v>
      </c>
      <c r="AG115" s="45">
        <f t="shared" si="20"/>
        <v>1.5155942219304004</v>
      </c>
      <c r="AH115" s="45">
        <f t="shared" si="21"/>
        <v>1.1736922895265085</v>
      </c>
      <c r="AI115" s="45">
        <f t="shared" si="22"/>
        <v>1.3710526315789473</v>
      </c>
      <c r="AJ115" s="45">
        <f t="shared" si="23"/>
        <v>1.1726531109217095</v>
      </c>
      <c r="AK115" s="45">
        <f t="shared" si="24"/>
        <v>1.1396620882460193</v>
      </c>
      <c r="AL115" s="45">
        <f t="shared" si="25"/>
        <v>1.2261542067026012</v>
      </c>
      <c r="AM115" s="45">
        <f t="shared" si="26"/>
        <v>1.3079989370183362</v>
      </c>
    </row>
    <row r="116" spans="1:39" x14ac:dyDescent="0.25">
      <c r="A116" s="43">
        <f t="shared" si="16"/>
        <v>45536</v>
      </c>
      <c r="B116" s="45">
        <f t="shared" ref="B116:Q116" si="60">B54/B$19</f>
        <v>1.1958293053445657</v>
      </c>
      <c r="C116" s="45">
        <f t="shared" si="60"/>
        <v>0.98601606664683128</v>
      </c>
      <c r="D116" s="45">
        <f t="shared" si="60"/>
        <v>7.8296317121169523E-2</v>
      </c>
      <c r="E116" s="45">
        <f t="shared" si="60"/>
        <v>1.1786945666389252</v>
      </c>
      <c r="F116" s="45">
        <f t="shared" si="60"/>
        <v>0.28377483443708612</v>
      </c>
      <c r="G116" s="45">
        <f t="shared" si="60"/>
        <v>0.52368828868718176</v>
      </c>
      <c r="H116" s="45">
        <f t="shared" si="60"/>
        <v>0.94942823343848581</v>
      </c>
      <c r="I116" s="45">
        <f t="shared" si="60"/>
        <v>1.0451527224435591</v>
      </c>
      <c r="J116" s="45">
        <f t="shared" si="60"/>
        <v>1.3119640095599607</v>
      </c>
      <c r="K116" s="45">
        <f t="shared" si="60"/>
        <v>1.5155942219304004</v>
      </c>
      <c r="L116" s="45">
        <f t="shared" si="60"/>
        <v>1.1917581768803873</v>
      </c>
      <c r="M116" s="45">
        <f t="shared" si="60"/>
        <v>1.3710526315789473</v>
      </c>
      <c r="N116" s="45">
        <f t="shared" si="60"/>
        <v>1.1726531109217095</v>
      </c>
      <c r="O116" s="45">
        <f t="shared" si="60"/>
        <v>1.1570438799076213</v>
      </c>
      <c r="P116" s="45">
        <f t="shared" si="60"/>
        <v>1.2441996719006327</v>
      </c>
      <c r="Q116" s="45">
        <f t="shared" si="60"/>
        <v>1.3079989370183362</v>
      </c>
      <c r="AE116" s="43">
        <f t="shared" si="18"/>
        <v>45536</v>
      </c>
      <c r="AF116" s="45">
        <f t="shared" si="19"/>
        <v>1.3119640095599607</v>
      </c>
      <c r="AG116" s="45">
        <f t="shared" si="20"/>
        <v>1.5155942219304004</v>
      </c>
      <c r="AH116" s="45">
        <f t="shared" si="21"/>
        <v>1.1917581768803873</v>
      </c>
      <c r="AI116" s="45">
        <f t="shared" si="22"/>
        <v>1.3710526315789473</v>
      </c>
      <c r="AJ116" s="45">
        <f t="shared" si="23"/>
        <v>1.1726531109217095</v>
      </c>
      <c r="AK116" s="45">
        <f t="shared" si="24"/>
        <v>1.1570438799076213</v>
      </c>
      <c r="AL116" s="45">
        <f t="shared" si="25"/>
        <v>1.2441996719006327</v>
      </c>
      <c r="AM116" s="45">
        <f t="shared" si="26"/>
        <v>1.3079989370183362</v>
      </c>
    </row>
    <row r="117" spans="1:39" x14ac:dyDescent="0.25">
      <c r="A117" s="43">
        <f t="shared" si="16"/>
        <v>45566</v>
      </c>
      <c r="B117" s="45">
        <f t="shared" ref="B117:Q117" si="61">B55/B$19</f>
        <v>0.96740781659991715</v>
      </c>
      <c r="C117" s="45">
        <f t="shared" si="61"/>
        <v>0.76465337697113955</v>
      </c>
      <c r="D117" s="45">
        <f t="shared" si="61"/>
        <v>0.24683722237840874</v>
      </c>
      <c r="E117" s="45">
        <f t="shared" si="61"/>
        <v>0.99346094400190232</v>
      </c>
      <c r="F117" s="45">
        <f t="shared" si="61"/>
        <v>0.54812362030905082</v>
      </c>
      <c r="G117" s="45">
        <f t="shared" si="61"/>
        <v>0.95251272968784584</v>
      </c>
      <c r="H117" s="45">
        <f t="shared" si="61"/>
        <v>0.79238958990536279</v>
      </c>
      <c r="I117" s="45">
        <f t="shared" si="61"/>
        <v>0.8819268381021369</v>
      </c>
      <c r="J117" s="45">
        <f t="shared" si="61"/>
        <v>1.3883031069872067</v>
      </c>
      <c r="K117" s="45">
        <f t="shared" si="61"/>
        <v>1.4573210768220617</v>
      </c>
      <c r="L117" s="45">
        <f t="shared" si="61"/>
        <v>1.1459440311725115</v>
      </c>
      <c r="M117" s="45">
        <f t="shared" si="61"/>
        <v>1.3497229916897506</v>
      </c>
      <c r="N117" s="45">
        <f t="shared" si="61"/>
        <v>1.1726531109217095</v>
      </c>
      <c r="O117" s="45">
        <f t="shared" si="61"/>
        <v>1.1385681293302541</v>
      </c>
      <c r="P117" s="45">
        <f t="shared" si="61"/>
        <v>1.2501757675181626</v>
      </c>
      <c r="Q117" s="45">
        <f t="shared" si="61"/>
        <v>1.3079989370183362</v>
      </c>
      <c r="AE117" s="43">
        <f t="shared" si="18"/>
        <v>45566</v>
      </c>
      <c r="AF117" s="45">
        <f t="shared" si="19"/>
        <v>1.3883031069872067</v>
      </c>
      <c r="AG117" s="45">
        <f t="shared" si="20"/>
        <v>1.4573210768220617</v>
      </c>
      <c r="AH117" s="45">
        <f t="shared" si="21"/>
        <v>1.1459440311725115</v>
      </c>
      <c r="AI117" s="45">
        <f t="shared" si="22"/>
        <v>1.3497229916897506</v>
      </c>
      <c r="AJ117" s="45">
        <f t="shared" si="23"/>
        <v>1.1726531109217095</v>
      </c>
      <c r="AK117" s="45">
        <f t="shared" si="24"/>
        <v>1.1385681293302541</v>
      </c>
      <c r="AL117" s="45">
        <f t="shared" si="25"/>
        <v>1.2501757675181626</v>
      </c>
      <c r="AM117" s="45">
        <f t="shared" si="26"/>
        <v>1.3079989370183362</v>
      </c>
    </row>
    <row r="118" spans="1:39" x14ac:dyDescent="0.25">
      <c r="A118" s="43">
        <f t="shared" si="16"/>
        <v>45597</v>
      </c>
      <c r="B118" s="45">
        <f t="shared" ref="B118:Q118" si="62">B56/B$19</f>
        <v>1.1253970446070984</v>
      </c>
      <c r="C118" s="45">
        <f t="shared" si="62"/>
        <v>0.85738371516413769</v>
      </c>
      <c r="D118" s="45">
        <f t="shared" si="62"/>
        <v>0.25231937025583356</v>
      </c>
      <c r="E118" s="45">
        <f t="shared" si="62"/>
        <v>1.1786945666389252</v>
      </c>
      <c r="F118" s="45">
        <f t="shared" si="62"/>
        <v>1.0768211920529802</v>
      </c>
      <c r="G118" s="45">
        <f t="shared" si="62"/>
        <v>1.0889971219836174</v>
      </c>
      <c r="H118" s="45">
        <f t="shared" si="62"/>
        <v>0.94942823343848581</v>
      </c>
      <c r="I118" s="45">
        <f t="shared" si="62"/>
        <v>1.0583122057225642</v>
      </c>
      <c r="J118" s="45">
        <f t="shared" si="62"/>
        <v>1.3883031069872067</v>
      </c>
      <c r="K118" s="45">
        <f t="shared" si="62"/>
        <v>1.5489166119500983</v>
      </c>
      <c r="L118" s="45">
        <f t="shared" si="62"/>
        <v>1.1459440311725115</v>
      </c>
      <c r="M118" s="45">
        <f t="shared" si="62"/>
        <v>1.3271468144044321</v>
      </c>
      <c r="N118" s="45">
        <f t="shared" si="62"/>
        <v>1.1726531109217095</v>
      </c>
      <c r="O118" s="45">
        <f t="shared" si="62"/>
        <v>1.1272638872006806</v>
      </c>
      <c r="P118" s="45">
        <f t="shared" si="62"/>
        <v>1.2501757675181626</v>
      </c>
      <c r="Q118" s="45">
        <f t="shared" si="62"/>
        <v>1.3079989370183362</v>
      </c>
      <c r="AE118" s="43">
        <f t="shared" si="18"/>
        <v>45597</v>
      </c>
      <c r="AF118" s="45">
        <f t="shared" si="19"/>
        <v>1.3883031069872067</v>
      </c>
      <c r="AG118" s="45">
        <f t="shared" si="20"/>
        <v>1.5489166119500983</v>
      </c>
      <c r="AH118" s="45">
        <f t="shared" si="21"/>
        <v>1.1459440311725115</v>
      </c>
      <c r="AI118" s="45">
        <f t="shared" si="22"/>
        <v>1.3271468144044321</v>
      </c>
      <c r="AJ118" s="45">
        <f t="shared" si="23"/>
        <v>1.1726531109217095</v>
      </c>
      <c r="AK118" s="45">
        <f t="shared" si="24"/>
        <v>1.1272638872006806</v>
      </c>
      <c r="AL118" s="45">
        <f t="shared" si="25"/>
        <v>1.2501757675181626</v>
      </c>
      <c r="AM118" s="45">
        <f t="shared" si="26"/>
        <v>1.3079989370183362</v>
      </c>
    </row>
    <row r="119" spans="1:39" x14ac:dyDescent="0.25">
      <c r="A119" s="43">
        <f t="shared" si="16"/>
        <v>45627</v>
      </c>
      <c r="B119" s="45">
        <f t="shared" ref="B119:Q119" si="63">B57/B$19</f>
        <v>1.2206877503107307</v>
      </c>
      <c r="C119" s="45">
        <f t="shared" si="63"/>
        <v>0.98532182882078745</v>
      </c>
      <c r="D119" s="45">
        <f t="shared" si="63"/>
        <v>0.25231937025583356</v>
      </c>
      <c r="E119" s="45">
        <f t="shared" si="63"/>
        <v>1.1786945666389252</v>
      </c>
      <c r="F119" s="45">
        <f t="shared" si="63"/>
        <v>0.43443708609271525</v>
      </c>
      <c r="G119" s="45">
        <f t="shared" si="63"/>
        <v>1.0889971219836174</v>
      </c>
      <c r="H119" s="45">
        <f t="shared" si="63"/>
        <v>0.94942823343848581</v>
      </c>
      <c r="I119" s="45">
        <f t="shared" si="63"/>
        <v>1.0583122057225642</v>
      </c>
      <c r="J119" s="45">
        <f t="shared" si="63"/>
        <v>1.3281315900463939</v>
      </c>
      <c r="K119" s="45">
        <f t="shared" si="63"/>
        <v>1.5239658568614576</v>
      </c>
      <c r="L119" s="45">
        <f t="shared" si="63"/>
        <v>1.1490140512457196</v>
      </c>
      <c r="M119" s="45">
        <f t="shared" si="63"/>
        <v>1.3271468144044321</v>
      </c>
      <c r="N119" s="45">
        <f t="shared" si="63"/>
        <v>1.1726531109217095</v>
      </c>
      <c r="O119" s="45">
        <f t="shared" si="63"/>
        <v>1.1550990640573722</v>
      </c>
      <c r="P119" s="45">
        <f t="shared" si="63"/>
        <v>1.2553316147176001</v>
      </c>
      <c r="Q119" s="45">
        <f t="shared" si="63"/>
        <v>1.3079989370183362</v>
      </c>
      <c r="AE119" s="43">
        <f t="shared" si="18"/>
        <v>45627</v>
      </c>
      <c r="AF119" s="45">
        <f t="shared" si="19"/>
        <v>1.3281315900463939</v>
      </c>
      <c r="AG119" s="45">
        <f t="shared" si="20"/>
        <v>1.5239658568614576</v>
      </c>
      <c r="AH119" s="45">
        <f t="shared" si="21"/>
        <v>1.1490140512457196</v>
      </c>
      <c r="AI119" s="45">
        <f t="shared" si="22"/>
        <v>1.3271468144044321</v>
      </c>
      <c r="AJ119" s="45">
        <f t="shared" si="23"/>
        <v>1.1726531109217095</v>
      </c>
      <c r="AK119" s="45">
        <f t="shared" si="24"/>
        <v>1.1550990640573722</v>
      </c>
      <c r="AL119" s="45">
        <f t="shared" si="25"/>
        <v>1.2553316147176001</v>
      </c>
      <c r="AM119" s="45">
        <f t="shared" si="26"/>
        <v>1.3079989370183362</v>
      </c>
    </row>
    <row r="120" spans="1:39" x14ac:dyDescent="0.25">
      <c r="A120" s="43">
        <f t="shared" si="16"/>
        <v>45658</v>
      </c>
      <c r="B120" s="45">
        <f t="shared" ref="B120:Q120" si="64">B58/B$19</f>
        <v>1.2206877503107307</v>
      </c>
      <c r="C120" s="45">
        <f t="shared" si="64"/>
        <v>1.0721015570762669</v>
      </c>
      <c r="D120" s="45">
        <f t="shared" si="64"/>
        <v>1.114562833848749</v>
      </c>
      <c r="E120" s="45">
        <f t="shared" si="64"/>
        <v>1.1786945666389252</v>
      </c>
      <c r="F120" s="45">
        <f t="shared" si="64"/>
        <v>0.28377483443708612</v>
      </c>
      <c r="G120" s="45">
        <f t="shared" si="64"/>
        <v>1.0889971219836174</v>
      </c>
      <c r="H120" s="45">
        <f t="shared" si="64"/>
        <v>0.94942823343848581</v>
      </c>
      <c r="I120" s="45">
        <f t="shared" si="64"/>
        <v>1.0583122057225642</v>
      </c>
      <c r="J120" s="45">
        <f t="shared" si="64"/>
        <v>1.3281315900463939</v>
      </c>
      <c r="K120" s="45">
        <f t="shared" si="64"/>
        <v>1.5239658568614576</v>
      </c>
      <c r="L120" s="45">
        <f t="shared" si="64"/>
        <v>1.1490140512457196</v>
      </c>
      <c r="M120" s="45">
        <f t="shared" si="64"/>
        <v>1.3271468144044321</v>
      </c>
      <c r="N120" s="45">
        <f t="shared" si="64"/>
        <v>1.1799586022159991</v>
      </c>
      <c r="O120" s="45">
        <f t="shared" si="64"/>
        <v>1.1891333414367327</v>
      </c>
      <c r="P120" s="45">
        <f t="shared" si="64"/>
        <v>1.2784157487696273</v>
      </c>
      <c r="Q120" s="45">
        <f t="shared" si="64"/>
        <v>1.3079989370183362</v>
      </c>
      <c r="AE120" s="43">
        <f t="shared" si="18"/>
        <v>45658</v>
      </c>
      <c r="AF120" s="45">
        <f t="shared" si="19"/>
        <v>1.3281315900463939</v>
      </c>
      <c r="AG120" s="45">
        <f t="shared" si="20"/>
        <v>1.5239658568614576</v>
      </c>
      <c r="AH120" s="45">
        <f t="shared" si="21"/>
        <v>1.1490140512457196</v>
      </c>
      <c r="AI120" s="45">
        <f t="shared" si="22"/>
        <v>1.3271468144044321</v>
      </c>
      <c r="AJ120" s="45">
        <f t="shared" si="23"/>
        <v>1.1799586022159991</v>
      </c>
      <c r="AK120" s="45">
        <f t="shared" si="24"/>
        <v>1.1891333414367327</v>
      </c>
      <c r="AL120" s="45">
        <f t="shared" si="25"/>
        <v>1.2784157487696273</v>
      </c>
      <c r="AM120" s="45">
        <f t="shared" si="26"/>
        <v>1.3079989370183362</v>
      </c>
    </row>
    <row r="121" spans="1:39" x14ac:dyDescent="0.25">
      <c r="A121" s="43">
        <f t="shared" si="16"/>
        <v>45689</v>
      </c>
      <c r="B121" s="45">
        <f t="shared" ref="B121:Q121" si="65">B59/B$19</f>
        <v>1.2226211849192101</v>
      </c>
      <c r="C121" s="45">
        <f t="shared" si="65"/>
        <v>0.97857780422493312</v>
      </c>
      <c r="D121" s="45">
        <f t="shared" si="65"/>
        <v>1.1031768344110207</v>
      </c>
      <c r="E121" s="45">
        <f t="shared" si="65"/>
        <v>1.1681131851147306</v>
      </c>
      <c r="F121" s="45">
        <f t="shared" si="65"/>
        <v>0.28377483443708612</v>
      </c>
      <c r="G121" s="45">
        <f t="shared" si="65"/>
        <v>1.0889971219836174</v>
      </c>
      <c r="H121" s="45">
        <f t="shared" si="65"/>
        <v>0.94942823343848581</v>
      </c>
      <c r="I121" s="45">
        <f t="shared" si="65"/>
        <v>1.0753350235421948</v>
      </c>
      <c r="J121" s="45">
        <f t="shared" si="65"/>
        <v>1.3281315900463939</v>
      </c>
      <c r="K121" s="45">
        <f t="shared" si="65"/>
        <v>1.5282337491792513</v>
      </c>
      <c r="L121" s="45">
        <f t="shared" si="65"/>
        <v>1.1490140512457196</v>
      </c>
      <c r="M121" s="45">
        <f t="shared" si="65"/>
        <v>1.331578947368421</v>
      </c>
      <c r="N121" s="45">
        <f t="shared" si="65"/>
        <v>1.1799586022159991</v>
      </c>
      <c r="O121" s="45">
        <f t="shared" si="65"/>
        <v>1.1642153883554152</v>
      </c>
      <c r="P121" s="45">
        <f t="shared" si="65"/>
        <v>1.2784157487696273</v>
      </c>
      <c r="Q121" s="45">
        <f t="shared" si="65"/>
        <v>1.3079989370183362</v>
      </c>
      <c r="AE121" s="43">
        <f t="shared" si="18"/>
        <v>45689</v>
      </c>
      <c r="AF121" s="45">
        <f t="shared" si="19"/>
        <v>1.3281315900463939</v>
      </c>
      <c r="AG121" s="45">
        <f t="shared" si="20"/>
        <v>1.5282337491792513</v>
      </c>
      <c r="AH121" s="45">
        <f t="shared" si="21"/>
        <v>1.1490140512457196</v>
      </c>
      <c r="AI121" s="45">
        <f t="shared" si="22"/>
        <v>1.331578947368421</v>
      </c>
      <c r="AJ121" s="45">
        <f t="shared" si="23"/>
        <v>1.1799586022159991</v>
      </c>
      <c r="AK121" s="45">
        <f t="shared" si="24"/>
        <v>1.1642153883554152</v>
      </c>
      <c r="AL121" s="45">
        <f t="shared" si="25"/>
        <v>1.2784157487696273</v>
      </c>
      <c r="AM121" s="45">
        <f t="shared" si="26"/>
        <v>1.3079989370183362</v>
      </c>
    </row>
    <row r="122" spans="1:39" x14ac:dyDescent="0.25">
      <c r="A122" s="43">
        <f t="shared" si="16"/>
        <v>45717</v>
      </c>
      <c r="B122" s="45">
        <f t="shared" ref="B122:Q122" si="66">B60/B$19</f>
        <v>1.2605993647286287</v>
      </c>
      <c r="C122" s="45">
        <f t="shared" si="66"/>
        <v>0.97857780422493312</v>
      </c>
      <c r="D122" s="45">
        <f t="shared" si="66"/>
        <v>1.0995220691594039</v>
      </c>
      <c r="E122" s="45">
        <f t="shared" si="66"/>
        <v>1.1681131851147306</v>
      </c>
      <c r="F122" s="45">
        <f t="shared" si="66"/>
        <v>0.92615894039735103</v>
      </c>
      <c r="G122" s="45">
        <f t="shared" si="66"/>
        <v>1.0889971219836174</v>
      </c>
      <c r="H122" s="45">
        <f t="shared" si="66"/>
        <v>0.94942823343848581</v>
      </c>
      <c r="I122" s="45">
        <f t="shared" si="66"/>
        <v>1.0753350235421948</v>
      </c>
      <c r="J122" s="45">
        <f t="shared" si="66"/>
        <v>1.3281315900463939</v>
      </c>
      <c r="K122" s="45">
        <f t="shared" si="66"/>
        <v>1.5282337491792513</v>
      </c>
      <c r="L122" s="45">
        <f t="shared" si="66"/>
        <v>1.1490140512457196</v>
      </c>
      <c r="M122" s="45">
        <f t="shared" si="66"/>
        <v>1.331578947368421</v>
      </c>
      <c r="N122" s="45">
        <f t="shared" si="66"/>
        <v>1.1542676244977474</v>
      </c>
      <c r="O122" s="45">
        <f t="shared" si="66"/>
        <v>1.1854868117175155</v>
      </c>
      <c r="P122" s="45">
        <f t="shared" si="66"/>
        <v>1.2763065385516756</v>
      </c>
      <c r="Q122" s="45">
        <f t="shared" si="66"/>
        <v>1.3079989370183362</v>
      </c>
      <c r="AE122" s="43">
        <f t="shared" si="18"/>
        <v>45717</v>
      </c>
      <c r="AF122" s="45">
        <f t="shared" si="19"/>
        <v>1.3281315900463939</v>
      </c>
      <c r="AG122" s="45">
        <f t="shared" si="20"/>
        <v>1.5282337491792513</v>
      </c>
      <c r="AH122" s="45">
        <f t="shared" si="21"/>
        <v>1.1490140512457196</v>
      </c>
      <c r="AI122" s="45">
        <f t="shared" si="22"/>
        <v>1.331578947368421</v>
      </c>
      <c r="AJ122" s="45">
        <f t="shared" si="23"/>
        <v>1.1542676244977474</v>
      </c>
      <c r="AK122" s="45">
        <f t="shared" si="24"/>
        <v>1.1854868117175155</v>
      </c>
      <c r="AL122" s="45">
        <f t="shared" si="25"/>
        <v>1.2763065385516756</v>
      </c>
      <c r="AM122" s="45">
        <f t="shared" si="26"/>
        <v>1.3079989370183362</v>
      </c>
    </row>
    <row r="123" spans="1:39" x14ac:dyDescent="0.25">
      <c r="A123" s="43">
        <f t="shared" si="16"/>
        <v>45748</v>
      </c>
      <c r="B123" s="45">
        <f t="shared" ref="B123:Q123" si="67">B61/B$19</f>
        <v>1.2480320397735121</v>
      </c>
      <c r="C123" s="45">
        <f t="shared" si="67"/>
        <v>0.90310423485073887</v>
      </c>
      <c r="D123" s="45">
        <f t="shared" si="67"/>
        <v>1.3445319089120045</v>
      </c>
      <c r="E123" s="45">
        <f t="shared" si="67"/>
        <v>1.1697776720960646</v>
      </c>
      <c r="F123" s="45">
        <f t="shared" si="67"/>
        <v>1.0768211920529802</v>
      </c>
      <c r="G123" s="45">
        <f t="shared" si="67"/>
        <v>0.97874695594421079</v>
      </c>
      <c r="H123" s="45">
        <f t="shared" si="67"/>
        <v>0.94942823343848581</v>
      </c>
      <c r="I123" s="45">
        <f t="shared" si="67"/>
        <v>1.0753350235421948</v>
      </c>
      <c r="J123" s="45">
        <f t="shared" si="67"/>
        <v>1.3281315900463939</v>
      </c>
      <c r="K123" s="45">
        <f t="shared" si="67"/>
        <v>1.515758371634931</v>
      </c>
      <c r="L123" s="45">
        <f t="shared" si="67"/>
        <v>1.1490140512457196</v>
      </c>
      <c r="M123" s="45">
        <f t="shared" si="67"/>
        <v>1.3045706371191135</v>
      </c>
      <c r="N123" s="45">
        <f t="shared" si="67"/>
        <v>1.1542676244977474</v>
      </c>
      <c r="O123" s="45">
        <f t="shared" si="67"/>
        <v>1.1839066488391881</v>
      </c>
      <c r="P123" s="45">
        <f t="shared" si="67"/>
        <v>1.2681040543707522</v>
      </c>
      <c r="Q123" s="45">
        <f t="shared" si="67"/>
        <v>1.3079989370183362</v>
      </c>
      <c r="AE123" s="43">
        <f t="shared" si="18"/>
        <v>45748</v>
      </c>
      <c r="AF123" s="45">
        <f t="shared" si="19"/>
        <v>1.3281315900463939</v>
      </c>
      <c r="AG123" s="45">
        <f t="shared" si="20"/>
        <v>1.515758371634931</v>
      </c>
      <c r="AH123" s="45">
        <f t="shared" si="21"/>
        <v>1.1490140512457196</v>
      </c>
      <c r="AI123" s="45">
        <f t="shared" si="22"/>
        <v>1.3045706371191135</v>
      </c>
      <c r="AJ123" s="45">
        <f t="shared" si="23"/>
        <v>1.1542676244977474</v>
      </c>
      <c r="AK123" s="45">
        <f t="shared" si="24"/>
        <v>1.1839066488391881</v>
      </c>
      <c r="AL123" s="45">
        <f t="shared" si="25"/>
        <v>1.2681040543707522</v>
      </c>
      <c r="AM123" s="45">
        <f t="shared" si="26"/>
        <v>1.3079989370183362</v>
      </c>
    </row>
    <row r="124" spans="1:39" x14ac:dyDescent="0.25">
      <c r="A124" s="43">
        <f t="shared" si="16"/>
        <v>45778</v>
      </c>
      <c r="B124" s="45">
        <f t="shared" ref="B124:Q124" si="68">B62/B$19</f>
        <v>1.2549371633752244</v>
      </c>
      <c r="C124" s="45">
        <f t="shared" si="68"/>
        <v>0.98918972528017457</v>
      </c>
      <c r="D124" s="45">
        <f t="shared" si="68"/>
        <v>1.335957267360135</v>
      </c>
      <c r="E124" s="45">
        <f t="shared" si="68"/>
        <v>1.1697776720960646</v>
      </c>
      <c r="F124" s="45">
        <f t="shared" si="68"/>
        <v>1.0768211920529802</v>
      </c>
      <c r="G124" s="45">
        <f t="shared" si="68"/>
        <v>0.8694930263449191</v>
      </c>
      <c r="H124" s="45">
        <f t="shared" si="68"/>
        <v>0.94942823343848581</v>
      </c>
      <c r="I124" s="45">
        <f t="shared" si="68"/>
        <v>1.0753350235421948</v>
      </c>
      <c r="J124" s="45">
        <f t="shared" si="68"/>
        <v>1.3281315900463939</v>
      </c>
      <c r="K124" s="45">
        <f t="shared" si="68"/>
        <v>1.4517399868680236</v>
      </c>
      <c r="L124" s="45">
        <f t="shared" si="68"/>
        <v>1.1490140512457196</v>
      </c>
      <c r="M124" s="45">
        <f t="shared" si="68"/>
        <v>1.3045706371191135</v>
      </c>
      <c r="N124" s="45">
        <f t="shared" si="68"/>
        <v>1.1542676244977474</v>
      </c>
      <c r="O124" s="45">
        <f t="shared" si="68"/>
        <v>1.1839066488391881</v>
      </c>
      <c r="P124" s="45">
        <f t="shared" si="68"/>
        <v>1.152800562456058</v>
      </c>
      <c r="Q124" s="45">
        <f t="shared" si="68"/>
        <v>1.3079989370183362</v>
      </c>
      <c r="AE124" s="43">
        <f t="shared" si="18"/>
        <v>45778</v>
      </c>
      <c r="AF124" s="45">
        <f t="shared" si="19"/>
        <v>1.3281315900463939</v>
      </c>
      <c r="AG124" s="45">
        <f t="shared" si="20"/>
        <v>1.4517399868680236</v>
      </c>
      <c r="AH124" s="45">
        <f t="shared" si="21"/>
        <v>1.1490140512457196</v>
      </c>
      <c r="AI124" s="45">
        <f t="shared" si="22"/>
        <v>1.3045706371191135</v>
      </c>
      <c r="AJ124" s="45">
        <f t="shared" si="23"/>
        <v>1.1542676244977474</v>
      </c>
      <c r="AK124" s="45">
        <f t="shared" si="24"/>
        <v>1.1839066488391881</v>
      </c>
      <c r="AL124" s="45">
        <f t="shared" si="25"/>
        <v>1.152800562456058</v>
      </c>
      <c r="AM124" s="45">
        <f t="shared" si="26"/>
        <v>1.3079989370183362</v>
      </c>
    </row>
    <row r="125" spans="1:39" x14ac:dyDescent="0.25">
      <c r="A125" s="43">
        <f t="shared" si="16"/>
        <v>45809</v>
      </c>
      <c r="B125" s="45">
        <f t="shared" ref="B125:Q125" si="69">B63/B$19</f>
        <v>1.2401601988675597</v>
      </c>
      <c r="C125" s="45">
        <f t="shared" si="69"/>
        <v>0.98918972528017457</v>
      </c>
      <c r="D125" s="45">
        <f t="shared" si="69"/>
        <v>1.3224627495080123</v>
      </c>
      <c r="E125" s="45">
        <f t="shared" si="69"/>
        <v>1.1847580549280705</v>
      </c>
      <c r="F125" s="45">
        <f t="shared" si="69"/>
        <v>1.0768211920529802</v>
      </c>
      <c r="G125" s="45">
        <f t="shared" si="69"/>
        <v>0.8694930263449191</v>
      </c>
      <c r="H125" s="45">
        <f t="shared" si="69"/>
        <v>0.94942823343848581</v>
      </c>
      <c r="I125" s="45">
        <f t="shared" si="69"/>
        <v>1.0753350235421948</v>
      </c>
      <c r="J125" s="45">
        <f t="shared" si="69"/>
        <v>1.3166034022212851</v>
      </c>
      <c r="K125" s="45">
        <f t="shared" si="69"/>
        <v>1.4689757058437294</v>
      </c>
      <c r="L125" s="45">
        <f t="shared" si="69"/>
        <v>1.1452355650017711</v>
      </c>
      <c r="M125" s="45">
        <f t="shared" si="69"/>
        <v>1.3045706371191135</v>
      </c>
      <c r="N125" s="45">
        <f t="shared" si="69"/>
        <v>1.1542676244977474</v>
      </c>
      <c r="O125" s="45">
        <f t="shared" si="69"/>
        <v>1.1903488513431386</v>
      </c>
      <c r="P125" s="45">
        <f t="shared" si="69"/>
        <v>1.167682212327162</v>
      </c>
      <c r="Q125" s="45">
        <f t="shared" si="69"/>
        <v>1.3079989370183362</v>
      </c>
      <c r="AE125" s="43">
        <f t="shared" si="18"/>
        <v>45809</v>
      </c>
      <c r="AF125" s="45">
        <f t="shared" si="19"/>
        <v>1.3166034022212851</v>
      </c>
      <c r="AG125" s="45">
        <f t="shared" si="20"/>
        <v>1.4689757058437294</v>
      </c>
      <c r="AH125" s="45">
        <f t="shared" si="21"/>
        <v>1.1452355650017711</v>
      </c>
      <c r="AI125" s="45">
        <f t="shared" si="22"/>
        <v>1.3045706371191135</v>
      </c>
      <c r="AJ125" s="45">
        <f t="shared" si="23"/>
        <v>1.1542676244977474</v>
      </c>
      <c r="AK125" s="45">
        <f t="shared" si="24"/>
        <v>1.1903488513431386</v>
      </c>
      <c r="AL125" s="45">
        <f t="shared" si="25"/>
        <v>1.167682212327162</v>
      </c>
      <c r="AM125" s="45">
        <f t="shared" si="26"/>
        <v>1.3079989370183362</v>
      </c>
    </row>
    <row r="126" spans="1:39" x14ac:dyDescent="0.25">
      <c r="A126" s="43">
        <f t="shared" si="16"/>
        <v>45839</v>
      </c>
      <c r="B126" s="45">
        <f t="shared" ref="B126:Q126" si="70">B64/B$19</f>
        <v>1.61455600055241</v>
      </c>
      <c r="C126" s="45">
        <f t="shared" si="70"/>
        <v>1.004462957453139</v>
      </c>
      <c r="D126" s="45">
        <f t="shared" si="70"/>
        <v>1.4034298566207479</v>
      </c>
      <c r="E126" s="45">
        <f t="shared" si="70"/>
        <v>1.1909404351444537</v>
      </c>
      <c r="F126" s="45">
        <f t="shared" si="70"/>
        <v>1.1037527593818985</v>
      </c>
      <c r="G126" s="45">
        <f t="shared" si="70"/>
        <v>0.99767544830639798</v>
      </c>
      <c r="H126" s="45">
        <f t="shared" si="70"/>
        <v>0.98580441640378547</v>
      </c>
      <c r="I126" s="45">
        <f t="shared" si="70"/>
        <v>1.3938186647349995</v>
      </c>
      <c r="J126" s="45">
        <f t="shared" si="70"/>
        <v>1.392380149022916</v>
      </c>
      <c r="K126" s="45">
        <f t="shared" si="70"/>
        <v>1.5743598161523309</v>
      </c>
      <c r="L126" s="45">
        <f t="shared" si="70"/>
        <v>1.1713307356240408</v>
      </c>
      <c r="M126" s="45">
        <f t="shared" si="70"/>
        <v>1.3867036011080331</v>
      </c>
      <c r="N126" s="45">
        <f t="shared" si="70"/>
        <v>1.2175818823815903</v>
      </c>
      <c r="O126" s="45">
        <f t="shared" si="70"/>
        <v>1.1992220736599004</v>
      </c>
      <c r="P126" s="45">
        <f t="shared" si="70"/>
        <v>1.167682212327162</v>
      </c>
      <c r="Q126" s="45">
        <f t="shared" si="70"/>
        <v>1.3287270794578792</v>
      </c>
      <c r="AE126" s="43">
        <f t="shared" si="18"/>
        <v>45839</v>
      </c>
      <c r="AF126" s="45">
        <f t="shared" si="19"/>
        <v>1.392380149022916</v>
      </c>
      <c r="AG126" s="45">
        <f t="shared" si="20"/>
        <v>1.5743598161523309</v>
      </c>
      <c r="AH126" s="45">
        <f t="shared" si="21"/>
        <v>1.1713307356240408</v>
      </c>
      <c r="AI126" s="45">
        <f t="shared" si="22"/>
        <v>1.3867036011080331</v>
      </c>
      <c r="AJ126" s="45">
        <f t="shared" si="23"/>
        <v>1.2175818823815903</v>
      </c>
      <c r="AK126" s="45">
        <f t="shared" si="24"/>
        <v>1.1992220736599004</v>
      </c>
      <c r="AL126" s="45">
        <f t="shared" si="25"/>
        <v>1.167682212327162</v>
      </c>
      <c r="AM126" s="45">
        <f t="shared" si="26"/>
        <v>1.3287270794578792</v>
      </c>
    </row>
    <row r="127" spans="1:39" x14ac:dyDescent="0.25">
      <c r="A127" s="43">
        <f t="shared" si="16"/>
        <v>45870</v>
      </c>
      <c r="B127" s="45">
        <f t="shared" ref="B127:Q127" si="71">B65/B$19</f>
        <v>1.3940063527137136</v>
      </c>
      <c r="C127" s="45">
        <f t="shared" si="71"/>
        <v>0.99523951204998506</v>
      </c>
      <c r="D127" s="45">
        <f t="shared" si="71"/>
        <v>1.405678942929435</v>
      </c>
      <c r="E127" s="45">
        <f t="shared" si="71"/>
        <v>1.1889192723814053</v>
      </c>
      <c r="F127" s="45">
        <f t="shared" si="71"/>
        <v>1.1037527593818985</v>
      </c>
      <c r="G127" s="45">
        <f t="shared" si="71"/>
        <v>1.1069293779056897</v>
      </c>
      <c r="H127" s="45">
        <f t="shared" si="71"/>
        <v>0.98580441640378547</v>
      </c>
      <c r="I127" s="45">
        <f t="shared" si="71"/>
        <v>1.2072920439454304</v>
      </c>
      <c r="J127" s="45">
        <f t="shared" si="71"/>
        <v>1.4039083368480247</v>
      </c>
      <c r="K127" s="45">
        <f t="shared" si="71"/>
        <v>1.5751805646749835</v>
      </c>
      <c r="L127" s="45">
        <f t="shared" si="71"/>
        <v>1.1803046404534183</v>
      </c>
      <c r="M127" s="45">
        <f t="shared" si="71"/>
        <v>1.3867036011080331</v>
      </c>
      <c r="N127" s="45">
        <f t="shared" si="71"/>
        <v>1.2175818823815903</v>
      </c>
      <c r="O127" s="45">
        <f t="shared" si="71"/>
        <v>1.2054211741825698</v>
      </c>
      <c r="P127" s="45">
        <f t="shared" si="71"/>
        <v>1.1717834544176235</v>
      </c>
      <c r="Q127" s="45">
        <f t="shared" si="71"/>
        <v>1.3287270794578792</v>
      </c>
      <c r="AE127" s="43">
        <f t="shared" si="18"/>
        <v>45870</v>
      </c>
      <c r="AF127" s="45">
        <f t="shared" si="19"/>
        <v>1.4039083368480247</v>
      </c>
      <c r="AG127" s="45">
        <f t="shared" si="20"/>
        <v>1.5751805646749835</v>
      </c>
      <c r="AH127" s="45">
        <f t="shared" si="21"/>
        <v>1.1803046404534183</v>
      </c>
      <c r="AI127" s="45">
        <f t="shared" si="22"/>
        <v>1.3867036011080331</v>
      </c>
      <c r="AJ127" s="45">
        <f t="shared" si="23"/>
        <v>1.2175818823815903</v>
      </c>
      <c r="AK127" s="45">
        <f t="shared" si="24"/>
        <v>1.2054211741825698</v>
      </c>
      <c r="AL127" s="45">
        <f t="shared" si="25"/>
        <v>1.1717834544176235</v>
      </c>
      <c r="AM127" s="45">
        <f t="shared" si="26"/>
        <v>1.3287270794578792</v>
      </c>
    </row>
    <row r="128" spans="1:39" x14ac:dyDescent="0.25">
      <c r="A128" s="43">
        <f t="shared" si="16"/>
        <v>45901</v>
      </c>
      <c r="B128" s="45">
        <f t="shared" ref="B128:Q128" si="72">B66/B$19</f>
        <v>1.3810247203424941</v>
      </c>
      <c r="C128" s="45">
        <f t="shared" si="72"/>
        <v>0.99176832291976591</v>
      </c>
      <c r="D128" s="45">
        <f t="shared" si="72"/>
        <v>1.405678942929435</v>
      </c>
      <c r="E128" s="45">
        <f t="shared" si="72"/>
        <v>1.1889192723814053</v>
      </c>
      <c r="F128" s="45">
        <f t="shared" si="72"/>
        <v>1.1037527593818985</v>
      </c>
      <c r="G128" s="45">
        <f t="shared" si="72"/>
        <v>1.1069293779056897</v>
      </c>
      <c r="H128" s="45">
        <f t="shared" si="72"/>
        <v>0.98580441640378547</v>
      </c>
      <c r="I128" s="45">
        <f t="shared" si="72"/>
        <v>1.2072920439454304</v>
      </c>
      <c r="J128" s="45">
        <f t="shared" si="72"/>
        <v>1.4058765640376776</v>
      </c>
      <c r="K128" s="45">
        <f t="shared" si="72"/>
        <v>1.6414970453053184</v>
      </c>
      <c r="L128" s="45">
        <f t="shared" si="72"/>
        <v>1.1807769512339119</v>
      </c>
      <c r="M128" s="45">
        <f t="shared" si="72"/>
        <v>1.3850415512465373</v>
      </c>
      <c r="N128" s="45">
        <f t="shared" si="72"/>
        <v>1.2175818823815903</v>
      </c>
      <c r="O128" s="45">
        <f t="shared" si="72"/>
        <v>1.2155099064057373</v>
      </c>
      <c r="P128" s="45">
        <f t="shared" si="72"/>
        <v>1.1717834544176235</v>
      </c>
      <c r="Q128" s="45">
        <f t="shared" si="72"/>
        <v>1.3287270794578792</v>
      </c>
      <c r="AE128" s="43">
        <f t="shared" si="18"/>
        <v>45901</v>
      </c>
      <c r="AF128" s="45">
        <f t="shared" si="19"/>
        <v>1.4058765640376776</v>
      </c>
      <c r="AG128" s="45">
        <f t="shared" si="20"/>
        <v>1.6414970453053184</v>
      </c>
      <c r="AH128" s="45">
        <f t="shared" si="21"/>
        <v>1.1807769512339119</v>
      </c>
      <c r="AI128" s="45">
        <f t="shared" si="22"/>
        <v>1.3850415512465373</v>
      </c>
      <c r="AJ128" s="45">
        <f t="shared" si="23"/>
        <v>1.2175818823815903</v>
      </c>
      <c r="AK128" s="45">
        <f t="shared" si="24"/>
        <v>1.2155099064057373</v>
      </c>
      <c r="AL128" s="45">
        <f t="shared" si="25"/>
        <v>1.1717834544176235</v>
      </c>
      <c r="AM128" s="45">
        <f t="shared" si="26"/>
        <v>1.3287270794578792</v>
      </c>
    </row>
    <row r="129" spans="1:39" x14ac:dyDescent="0.25">
      <c r="A129" s="43">
        <f t="shared" si="16"/>
        <v>45931</v>
      </c>
      <c r="B129" s="45">
        <f t="shared" ref="B129:Q129" si="73">B67/B$19</f>
        <v>1.1215301753901394</v>
      </c>
      <c r="C129" s="45">
        <f t="shared" si="73"/>
        <v>0.99067737776455422</v>
      </c>
      <c r="D129" s="45">
        <f t="shared" si="73"/>
        <v>1.4031487208321618</v>
      </c>
      <c r="E129" s="45">
        <f t="shared" si="73"/>
        <v>1.1851147307097849</v>
      </c>
      <c r="F129" s="45">
        <f t="shared" si="73"/>
        <v>0.87350993377483455</v>
      </c>
      <c r="G129" s="45">
        <f t="shared" si="73"/>
        <v>1.1069293779056897</v>
      </c>
      <c r="H129" s="45">
        <f t="shared" si="73"/>
        <v>0.98580441640378547</v>
      </c>
      <c r="I129" s="45">
        <f t="shared" si="73"/>
        <v>1.030906676325003</v>
      </c>
      <c r="J129" s="45">
        <f t="shared" si="73"/>
        <v>1.4058765640376776</v>
      </c>
      <c r="K129" s="45">
        <f t="shared" si="73"/>
        <v>1.5347997373604727</v>
      </c>
      <c r="L129" s="45">
        <f t="shared" si="73"/>
        <v>1.1778250088558271</v>
      </c>
      <c r="M129" s="45">
        <f t="shared" si="73"/>
        <v>1.3721606648199445</v>
      </c>
      <c r="N129" s="45">
        <f t="shared" si="73"/>
        <v>1.2175818823815903</v>
      </c>
      <c r="O129" s="45">
        <f t="shared" si="73"/>
        <v>1.2489364288318952</v>
      </c>
      <c r="P129" s="45">
        <f t="shared" si="73"/>
        <v>1.2819310991328803</v>
      </c>
      <c r="Q129" s="45">
        <f t="shared" si="73"/>
        <v>1.3262024980069094</v>
      </c>
      <c r="AE129" s="43">
        <f t="shared" si="18"/>
        <v>45931</v>
      </c>
      <c r="AF129" s="45">
        <f t="shared" si="19"/>
        <v>1.4058765640376776</v>
      </c>
      <c r="AG129" s="45">
        <f t="shared" si="20"/>
        <v>1.5347997373604727</v>
      </c>
      <c r="AH129" s="45">
        <f t="shared" si="21"/>
        <v>1.1778250088558271</v>
      </c>
      <c r="AI129" s="45">
        <f t="shared" si="22"/>
        <v>1.3721606648199445</v>
      </c>
      <c r="AJ129" s="45">
        <f t="shared" si="23"/>
        <v>1.2175818823815903</v>
      </c>
      <c r="AK129" s="45">
        <f t="shared" si="24"/>
        <v>1.2489364288318952</v>
      </c>
      <c r="AL129" s="45">
        <f t="shared" si="25"/>
        <v>1.2819310991328803</v>
      </c>
      <c r="AM129" s="45">
        <f t="shared" si="26"/>
        <v>1.3262024980069094</v>
      </c>
    </row>
    <row r="130" spans="1:39" x14ac:dyDescent="0.25">
      <c r="A130" s="43">
        <f t="shared" si="16"/>
        <v>45962</v>
      </c>
      <c r="B130" s="45">
        <f t="shared" ref="B130:Q130" si="74">B68/B$19</f>
        <v>1.3614141693136308</v>
      </c>
      <c r="C130" s="45">
        <f t="shared" si="74"/>
        <v>0.99018149360309438</v>
      </c>
      <c r="D130" s="45">
        <f t="shared" si="74"/>
        <v>1.4031487208321618</v>
      </c>
      <c r="E130" s="45">
        <f t="shared" si="74"/>
        <v>1.1923671382713115</v>
      </c>
      <c r="F130" s="45">
        <f t="shared" si="74"/>
        <v>0.7639072847682119</v>
      </c>
      <c r="G130" s="45">
        <f t="shared" si="74"/>
        <v>1.1069293779056897</v>
      </c>
      <c r="H130" s="45">
        <f t="shared" si="74"/>
        <v>0.98580441640378547</v>
      </c>
      <c r="I130" s="45">
        <f t="shared" si="74"/>
        <v>1.2072920439454304</v>
      </c>
      <c r="J130" s="45">
        <f t="shared" si="74"/>
        <v>1.4439758189230985</v>
      </c>
      <c r="K130" s="45">
        <f t="shared" si="74"/>
        <v>1.6150689428759029</v>
      </c>
      <c r="L130" s="45">
        <f t="shared" si="74"/>
        <v>1.1807769512339119</v>
      </c>
      <c r="M130" s="45">
        <f t="shared" si="74"/>
        <v>1.3721606648199445</v>
      </c>
      <c r="N130" s="45">
        <f t="shared" si="74"/>
        <v>1.2315840740289785</v>
      </c>
      <c r="O130" s="45">
        <f t="shared" si="74"/>
        <v>1.2141728455086909</v>
      </c>
      <c r="P130" s="45">
        <f t="shared" si="74"/>
        <v>1.1717834544176235</v>
      </c>
      <c r="Q130" s="45">
        <f t="shared" si="74"/>
        <v>1.3262024980069094</v>
      </c>
      <c r="AE130" s="43">
        <f t="shared" si="18"/>
        <v>45962</v>
      </c>
      <c r="AF130" s="45">
        <f t="shared" si="19"/>
        <v>1.4439758189230985</v>
      </c>
      <c r="AG130" s="45">
        <f t="shared" si="20"/>
        <v>1.6150689428759029</v>
      </c>
      <c r="AH130" s="45">
        <f t="shared" si="21"/>
        <v>1.1807769512339119</v>
      </c>
      <c r="AI130" s="45">
        <f t="shared" si="22"/>
        <v>1.3721606648199445</v>
      </c>
      <c r="AJ130" s="45">
        <f t="shared" si="23"/>
        <v>1.2315840740289785</v>
      </c>
      <c r="AK130" s="45">
        <f t="shared" si="24"/>
        <v>1.2141728455086909</v>
      </c>
      <c r="AL130" s="45">
        <f t="shared" si="25"/>
        <v>1.1717834544176235</v>
      </c>
      <c r="AM130" s="45">
        <f t="shared" si="26"/>
        <v>1.3262024980069094</v>
      </c>
    </row>
    <row r="131" spans="1:39" x14ac:dyDescent="0.25">
      <c r="A131" s="43">
        <f t="shared" si="16"/>
        <v>45992</v>
      </c>
      <c r="B131" s="45">
        <f t="shared" ref="B131:Q131" si="75">B69/B$19</f>
        <v>1.3614141693136308</v>
      </c>
      <c r="C131" s="45">
        <f t="shared" si="75"/>
        <v>0.9908757314291381</v>
      </c>
      <c r="D131" s="45">
        <f t="shared" si="75"/>
        <v>1.4031487208321618</v>
      </c>
      <c r="E131" s="45">
        <f t="shared" si="75"/>
        <v>1.1923671382713115</v>
      </c>
      <c r="F131" s="45">
        <f t="shared" si="75"/>
        <v>0.7639072847682119</v>
      </c>
      <c r="G131" s="45">
        <f t="shared" si="75"/>
        <v>1.1069293779056897</v>
      </c>
      <c r="H131" s="45">
        <f t="shared" si="75"/>
        <v>0.98580441640378547</v>
      </c>
      <c r="I131" s="45">
        <f t="shared" si="75"/>
        <v>1.2072920439454304</v>
      </c>
      <c r="J131" s="45">
        <f t="shared" si="75"/>
        <v>1.4439758189230985</v>
      </c>
      <c r="K131" s="45">
        <f t="shared" si="75"/>
        <v>1.6150689428759029</v>
      </c>
      <c r="L131" s="45">
        <f t="shared" si="75"/>
        <v>1.1612941315385523</v>
      </c>
      <c r="M131" s="45">
        <f t="shared" si="75"/>
        <v>1.3721606648199445</v>
      </c>
      <c r="N131" s="45">
        <f t="shared" si="75"/>
        <v>1.2315840740289785</v>
      </c>
      <c r="O131" s="45">
        <f t="shared" si="75"/>
        <v>1.2077306430047405</v>
      </c>
      <c r="P131" s="45">
        <f t="shared" si="75"/>
        <v>1.2802906022966956</v>
      </c>
      <c r="Q131" s="45">
        <f t="shared" si="75"/>
        <v>1.3262024980069094</v>
      </c>
      <c r="AE131" s="43">
        <f t="shared" si="18"/>
        <v>45992</v>
      </c>
      <c r="AF131" s="45">
        <f t="shared" si="19"/>
        <v>1.4439758189230985</v>
      </c>
      <c r="AG131" s="45">
        <f t="shared" si="20"/>
        <v>1.6150689428759029</v>
      </c>
      <c r="AH131" s="45">
        <f t="shared" si="21"/>
        <v>1.1612941315385523</v>
      </c>
      <c r="AI131" s="45">
        <f t="shared" si="22"/>
        <v>1.3721606648199445</v>
      </c>
      <c r="AJ131" s="45">
        <f t="shared" si="23"/>
        <v>1.2315840740289785</v>
      </c>
      <c r="AK131" s="45">
        <f t="shared" si="24"/>
        <v>1.2077306430047405</v>
      </c>
      <c r="AL131" s="45">
        <f t="shared" si="25"/>
        <v>1.2802906022966956</v>
      </c>
      <c r="AM131" s="45">
        <f t="shared" si="26"/>
        <v>1.3262024980069094</v>
      </c>
    </row>
    <row r="132" spans="1:39" x14ac:dyDescent="0.25">
      <c r="A132" s="43">
        <f t="shared" si="16"/>
        <v>46023</v>
      </c>
      <c r="B132" s="45">
        <f t="shared" ref="B132:Q132" si="76">B70/B$19</f>
        <v>1.5961883717718548</v>
      </c>
      <c r="C132" s="45">
        <f t="shared" si="76"/>
        <v>1.2054943965089755</v>
      </c>
      <c r="D132" s="45">
        <f t="shared" si="76"/>
        <v>1.5948833286477369</v>
      </c>
      <c r="E132" s="45">
        <f t="shared" si="76"/>
        <v>1.3749851385090952</v>
      </c>
      <c r="F132" s="45">
        <f t="shared" si="76"/>
        <v>0.9941501103752759</v>
      </c>
      <c r="G132" s="45">
        <f t="shared" si="76"/>
        <v>1.2434137702014612</v>
      </c>
      <c r="H132" s="45">
        <f t="shared" si="76"/>
        <v>1.1427444794952681</v>
      </c>
      <c r="I132" s="45">
        <f t="shared" si="76"/>
        <v>1.3836774115658579</v>
      </c>
      <c r="J132" s="45">
        <f t="shared" si="76"/>
        <v>1.4439758189230985</v>
      </c>
      <c r="K132" s="45">
        <f t="shared" si="76"/>
        <v>1.6150689428759029</v>
      </c>
      <c r="L132" s="45">
        <f t="shared" si="76"/>
        <v>1.1612941315385523</v>
      </c>
      <c r="M132" s="45">
        <f t="shared" si="76"/>
        <v>1.3650969529085872</v>
      </c>
      <c r="N132" s="45">
        <f t="shared" si="76"/>
        <v>1.239620114452697</v>
      </c>
      <c r="O132" s="45">
        <f t="shared" si="76"/>
        <v>1.2251124346663427</v>
      </c>
      <c r="P132" s="45">
        <f t="shared" si="76"/>
        <v>1.3438012655261309</v>
      </c>
      <c r="Q132" s="45">
        <f t="shared" si="76"/>
        <v>1.3262024980069094</v>
      </c>
      <c r="AE132" s="43">
        <f t="shared" si="18"/>
        <v>46023</v>
      </c>
      <c r="AF132" s="45">
        <f t="shared" si="19"/>
        <v>1.4439758189230985</v>
      </c>
      <c r="AG132" s="45">
        <f t="shared" si="20"/>
        <v>1.6150689428759029</v>
      </c>
      <c r="AH132" s="45">
        <f t="shared" si="21"/>
        <v>1.1612941315385523</v>
      </c>
      <c r="AI132" s="45">
        <f t="shared" si="22"/>
        <v>1.3650969529085872</v>
      </c>
      <c r="AJ132" s="45">
        <f t="shared" si="23"/>
        <v>1.239620114452697</v>
      </c>
      <c r="AK132" s="45">
        <f t="shared" si="24"/>
        <v>1.2251124346663427</v>
      </c>
      <c r="AL132" s="45">
        <f t="shared" si="25"/>
        <v>1.3438012655261309</v>
      </c>
      <c r="AM132" s="45">
        <f t="shared" si="26"/>
        <v>1.3262024980069094</v>
      </c>
    </row>
    <row r="134" spans="1:39" ht="15.75" x14ac:dyDescent="0.25">
      <c r="A134" s="22" t="s">
        <v>2118</v>
      </c>
    </row>
    <row r="136" spans="1:39" x14ac:dyDescent="0.25">
      <c r="A136" s="46" t="s">
        <v>2119</v>
      </c>
      <c r="B136" s="47" t="s">
        <v>2120</v>
      </c>
      <c r="C136" s="27" t="s">
        <v>2121</v>
      </c>
      <c r="D136" s="28" t="s">
        <v>2122</v>
      </c>
      <c r="AC136" s="23" t="s">
        <v>2120</v>
      </c>
      <c r="AD136" s="23" t="s">
        <v>2122</v>
      </c>
    </row>
    <row r="137" spans="1:39" x14ac:dyDescent="0.25">
      <c r="A137" s="48">
        <v>1</v>
      </c>
      <c r="B137" s="49" t="str">
        <f t="shared" ref="B137:B152" si="77">INDEX($B$80:$Q$80,MATCH(C137,$B$132:$Q$132,0))</f>
        <v>Melbourne — Gas</v>
      </c>
      <c r="C137" s="50">
        <f t="shared" ref="C137:C152" si="78">LARGE($B$132:$Q$132,A137)</f>
        <v>1.6150689428759029</v>
      </c>
      <c r="D137" s="32">
        <f t="shared" ref="D137:D152" si="79">C137-1</f>
        <v>0.61506894287590286</v>
      </c>
      <c r="AC137" t="str">
        <f t="shared" ref="AC137:AC152" si="80">B137</f>
        <v>Melbourne — Gas</v>
      </c>
      <c r="AD137" s="57">
        <f t="shared" ref="AD137:AD152" si="81">D137</f>
        <v>0.61506894287590286</v>
      </c>
    </row>
    <row r="138" spans="1:39" x14ac:dyDescent="0.25">
      <c r="A138" s="51">
        <v>2</v>
      </c>
      <c r="B138" s="52" t="str">
        <f t="shared" si="77"/>
        <v>Sydney — Elec</v>
      </c>
      <c r="C138" s="53">
        <f t="shared" si="78"/>
        <v>1.5961883717718548</v>
      </c>
      <c r="D138" s="36">
        <f t="shared" si="79"/>
        <v>0.5961883717718548</v>
      </c>
      <c r="AC138" t="str">
        <f t="shared" si="80"/>
        <v>Sydney — Elec</v>
      </c>
      <c r="AD138" s="57">
        <f t="shared" si="81"/>
        <v>0.5961883717718548</v>
      </c>
    </row>
    <row r="139" spans="1:39" x14ac:dyDescent="0.25">
      <c r="A139" s="48">
        <v>3</v>
      </c>
      <c r="B139" s="49" t="str">
        <f t="shared" si="77"/>
        <v>Brisbane — Elec</v>
      </c>
      <c r="C139" s="50">
        <f t="shared" si="78"/>
        <v>1.5948833286477369</v>
      </c>
      <c r="D139" s="32">
        <f t="shared" si="79"/>
        <v>0.59488332864773685</v>
      </c>
      <c r="AC139" t="str">
        <f t="shared" si="80"/>
        <v>Brisbane — Elec</v>
      </c>
      <c r="AD139" s="57">
        <f t="shared" si="81"/>
        <v>0.59488332864773685</v>
      </c>
    </row>
    <row r="140" spans="1:39" x14ac:dyDescent="0.25">
      <c r="A140" s="51">
        <v>4</v>
      </c>
      <c r="B140" s="52" t="str">
        <f t="shared" si="77"/>
        <v>Sydney — Gas</v>
      </c>
      <c r="C140" s="53">
        <f t="shared" si="78"/>
        <v>1.4439758189230985</v>
      </c>
      <c r="D140" s="36">
        <f t="shared" si="79"/>
        <v>0.44397581892309845</v>
      </c>
      <c r="AC140" t="str">
        <f t="shared" si="80"/>
        <v>Sydney — Gas</v>
      </c>
      <c r="AD140" s="57">
        <f t="shared" si="81"/>
        <v>0.44397581892309845</v>
      </c>
    </row>
    <row r="141" spans="1:39" x14ac:dyDescent="0.25">
      <c r="A141" s="48">
        <v>5</v>
      </c>
      <c r="B141" s="49" t="str">
        <f t="shared" si="77"/>
        <v>Canberra — Elec</v>
      </c>
      <c r="C141" s="50">
        <f t="shared" si="78"/>
        <v>1.3836774115658579</v>
      </c>
      <c r="D141" s="32">
        <f t="shared" si="79"/>
        <v>0.38367741156585788</v>
      </c>
      <c r="AC141" t="str">
        <f t="shared" si="80"/>
        <v>Canberra — Elec</v>
      </c>
      <c r="AD141" s="57">
        <f t="shared" si="81"/>
        <v>0.38367741156585788</v>
      </c>
    </row>
    <row r="142" spans="1:39" x14ac:dyDescent="0.25">
      <c r="A142" s="51">
        <v>6</v>
      </c>
      <c r="B142" s="52" t="str">
        <f t="shared" si="77"/>
        <v>Adelaide — Elec</v>
      </c>
      <c r="C142" s="53">
        <f t="shared" si="78"/>
        <v>1.3749851385090952</v>
      </c>
      <c r="D142" s="36">
        <f t="shared" si="79"/>
        <v>0.37498513850909521</v>
      </c>
      <c r="AC142" t="str">
        <f t="shared" si="80"/>
        <v>Adelaide — Elec</v>
      </c>
      <c r="AD142" s="57">
        <f t="shared" si="81"/>
        <v>0.37498513850909521</v>
      </c>
    </row>
    <row r="143" spans="1:39" x14ac:dyDescent="0.25">
      <c r="A143" s="48">
        <v>7</v>
      </c>
      <c r="B143" s="49" t="str">
        <f t="shared" si="77"/>
        <v>Adelaide — Gas</v>
      </c>
      <c r="C143" s="50">
        <f t="shared" si="78"/>
        <v>1.3650969529085872</v>
      </c>
      <c r="D143" s="32">
        <f t="shared" si="79"/>
        <v>0.36509695290858724</v>
      </c>
      <c r="AC143" t="str">
        <f t="shared" si="80"/>
        <v>Adelaide — Gas</v>
      </c>
      <c r="AD143" s="57">
        <f t="shared" si="81"/>
        <v>0.36509695290858724</v>
      </c>
    </row>
    <row r="144" spans="1:39" x14ac:dyDescent="0.25">
      <c r="A144" s="51">
        <v>8</v>
      </c>
      <c r="B144" s="52" t="str">
        <f t="shared" si="77"/>
        <v>Darwin — Gas</v>
      </c>
      <c r="C144" s="53">
        <f t="shared" si="78"/>
        <v>1.3438012655261309</v>
      </c>
      <c r="D144" s="36">
        <f t="shared" si="79"/>
        <v>0.34380126552613088</v>
      </c>
      <c r="AC144" t="str">
        <f t="shared" si="80"/>
        <v>Darwin — Gas</v>
      </c>
      <c r="AD144" s="57">
        <f t="shared" si="81"/>
        <v>0.34380126552613088</v>
      </c>
    </row>
    <row r="145" spans="1:30" x14ac:dyDescent="0.25">
      <c r="A145" s="48">
        <v>9</v>
      </c>
      <c r="B145" s="49" t="str">
        <f t="shared" si="77"/>
        <v>Canberra — Gas</v>
      </c>
      <c r="C145" s="50">
        <f t="shared" si="78"/>
        <v>1.3262024980069094</v>
      </c>
      <c r="D145" s="32">
        <f t="shared" si="79"/>
        <v>0.32620249800690937</v>
      </c>
      <c r="AC145" t="str">
        <f t="shared" si="80"/>
        <v>Canberra — Gas</v>
      </c>
      <c r="AD145" s="57">
        <f t="shared" si="81"/>
        <v>0.32620249800690937</v>
      </c>
    </row>
    <row r="146" spans="1:30" x14ac:dyDescent="0.25">
      <c r="A146" s="51">
        <v>10</v>
      </c>
      <c r="B146" s="52" t="str">
        <f t="shared" si="77"/>
        <v>Hobart — Elec</v>
      </c>
      <c r="C146" s="53">
        <f t="shared" si="78"/>
        <v>1.2434137702014612</v>
      </c>
      <c r="D146" s="36">
        <f t="shared" si="79"/>
        <v>0.24341377020146115</v>
      </c>
      <c r="AC146" t="str">
        <f t="shared" si="80"/>
        <v>Hobart — Elec</v>
      </c>
      <c r="AD146" s="57">
        <f t="shared" si="81"/>
        <v>0.24341377020146115</v>
      </c>
    </row>
    <row r="147" spans="1:30" x14ac:dyDescent="0.25">
      <c r="A147" s="48">
        <v>11</v>
      </c>
      <c r="B147" s="49" t="str">
        <f t="shared" si="77"/>
        <v>Perth — Gas</v>
      </c>
      <c r="C147" s="50">
        <f t="shared" si="78"/>
        <v>1.239620114452697</v>
      </c>
      <c r="D147" s="32">
        <f t="shared" si="79"/>
        <v>0.23962011445269704</v>
      </c>
      <c r="AC147" t="str">
        <f t="shared" si="80"/>
        <v>Perth — Gas</v>
      </c>
      <c r="AD147" s="57">
        <f t="shared" si="81"/>
        <v>0.23962011445269704</v>
      </c>
    </row>
    <row r="148" spans="1:30" x14ac:dyDescent="0.25">
      <c r="A148" s="51">
        <v>12</v>
      </c>
      <c r="B148" s="52" t="str">
        <f t="shared" si="77"/>
        <v>Hobart — Gas</v>
      </c>
      <c r="C148" s="53">
        <f t="shared" si="78"/>
        <v>1.2251124346663427</v>
      </c>
      <c r="D148" s="36">
        <f t="shared" si="79"/>
        <v>0.22511243466634268</v>
      </c>
      <c r="AC148" t="str">
        <f t="shared" si="80"/>
        <v>Hobart — Gas</v>
      </c>
      <c r="AD148" s="57">
        <f t="shared" si="81"/>
        <v>0.22511243466634268</v>
      </c>
    </row>
    <row r="149" spans="1:30" x14ac:dyDescent="0.25">
      <c r="A149" s="48">
        <v>13</v>
      </c>
      <c r="B149" s="49" t="str">
        <f t="shared" si="77"/>
        <v>Melbourne — Elec</v>
      </c>
      <c r="C149" s="50">
        <f t="shared" si="78"/>
        <v>1.2054943965089755</v>
      </c>
      <c r="D149" s="32">
        <f t="shared" si="79"/>
        <v>0.2054943965089755</v>
      </c>
      <c r="AC149" t="str">
        <f t="shared" si="80"/>
        <v>Melbourne — Elec</v>
      </c>
      <c r="AD149" s="57">
        <f t="shared" si="81"/>
        <v>0.2054943965089755</v>
      </c>
    </row>
    <row r="150" spans="1:30" x14ac:dyDescent="0.25">
      <c r="A150" s="51">
        <v>14</v>
      </c>
      <c r="B150" s="52" t="str">
        <f t="shared" si="77"/>
        <v>Brisbane — Gas</v>
      </c>
      <c r="C150" s="53">
        <f t="shared" si="78"/>
        <v>1.1612941315385523</v>
      </c>
      <c r="D150" s="36">
        <f t="shared" si="79"/>
        <v>0.16129413153855232</v>
      </c>
      <c r="AC150" t="str">
        <f t="shared" si="80"/>
        <v>Brisbane — Gas</v>
      </c>
      <c r="AD150" s="57">
        <f t="shared" si="81"/>
        <v>0.16129413153855232</v>
      </c>
    </row>
    <row r="151" spans="1:30" x14ac:dyDescent="0.25">
      <c r="A151" s="48">
        <v>15</v>
      </c>
      <c r="B151" s="49" t="str">
        <f t="shared" si="77"/>
        <v>Darwin — Elec</v>
      </c>
      <c r="C151" s="50">
        <f t="shared" si="78"/>
        <v>1.1427444794952681</v>
      </c>
      <c r="D151" s="32">
        <f t="shared" si="79"/>
        <v>0.14274447949526814</v>
      </c>
      <c r="AC151" t="str">
        <f t="shared" si="80"/>
        <v>Darwin — Elec</v>
      </c>
      <c r="AD151" s="57">
        <f t="shared" si="81"/>
        <v>0.14274447949526814</v>
      </c>
    </row>
    <row r="152" spans="1:30" x14ac:dyDescent="0.25">
      <c r="A152" s="54">
        <v>16</v>
      </c>
      <c r="B152" s="55" t="str">
        <f t="shared" si="77"/>
        <v>Perth — Elec</v>
      </c>
      <c r="C152" s="56">
        <f t="shared" si="78"/>
        <v>0.9941501103752759</v>
      </c>
      <c r="D152" s="40">
        <f t="shared" si="79"/>
        <v>-5.8498896247241028E-3</v>
      </c>
      <c r="AC152" t="str">
        <f t="shared" si="80"/>
        <v>Perth — Elec</v>
      </c>
      <c r="AD152" s="57">
        <f t="shared" si="81"/>
        <v>-5.8498896247241028E-3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FD48-A83B-47E7-B767-EF6946478334}">
  <dimension ref="A1:V54"/>
  <sheetViews>
    <sheetView tabSelected="1" topLeftCell="G12" workbookViewId="0"/>
  </sheetViews>
  <sheetFormatPr defaultRowHeight="15" x14ac:dyDescent="0.25"/>
  <cols>
    <col min="1" max="1" width="14.28515625" customWidth="1"/>
    <col min="2" max="10" width="12.42578125" customWidth="1"/>
    <col min="12" max="12" width="17.140625" customWidth="1"/>
    <col min="13" max="21" width="15.28515625" customWidth="1"/>
  </cols>
  <sheetData>
    <row r="1" spans="1:22" ht="18.75" x14ac:dyDescent="0.3">
      <c r="A1" s="60" t="s">
        <v>2123</v>
      </c>
    </row>
    <row r="2" spans="1:22" x14ac:dyDescent="0.25">
      <c r="A2" s="61" t="s">
        <v>2124</v>
      </c>
    </row>
    <row r="4" spans="1:22" x14ac:dyDescent="0.25">
      <c r="A4" s="61" t="s">
        <v>2126</v>
      </c>
    </row>
    <row r="6" spans="1:22" ht="15.75" x14ac:dyDescent="0.25">
      <c r="A6" s="62" t="s">
        <v>2127</v>
      </c>
      <c r="L6" s="62" t="s">
        <v>2129</v>
      </c>
    </row>
    <row r="7" spans="1:22" x14ac:dyDescent="0.25">
      <c r="A7" s="63" t="s">
        <v>248</v>
      </c>
      <c r="B7" s="63" t="s">
        <v>2081</v>
      </c>
      <c r="C7" s="63" t="s">
        <v>2082</v>
      </c>
      <c r="D7" s="63" t="s">
        <v>2083</v>
      </c>
      <c r="E7" s="63" t="s">
        <v>2084</v>
      </c>
      <c r="F7" s="63" t="s">
        <v>2085</v>
      </c>
      <c r="G7" s="63" t="s">
        <v>2086</v>
      </c>
      <c r="H7" s="63" t="s">
        <v>2087</v>
      </c>
      <c r="I7" s="63" t="s">
        <v>2088</v>
      </c>
      <c r="J7" s="64" t="s">
        <v>2125</v>
      </c>
      <c r="L7" s="63" t="s">
        <v>2074</v>
      </c>
      <c r="M7" s="63" t="s">
        <v>2130</v>
      </c>
      <c r="N7" s="63" t="s">
        <v>2131</v>
      </c>
      <c r="O7" s="63" t="s">
        <v>2132</v>
      </c>
      <c r="P7" s="63" t="s">
        <v>2133</v>
      </c>
      <c r="Q7" s="63" t="s">
        <v>2134</v>
      </c>
      <c r="R7" s="63" t="s">
        <v>2135</v>
      </c>
      <c r="S7" s="63" t="s">
        <v>2136</v>
      </c>
      <c r="T7" s="63" t="s">
        <v>2137</v>
      </c>
      <c r="U7" s="63" t="s">
        <v>2138</v>
      </c>
    </row>
    <row r="8" spans="1:22" x14ac:dyDescent="0.25">
      <c r="A8" s="65">
        <f>Data1!A90</f>
        <v>45383</v>
      </c>
      <c r="B8" s="25">
        <f>Data1!DA90</f>
        <v>98.61</v>
      </c>
      <c r="C8" s="25">
        <f>Data1!IC90</f>
        <v>98.61</v>
      </c>
      <c r="D8" s="25">
        <f>Data2!DO90</f>
        <v>98.63</v>
      </c>
      <c r="E8" s="25">
        <f>Data2!IQ90</f>
        <v>98.66</v>
      </c>
      <c r="F8" s="25">
        <f>Data3!EC90</f>
        <v>98.57</v>
      </c>
      <c r="G8" s="25">
        <f>Data4!O90</f>
        <v>98.48</v>
      </c>
      <c r="H8" s="25">
        <f>Data4!EQ90</f>
        <v>98.73</v>
      </c>
      <c r="I8" s="25">
        <f>Data5!AC90</f>
        <v>98.64</v>
      </c>
      <c r="J8" s="66">
        <f>AVERAGE(B8:I8)</f>
        <v>98.616249999999994</v>
      </c>
      <c r="L8" s="67" t="s">
        <v>2139</v>
      </c>
    </row>
    <row r="9" spans="1:22" x14ac:dyDescent="0.25">
      <c r="A9" s="65">
        <f>Data1!A91</f>
        <v>45413</v>
      </c>
      <c r="B9" s="25">
        <f>Data1!DA91</f>
        <v>98.06</v>
      </c>
      <c r="C9" s="25">
        <f>Data1!IC91</f>
        <v>98.06</v>
      </c>
      <c r="D9" s="25">
        <f>Data2!DO91</f>
        <v>98.07</v>
      </c>
      <c r="E9" s="25">
        <f>Data2!IQ91</f>
        <v>98.11</v>
      </c>
      <c r="F9" s="25">
        <f>Data3!EC91</f>
        <v>98.03</v>
      </c>
      <c r="G9" s="25">
        <f>Data4!O91</f>
        <v>97.94</v>
      </c>
      <c r="H9" s="25">
        <f>Data4!EQ91</f>
        <v>98.16</v>
      </c>
      <c r="I9" s="25">
        <f>Data5!AC91</f>
        <v>98.09</v>
      </c>
      <c r="J9" s="66">
        <f t="shared" ref="J9:J29" si="0">AVERAGE(B9:I9)</f>
        <v>98.064999999999998</v>
      </c>
      <c r="L9" t="s">
        <v>2081</v>
      </c>
      <c r="M9" s="25">
        <f>B8</f>
        <v>98.61</v>
      </c>
      <c r="N9" s="25">
        <f>B29</f>
        <v>99.65</v>
      </c>
      <c r="O9" s="25">
        <f>MIN(B8:B29)</f>
        <v>97.51</v>
      </c>
      <c r="P9" s="25">
        <f>MAX(B8:B29)</f>
        <v>100.24</v>
      </c>
      <c r="Q9" s="25">
        <f>AVERAGE(B8:B29)</f>
        <v>99.071363636363643</v>
      </c>
      <c r="R9" s="25">
        <f>STDEV(B8:B29)</f>
        <v>0.72044493827835809</v>
      </c>
      <c r="S9" s="69">
        <f>B29/B8-1</f>
        <v>1.0546597708143146E-2</v>
      </c>
      <c r="T9" s="69">
        <f>B29/B17-1</f>
        <v>1.1264461132534986E-2</v>
      </c>
      <c r="U9" s="69">
        <f>B29/B28-1</f>
        <v>-9.0234609985950787E-4</v>
      </c>
    </row>
    <row r="10" spans="1:22" x14ac:dyDescent="0.25">
      <c r="A10" s="65">
        <f>Data1!A92</f>
        <v>45444</v>
      </c>
      <c r="B10" s="25">
        <f>Data1!DA92</f>
        <v>97.51</v>
      </c>
      <c r="C10" s="25">
        <f>Data1!IC92</f>
        <v>97.52</v>
      </c>
      <c r="D10" s="25">
        <f>Data2!DO92</f>
        <v>97.53</v>
      </c>
      <c r="E10" s="25">
        <f>Data2!IQ92</f>
        <v>97.56</v>
      </c>
      <c r="F10" s="25">
        <f>Data3!EC92</f>
        <v>97.48</v>
      </c>
      <c r="G10" s="25">
        <f>Data4!O92</f>
        <v>97.4</v>
      </c>
      <c r="H10" s="25">
        <f>Data4!EQ92</f>
        <v>97.61</v>
      </c>
      <c r="I10" s="25">
        <f>Data5!AC92</f>
        <v>97.54</v>
      </c>
      <c r="J10" s="66">
        <f t="shared" si="0"/>
        <v>97.518749999999997</v>
      </c>
      <c r="L10" t="s">
        <v>2082</v>
      </c>
      <c r="M10" s="25">
        <f>C8</f>
        <v>98.61</v>
      </c>
      <c r="N10" s="25">
        <f>C29</f>
        <v>99.66</v>
      </c>
      <c r="O10" s="25">
        <f>MIN(C8:C29)</f>
        <v>97.52</v>
      </c>
      <c r="P10" s="25">
        <f>MAX(C8:C29)</f>
        <v>100.23</v>
      </c>
      <c r="Q10" s="25">
        <f>AVERAGE(C8:C29)</f>
        <v>99.075454545454534</v>
      </c>
      <c r="R10" s="25">
        <f>STDEV(C8:C29)</f>
        <v>0.71972036416750285</v>
      </c>
      <c r="S10" s="69">
        <f>C29/C8-1</f>
        <v>1.0648007301490736E-2</v>
      </c>
      <c r="T10" s="69">
        <f>C29/C17-1</f>
        <v>1.1365942764359538E-2</v>
      </c>
      <c r="U10" s="69">
        <f>C29/C28-1</f>
        <v>-9.0225563909773765E-4</v>
      </c>
      <c r="V10" s="69">
        <f>C30/C29-1</f>
        <v>-1</v>
      </c>
    </row>
    <row r="11" spans="1:22" x14ac:dyDescent="0.25">
      <c r="A11" s="65">
        <f>Data1!A93</f>
        <v>45474</v>
      </c>
      <c r="B11" s="25">
        <f>Data1!DA93</f>
        <v>99.02</v>
      </c>
      <c r="C11" s="25">
        <f>Data1!IC93</f>
        <v>99.02</v>
      </c>
      <c r="D11" s="25">
        <f>Data2!DO93</f>
        <v>99.03</v>
      </c>
      <c r="E11" s="25">
        <f>Data2!IQ93</f>
        <v>99.06</v>
      </c>
      <c r="F11" s="25">
        <f>Data3!EC93</f>
        <v>98.99</v>
      </c>
      <c r="G11" s="25">
        <f>Data4!O93</f>
        <v>98.91</v>
      </c>
      <c r="H11" s="25">
        <f>Data4!EQ93</f>
        <v>99.11</v>
      </c>
      <c r="I11" s="25">
        <f>Data5!AC93</f>
        <v>99.04</v>
      </c>
      <c r="J11" s="66">
        <f t="shared" si="0"/>
        <v>99.022499999999994</v>
      </c>
      <c r="L11" t="s">
        <v>2083</v>
      </c>
      <c r="M11" s="25">
        <f>D8</f>
        <v>98.63</v>
      </c>
      <c r="N11" s="25">
        <f>D29</f>
        <v>99.66</v>
      </c>
      <c r="O11" s="25">
        <f>MIN(D8:D29)</f>
        <v>97.53</v>
      </c>
      <c r="P11" s="25">
        <f>MAX(D8:D29)</f>
        <v>100.23</v>
      </c>
      <c r="Q11" s="25">
        <f>AVERAGE(D8:D29)</f>
        <v>99.081818181818164</v>
      </c>
      <c r="R11" s="25">
        <f>STDEV(D8:D29)</f>
        <v>0.71722106815546305</v>
      </c>
      <c r="S11" s="69">
        <f>D29/D8-1</f>
        <v>1.0443070059819481E-2</v>
      </c>
      <c r="T11" s="69">
        <f>D29/D17-1</f>
        <v>1.1263318112633147E-2</v>
      </c>
      <c r="U11" s="69">
        <f>D29/D28-1</f>
        <v>-9.0225563909773765E-4</v>
      </c>
    </row>
    <row r="12" spans="1:22" x14ac:dyDescent="0.25">
      <c r="A12" s="65">
        <f>Data1!A94</f>
        <v>45505</v>
      </c>
      <c r="B12" s="25">
        <f>Data1!DA94</f>
        <v>98.48</v>
      </c>
      <c r="C12" s="25">
        <f>Data1!IC94</f>
        <v>98.48</v>
      </c>
      <c r="D12" s="25">
        <f>Data2!DO94</f>
        <v>98.49</v>
      </c>
      <c r="E12" s="25">
        <f>Data2!IQ94</f>
        <v>98.51</v>
      </c>
      <c r="F12" s="25">
        <f>Data3!EC94</f>
        <v>98.45</v>
      </c>
      <c r="G12" s="25">
        <f>Data4!O94</f>
        <v>98.39</v>
      </c>
      <c r="H12" s="25">
        <f>Data4!EQ94</f>
        <v>98.56</v>
      </c>
      <c r="I12" s="25">
        <f>Data5!AC94</f>
        <v>98.5</v>
      </c>
      <c r="J12" s="66">
        <f t="shared" si="0"/>
        <v>98.482499999999987</v>
      </c>
      <c r="L12" t="s">
        <v>2084</v>
      </c>
      <c r="M12" s="25">
        <f>E8</f>
        <v>98.66</v>
      </c>
      <c r="N12" s="25">
        <f>E29</f>
        <v>99.68</v>
      </c>
      <c r="O12" s="25">
        <f>MIN(E8:E29)</f>
        <v>97.56</v>
      </c>
      <c r="P12" s="25">
        <f>MAX(E8:E29)</f>
        <v>100.25</v>
      </c>
      <c r="Q12" s="25">
        <f>AVERAGE(E8:E29)</f>
        <v>99.101818181818189</v>
      </c>
      <c r="R12" s="25">
        <f>STDEV(E8:E29)</f>
        <v>0.71136111225919041</v>
      </c>
      <c r="S12" s="69">
        <f>E29/E8-1</f>
        <v>1.0338536387593855E-2</v>
      </c>
      <c r="T12" s="69">
        <f>E29/E17-1</f>
        <v>1.1158449989856045E-2</v>
      </c>
      <c r="U12" s="69">
        <f>E29/E28-1</f>
        <v>-9.0207477197545849E-4</v>
      </c>
    </row>
    <row r="13" spans="1:22" x14ac:dyDescent="0.25">
      <c r="A13" s="65">
        <f>Data1!A95</f>
        <v>45536</v>
      </c>
      <c r="B13" s="25">
        <f>Data1!DA95</f>
        <v>98.53</v>
      </c>
      <c r="C13" s="25">
        <f>Data1!IC95</f>
        <v>98.54</v>
      </c>
      <c r="D13" s="25">
        <f>Data2!DO95</f>
        <v>98.55</v>
      </c>
      <c r="E13" s="25">
        <f>Data2!IQ95</f>
        <v>98.57</v>
      </c>
      <c r="F13" s="25">
        <f>Data3!EC95</f>
        <v>98.51</v>
      </c>
      <c r="G13" s="25">
        <f>Data4!O95</f>
        <v>98.44</v>
      </c>
      <c r="H13" s="25">
        <f>Data4!EQ95</f>
        <v>98.62</v>
      </c>
      <c r="I13" s="25">
        <f>Data5!AC95</f>
        <v>98.56</v>
      </c>
      <c r="J13" s="66">
        <f t="shared" si="0"/>
        <v>98.539999999999992</v>
      </c>
      <c r="L13" t="s">
        <v>2085</v>
      </c>
      <c r="M13" s="25">
        <f>F8</f>
        <v>98.57</v>
      </c>
      <c r="N13" s="25">
        <f>F29</f>
        <v>99.63</v>
      </c>
      <c r="O13" s="25">
        <f>MIN(F8:F29)</f>
        <v>97.48</v>
      </c>
      <c r="P13" s="25">
        <f>MAX(F8:F29)</f>
        <v>100.25</v>
      </c>
      <c r="Q13" s="25">
        <f>AVERAGE(F8:F29)</f>
        <v>99.052272727272737</v>
      </c>
      <c r="R13" s="25">
        <f>STDEV(F8:F29)</f>
        <v>0.72611773817816161</v>
      </c>
      <c r="S13" s="69">
        <f>F29/F8-1</f>
        <v>1.0753779040276079E-2</v>
      </c>
      <c r="T13" s="69">
        <f>F29/F17-1</f>
        <v>1.1369404121408966E-2</v>
      </c>
      <c r="U13" s="69">
        <f>F29/F28-1</f>
        <v>-9.0252707581228719E-4</v>
      </c>
    </row>
    <row r="14" spans="1:22" x14ac:dyDescent="0.25">
      <c r="A14" s="65">
        <f>Data1!A96</f>
        <v>45566</v>
      </c>
      <c r="B14" s="25">
        <f>Data1!DA96</f>
        <v>99.24</v>
      </c>
      <c r="C14" s="25">
        <f>Data1!IC96</f>
        <v>99.25</v>
      </c>
      <c r="D14" s="25">
        <f>Data2!DO96</f>
        <v>99.26</v>
      </c>
      <c r="E14" s="25">
        <f>Data2!IQ96</f>
        <v>99.29</v>
      </c>
      <c r="F14" s="25">
        <f>Data3!EC96</f>
        <v>99.22</v>
      </c>
      <c r="G14" s="25">
        <f>Data4!O96</f>
        <v>99.13</v>
      </c>
      <c r="H14" s="25">
        <f>Data4!EQ96</f>
        <v>99.35</v>
      </c>
      <c r="I14" s="25">
        <f>Data5!AC96</f>
        <v>99.27</v>
      </c>
      <c r="J14" s="66">
        <f t="shared" si="0"/>
        <v>99.251249999999999</v>
      </c>
      <c r="L14" t="s">
        <v>2086</v>
      </c>
      <c r="M14" s="25">
        <f>G8</f>
        <v>98.48</v>
      </c>
      <c r="N14" s="25">
        <f>G29</f>
        <v>99.57</v>
      </c>
      <c r="O14" s="25">
        <f>MIN(G8:G29)</f>
        <v>97.4</v>
      </c>
      <c r="P14" s="25">
        <f>MAX(G8:G29)</f>
        <v>100.28</v>
      </c>
      <c r="Q14" s="25">
        <f>AVERAGE(G8:G29)</f>
        <v>98.997272727272744</v>
      </c>
      <c r="R14" s="25">
        <f>STDEV(G8:G29)</f>
        <v>0.74181361937311763</v>
      </c>
      <c r="S14" s="69">
        <f>G29/G8-1</f>
        <v>1.1068237205523745E-2</v>
      </c>
      <c r="T14" s="69">
        <f>G29/G17-1</f>
        <v>1.1684616947774673E-2</v>
      </c>
      <c r="U14" s="69">
        <f>G29/G28-1</f>
        <v>-1.0033109260561002E-3</v>
      </c>
    </row>
    <row r="15" spans="1:22" x14ac:dyDescent="0.25">
      <c r="A15" s="65">
        <f>Data1!A97</f>
        <v>45597</v>
      </c>
      <c r="B15" s="25">
        <f>Data1!DA97</f>
        <v>99.13</v>
      </c>
      <c r="C15" s="25">
        <f>Data1!IC97</f>
        <v>99.14</v>
      </c>
      <c r="D15" s="25">
        <f>Data2!DO97</f>
        <v>99.15</v>
      </c>
      <c r="E15" s="25">
        <f>Data2!IQ97</f>
        <v>99.18</v>
      </c>
      <c r="F15" s="25">
        <f>Data3!EC97</f>
        <v>99.1</v>
      </c>
      <c r="G15" s="25">
        <f>Data4!O97</f>
        <v>99.01</v>
      </c>
      <c r="H15" s="25">
        <f>Data4!EQ97</f>
        <v>99.24</v>
      </c>
      <c r="I15" s="25">
        <f>Data5!AC97</f>
        <v>99.16</v>
      </c>
      <c r="J15" s="66">
        <f t="shared" si="0"/>
        <v>99.138749999999987</v>
      </c>
      <c r="L15" t="s">
        <v>2087</v>
      </c>
      <c r="M15" s="25">
        <f>H8</f>
        <v>98.73</v>
      </c>
      <c r="N15" s="25">
        <f>H29</f>
        <v>99.72</v>
      </c>
      <c r="O15" s="25">
        <f>MIN(H8:H29)</f>
        <v>97.61</v>
      </c>
      <c r="P15" s="25">
        <f>MAX(H8:H29)</f>
        <v>100.29</v>
      </c>
      <c r="Q15" s="25">
        <f>AVERAGE(H8:H29)</f>
        <v>99.13818181818182</v>
      </c>
      <c r="R15" s="25">
        <f>STDEV(H8:H29)</f>
        <v>0.70353282905522041</v>
      </c>
      <c r="S15" s="69">
        <f>H29/H8-1</f>
        <v>1.0027347310847645E-2</v>
      </c>
      <c r="T15" s="69">
        <f>H29/H17-1</f>
        <v>1.0948905109489093E-2</v>
      </c>
      <c r="U15" s="69">
        <f>H29/H28-1</f>
        <v>-9.0171325518484391E-4</v>
      </c>
    </row>
    <row r="16" spans="1:22" x14ac:dyDescent="0.25">
      <c r="A16" s="65">
        <f>Data1!A98</f>
        <v>45627</v>
      </c>
      <c r="B16" s="25">
        <f>Data1!DA98</f>
        <v>98.91</v>
      </c>
      <c r="C16" s="25">
        <f>Data1!IC98</f>
        <v>98.92</v>
      </c>
      <c r="D16" s="25">
        <f>Data2!DO98</f>
        <v>98.93</v>
      </c>
      <c r="E16" s="25">
        <f>Data2!IQ98</f>
        <v>98.96</v>
      </c>
      <c r="F16" s="25">
        <f>Data3!EC98</f>
        <v>98.88</v>
      </c>
      <c r="G16" s="25">
        <f>Data4!O98</f>
        <v>98.8</v>
      </c>
      <c r="H16" s="25">
        <f>Data4!EQ98</f>
        <v>99.01</v>
      </c>
      <c r="I16" s="25">
        <f>Data5!AC98</f>
        <v>98.94</v>
      </c>
      <c r="J16" s="66">
        <f t="shared" si="0"/>
        <v>98.918749999999989</v>
      </c>
      <c r="L16" t="s">
        <v>2088</v>
      </c>
      <c r="M16" s="25">
        <f>I8</f>
        <v>98.64</v>
      </c>
      <c r="N16" s="25">
        <f>I29</f>
        <v>99.67</v>
      </c>
      <c r="O16" s="25">
        <f>MIN(I8:I29)</f>
        <v>97.54</v>
      </c>
      <c r="P16" s="25">
        <f>MAX(I8:I29)</f>
        <v>100.24</v>
      </c>
      <c r="Q16" s="25">
        <f>AVERAGE(I8:I29)</f>
        <v>99.09</v>
      </c>
      <c r="R16" s="25">
        <f>STDEV(I8:I29)</f>
        <v>0.71504245628194185</v>
      </c>
      <c r="S16" s="69">
        <f>I29/I8-1</f>
        <v>1.0442011354420133E-2</v>
      </c>
      <c r="T16" s="69">
        <f>I29/I17-1</f>
        <v>1.1262175324675328E-2</v>
      </c>
      <c r="U16" s="69">
        <f>I29/I28-1</f>
        <v>-9.0216519647157156E-4</v>
      </c>
    </row>
    <row r="17" spans="1:21" x14ac:dyDescent="0.25">
      <c r="A17" s="65">
        <f>Data1!A99</f>
        <v>45658</v>
      </c>
      <c r="B17" s="25">
        <f>Data1!DA99</f>
        <v>98.54</v>
      </c>
      <c r="C17" s="25">
        <f>Data1!IC99</f>
        <v>98.54</v>
      </c>
      <c r="D17" s="25">
        <f>Data2!DO99</f>
        <v>98.55</v>
      </c>
      <c r="E17" s="25">
        <f>Data2!IQ99</f>
        <v>98.58</v>
      </c>
      <c r="F17" s="25">
        <f>Data3!EC99</f>
        <v>98.51</v>
      </c>
      <c r="G17" s="25">
        <f>Data4!O99</f>
        <v>98.42</v>
      </c>
      <c r="H17" s="25">
        <f>Data4!EQ99</f>
        <v>98.64</v>
      </c>
      <c r="I17" s="25">
        <f>Data5!AC99</f>
        <v>98.56</v>
      </c>
      <c r="J17" s="66">
        <f t="shared" si="0"/>
        <v>98.54249999999999</v>
      </c>
      <c r="L17" s="68" t="s">
        <v>2125</v>
      </c>
      <c r="M17" s="70">
        <f>J8</f>
        <v>98.616249999999994</v>
      </c>
      <c r="N17" s="70">
        <f>J29</f>
        <v>99.655000000000001</v>
      </c>
      <c r="O17" s="70">
        <f>MIN(J8:J29)</f>
        <v>97.518749999999997</v>
      </c>
      <c r="P17" s="70">
        <f>MAX(J8:J29)</f>
        <v>100.235</v>
      </c>
      <c r="Q17" s="70">
        <f>AVERAGE(J8:J29)</f>
        <v>99.076022727272729</v>
      </c>
      <c r="R17" s="70">
        <f>STDEV(J8:J29)</f>
        <v>0.7190574017962158</v>
      </c>
      <c r="S17" s="71">
        <f>J29/J8-1</f>
        <v>1.0533253900853135E-2</v>
      </c>
      <c r="T17" s="71">
        <f>J29/J17-1</f>
        <v>1.1289545120126032E-2</v>
      </c>
      <c r="U17" s="71">
        <f>J29/J28-1</f>
        <v>-9.1482135919895846E-4</v>
      </c>
    </row>
    <row r="18" spans="1:21" x14ac:dyDescent="0.25">
      <c r="A18" s="65">
        <f>Data1!A100</f>
        <v>45689</v>
      </c>
      <c r="B18" s="25">
        <f>Data1!DA100</f>
        <v>99.23</v>
      </c>
      <c r="C18" s="25">
        <f>Data1!IC100</f>
        <v>99.24</v>
      </c>
      <c r="D18" s="25">
        <f>Data2!DO100</f>
        <v>99.24</v>
      </c>
      <c r="E18" s="25">
        <f>Data2!IQ100</f>
        <v>99.26</v>
      </c>
      <c r="F18" s="25">
        <f>Data3!EC100</f>
        <v>99.22</v>
      </c>
      <c r="G18" s="25">
        <f>Data4!O100</f>
        <v>99.18</v>
      </c>
      <c r="H18" s="25">
        <f>Data4!EQ100</f>
        <v>99.28</v>
      </c>
      <c r="I18" s="25">
        <f>Data5!AC100</f>
        <v>99.25</v>
      </c>
      <c r="J18" s="66">
        <f t="shared" si="0"/>
        <v>99.237499999999983</v>
      </c>
      <c r="L18" s="67" t="s">
        <v>2140</v>
      </c>
    </row>
    <row r="19" spans="1:21" x14ac:dyDescent="0.25">
      <c r="A19" s="65">
        <f>Data1!A101</f>
        <v>45717</v>
      </c>
      <c r="B19" s="25">
        <f>Data1!DA101</f>
        <v>99.06</v>
      </c>
      <c r="C19" s="25">
        <f>Data1!IC101</f>
        <v>99.07</v>
      </c>
      <c r="D19" s="25">
        <f>Data2!DO101</f>
        <v>99.08</v>
      </c>
      <c r="E19" s="25">
        <f>Data2!IQ101</f>
        <v>99.1</v>
      </c>
      <c r="F19" s="25">
        <f>Data3!EC101</f>
        <v>99.04</v>
      </c>
      <c r="G19" s="25">
        <f>Data4!O101</f>
        <v>98.98</v>
      </c>
      <c r="H19" s="25">
        <f>Data4!EQ101</f>
        <v>99.14</v>
      </c>
      <c r="I19" s="25">
        <f>Data5!AC101</f>
        <v>99.08</v>
      </c>
      <c r="J19" s="66">
        <f t="shared" si="0"/>
        <v>99.068749999999994</v>
      </c>
      <c r="L19" t="s">
        <v>2081</v>
      </c>
      <c r="M19" s="25">
        <f>B33</f>
        <v>98.52</v>
      </c>
      <c r="N19" s="25">
        <f>B54</f>
        <v>99.72</v>
      </c>
      <c r="O19" s="25">
        <f>MIN(B33:B54)</f>
        <v>97.2</v>
      </c>
      <c r="P19" s="25">
        <f>MAX(B33:B54)</f>
        <v>100.24</v>
      </c>
      <c r="Q19" s="25">
        <f>AVERAGE(B33:B54)</f>
        <v>98.975909090909084</v>
      </c>
      <c r="R19" s="25">
        <f>STDEV(B33:B54)</f>
        <v>0.79237232164172322</v>
      </c>
      <c r="S19" s="69">
        <f>B54/B33-1</f>
        <v>1.2180267965895331E-2</v>
      </c>
      <c r="T19" s="69">
        <f>B54/B42-1</f>
        <v>1.4136072409234313E-2</v>
      </c>
      <c r="U19" s="69">
        <f>B54/B53-1</f>
        <v>-9.0171325518484391E-4</v>
      </c>
    </row>
    <row r="20" spans="1:21" x14ac:dyDescent="0.25">
      <c r="A20" s="65">
        <f>Data1!A102</f>
        <v>45748</v>
      </c>
      <c r="B20" s="25">
        <f>Data1!DA102</f>
        <v>99.27</v>
      </c>
      <c r="C20" s="25">
        <f>Data1!IC102</f>
        <v>99.27</v>
      </c>
      <c r="D20" s="25">
        <f>Data2!DO102</f>
        <v>99.28</v>
      </c>
      <c r="E20" s="25">
        <f>Data2!IQ102</f>
        <v>99.31</v>
      </c>
      <c r="F20" s="25">
        <f>Data3!EC102</f>
        <v>99.24</v>
      </c>
      <c r="G20" s="25">
        <f>Data4!O102</f>
        <v>99.17</v>
      </c>
      <c r="H20" s="25">
        <f>Data4!EQ102</f>
        <v>99.35</v>
      </c>
      <c r="I20" s="25">
        <f>Data5!AC102</f>
        <v>99.29</v>
      </c>
      <c r="J20" s="66">
        <f t="shared" si="0"/>
        <v>99.272499999999994</v>
      </c>
      <c r="L20" t="s">
        <v>2082</v>
      </c>
      <c r="M20" s="25">
        <f>C33</f>
        <v>98.54</v>
      </c>
      <c r="N20" s="25">
        <f>C54</f>
        <v>99.71</v>
      </c>
      <c r="O20" s="25">
        <f>MIN(C33:C54)</f>
        <v>97.25</v>
      </c>
      <c r="P20" s="25">
        <f>MAX(C33:C54)</f>
        <v>100.24</v>
      </c>
      <c r="Q20" s="25">
        <f>AVERAGE(C33:C54)</f>
        <v>98.991363636363658</v>
      </c>
      <c r="R20" s="25">
        <f>STDEV(C33:C54)</f>
        <v>0.7800811646082868</v>
      </c>
      <c r="S20" s="69">
        <f>C54/C33-1</f>
        <v>1.1873350923482739E-2</v>
      </c>
      <c r="T20" s="69">
        <f>C54/C42-1</f>
        <v>1.3622039239605366E-2</v>
      </c>
      <c r="U20" s="69">
        <f>C54/C53-1</f>
        <v>-9.0180360721447972E-4</v>
      </c>
    </row>
    <row r="21" spans="1:21" x14ac:dyDescent="0.25">
      <c r="A21" s="65">
        <f>Data1!A103</f>
        <v>45778</v>
      </c>
      <c r="B21" s="25">
        <f>Data1!DA103</f>
        <v>98.89</v>
      </c>
      <c r="C21" s="25">
        <f>Data1!IC103</f>
        <v>98.89</v>
      </c>
      <c r="D21" s="25">
        <f>Data2!DO103</f>
        <v>98.89</v>
      </c>
      <c r="E21" s="25">
        <f>Data2!IQ103</f>
        <v>98.89</v>
      </c>
      <c r="F21" s="25">
        <f>Data3!EC103</f>
        <v>98.89</v>
      </c>
      <c r="G21" s="25">
        <f>Data4!O103</f>
        <v>98.89</v>
      </c>
      <c r="H21" s="25">
        <f>Data4!EQ103</f>
        <v>98.89</v>
      </c>
      <c r="I21" s="25">
        <f>Data5!AC103</f>
        <v>98.89</v>
      </c>
      <c r="J21" s="66">
        <f t="shared" si="0"/>
        <v>98.89</v>
      </c>
      <c r="L21" t="s">
        <v>2083</v>
      </c>
      <c r="M21" s="25">
        <f>D33</f>
        <v>98.56</v>
      </c>
      <c r="N21" s="25">
        <f>D54</f>
        <v>99.71</v>
      </c>
      <c r="O21" s="25">
        <f>MIN(D33:D54)</f>
        <v>97.31</v>
      </c>
      <c r="P21" s="25">
        <f>MAX(D33:D54)</f>
        <v>100.25</v>
      </c>
      <c r="Q21" s="25">
        <f>AVERAGE(D33:D54)</f>
        <v>99.01318181818182</v>
      </c>
      <c r="R21" s="25">
        <f>STDEV(D33:D54)</f>
        <v>0.76773250775462232</v>
      </c>
      <c r="S21" s="69">
        <f>D54/D33-1</f>
        <v>1.1668019480519431E-2</v>
      </c>
      <c r="T21" s="69">
        <f>D54/D42-1</f>
        <v>1.3210039630118908E-2</v>
      </c>
      <c r="U21" s="69">
        <f>D54/D53-1</f>
        <v>-9.0180360721447972E-4</v>
      </c>
    </row>
    <row r="22" spans="1:21" x14ac:dyDescent="0.25">
      <c r="A22" s="65">
        <f>Data1!A104</f>
        <v>45809</v>
      </c>
      <c r="B22" s="25">
        <f>Data1!DA104</f>
        <v>97.99</v>
      </c>
      <c r="C22" s="25">
        <f>Data1!IC104</f>
        <v>97.99</v>
      </c>
      <c r="D22" s="25">
        <f>Data2!DO104</f>
        <v>97.99</v>
      </c>
      <c r="E22" s="25">
        <f>Data2!IQ104</f>
        <v>98</v>
      </c>
      <c r="F22" s="25">
        <f>Data3!EC104</f>
        <v>97.99</v>
      </c>
      <c r="G22" s="25">
        <f>Data4!O104</f>
        <v>97.98</v>
      </c>
      <c r="H22" s="25">
        <f>Data4!EQ104</f>
        <v>98</v>
      </c>
      <c r="I22" s="25">
        <f>Data5!AC104</f>
        <v>98</v>
      </c>
      <c r="J22" s="66">
        <f t="shared" si="0"/>
        <v>97.992499999999993</v>
      </c>
      <c r="L22" t="s">
        <v>2084</v>
      </c>
      <c r="M22" s="25">
        <f>E33</f>
        <v>98.59</v>
      </c>
      <c r="N22" s="25">
        <f>E54</f>
        <v>99.73</v>
      </c>
      <c r="O22" s="25">
        <f>MIN(E33:E54)</f>
        <v>97.33</v>
      </c>
      <c r="P22" s="25">
        <f>MAX(E33:E54)</f>
        <v>100.27</v>
      </c>
      <c r="Q22" s="25">
        <f>AVERAGE(E33:E54)</f>
        <v>99.029999999999987</v>
      </c>
      <c r="R22" s="25">
        <f>STDEV(E33:E54)</f>
        <v>0.76433600190591711</v>
      </c>
      <c r="S22" s="69">
        <f>E54/E33-1</f>
        <v>1.1563038847753226E-2</v>
      </c>
      <c r="T22" s="69">
        <f>E54/E42-1</f>
        <v>1.3207355481052563E-2</v>
      </c>
      <c r="U22" s="69">
        <f>E54/E53-1</f>
        <v>-9.0162292125817167E-4</v>
      </c>
    </row>
    <row r="23" spans="1:21" x14ac:dyDescent="0.25">
      <c r="A23" s="65">
        <f>Data1!A105</f>
        <v>45839</v>
      </c>
      <c r="B23" s="25">
        <f>Data1!DA105</f>
        <v>99.5</v>
      </c>
      <c r="C23" s="25">
        <f>Data1!IC105</f>
        <v>99.5</v>
      </c>
      <c r="D23" s="25">
        <f>Data2!DO105</f>
        <v>99.5</v>
      </c>
      <c r="E23" s="25">
        <f>Data2!IQ105</f>
        <v>99.5</v>
      </c>
      <c r="F23" s="25">
        <f>Data3!EC105</f>
        <v>99.5</v>
      </c>
      <c r="G23" s="25">
        <f>Data4!O105</f>
        <v>99.49</v>
      </c>
      <c r="H23" s="25">
        <f>Data4!EQ105</f>
        <v>99.51</v>
      </c>
      <c r="I23" s="25">
        <f>Data5!AC105</f>
        <v>99.5</v>
      </c>
      <c r="J23" s="66">
        <f t="shared" si="0"/>
        <v>99.5</v>
      </c>
      <c r="L23" t="s">
        <v>2085</v>
      </c>
      <c r="M23" s="25">
        <f>F33</f>
        <v>98.51</v>
      </c>
      <c r="N23" s="25">
        <f>F54</f>
        <v>99.68</v>
      </c>
      <c r="O23" s="25">
        <f>MIN(F33:F54)</f>
        <v>97.27</v>
      </c>
      <c r="P23" s="25">
        <f>MAX(F33:F54)</f>
        <v>100.22</v>
      </c>
      <c r="Q23" s="25">
        <f>AVERAGE(F33:F54)</f>
        <v>98.98590909090909</v>
      </c>
      <c r="R23" s="25">
        <f>STDEV(F33:F54)</f>
        <v>0.77565124152859299</v>
      </c>
      <c r="S23" s="69">
        <f>F54/F33-1</f>
        <v>1.1876966805400402E-2</v>
      </c>
      <c r="T23" s="69">
        <f>F54/F42-1</f>
        <v>1.33170682118533E-2</v>
      </c>
      <c r="U23" s="69">
        <f>F54/F53-1</f>
        <v>-9.0207477197545849E-4</v>
      </c>
    </row>
    <row r="24" spans="1:21" x14ac:dyDescent="0.25">
      <c r="A24" s="65">
        <f>Data1!A106</f>
        <v>45870</v>
      </c>
      <c r="B24" s="25">
        <f>Data1!DA106</f>
        <v>100.24</v>
      </c>
      <c r="C24" s="25">
        <f>Data1!IC106</f>
        <v>100.23</v>
      </c>
      <c r="D24" s="25">
        <f>Data2!DO106</f>
        <v>100.23</v>
      </c>
      <c r="E24" s="25">
        <f>Data2!IQ106</f>
        <v>100.22</v>
      </c>
      <c r="F24" s="25">
        <f>Data3!EC106</f>
        <v>100.25</v>
      </c>
      <c r="G24" s="25">
        <f>Data4!O106</f>
        <v>100.28</v>
      </c>
      <c r="H24" s="25">
        <f>Data4!EQ106</f>
        <v>100.2</v>
      </c>
      <c r="I24" s="25">
        <f>Data5!AC106</f>
        <v>100.23</v>
      </c>
      <c r="J24" s="66">
        <f t="shared" si="0"/>
        <v>100.235</v>
      </c>
      <c r="L24" t="s">
        <v>2086</v>
      </c>
      <c r="M24" s="25">
        <f>G33</f>
        <v>98.4</v>
      </c>
      <c r="N24" s="25">
        <f>G54</f>
        <v>99.64</v>
      </c>
      <c r="O24" s="25">
        <f>MIN(G33:G54)</f>
        <v>97.12</v>
      </c>
      <c r="P24" s="25">
        <f>MAX(G33:G54)</f>
        <v>100.24</v>
      </c>
      <c r="Q24" s="25">
        <f>AVERAGE(G33:G54)</f>
        <v>98.910454545454527</v>
      </c>
      <c r="R24" s="25">
        <f>STDEV(G33:G54)</f>
        <v>0.80897629179886332</v>
      </c>
      <c r="S24" s="69">
        <f>G54/G33-1</f>
        <v>1.2601626016260026E-2</v>
      </c>
      <c r="T24" s="69">
        <f>G54/G42-1</f>
        <v>1.4250814332247508E-2</v>
      </c>
      <c r="U24" s="69">
        <f>G54/G53-1</f>
        <v>-9.0243657876265537E-4</v>
      </c>
    </row>
    <row r="25" spans="1:21" x14ac:dyDescent="0.25">
      <c r="A25" s="65">
        <f>Data1!A107</f>
        <v>45901</v>
      </c>
      <c r="B25" s="25">
        <f>Data1!DA107</f>
        <v>100</v>
      </c>
      <c r="C25" s="25">
        <f>Data1!IC107</f>
        <v>100</v>
      </c>
      <c r="D25" s="25">
        <f>Data2!DO107</f>
        <v>100</v>
      </c>
      <c r="E25" s="25">
        <f>Data2!IQ107</f>
        <v>100</v>
      </c>
      <c r="F25" s="25">
        <f>Data3!EC107</f>
        <v>100</v>
      </c>
      <c r="G25" s="25">
        <f>Data4!O107</f>
        <v>100</v>
      </c>
      <c r="H25" s="25">
        <f>Data4!EQ107</f>
        <v>100</v>
      </c>
      <c r="I25" s="25">
        <f>Data5!AC107</f>
        <v>100</v>
      </c>
      <c r="J25" s="66">
        <f t="shared" si="0"/>
        <v>100</v>
      </c>
      <c r="L25" t="s">
        <v>2087</v>
      </c>
      <c r="M25" s="25">
        <f>H33</f>
        <v>98.65</v>
      </c>
      <c r="N25" s="25">
        <f>H54</f>
        <v>99.77</v>
      </c>
      <c r="O25" s="25">
        <f>MIN(H33:H54)</f>
        <v>97.36</v>
      </c>
      <c r="P25" s="25">
        <f>MAX(H33:H54)</f>
        <v>100.31</v>
      </c>
      <c r="Q25" s="25">
        <f>AVERAGE(H33:H54)</f>
        <v>99.058181818181808</v>
      </c>
      <c r="R25" s="25">
        <f>STDEV(H33:H54)</f>
        <v>0.75953391951365545</v>
      </c>
      <c r="S25" s="69">
        <f>H54/H33-1</f>
        <v>1.1353269133299371E-2</v>
      </c>
      <c r="T25" s="69">
        <f>H54/H42-1</f>
        <v>1.3201990453945323E-2</v>
      </c>
      <c r="U25" s="69">
        <f>H54/H53-1</f>
        <v>-9.0126176647309375E-4</v>
      </c>
    </row>
    <row r="26" spans="1:21" x14ac:dyDescent="0.25">
      <c r="A26" s="65">
        <f>Data1!A108</f>
        <v>45931</v>
      </c>
      <c r="B26" s="25">
        <f>Data1!DA108</f>
        <v>99.75</v>
      </c>
      <c r="C26" s="25">
        <f>Data1!IC108</f>
        <v>99.76</v>
      </c>
      <c r="D26" s="25">
        <f>Data2!DO108</f>
        <v>99.76</v>
      </c>
      <c r="E26" s="25">
        <f>Data2!IQ108</f>
        <v>99.78</v>
      </c>
      <c r="F26" s="25">
        <f>Data3!EC108</f>
        <v>99.73</v>
      </c>
      <c r="G26" s="25">
        <f>Data4!O108</f>
        <v>99.67</v>
      </c>
      <c r="H26" s="25">
        <f>Data4!EQ108</f>
        <v>99.82</v>
      </c>
      <c r="I26" s="25">
        <f>Data5!AC108</f>
        <v>99.77</v>
      </c>
      <c r="J26" s="66">
        <f t="shared" si="0"/>
        <v>99.754999999999995</v>
      </c>
      <c r="L26" t="s">
        <v>2088</v>
      </c>
      <c r="M26" s="25">
        <f>I33</f>
        <v>98.51</v>
      </c>
      <c r="N26" s="25">
        <f>I54</f>
        <v>99.76</v>
      </c>
      <c r="O26" s="25">
        <f>MIN(I33:I54)</f>
        <v>97.1</v>
      </c>
      <c r="P26" s="25">
        <f>MAX(I33:I54)</f>
        <v>100.27</v>
      </c>
      <c r="Q26" s="25">
        <f>AVERAGE(I33:I54)</f>
        <v>98.950909090909121</v>
      </c>
      <c r="R26" s="25">
        <f>STDEV(I33:I54)</f>
        <v>0.8193662422635194</v>
      </c>
      <c r="S26" s="69">
        <f>I54/I33-1</f>
        <v>1.2689067099786788E-2</v>
      </c>
      <c r="T26" s="69">
        <f>I54/I42-1</f>
        <v>1.5162307927139684E-2</v>
      </c>
      <c r="U26" s="69">
        <f>I54/I53-1</f>
        <v>-9.0135202804197956E-4</v>
      </c>
    </row>
    <row r="27" spans="1:21" x14ac:dyDescent="0.25">
      <c r="A27" s="65">
        <f>Data1!A109</f>
        <v>45962</v>
      </c>
      <c r="B27" s="25">
        <f>Data1!DA109</f>
        <v>100.22</v>
      </c>
      <c r="C27" s="25">
        <f>Data1!IC109</f>
        <v>100.22</v>
      </c>
      <c r="D27" s="25">
        <f>Data2!DO109</f>
        <v>100.23</v>
      </c>
      <c r="E27" s="25">
        <f>Data2!IQ109</f>
        <v>100.25</v>
      </c>
      <c r="F27" s="25">
        <f>Data3!EC109</f>
        <v>100.2</v>
      </c>
      <c r="G27" s="25">
        <f>Data4!O109</f>
        <v>100.14</v>
      </c>
      <c r="H27" s="25">
        <f>Data4!EQ109</f>
        <v>100.29</v>
      </c>
      <c r="I27" s="25">
        <f>Data5!AC109</f>
        <v>100.24</v>
      </c>
      <c r="J27" s="66">
        <f t="shared" si="0"/>
        <v>100.22375</v>
      </c>
      <c r="L27" s="68" t="s">
        <v>2125</v>
      </c>
      <c r="M27" s="70">
        <f>J33</f>
        <v>98.534999999999997</v>
      </c>
      <c r="N27" s="70">
        <f>J54</f>
        <v>99.715000000000003</v>
      </c>
      <c r="O27" s="70">
        <f>MIN(J33:J54)</f>
        <v>97.242500000000007</v>
      </c>
      <c r="P27" s="70">
        <f>MAX(J33:J54)</f>
        <v>100.24625</v>
      </c>
      <c r="Q27" s="70">
        <f>AVERAGE(J33:J54)</f>
        <v>98.989488636363646</v>
      </c>
      <c r="R27" s="70">
        <f>STDEV(J33:J54)</f>
        <v>0.78302818199174018</v>
      </c>
      <c r="S27" s="71">
        <f>J54/J33-1</f>
        <v>1.1975440198914056E-2</v>
      </c>
      <c r="T27" s="71">
        <f>J54/J42-1</f>
        <v>1.3763041848288804E-2</v>
      </c>
      <c r="U27" s="71">
        <f>J54/J53-1</f>
        <v>-9.0175842893647218E-4</v>
      </c>
    </row>
    <row r="28" spans="1:21" x14ac:dyDescent="0.25">
      <c r="A28" s="65">
        <f>Data1!A110</f>
        <v>45992</v>
      </c>
      <c r="B28" s="25">
        <f>Data1!DA110</f>
        <v>99.74</v>
      </c>
      <c r="C28" s="25">
        <f>Data1!IC110</f>
        <v>99.75</v>
      </c>
      <c r="D28" s="25">
        <f>Data2!DO110</f>
        <v>99.75</v>
      </c>
      <c r="E28" s="25">
        <f>Data2!IQ110</f>
        <v>99.77</v>
      </c>
      <c r="F28" s="25">
        <f>Data3!EC110</f>
        <v>99.72</v>
      </c>
      <c r="G28" s="25">
        <f>Data4!O110</f>
        <v>99.67</v>
      </c>
      <c r="H28" s="25">
        <f>Data4!EQ110</f>
        <v>99.81</v>
      </c>
      <c r="I28" s="25">
        <f>Data5!AC110</f>
        <v>99.76</v>
      </c>
      <c r="J28" s="66">
        <f t="shared" si="0"/>
        <v>99.746250000000003</v>
      </c>
    </row>
    <row r="29" spans="1:21" x14ac:dyDescent="0.25">
      <c r="A29" s="65">
        <f>Data1!A111</f>
        <v>46023</v>
      </c>
      <c r="B29" s="25">
        <f>Data1!DA111</f>
        <v>99.65</v>
      </c>
      <c r="C29" s="25">
        <f>Data1!IC111</f>
        <v>99.66</v>
      </c>
      <c r="D29" s="25">
        <f>Data2!DO111</f>
        <v>99.66</v>
      </c>
      <c r="E29" s="25">
        <f>Data2!IQ111</f>
        <v>99.68</v>
      </c>
      <c r="F29" s="25">
        <f>Data3!EC111</f>
        <v>99.63</v>
      </c>
      <c r="G29" s="25">
        <f>Data4!O111</f>
        <v>99.57</v>
      </c>
      <c r="H29" s="25">
        <f>Data4!EQ111</f>
        <v>99.72</v>
      </c>
      <c r="I29" s="25">
        <f>Data5!AC111</f>
        <v>99.67</v>
      </c>
      <c r="J29" s="66">
        <f t="shared" si="0"/>
        <v>99.655000000000001</v>
      </c>
    </row>
    <row r="31" spans="1:21" ht="15.75" x14ac:dyDescent="0.25">
      <c r="A31" s="62" t="s">
        <v>2128</v>
      </c>
    </row>
    <row r="32" spans="1:21" x14ac:dyDescent="0.25">
      <c r="A32" s="63" t="s">
        <v>248</v>
      </c>
      <c r="B32" s="63" t="s">
        <v>2081</v>
      </c>
      <c r="C32" s="63" t="s">
        <v>2082</v>
      </c>
      <c r="D32" s="63" t="s">
        <v>2083</v>
      </c>
      <c r="E32" s="63" t="s">
        <v>2084</v>
      </c>
      <c r="F32" s="63" t="s">
        <v>2085</v>
      </c>
      <c r="G32" s="63" t="s">
        <v>2086</v>
      </c>
      <c r="H32" s="63" t="s">
        <v>2087</v>
      </c>
      <c r="I32" s="63" t="s">
        <v>2088</v>
      </c>
      <c r="J32" s="64" t="s">
        <v>2125</v>
      </c>
    </row>
    <row r="33" spans="1:10" x14ac:dyDescent="0.25">
      <c r="A33" s="65">
        <f>Data1!A90</f>
        <v>45383</v>
      </c>
      <c r="B33" s="25">
        <f>Data1!CY90</f>
        <v>98.52</v>
      </c>
      <c r="C33" s="25">
        <f>Data1!IA90</f>
        <v>98.54</v>
      </c>
      <c r="D33" s="25">
        <f>Data2!DM90</f>
        <v>98.56</v>
      </c>
      <c r="E33" s="25">
        <f>Data2!IO90</f>
        <v>98.59</v>
      </c>
      <c r="F33" s="25">
        <f>Data3!EA90</f>
        <v>98.51</v>
      </c>
      <c r="G33" s="25">
        <f>Data4!M90</f>
        <v>98.4</v>
      </c>
      <c r="H33" s="25">
        <f>Data4!EO90</f>
        <v>98.65</v>
      </c>
      <c r="I33" s="25">
        <f>Data5!AA90</f>
        <v>98.51</v>
      </c>
      <c r="J33" s="66">
        <f>AVERAGE(B33:I33)</f>
        <v>98.534999999999997</v>
      </c>
    </row>
    <row r="34" spans="1:10" x14ac:dyDescent="0.25">
      <c r="A34" s="65">
        <f>Data1!A91</f>
        <v>45413</v>
      </c>
      <c r="B34" s="25">
        <f>Data1!CY91</f>
        <v>97.86</v>
      </c>
      <c r="C34" s="25">
        <f>Data1!IA91</f>
        <v>97.89</v>
      </c>
      <c r="D34" s="25">
        <f>Data2!DM91</f>
        <v>97.93</v>
      </c>
      <c r="E34" s="25">
        <f>Data2!IO91</f>
        <v>97.96</v>
      </c>
      <c r="F34" s="25">
        <f>Data3!EA91</f>
        <v>97.89</v>
      </c>
      <c r="G34" s="25">
        <f>Data4!M91</f>
        <v>97.76</v>
      </c>
      <c r="H34" s="25">
        <f>Data4!EO91</f>
        <v>98</v>
      </c>
      <c r="I34" s="25">
        <f>Data5!AA91</f>
        <v>97.8</v>
      </c>
      <c r="J34" s="66">
        <f t="shared" ref="J34:J54" si="1">AVERAGE(B34:I34)</f>
        <v>97.88624999999999</v>
      </c>
    </row>
    <row r="35" spans="1:10" x14ac:dyDescent="0.25">
      <c r="A35" s="65">
        <f>Data1!A92</f>
        <v>45444</v>
      </c>
      <c r="B35" s="25">
        <f>Data1!CY92</f>
        <v>97.2</v>
      </c>
      <c r="C35" s="25">
        <f>Data1!IA92</f>
        <v>97.25</v>
      </c>
      <c r="D35" s="25">
        <f>Data2!DM92</f>
        <v>97.31</v>
      </c>
      <c r="E35" s="25">
        <f>Data2!IO92</f>
        <v>97.33</v>
      </c>
      <c r="F35" s="25">
        <f>Data3!EA92</f>
        <v>97.27</v>
      </c>
      <c r="G35" s="25">
        <f>Data4!M92</f>
        <v>97.12</v>
      </c>
      <c r="H35" s="25">
        <f>Data4!EO92</f>
        <v>97.36</v>
      </c>
      <c r="I35" s="25">
        <f>Data5!AA92</f>
        <v>97.1</v>
      </c>
      <c r="J35" s="66">
        <f t="shared" si="1"/>
        <v>97.242500000000007</v>
      </c>
    </row>
    <row r="36" spans="1:10" x14ac:dyDescent="0.25">
      <c r="A36" s="65">
        <f>Data1!A93</f>
        <v>45474</v>
      </c>
      <c r="B36" s="25">
        <f>Data1!CY93</f>
        <v>98.87</v>
      </c>
      <c r="C36" s="25">
        <f>Data1!IA93</f>
        <v>98.89</v>
      </c>
      <c r="D36" s="25">
        <f>Data2!DM93</f>
        <v>98.92</v>
      </c>
      <c r="E36" s="25">
        <f>Data2!IO93</f>
        <v>98.95</v>
      </c>
      <c r="F36" s="25">
        <f>Data3!EA93</f>
        <v>98.88</v>
      </c>
      <c r="G36" s="25">
        <f>Data4!M93</f>
        <v>98.77</v>
      </c>
      <c r="H36" s="25">
        <f>Data4!EO93</f>
        <v>98.99</v>
      </c>
      <c r="I36" s="25">
        <f>Data5!AA93</f>
        <v>98.83</v>
      </c>
      <c r="J36" s="66">
        <f t="shared" si="1"/>
        <v>98.887500000000003</v>
      </c>
    </row>
    <row r="37" spans="1:10" x14ac:dyDescent="0.25">
      <c r="A37" s="65">
        <f>Data1!A94</f>
        <v>45505</v>
      </c>
      <c r="B37" s="25">
        <f>Data1!CY94</f>
        <v>98.36</v>
      </c>
      <c r="C37" s="25">
        <f>Data1!IA94</f>
        <v>98.38</v>
      </c>
      <c r="D37" s="25">
        <f>Data2!DM94</f>
        <v>98.4</v>
      </c>
      <c r="E37" s="25">
        <f>Data2!IO94</f>
        <v>98.42</v>
      </c>
      <c r="F37" s="25">
        <f>Data3!EA94</f>
        <v>98.37</v>
      </c>
      <c r="G37" s="25">
        <f>Data4!M94</f>
        <v>98.28</v>
      </c>
      <c r="H37" s="25">
        <f>Data4!EO94</f>
        <v>98.46</v>
      </c>
      <c r="I37" s="25">
        <f>Data5!AA94</f>
        <v>98.33</v>
      </c>
      <c r="J37" s="66">
        <f t="shared" si="1"/>
        <v>98.375000000000014</v>
      </c>
    </row>
    <row r="38" spans="1:10" x14ac:dyDescent="0.25">
      <c r="A38" s="65">
        <f>Data1!A95</f>
        <v>45536</v>
      </c>
      <c r="B38" s="25">
        <f>Data1!CY95</f>
        <v>98.4</v>
      </c>
      <c r="C38" s="25">
        <f>Data1!IA95</f>
        <v>98.42</v>
      </c>
      <c r="D38" s="25">
        <f>Data2!DM95</f>
        <v>98.45</v>
      </c>
      <c r="E38" s="25">
        <f>Data2!IO95</f>
        <v>98.47</v>
      </c>
      <c r="F38" s="25">
        <f>Data3!EA95</f>
        <v>98.41</v>
      </c>
      <c r="G38" s="25">
        <f>Data4!M95</f>
        <v>98.31</v>
      </c>
      <c r="H38" s="25">
        <f>Data4!EO95</f>
        <v>98.5</v>
      </c>
      <c r="I38" s="25">
        <f>Data5!AA95</f>
        <v>98.36</v>
      </c>
      <c r="J38" s="66">
        <f t="shared" si="1"/>
        <v>98.415000000000006</v>
      </c>
    </row>
    <row r="39" spans="1:10" x14ac:dyDescent="0.25">
      <c r="A39" s="65">
        <f>Data1!A96</f>
        <v>45566</v>
      </c>
      <c r="B39" s="25">
        <f>Data1!CY96</f>
        <v>99.02</v>
      </c>
      <c r="C39" s="25">
        <f>Data1!IA96</f>
        <v>99.06</v>
      </c>
      <c r="D39" s="25">
        <f>Data2!DM96</f>
        <v>99.1</v>
      </c>
      <c r="E39" s="25">
        <f>Data2!IO96</f>
        <v>99.13</v>
      </c>
      <c r="F39" s="25">
        <f>Data3!EA96</f>
        <v>99.06</v>
      </c>
      <c r="G39" s="25">
        <f>Data4!M96</f>
        <v>98.93</v>
      </c>
      <c r="H39" s="25">
        <f>Data4!EO96</f>
        <v>99.16</v>
      </c>
      <c r="I39" s="25">
        <f>Data5!AA96</f>
        <v>98.95</v>
      </c>
      <c r="J39" s="66">
        <f t="shared" si="1"/>
        <v>99.051249999999996</v>
      </c>
    </row>
    <row r="40" spans="1:10" x14ac:dyDescent="0.25">
      <c r="A40" s="65">
        <f>Data1!A97</f>
        <v>45597</v>
      </c>
      <c r="B40" s="25">
        <f>Data1!CY97</f>
        <v>98.91</v>
      </c>
      <c r="C40" s="25">
        <f>Data1!IA97</f>
        <v>98.94</v>
      </c>
      <c r="D40" s="25">
        <f>Data2!DM97</f>
        <v>98.99</v>
      </c>
      <c r="E40" s="25">
        <f>Data2!IO97</f>
        <v>99.01</v>
      </c>
      <c r="F40" s="25">
        <f>Data3!EA97</f>
        <v>98.94</v>
      </c>
      <c r="G40" s="25">
        <f>Data4!M97</f>
        <v>98.8</v>
      </c>
      <c r="H40" s="25">
        <f>Data4!EO97</f>
        <v>99.05</v>
      </c>
      <c r="I40" s="25">
        <f>Data5!AA97</f>
        <v>98.84</v>
      </c>
      <c r="J40" s="66">
        <f t="shared" si="1"/>
        <v>98.934999999999988</v>
      </c>
    </row>
    <row r="41" spans="1:10" x14ac:dyDescent="0.25">
      <c r="A41" s="65">
        <f>Data1!A98</f>
        <v>45627</v>
      </c>
      <c r="B41" s="25">
        <f>Data1!CY98</f>
        <v>98.69</v>
      </c>
      <c r="C41" s="25">
        <f>Data1!IA98</f>
        <v>98.72</v>
      </c>
      <c r="D41" s="25">
        <f>Data2!DM98</f>
        <v>98.77</v>
      </c>
      <c r="E41" s="25">
        <f>Data2!IO98</f>
        <v>98.79</v>
      </c>
      <c r="F41" s="25">
        <f>Data3!EA98</f>
        <v>98.73</v>
      </c>
      <c r="G41" s="25">
        <f>Data4!M98</f>
        <v>98.6</v>
      </c>
      <c r="H41" s="25">
        <f>Data4!EO98</f>
        <v>98.83</v>
      </c>
      <c r="I41" s="25">
        <f>Data5!AA98</f>
        <v>98.62</v>
      </c>
      <c r="J41" s="66">
        <f t="shared" si="1"/>
        <v>98.718750000000014</v>
      </c>
    </row>
    <row r="42" spans="1:10" x14ac:dyDescent="0.25">
      <c r="A42" s="65">
        <f>Data1!A99</f>
        <v>45658</v>
      </c>
      <c r="B42" s="25">
        <f>Data1!CY99</f>
        <v>98.33</v>
      </c>
      <c r="C42" s="25">
        <f>Data1!IA99</f>
        <v>98.37</v>
      </c>
      <c r="D42" s="25">
        <f>Data2!DM99</f>
        <v>98.41</v>
      </c>
      <c r="E42" s="25">
        <f>Data2!IO99</f>
        <v>98.43</v>
      </c>
      <c r="F42" s="25">
        <f>Data3!EA99</f>
        <v>98.37</v>
      </c>
      <c r="G42" s="25">
        <f>Data4!M99</f>
        <v>98.24</v>
      </c>
      <c r="H42" s="25">
        <f>Data4!EO99</f>
        <v>98.47</v>
      </c>
      <c r="I42" s="25">
        <f>Data5!AA99</f>
        <v>98.27</v>
      </c>
      <c r="J42" s="66">
        <f t="shared" si="1"/>
        <v>98.361249999999998</v>
      </c>
    </row>
    <row r="43" spans="1:10" x14ac:dyDescent="0.25">
      <c r="A43" s="65">
        <f>Data1!A100</f>
        <v>45689</v>
      </c>
      <c r="B43" s="25">
        <f>Data1!CY100</f>
        <v>99.07</v>
      </c>
      <c r="C43" s="25">
        <f>Data1!IA100</f>
        <v>99.09</v>
      </c>
      <c r="D43" s="25">
        <f>Data2!DM100</f>
        <v>99.12</v>
      </c>
      <c r="E43" s="25">
        <f>Data2!IO100</f>
        <v>99.13</v>
      </c>
      <c r="F43" s="25">
        <f>Data3!EA100</f>
        <v>99.1</v>
      </c>
      <c r="G43" s="25">
        <f>Data4!M100</f>
        <v>99.02</v>
      </c>
      <c r="H43" s="25">
        <f>Data4!EO100</f>
        <v>99.15</v>
      </c>
      <c r="I43" s="25">
        <f>Data5!AA100</f>
        <v>99.01</v>
      </c>
      <c r="J43" s="66">
        <f t="shared" si="1"/>
        <v>99.086249999999993</v>
      </c>
    </row>
    <row r="44" spans="1:10" x14ac:dyDescent="0.25">
      <c r="A44" s="65">
        <f>Data1!A101</f>
        <v>45717</v>
      </c>
      <c r="B44" s="25">
        <f>Data1!CY101</f>
        <v>98.93</v>
      </c>
      <c r="C44" s="25">
        <f>Data1!IA101</f>
        <v>98.95</v>
      </c>
      <c r="D44" s="25">
        <f>Data2!DM101</f>
        <v>98.98</v>
      </c>
      <c r="E44" s="25">
        <f>Data2!IO101</f>
        <v>99</v>
      </c>
      <c r="F44" s="25">
        <f>Data3!EA101</f>
        <v>98.95</v>
      </c>
      <c r="G44" s="25">
        <f>Data4!M101</f>
        <v>98.86</v>
      </c>
      <c r="H44" s="25">
        <f>Data4!EO101</f>
        <v>99.03</v>
      </c>
      <c r="I44" s="25">
        <f>Data5!AA101</f>
        <v>98.89</v>
      </c>
      <c r="J44" s="66">
        <f t="shared" si="1"/>
        <v>98.94874999999999</v>
      </c>
    </row>
    <row r="45" spans="1:10" x14ac:dyDescent="0.25">
      <c r="A45" s="65">
        <f>Data1!A102</f>
        <v>45748</v>
      </c>
      <c r="B45" s="25">
        <f>Data1!CY102</f>
        <v>99.2</v>
      </c>
      <c r="C45" s="25">
        <f>Data1!IA102</f>
        <v>99.21</v>
      </c>
      <c r="D45" s="25">
        <f>Data2!DM102</f>
        <v>99.23</v>
      </c>
      <c r="E45" s="25">
        <f>Data2!IO102</f>
        <v>99.26</v>
      </c>
      <c r="F45" s="25">
        <f>Data3!EA102</f>
        <v>99.2</v>
      </c>
      <c r="G45" s="25">
        <f>Data4!M102</f>
        <v>99.12</v>
      </c>
      <c r="H45" s="25">
        <f>Data4!EO102</f>
        <v>99.29</v>
      </c>
      <c r="I45" s="25">
        <f>Data5!AA102</f>
        <v>99.19</v>
      </c>
      <c r="J45" s="66">
        <f t="shared" si="1"/>
        <v>99.212500000000006</v>
      </c>
    </row>
    <row r="46" spans="1:10" x14ac:dyDescent="0.25">
      <c r="A46" s="65">
        <f>Data1!A103</f>
        <v>45778</v>
      </c>
      <c r="B46" s="25">
        <f>Data1!CY103</f>
        <v>98.84</v>
      </c>
      <c r="C46" s="25">
        <f>Data1!IA103</f>
        <v>98.85</v>
      </c>
      <c r="D46" s="25">
        <f>Data2!DM103</f>
        <v>98.85</v>
      </c>
      <c r="E46" s="25">
        <f>Data2!IO103</f>
        <v>98.85</v>
      </c>
      <c r="F46" s="25">
        <f>Data3!EA103</f>
        <v>98.86</v>
      </c>
      <c r="G46" s="25">
        <f>Data4!M103</f>
        <v>98.84</v>
      </c>
      <c r="H46" s="25">
        <f>Data4!EO103</f>
        <v>98.85</v>
      </c>
      <c r="I46" s="25">
        <f>Data5!AA103</f>
        <v>98.82</v>
      </c>
      <c r="J46" s="66">
        <f t="shared" si="1"/>
        <v>98.844999999999999</v>
      </c>
    </row>
    <row r="47" spans="1:10" x14ac:dyDescent="0.25">
      <c r="A47" s="65">
        <f>Data1!A104</f>
        <v>45809</v>
      </c>
      <c r="B47" s="25">
        <f>Data1!CY104</f>
        <v>98.01</v>
      </c>
      <c r="C47" s="25">
        <f>Data1!IA104</f>
        <v>98.01</v>
      </c>
      <c r="D47" s="25">
        <f>Data2!DM104</f>
        <v>98.01</v>
      </c>
      <c r="E47" s="25">
        <f>Data2!IO104</f>
        <v>98.01</v>
      </c>
      <c r="F47" s="25">
        <f>Data3!EA104</f>
        <v>98</v>
      </c>
      <c r="G47" s="25">
        <f>Data4!M104</f>
        <v>98</v>
      </c>
      <c r="H47" s="25">
        <f>Data4!EO104</f>
        <v>98.02</v>
      </c>
      <c r="I47" s="25">
        <f>Data5!AA104</f>
        <v>98.02</v>
      </c>
      <c r="J47" s="66">
        <f t="shared" si="1"/>
        <v>98.009999999999991</v>
      </c>
    </row>
    <row r="48" spans="1:10" x14ac:dyDescent="0.25">
      <c r="A48" s="65">
        <f>Data1!A105</f>
        <v>45839</v>
      </c>
      <c r="B48" s="25">
        <f>Data1!CY105</f>
        <v>99.49</v>
      </c>
      <c r="C48" s="25">
        <f>Data1!IA105</f>
        <v>99.49</v>
      </c>
      <c r="D48" s="25">
        <f>Data2!DM105</f>
        <v>99.5</v>
      </c>
      <c r="E48" s="25">
        <f>Data2!IO105</f>
        <v>99.5</v>
      </c>
      <c r="F48" s="25">
        <f>Data3!EA105</f>
        <v>99.49</v>
      </c>
      <c r="G48" s="25">
        <f>Data4!M105</f>
        <v>99.48</v>
      </c>
      <c r="H48" s="25">
        <f>Data4!EO105</f>
        <v>99.5</v>
      </c>
      <c r="I48" s="25">
        <f>Data5!AA105</f>
        <v>99.49</v>
      </c>
      <c r="J48" s="66">
        <f t="shared" si="1"/>
        <v>99.492500000000007</v>
      </c>
    </row>
    <row r="49" spans="1:10" x14ac:dyDescent="0.25">
      <c r="A49" s="65">
        <f>Data1!A106</f>
        <v>45870</v>
      </c>
      <c r="B49" s="25">
        <f>Data1!CY106</f>
        <v>100.2</v>
      </c>
      <c r="C49" s="25">
        <f>Data1!IA106</f>
        <v>100.2</v>
      </c>
      <c r="D49" s="25">
        <f>Data2!DM106</f>
        <v>100.2</v>
      </c>
      <c r="E49" s="25">
        <f>Data2!IO106</f>
        <v>100.19</v>
      </c>
      <c r="F49" s="25">
        <f>Data3!EA106</f>
        <v>100.22</v>
      </c>
      <c r="G49" s="25">
        <f>Data4!M106</f>
        <v>100.24</v>
      </c>
      <c r="H49" s="25">
        <f>Data4!EO106</f>
        <v>100.17</v>
      </c>
      <c r="I49" s="25">
        <f>Data5!AA106</f>
        <v>100.17</v>
      </c>
      <c r="J49" s="66">
        <f t="shared" si="1"/>
        <v>100.19874999999999</v>
      </c>
    </row>
    <row r="50" spans="1:10" x14ac:dyDescent="0.25">
      <c r="A50" s="65">
        <f>Data1!A107</f>
        <v>45901</v>
      </c>
      <c r="B50" s="25">
        <f>Data1!CY107</f>
        <v>100</v>
      </c>
      <c r="C50" s="25">
        <f>Data1!IA107</f>
        <v>100</v>
      </c>
      <c r="D50" s="25">
        <f>Data2!DM107</f>
        <v>100</v>
      </c>
      <c r="E50" s="25">
        <f>Data2!IO107</f>
        <v>100</v>
      </c>
      <c r="F50" s="25">
        <f>Data3!EA107</f>
        <v>100</v>
      </c>
      <c r="G50" s="25">
        <f>Data4!M107</f>
        <v>100</v>
      </c>
      <c r="H50" s="25">
        <f>Data4!EO107</f>
        <v>100</v>
      </c>
      <c r="I50" s="25">
        <f>Data5!AA107</f>
        <v>100</v>
      </c>
      <c r="J50" s="66">
        <f t="shared" si="1"/>
        <v>100</v>
      </c>
    </row>
    <row r="51" spans="1:10" x14ac:dyDescent="0.25">
      <c r="A51" s="65">
        <f>Data1!A108</f>
        <v>45931</v>
      </c>
      <c r="B51" s="25">
        <f>Data1!CY108</f>
        <v>99.8</v>
      </c>
      <c r="C51" s="25">
        <f>Data1!IA108</f>
        <v>99.8</v>
      </c>
      <c r="D51" s="25">
        <f>Data2!DM108</f>
        <v>99.8</v>
      </c>
      <c r="E51" s="25">
        <f>Data2!IO108</f>
        <v>99.82</v>
      </c>
      <c r="F51" s="25">
        <f>Data3!EA108</f>
        <v>99.77</v>
      </c>
      <c r="G51" s="25">
        <f>Data4!M108</f>
        <v>99.72</v>
      </c>
      <c r="H51" s="25">
        <f>Data4!EO108</f>
        <v>99.86</v>
      </c>
      <c r="I51" s="25">
        <f>Data5!AA108</f>
        <v>99.84</v>
      </c>
      <c r="J51" s="66">
        <f t="shared" si="1"/>
        <v>99.801249999999996</v>
      </c>
    </row>
    <row r="52" spans="1:10" x14ac:dyDescent="0.25">
      <c r="A52" s="65">
        <f>Data1!A109</f>
        <v>45962</v>
      </c>
      <c r="B52" s="25">
        <f>Data1!CY109</f>
        <v>100.24</v>
      </c>
      <c r="C52" s="25">
        <f>Data1!IA109</f>
        <v>100.24</v>
      </c>
      <c r="D52" s="25">
        <f>Data2!DM109</f>
        <v>100.25</v>
      </c>
      <c r="E52" s="25">
        <f>Data2!IO109</f>
        <v>100.27</v>
      </c>
      <c r="F52" s="25">
        <f>Data3!EA109</f>
        <v>100.22</v>
      </c>
      <c r="G52" s="25">
        <f>Data4!M109</f>
        <v>100.17</v>
      </c>
      <c r="H52" s="25">
        <f>Data4!EO109</f>
        <v>100.31</v>
      </c>
      <c r="I52" s="25">
        <f>Data5!AA109</f>
        <v>100.27</v>
      </c>
      <c r="J52" s="66">
        <f t="shared" si="1"/>
        <v>100.24625</v>
      </c>
    </row>
    <row r="53" spans="1:10" x14ac:dyDescent="0.25">
      <c r="A53" s="65">
        <f>Data1!A110</f>
        <v>45992</v>
      </c>
      <c r="B53" s="25">
        <f>Data1!CY110</f>
        <v>99.81</v>
      </c>
      <c r="C53" s="25">
        <f>Data1!IA110</f>
        <v>99.8</v>
      </c>
      <c r="D53" s="25">
        <f>Data2!DM110</f>
        <v>99.8</v>
      </c>
      <c r="E53" s="25">
        <f>Data2!IO110</f>
        <v>99.82</v>
      </c>
      <c r="F53" s="25">
        <f>Data3!EA110</f>
        <v>99.77</v>
      </c>
      <c r="G53" s="25">
        <f>Data4!M110</f>
        <v>99.73</v>
      </c>
      <c r="H53" s="25">
        <f>Data4!EO110</f>
        <v>99.86</v>
      </c>
      <c r="I53" s="25">
        <f>Data5!AA110</f>
        <v>99.85</v>
      </c>
      <c r="J53" s="66">
        <f t="shared" si="1"/>
        <v>99.805000000000007</v>
      </c>
    </row>
    <row r="54" spans="1:10" x14ac:dyDescent="0.25">
      <c r="A54" s="65">
        <f>Data1!A111</f>
        <v>46023</v>
      </c>
      <c r="B54" s="25">
        <f>Data1!CY111</f>
        <v>99.72</v>
      </c>
      <c r="C54" s="25">
        <f>Data1!IA111</f>
        <v>99.71</v>
      </c>
      <c r="D54" s="25">
        <f>Data2!DM111</f>
        <v>99.71</v>
      </c>
      <c r="E54" s="25">
        <f>Data2!IO111</f>
        <v>99.73</v>
      </c>
      <c r="F54" s="25">
        <f>Data3!EA111</f>
        <v>99.68</v>
      </c>
      <c r="G54" s="25">
        <f>Data4!M111</f>
        <v>99.64</v>
      </c>
      <c r="H54" s="25">
        <f>Data4!EO111</f>
        <v>99.77</v>
      </c>
      <c r="I54" s="25">
        <f>Data5!AA111</f>
        <v>99.76</v>
      </c>
      <c r="J54" s="66">
        <f t="shared" si="1"/>
        <v>99.715000000000003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Q111"/>
  <sheetViews>
    <sheetView workbookViewId="0">
      <pane xSplit="1" ySplit="10" topLeftCell="CO80" activePane="bottomRight" state="frozen"/>
      <selection pane="topRight" activeCell="B1" sqref="B1"/>
      <selection pane="bottomLeft" activeCell="A11" sqref="A11"/>
      <selection pane="bottomRight" activeCell="DA90" activeCellId="1" sqref="DA1:DA10 DA90:DA1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53</v>
      </c>
      <c r="BF1" s="3" t="s">
        <v>54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66</v>
      </c>
      <c r="BU1" s="3" t="s">
        <v>67</v>
      </c>
      <c r="BV1" s="3" t="s">
        <v>68</v>
      </c>
      <c r="BW1" s="3" t="s">
        <v>69</v>
      </c>
      <c r="BX1" s="3" t="s">
        <v>70</v>
      </c>
      <c r="BY1" s="3" t="s">
        <v>71</v>
      </c>
      <c r="BZ1" s="3" t="s">
        <v>72</v>
      </c>
      <c r="CA1" s="3" t="s">
        <v>73</v>
      </c>
      <c r="CB1" s="3" t="s">
        <v>74</v>
      </c>
      <c r="CC1" s="3" t="s">
        <v>75</v>
      </c>
      <c r="CD1" s="3" t="s">
        <v>76</v>
      </c>
      <c r="CE1" s="3" t="s">
        <v>77</v>
      </c>
      <c r="CF1" s="3" t="s">
        <v>78</v>
      </c>
      <c r="CG1" s="3" t="s">
        <v>79</v>
      </c>
      <c r="CH1" s="3" t="s">
        <v>80</v>
      </c>
      <c r="CI1" s="3" t="s">
        <v>81</v>
      </c>
      <c r="CJ1" s="3" t="s">
        <v>82</v>
      </c>
      <c r="CK1" s="3" t="s">
        <v>83</v>
      </c>
      <c r="CL1" s="3" t="s">
        <v>84</v>
      </c>
      <c r="CM1" s="3" t="s">
        <v>85</v>
      </c>
      <c r="CN1" s="3" t="s">
        <v>86</v>
      </c>
      <c r="CO1" s="3" t="s">
        <v>87</v>
      </c>
      <c r="CP1" s="3" t="s">
        <v>88</v>
      </c>
      <c r="CQ1" s="3" t="s">
        <v>89</v>
      </c>
      <c r="CR1" s="3" t="s">
        <v>90</v>
      </c>
      <c r="CS1" s="3" t="s">
        <v>91</v>
      </c>
      <c r="CT1" s="3" t="s">
        <v>92</v>
      </c>
      <c r="CU1" s="3" t="s">
        <v>93</v>
      </c>
      <c r="CV1" s="3" t="s">
        <v>94</v>
      </c>
      <c r="CW1" s="3" t="s">
        <v>94</v>
      </c>
      <c r="CX1" s="3" t="s">
        <v>95</v>
      </c>
      <c r="CY1" s="3" t="s">
        <v>95</v>
      </c>
      <c r="CZ1" s="3" t="s">
        <v>96</v>
      </c>
      <c r="DA1" s="3" t="s">
        <v>97</v>
      </c>
      <c r="DB1" s="3" t="s">
        <v>98</v>
      </c>
      <c r="DC1" s="3" t="s">
        <v>99</v>
      </c>
      <c r="DD1" s="3" t="s">
        <v>100</v>
      </c>
      <c r="DE1" s="3" t="s">
        <v>101</v>
      </c>
      <c r="DF1" s="3" t="s">
        <v>102</v>
      </c>
      <c r="DG1" s="3" t="s">
        <v>103</v>
      </c>
      <c r="DH1" s="3" t="s">
        <v>104</v>
      </c>
      <c r="DI1" s="3" t="s">
        <v>105</v>
      </c>
      <c r="DJ1" s="3" t="s">
        <v>106</v>
      </c>
      <c r="DK1" s="3" t="s">
        <v>107</v>
      </c>
      <c r="DL1" s="3" t="s">
        <v>108</v>
      </c>
      <c r="DM1" s="3" t="s">
        <v>109</v>
      </c>
      <c r="DN1" s="3" t="s">
        <v>110</v>
      </c>
      <c r="DO1" s="3" t="s">
        <v>111</v>
      </c>
      <c r="DP1" s="3" t="s">
        <v>112</v>
      </c>
      <c r="DQ1" s="3" t="s">
        <v>113</v>
      </c>
      <c r="DR1" s="3" t="s">
        <v>114</v>
      </c>
      <c r="DS1" s="3" t="s">
        <v>115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120</v>
      </c>
      <c r="EA1" s="3" t="s">
        <v>121</v>
      </c>
      <c r="EB1" s="3" t="s">
        <v>122</v>
      </c>
      <c r="EC1" s="3" t="s">
        <v>123</v>
      </c>
      <c r="ED1" s="3" t="s">
        <v>124</v>
      </c>
      <c r="EE1" s="3" t="s">
        <v>125</v>
      </c>
      <c r="EF1" s="3" t="s">
        <v>126</v>
      </c>
      <c r="EG1" s="3" t="s">
        <v>127</v>
      </c>
      <c r="EH1" s="3" t="s">
        <v>128</v>
      </c>
      <c r="EI1" s="3" t="s">
        <v>129</v>
      </c>
      <c r="EJ1" s="3" t="s">
        <v>130</v>
      </c>
      <c r="EK1" s="3" t="s">
        <v>131</v>
      </c>
      <c r="EL1" s="3" t="s">
        <v>132</v>
      </c>
      <c r="EM1" s="3" t="s">
        <v>133</v>
      </c>
      <c r="EN1" s="3" t="s">
        <v>134</v>
      </c>
      <c r="EO1" s="3" t="s">
        <v>135</v>
      </c>
      <c r="EP1" s="3" t="s">
        <v>136</v>
      </c>
      <c r="EQ1" s="3" t="s">
        <v>137</v>
      </c>
      <c r="ER1" s="3" t="s">
        <v>138</v>
      </c>
      <c r="ES1" s="3" t="s">
        <v>139</v>
      </c>
      <c r="ET1" s="3" t="s">
        <v>140</v>
      </c>
      <c r="EU1" s="3" t="s">
        <v>141</v>
      </c>
      <c r="EV1" s="3" t="s">
        <v>142</v>
      </c>
      <c r="EW1" s="3" t="s">
        <v>143</v>
      </c>
      <c r="EX1" s="3" t="s">
        <v>144</v>
      </c>
      <c r="EY1" s="3" t="s">
        <v>145</v>
      </c>
      <c r="EZ1" s="3" t="s">
        <v>146</v>
      </c>
      <c r="FA1" s="3" t="s">
        <v>147</v>
      </c>
      <c r="FB1" s="3" t="s">
        <v>148</v>
      </c>
      <c r="FC1" s="3" t="s">
        <v>149</v>
      </c>
      <c r="FD1" s="3" t="s">
        <v>150</v>
      </c>
      <c r="FE1" s="3" t="s">
        <v>151</v>
      </c>
      <c r="FF1" s="3" t="s">
        <v>152</v>
      </c>
      <c r="FG1" s="3" t="s">
        <v>153</v>
      </c>
      <c r="FH1" s="3" t="s">
        <v>154</v>
      </c>
      <c r="FI1" s="3" t="s">
        <v>155</v>
      </c>
      <c r="FJ1" s="3" t="s">
        <v>156</v>
      </c>
      <c r="FK1" s="3" t="s">
        <v>157</v>
      </c>
      <c r="FL1" s="3" t="s">
        <v>158</v>
      </c>
      <c r="FM1" s="3" t="s">
        <v>159</v>
      </c>
      <c r="FN1" s="3" t="s">
        <v>160</v>
      </c>
      <c r="FO1" s="3" t="s">
        <v>161</v>
      </c>
      <c r="FP1" s="3" t="s">
        <v>162</v>
      </c>
      <c r="FQ1" s="3" t="s">
        <v>163</v>
      </c>
      <c r="FR1" s="3" t="s">
        <v>163</v>
      </c>
      <c r="FS1" s="3" t="s">
        <v>164</v>
      </c>
      <c r="FT1" s="3" t="s">
        <v>165</v>
      </c>
      <c r="FU1" s="3" t="s">
        <v>166</v>
      </c>
      <c r="FV1" s="3" t="s">
        <v>167</v>
      </c>
      <c r="FW1" s="3" t="s">
        <v>168</v>
      </c>
      <c r="FX1" s="3" t="s">
        <v>169</v>
      </c>
      <c r="FY1" s="3" t="s">
        <v>170</v>
      </c>
      <c r="FZ1" s="3" t="s">
        <v>171</v>
      </c>
      <c r="GA1" s="3" t="s">
        <v>172</v>
      </c>
      <c r="GB1" s="3" t="s">
        <v>173</v>
      </c>
      <c r="GC1" s="3" t="s">
        <v>174</v>
      </c>
      <c r="GD1" s="3" t="s">
        <v>175</v>
      </c>
      <c r="GE1" s="3" t="s">
        <v>176</v>
      </c>
      <c r="GF1" s="3" t="s">
        <v>177</v>
      </c>
      <c r="GG1" s="3" t="s">
        <v>177</v>
      </c>
      <c r="GH1" s="3" t="s">
        <v>178</v>
      </c>
      <c r="GI1" s="3" t="s">
        <v>178</v>
      </c>
      <c r="GJ1" s="3" t="s">
        <v>179</v>
      </c>
      <c r="GK1" s="3" t="s">
        <v>180</v>
      </c>
      <c r="GL1" s="3" t="s">
        <v>181</v>
      </c>
      <c r="GM1" s="3" t="s">
        <v>182</v>
      </c>
      <c r="GN1" s="3" t="s">
        <v>183</v>
      </c>
      <c r="GO1" s="3" t="s">
        <v>184</v>
      </c>
      <c r="GP1" s="3" t="s">
        <v>185</v>
      </c>
      <c r="GQ1" s="3" t="s">
        <v>186</v>
      </c>
      <c r="GR1" s="3" t="s">
        <v>187</v>
      </c>
      <c r="GS1" s="3" t="s">
        <v>188</v>
      </c>
      <c r="GT1" s="3" t="s">
        <v>189</v>
      </c>
      <c r="GU1" s="3" t="s">
        <v>190</v>
      </c>
      <c r="GV1" s="3" t="s">
        <v>190</v>
      </c>
      <c r="GW1" s="3" t="s">
        <v>191</v>
      </c>
      <c r="GX1" s="3" t="s">
        <v>192</v>
      </c>
      <c r="GY1" s="3" t="s">
        <v>193</v>
      </c>
      <c r="GZ1" s="3" t="s">
        <v>194</v>
      </c>
      <c r="HA1" s="3" t="s">
        <v>195</v>
      </c>
      <c r="HB1" s="3" t="s">
        <v>196</v>
      </c>
      <c r="HC1" s="3" t="s">
        <v>197</v>
      </c>
      <c r="HD1" s="3" t="s">
        <v>198</v>
      </c>
      <c r="HE1" s="3" t="s">
        <v>199</v>
      </c>
      <c r="HF1" s="3" t="s">
        <v>200</v>
      </c>
      <c r="HG1" s="3" t="s">
        <v>201</v>
      </c>
      <c r="HH1" s="3" t="s">
        <v>202</v>
      </c>
      <c r="HI1" s="3" t="s">
        <v>203</v>
      </c>
      <c r="HJ1" s="3" t="s">
        <v>204</v>
      </c>
      <c r="HK1" s="3" t="s">
        <v>205</v>
      </c>
      <c r="HL1" s="3" t="s">
        <v>206</v>
      </c>
      <c r="HM1" s="3" t="s">
        <v>207</v>
      </c>
      <c r="HN1" s="3" t="s">
        <v>208</v>
      </c>
      <c r="HO1" s="3" t="s">
        <v>209</v>
      </c>
      <c r="HP1" s="3" t="s">
        <v>210</v>
      </c>
      <c r="HQ1" s="3" t="s">
        <v>211</v>
      </c>
      <c r="HR1" s="3" t="s">
        <v>212</v>
      </c>
      <c r="HS1" s="3" t="s">
        <v>213</v>
      </c>
      <c r="HT1" s="3" t="s">
        <v>214</v>
      </c>
      <c r="HU1" s="3" t="s">
        <v>215</v>
      </c>
      <c r="HV1" s="3" t="s">
        <v>216</v>
      </c>
      <c r="HW1" s="3" t="s">
        <v>217</v>
      </c>
      <c r="HX1" s="3" t="s">
        <v>218</v>
      </c>
      <c r="HY1" s="3" t="s">
        <v>218</v>
      </c>
      <c r="HZ1" s="3" t="s">
        <v>219</v>
      </c>
      <c r="IA1" s="3" t="s">
        <v>219</v>
      </c>
      <c r="IB1" s="3" t="s">
        <v>220</v>
      </c>
      <c r="IC1" s="3" t="s">
        <v>221</v>
      </c>
      <c r="ID1" s="3" t="s">
        <v>222</v>
      </c>
      <c r="IE1" s="3" t="s">
        <v>223</v>
      </c>
      <c r="IF1" s="3" t="s">
        <v>224</v>
      </c>
      <c r="IG1" s="3" t="s">
        <v>225</v>
      </c>
      <c r="IH1" s="3" t="s">
        <v>226</v>
      </c>
      <c r="II1" s="3" t="s">
        <v>227</v>
      </c>
      <c r="IJ1" s="3" t="s">
        <v>228</v>
      </c>
      <c r="IK1" s="3" t="s">
        <v>229</v>
      </c>
      <c r="IL1" s="3" t="s">
        <v>230</v>
      </c>
      <c r="IM1" s="3" t="s">
        <v>231</v>
      </c>
      <c r="IN1" s="3" t="s">
        <v>232</v>
      </c>
      <c r="IO1" s="3" t="s">
        <v>233</v>
      </c>
      <c r="IP1" s="3" t="s">
        <v>234</v>
      </c>
      <c r="IQ1" s="3" t="s">
        <v>235</v>
      </c>
    </row>
    <row r="2" spans="1:251" x14ac:dyDescent="0.2">
      <c r="A2" s="4" t="s">
        <v>236</v>
      </c>
      <c r="B2" s="7" t="s">
        <v>245</v>
      </c>
      <c r="C2" s="7" t="s">
        <v>245</v>
      </c>
      <c r="D2" s="7" t="s">
        <v>245</v>
      </c>
      <c r="E2" s="7" t="s">
        <v>245</v>
      </c>
      <c r="F2" s="7" t="s">
        <v>245</v>
      </c>
      <c r="G2" s="7" t="s">
        <v>245</v>
      </c>
      <c r="H2" s="7" t="s">
        <v>245</v>
      </c>
      <c r="I2" s="7" t="s">
        <v>245</v>
      </c>
      <c r="J2" s="7" t="s">
        <v>245</v>
      </c>
      <c r="K2" s="7" t="s">
        <v>245</v>
      </c>
      <c r="L2" s="7" t="s">
        <v>245</v>
      </c>
      <c r="M2" s="7" t="s">
        <v>245</v>
      </c>
      <c r="N2" s="7" t="s">
        <v>245</v>
      </c>
      <c r="O2" s="7" t="s">
        <v>245</v>
      </c>
      <c r="P2" s="7" t="s">
        <v>245</v>
      </c>
      <c r="Q2" s="7" t="s">
        <v>245</v>
      </c>
      <c r="R2" s="7" t="s">
        <v>245</v>
      </c>
      <c r="S2" s="7" t="s">
        <v>245</v>
      </c>
      <c r="T2" s="7" t="s">
        <v>245</v>
      </c>
      <c r="U2" s="7" t="s">
        <v>245</v>
      </c>
      <c r="V2" s="7" t="s">
        <v>245</v>
      </c>
      <c r="W2" s="7" t="s">
        <v>245</v>
      </c>
      <c r="X2" s="7" t="s">
        <v>245</v>
      </c>
      <c r="Y2" s="7" t="s">
        <v>245</v>
      </c>
      <c r="Z2" s="7" t="s">
        <v>245</v>
      </c>
      <c r="AA2" s="7" t="s">
        <v>245</v>
      </c>
      <c r="AB2" s="7" t="s">
        <v>245</v>
      </c>
      <c r="AC2" s="7" t="s">
        <v>245</v>
      </c>
      <c r="AD2" s="7" t="s">
        <v>245</v>
      </c>
      <c r="AE2" s="7" t="s">
        <v>245</v>
      </c>
      <c r="AF2" s="7" t="s">
        <v>245</v>
      </c>
      <c r="AG2" s="7" t="s">
        <v>245</v>
      </c>
      <c r="AH2" s="7" t="s">
        <v>245</v>
      </c>
      <c r="AI2" s="7" t="s">
        <v>245</v>
      </c>
      <c r="AJ2" s="7" t="s">
        <v>245</v>
      </c>
      <c r="AK2" s="7" t="s">
        <v>245</v>
      </c>
      <c r="AL2" s="7" t="s">
        <v>245</v>
      </c>
      <c r="AM2" s="7" t="s">
        <v>245</v>
      </c>
      <c r="AN2" s="7" t="s">
        <v>245</v>
      </c>
      <c r="AO2" s="7" t="s">
        <v>245</v>
      </c>
      <c r="AP2" s="7" t="s">
        <v>245</v>
      </c>
      <c r="AQ2" s="7" t="s">
        <v>245</v>
      </c>
      <c r="AR2" s="7" t="s">
        <v>245</v>
      </c>
      <c r="AS2" s="7" t="s">
        <v>245</v>
      </c>
      <c r="AT2" s="7" t="s">
        <v>245</v>
      </c>
      <c r="AU2" s="7" t="s">
        <v>245</v>
      </c>
      <c r="AV2" s="7" t="s">
        <v>245</v>
      </c>
      <c r="AW2" s="7" t="s">
        <v>245</v>
      </c>
      <c r="AX2" s="7" t="s">
        <v>245</v>
      </c>
      <c r="AY2" s="7" t="s">
        <v>245</v>
      </c>
      <c r="AZ2" s="7" t="s">
        <v>245</v>
      </c>
      <c r="BA2" s="7" t="s">
        <v>245</v>
      </c>
      <c r="BB2" s="7" t="s">
        <v>245</v>
      </c>
      <c r="BC2" s="7" t="s">
        <v>245</v>
      </c>
      <c r="BD2" s="7" t="s">
        <v>245</v>
      </c>
      <c r="BE2" s="7" t="s">
        <v>245</v>
      </c>
      <c r="BF2" s="7" t="s">
        <v>245</v>
      </c>
      <c r="BG2" s="7" t="s">
        <v>245</v>
      </c>
      <c r="BH2" s="7" t="s">
        <v>245</v>
      </c>
      <c r="BI2" s="7" t="s">
        <v>245</v>
      </c>
      <c r="BJ2" s="7" t="s">
        <v>245</v>
      </c>
      <c r="BK2" s="7" t="s">
        <v>245</v>
      </c>
      <c r="BL2" s="7" t="s">
        <v>245</v>
      </c>
      <c r="BM2" s="7" t="s">
        <v>245</v>
      </c>
      <c r="BN2" s="7" t="s">
        <v>245</v>
      </c>
      <c r="BO2" s="7" t="s">
        <v>245</v>
      </c>
      <c r="BP2" s="7" t="s">
        <v>245</v>
      </c>
      <c r="BQ2" s="7" t="s">
        <v>245</v>
      </c>
      <c r="BR2" s="7" t="s">
        <v>245</v>
      </c>
      <c r="BS2" s="7" t="s">
        <v>245</v>
      </c>
      <c r="BT2" s="7" t="s">
        <v>245</v>
      </c>
      <c r="BU2" s="7" t="s">
        <v>245</v>
      </c>
      <c r="BV2" s="7" t="s">
        <v>245</v>
      </c>
      <c r="BW2" s="7" t="s">
        <v>245</v>
      </c>
      <c r="BX2" s="7" t="s">
        <v>245</v>
      </c>
      <c r="BY2" s="7" t="s">
        <v>245</v>
      </c>
      <c r="BZ2" s="7" t="s">
        <v>245</v>
      </c>
      <c r="CA2" s="7" t="s">
        <v>245</v>
      </c>
      <c r="CB2" s="7" t="s">
        <v>245</v>
      </c>
      <c r="CC2" s="7" t="s">
        <v>245</v>
      </c>
      <c r="CD2" s="7" t="s">
        <v>245</v>
      </c>
      <c r="CE2" s="7" t="s">
        <v>245</v>
      </c>
      <c r="CF2" s="7" t="s">
        <v>245</v>
      </c>
      <c r="CG2" s="7" t="s">
        <v>245</v>
      </c>
      <c r="CH2" s="7" t="s">
        <v>245</v>
      </c>
      <c r="CI2" s="7" t="s">
        <v>245</v>
      </c>
      <c r="CJ2" s="7" t="s">
        <v>245</v>
      </c>
      <c r="CK2" s="7" t="s">
        <v>245</v>
      </c>
      <c r="CL2" s="7" t="s">
        <v>245</v>
      </c>
      <c r="CM2" s="7" t="s">
        <v>245</v>
      </c>
      <c r="CN2" s="7" t="s">
        <v>245</v>
      </c>
      <c r="CO2" s="7" t="s">
        <v>245</v>
      </c>
      <c r="CP2" s="7" t="s">
        <v>245</v>
      </c>
      <c r="CQ2" s="7" t="s">
        <v>245</v>
      </c>
      <c r="CR2" s="7" t="s">
        <v>245</v>
      </c>
      <c r="CS2" s="7" t="s">
        <v>245</v>
      </c>
      <c r="CT2" s="7" t="s">
        <v>245</v>
      </c>
      <c r="CU2" s="7" t="s">
        <v>245</v>
      </c>
      <c r="CV2" s="7" t="s">
        <v>245</v>
      </c>
      <c r="CW2" s="7" t="s">
        <v>245</v>
      </c>
      <c r="CX2" s="7" t="s">
        <v>245</v>
      </c>
      <c r="CY2" s="7" t="s">
        <v>245</v>
      </c>
      <c r="CZ2" s="7" t="s">
        <v>245</v>
      </c>
      <c r="DA2" s="7" t="s">
        <v>245</v>
      </c>
      <c r="DB2" s="7" t="s">
        <v>245</v>
      </c>
      <c r="DC2" s="7" t="s">
        <v>245</v>
      </c>
      <c r="DD2" s="7" t="s">
        <v>245</v>
      </c>
      <c r="DE2" s="7" t="s">
        <v>245</v>
      </c>
      <c r="DF2" s="7" t="s">
        <v>245</v>
      </c>
      <c r="DG2" s="7" t="s">
        <v>245</v>
      </c>
      <c r="DH2" s="7" t="s">
        <v>245</v>
      </c>
      <c r="DI2" s="7" t="s">
        <v>245</v>
      </c>
      <c r="DJ2" s="7" t="s">
        <v>245</v>
      </c>
      <c r="DK2" s="7" t="s">
        <v>245</v>
      </c>
      <c r="DL2" s="7" t="s">
        <v>245</v>
      </c>
      <c r="DM2" s="7" t="s">
        <v>245</v>
      </c>
      <c r="DN2" s="7" t="s">
        <v>245</v>
      </c>
      <c r="DO2" s="7" t="s">
        <v>245</v>
      </c>
      <c r="DP2" s="7" t="s">
        <v>245</v>
      </c>
      <c r="DQ2" s="7" t="s">
        <v>245</v>
      </c>
      <c r="DR2" s="7" t="s">
        <v>245</v>
      </c>
      <c r="DS2" s="7" t="s">
        <v>245</v>
      </c>
      <c r="DT2" s="7" t="s">
        <v>245</v>
      </c>
      <c r="DU2" s="7" t="s">
        <v>245</v>
      </c>
      <c r="DV2" s="7" t="s">
        <v>245</v>
      </c>
      <c r="DW2" s="7" t="s">
        <v>245</v>
      </c>
      <c r="DX2" s="7" t="s">
        <v>245</v>
      </c>
      <c r="DY2" s="7" t="s">
        <v>245</v>
      </c>
      <c r="DZ2" s="7" t="s">
        <v>245</v>
      </c>
      <c r="EA2" s="7" t="s">
        <v>245</v>
      </c>
      <c r="EB2" s="7" t="s">
        <v>245</v>
      </c>
      <c r="EC2" s="7" t="s">
        <v>245</v>
      </c>
      <c r="ED2" s="7" t="s">
        <v>245</v>
      </c>
      <c r="EE2" s="7" t="s">
        <v>245</v>
      </c>
      <c r="EF2" s="7" t="s">
        <v>245</v>
      </c>
      <c r="EG2" s="7" t="s">
        <v>245</v>
      </c>
      <c r="EH2" s="7" t="s">
        <v>245</v>
      </c>
      <c r="EI2" s="7" t="s">
        <v>245</v>
      </c>
      <c r="EJ2" s="7" t="s">
        <v>245</v>
      </c>
      <c r="EK2" s="7" t="s">
        <v>245</v>
      </c>
      <c r="EL2" s="7" t="s">
        <v>245</v>
      </c>
      <c r="EM2" s="7" t="s">
        <v>245</v>
      </c>
      <c r="EN2" s="7" t="s">
        <v>245</v>
      </c>
      <c r="EO2" s="7" t="s">
        <v>245</v>
      </c>
      <c r="EP2" s="7" t="s">
        <v>245</v>
      </c>
      <c r="EQ2" s="7" t="s">
        <v>245</v>
      </c>
      <c r="ER2" s="7" t="s">
        <v>245</v>
      </c>
      <c r="ES2" s="7" t="s">
        <v>245</v>
      </c>
      <c r="ET2" s="7" t="s">
        <v>245</v>
      </c>
      <c r="EU2" s="7" t="s">
        <v>245</v>
      </c>
      <c r="EV2" s="7" t="s">
        <v>245</v>
      </c>
      <c r="EW2" s="7" t="s">
        <v>245</v>
      </c>
      <c r="EX2" s="7" t="s">
        <v>245</v>
      </c>
      <c r="EY2" s="7" t="s">
        <v>245</v>
      </c>
      <c r="EZ2" s="7" t="s">
        <v>245</v>
      </c>
      <c r="FA2" s="7" t="s">
        <v>245</v>
      </c>
      <c r="FB2" s="7" t="s">
        <v>245</v>
      </c>
      <c r="FC2" s="7" t="s">
        <v>245</v>
      </c>
      <c r="FD2" s="7" t="s">
        <v>245</v>
      </c>
      <c r="FE2" s="7" t="s">
        <v>245</v>
      </c>
      <c r="FF2" s="7" t="s">
        <v>245</v>
      </c>
      <c r="FG2" s="7" t="s">
        <v>245</v>
      </c>
      <c r="FH2" s="7" t="s">
        <v>245</v>
      </c>
      <c r="FI2" s="7" t="s">
        <v>245</v>
      </c>
      <c r="FJ2" s="7" t="s">
        <v>245</v>
      </c>
      <c r="FK2" s="7" t="s">
        <v>245</v>
      </c>
      <c r="FL2" s="7" t="s">
        <v>245</v>
      </c>
      <c r="FM2" s="7" t="s">
        <v>245</v>
      </c>
      <c r="FN2" s="7" t="s">
        <v>245</v>
      </c>
      <c r="FO2" s="7" t="s">
        <v>245</v>
      </c>
      <c r="FP2" s="7" t="s">
        <v>245</v>
      </c>
      <c r="FQ2" s="7" t="s">
        <v>245</v>
      </c>
      <c r="FR2" s="7" t="s">
        <v>245</v>
      </c>
      <c r="FS2" s="7" t="s">
        <v>245</v>
      </c>
      <c r="FT2" s="7" t="s">
        <v>245</v>
      </c>
      <c r="FU2" s="7" t="s">
        <v>245</v>
      </c>
      <c r="FV2" s="7" t="s">
        <v>245</v>
      </c>
      <c r="FW2" s="7" t="s">
        <v>245</v>
      </c>
      <c r="FX2" s="7" t="s">
        <v>245</v>
      </c>
      <c r="FY2" s="7" t="s">
        <v>245</v>
      </c>
      <c r="FZ2" s="7" t="s">
        <v>245</v>
      </c>
      <c r="GA2" s="7" t="s">
        <v>245</v>
      </c>
      <c r="GB2" s="7" t="s">
        <v>245</v>
      </c>
      <c r="GC2" s="7" t="s">
        <v>245</v>
      </c>
      <c r="GD2" s="7" t="s">
        <v>245</v>
      </c>
      <c r="GE2" s="7" t="s">
        <v>245</v>
      </c>
      <c r="GF2" s="7" t="s">
        <v>245</v>
      </c>
      <c r="GG2" s="7" t="s">
        <v>245</v>
      </c>
      <c r="GH2" s="7" t="s">
        <v>245</v>
      </c>
      <c r="GI2" s="7" t="s">
        <v>245</v>
      </c>
      <c r="GJ2" s="7" t="s">
        <v>245</v>
      </c>
      <c r="GK2" s="7" t="s">
        <v>245</v>
      </c>
      <c r="GL2" s="7" t="s">
        <v>245</v>
      </c>
      <c r="GM2" s="7" t="s">
        <v>245</v>
      </c>
      <c r="GN2" s="7" t="s">
        <v>245</v>
      </c>
      <c r="GO2" s="7" t="s">
        <v>245</v>
      </c>
      <c r="GP2" s="7" t="s">
        <v>245</v>
      </c>
      <c r="GQ2" s="7" t="s">
        <v>245</v>
      </c>
      <c r="GR2" s="7" t="s">
        <v>245</v>
      </c>
      <c r="GS2" s="7" t="s">
        <v>245</v>
      </c>
      <c r="GT2" s="7" t="s">
        <v>245</v>
      </c>
      <c r="GU2" s="7" t="s">
        <v>245</v>
      </c>
      <c r="GV2" s="7" t="s">
        <v>245</v>
      </c>
      <c r="GW2" s="7" t="s">
        <v>245</v>
      </c>
      <c r="GX2" s="7" t="s">
        <v>245</v>
      </c>
      <c r="GY2" s="7" t="s">
        <v>245</v>
      </c>
      <c r="GZ2" s="7" t="s">
        <v>245</v>
      </c>
      <c r="HA2" s="7" t="s">
        <v>245</v>
      </c>
      <c r="HB2" s="7" t="s">
        <v>245</v>
      </c>
      <c r="HC2" s="7" t="s">
        <v>245</v>
      </c>
      <c r="HD2" s="7" t="s">
        <v>245</v>
      </c>
      <c r="HE2" s="7" t="s">
        <v>245</v>
      </c>
      <c r="HF2" s="7" t="s">
        <v>245</v>
      </c>
      <c r="HG2" s="7" t="s">
        <v>245</v>
      </c>
      <c r="HH2" s="7" t="s">
        <v>245</v>
      </c>
      <c r="HI2" s="7" t="s">
        <v>245</v>
      </c>
      <c r="HJ2" s="7" t="s">
        <v>245</v>
      </c>
      <c r="HK2" s="7" t="s">
        <v>245</v>
      </c>
      <c r="HL2" s="7" t="s">
        <v>245</v>
      </c>
      <c r="HM2" s="7" t="s">
        <v>245</v>
      </c>
      <c r="HN2" s="7" t="s">
        <v>245</v>
      </c>
      <c r="HO2" s="7" t="s">
        <v>245</v>
      </c>
      <c r="HP2" s="7" t="s">
        <v>245</v>
      </c>
      <c r="HQ2" s="7" t="s">
        <v>245</v>
      </c>
      <c r="HR2" s="7" t="s">
        <v>245</v>
      </c>
      <c r="HS2" s="7" t="s">
        <v>245</v>
      </c>
      <c r="HT2" s="7" t="s">
        <v>245</v>
      </c>
      <c r="HU2" s="7" t="s">
        <v>245</v>
      </c>
      <c r="HV2" s="7" t="s">
        <v>245</v>
      </c>
      <c r="HW2" s="7" t="s">
        <v>245</v>
      </c>
      <c r="HX2" s="7" t="s">
        <v>245</v>
      </c>
      <c r="HY2" s="7" t="s">
        <v>245</v>
      </c>
      <c r="HZ2" s="7" t="s">
        <v>245</v>
      </c>
      <c r="IA2" s="7" t="s">
        <v>245</v>
      </c>
      <c r="IB2" s="7" t="s">
        <v>245</v>
      </c>
      <c r="IC2" s="7" t="s">
        <v>245</v>
      </c>
      <c r="ID2" s="7" t="s">
        <v>245</v>
      </c>
      <c r="IE2" s="7" t="s">
        <v>245</v>
      </c>
      <c r="IF2" s="7" t="s">
        <v>245</v>
      </c>
      <c r="IG2" s="7" t="s">
        <v>245</v>
      </c>
      <c r="IH2" s="7" t="s">
        <v>245</v>
      </c>
      <c r="II2" s="7" t="s">
        <v>245</v>
      </c>
      <c r="IJ2" s="7" t="s">
        <v>245</v>
      </c>
      <c r="IK2" s="7" t="s">
        <v>245</v>
      </c>
      <c r="IL2" s="7" t="s">
        <v>245</v>
      </c>
      <c r="IM2" s="7" t="s">
        <v>245</v>
      </c>
      <c r="IN2" s="7" t="s">
        <v>245</v>
      </c>
      <c r="IO2" s="7" t="s">
        <v>245</v>
      </c>
      <c r="IP2" s="7" t="s">
        <v>245</v>
      </c>
      <c r="IQ2" s="7" t="s">
        <v>245</v>
      </c>
    </row>
    <row r="3" spans="1:251" x14ac:dyDescent="0.2">
      <c r="A3" s="4" t="s">
        <v>237</v>
      </c>
      <c r="B3" s="7" t="s">
        <v>246</v>
      </c>
      <c r="C3" s="7" t="s">
        <v>246</v>
      </c>
      <c r="D3" s="7" t="s">
        <v>246</v>
      </c>
      <c r="E3" s="7" t="s">
        <v>246</v>
      </c>
      <c r="F3" s="7" t="s">
        <v>246</v>
      </c>
      <c r="G3" s="7" t="s">
        <v>246</v>
      </c>
      <c r="H3" s="7" t="s">
        <v>246</v>
      </c>
      <c r="I3" s="7" t="s">
        <v>246</v>
      </c>
      <c r="J3" s="7" t="s">
        <v>246</v>
      </c>
      <c r="K3" s="7" t="s">
        <v>246</v>
      </c>
      <c r="L3" s="7" t="s">
        <v>246</v>
      </c>
      <c r="M3" s="7" t="s">
        <v>246</v>
      </c>
      <c r="N3" s="7" t="s">
        <v>246</v>
      </c>
      <c r="O3" s="7" t="s">
        <v>246</v>
      </c>
      <c r="P3" s="7" t="s">
        <v>246</v>
      </c>
      <c r="Q3" s="7" t="s">
        <v>246</v>
      </c>
      <c r="R3" s="7" t="s">
        <v>246</v>
      </c>
      <c r="S3" s="7" t="s">
        <v>246</v>
      </c>
      <c r="T3" s="7" t="s">
        <v>246</v>
      </c>
      <c r="U3" s="7" t="s">
        <v>246</v>
      </c>
      <c r="V3" s="7" t="s">
        <v>246</v>
      </c>
      <c r="W3" s="7" t="s">
        <v>246</v>
      </c>
      <c r="X3" s="7" t="s">
        <v>246</v>
      </c>
      <c r="Y3" s="7" t="s">
        <v>246</v>
      </c>
      <c r="Z3" s="7" t="s">
        <v>246</v>
      </c>
      <c r="AA3" s="7" t="s">
        <v>246</v>
      </c>
      <c r="AB3" s="7" t="s">
        <v>246</v>
      </c>
      <c r="AC3" s="7" t="s">
        <v>246</v>
      </c>
      <c r="AD3" s="7" t="s">
        <v>246</v>
      </c>
      <c r="AE3" s="7" t="s">
        <v>246</v>
      </c>
      <c r="AF3" s="7" t="s">
        <v>246</v>
      </c>
      <c r="AG3" s="7" t="s">
        <v>246</v>
      </c>
      <c r="AH3" s="7" t="s">
        <v>246</v>
      </c>
      <c r="AI3" s="7" t="s">
        <v>246</v>
      </c>
      <c r="AJ3" s="7" t="s">
        <v>246</v>
      </c>
      <c r="AK3" s="7" t="s">
        <v>246</v>
      </c>
      <c r="AL3" s="7" t="s">
        <v>246</v>
      </c>
      <c r="AM3" s="7" t="s">
        <v>246</v>
      </c>
      <c r="AN3" s="7" t="s">
        <v>246</v>
      </c>
      <c r="AO3" s="7" t="s">
        <v>246</v>
      </c>
      <c r="AP3" s="7" t="s">
        <v>246</v>
      </c>
      <c r="AQ3" s="7" t="s">
        <v>246</v>
      </c>
      <c r="AR3" s="7" t="s">
        <v>246</v>
      </c>
      <c r="AS3" s="7" t="s">
        <v>246</v>
      </c>
      <c r="AT3" s="7" t="s">
        <v>246</v>
      </c>
      <c r="AU3" s="7" t="s">
        <v>246</v>
      </c>
      <c r="AV3" s="7" t="s">
        <v>246</v>
      </c>
      <c r="AW3" s="7" t="s">
        <v>246</v>
      </c>
      <c r="AX3" s="7" t="s">
        <v>246</v>
      </c>
      <c r="AY3" s="7" t="s">
        <v>246</v>
      </c>
      <c r="AZ3" s="7" t="s">
        <v>246</v>
      </c>
      <c r="BA3" s="7" t="s">
        <v>246</v>
      </c>
      <c r="BB3" s="7" t="s">
        <v>246</v>
      </c>
      <c r="BC3" s="7" t="s">
        <v>246</v>
      </c>
      <c r="BD3" s="7" t="s">
        <v>246</v>
      </c>
      <c r="BE3" s="7" t="s">
        <v>246</v>
      </c>
      <c r="BF3" s="7" t="s">
        <v>246</v>
      </c>
      <c r="BG3" s="7" t="s">
        <v>246</v>
      </c>
      <c r="BH3" s="7" t="s">
        <v>246</v>
      </c>
      <c r="BI3" s="7" t="s">
        <v>246</v>
      </c>
      <c r="BJ3" s="7" t="s">
        <v>246</v>
      </c>
      <c r="BK3" s="7" t="s">
        <v>246</v>
      </c>
      <c r="BL3" s="7" t="s">
        <v>246</v>
      </c>
      <c r="BM3" s="7" t="s">
        <v>246</v>
      </c>
      <c r="BN3" s="7" t="s">
        <v>246</v>
      </c>
      <c r="BO3" s="7" t="s">
        <v>246</v>
      </c>
      <c r="BP3" s="7" t="s">
        <v>246</v>
      </c>
      <c r="BQ3" s="7" t="s">
        <v>246</v>
      </c>
      <c r="BR3" s="7" t="s">
        <v>246</v>
      </c>
      <c r="BS3" s="7" t="s">
        <v>246</v>
      </c>
      <c r="BT3" s="7" t="s">
        <v>246</v>
      </c>
      <c r="BU3" s="7" t="s">
        <v>246</v>
      </c>
      <c r="BV3" s="7" t="s">
        <v>246</v>
      </c>
      <c r="BW3" s="7" t="s">
        <v>246</v>
      </c>
      <c r="BX3" s="7" t="s">
        <v>246</v>
      </c>
      <c r="BY3" s="7" t="s">
        <v>246</v>
      </c>
      <c r="BZ3" s="7" t="s">
        <v>246</v>
      </c>
      <c r="CA3" s="7" t="s">
        <v>246</v>
      </c>
      <c r="CB3" s="7" t="s">
        <v>246</v>
      </c>
      <c r="CC3" s="7" t="s">
        <v>246</v>
      </c>
      <c r="CD3" s="7" t="s">
        <v>246</v>
      </c>
      <c r="CE3" s="7" t="s">
        <v>246</v>
      </c>
      <c r="CF3" s="7" t="s">
        <v>246</v>
      </c>
      <c r="CG3" s="7" t="s">
        <v>246</v>
      </c>
      <c r="CH3" s="7" t="s">
        <v>246</v>
      </c>
      <c r="CI3" s="7" t="s">
        <v>246</v>
      </c>
      <c r="CJ3" s="7" t="s">
        <v>246</v>
      </c>
      <c r="CK3" s="7" t="s">
        <v>246</v>
      </c>
      <c r="CL3" s="7" t="s">
        <v>246</v>
      </c>
      <c r="CM3" s="7" t="s">
        <v>246</v>
      </c>
      <c r="CN3" s="7" t="s">
        <v>246</v>
      </c>
      <c r="CO3" s="7" t="s">
        <v>246</v>
      </c>
      <c r="CP3" s="7" t="s">
        <v>246</v>
      </c>
      <c r="CQ3" s="7" t="s">
        <v>246</v>
      </c>
      <c r="CR3" s="7" t="s">
        <v>246</v>
      </c>
      <c r="CS3" s="7" t="s">
        <v>246</v>
      </c>
      <c r="CT3" s="7" t="s">
        <v>246</v>
      </c>
      <c r="CU3" s="7" t="s">
        <v>246</v>
      </c>
      <c r="CV3" s="7" t="s">
        <v>246</v>
      </c>
      <c r="CW3" s="7" t="s">
        <v>246</v>
      </c>
      <c r="CX3" s="7" t="s">
        <v>246</v>
      </c>
      <c r="CY3" s="7" t="s">
        <v>246</v>
      </c>
      <c r="CZ3" s="7" t="s">
        <v>246</v>
      </c>
      <c r="DA3" s="7" t="s">
        <v>246</v>
      </c>
      <c r="DB3" s="7" t="s">
        <v>246</v>
      </c>
      <c r="DC3" s="7" t="s">
        <v>246</v>
      </c>
      <c r="DD3" s="7" t="s">
        <v>246</v>
      </c>
      <c r="DE3" s="7" t="s">
        <v>246</v>
      </c>
      <c r="DF3" s="7" t="s">
        <v>246</v>
      </c>
      <c r="DG3" s="7" t="s">
        <v>246</v>
      </c>
      <c r="DH3" s="7" t="s">
        <v>246</v>
      </c>
      <c r="DI3" s="7" t="s">
        <v>246</v>
      </c>
      <c r="DJ3" s="7" t="s">
        <v>246</v>
      </c>
      <c r="DK3" s="7" t="s">
        <v>246</v>
      </c>
      <c r="DL3" s="7" t="s">
        <v>246</v>
      </c>
      <c r="DM3" s="7" t="s">
        <v>246</v>
      </c>
      <c r="DN3" s="7" t="s">
        <v>246</v>
      </c>
      <c r="DO3" s="7" t="s">
        <v>246</v>
      </c>
      <c r="DP3" s="7" t="s">
        <v>246</v>
      </c>
      <c r="DQ3" s="7" t="s">
        <v>246</v>
      </c>
      <c r="DR3" s="7" t="s">
        <v>246</v>
      </c>
      <c r="DS3" s="7" t="s">
        <v>246</v>
      </c>
      <c r="DT3" s="7" t="s">
        <v>246</v>
      </c>
      <c r="DU3" s="7" t="s">
        <v>246</v>
      </c>
      <c r="DV3" s="7" t="s">
        <v>246</v>
      </c>
      <c r="DW3" s="7" t="s">
        <v>246</v>
      </c>
      <c r="DX3" s="7" t="s">
        <v>246</v>
      </c>
      <c r="DY3" s="7" t="s">
        <v>246</v>
      </c>
      <c r="DZ3" s="7" t="s">
        <v>246</v>
      </c>
      <c r="EA3" s="7" t="s">
        <v>246</v>
      </c>
      <c r="EB3" s="7" t="s">
        <v>246</v>
      </c>
      <c r="EC3" s="7" t="s">
        <v>246</v>
      </c>
      <c r="ED3" s="7" t="s">
        <v>246</v>
      </c>
      <c r="EE3" s="7" t="s">
        <v>246</v>
      </c>
      <c r="EF3" s="7" t="s">
        <v>246</v>
      </c>
      <c r="EG3" s="7" t="s">
        <v>246</v>
      </c>
      <c r="EH3" s="7" t="s">
        <v>246</v>
      </c>
      <c r="EI3" s="7" t="s">
        <v>246</v>
      </c>
      <c r="EJ3" s="7" t="s">
        <v>246</v>
      </c>
      <c r="EK3" s="7" t="s">
        <v>246</v>
      </c>
      <c r="EL3" s="7" t="s">
        <v>246</v>
      </c>
      <c r="EM3" s="7" t="s">
        <v>246</v>
      </c>
      <c r="EN3" s="7" t="s">
        <v>246</v>
      </c>
      <c r="EO3" s="7" t="s">
        <v>246</v>
      </c>
      <c r="EP3" s="7" t="s">
        <v>246</v>
      </c>
      <c r="EQ3" s="7" t="s">
        <v>246</v>
      </c>
      <c r="ER3" s="7" t="s">
        <v>246</v>
      </c>
      <c r="ES3" s="7" t="s">
        <v>246</v>
      </c>
      <c r="ET3" s="7" t="s">
        <v>246</v>
      </c>
      <c r="EU3" s="7" t="s">
        <v>246</v>
      </c>
      <c r="EV3" s="7" t="s">
        <v>246</v>
      </c>
      <c r="EW3" s="7" t="s">
        <v>246</v>
      </c>
      <c r="EX3" s="7" t="s">
        <v>246</v>
      </c>
      <c r="EY3" s="7" t="s">
        <v>246</v>
      </c>
      <c r="EZ3" s="7" t="s">
        <v>246</v>
      </c>
      <c r="FA3" s="7" t="s">
        <v>246</v>
      </c>
      <c r="FB3" s="7" t="s">
        <v>246</v>
      </c>
      <c r="FC3" s="7" t="s">
        <v>246</v>
      </c>
      <c r="FD3" s="7" t="s">
        <v>246</v>
      </c>
      <c r="FE3" s="7" t="s">
        <v>246</v>
      </c>
      <c r="FF3" s="7" t="s">
        <v>246</v>
      </c>
      <c r="FG3" s="7" t="s">
        <v>246</v>
      </c>
      <c r="FH3" s="7" t="s">
        <v>246</v>
      </c>
      <c r="FI3" s="7" t="s">
        <v>246</v>
      </c>
      <c r="FJ3" s="7" t="s">
        <v>246</v>
      </c>
      <c r="FK3" s="7" t="s">
        <v>246</v>
      </c>
      <c r="FL3" s="7" t="s">
        <v>246</v>
      </c>
      <c r="FM3" s="7" t="s">
        <v>246</v>
      </c>
      <c r="FN3" s="7" t="s">
        <v>246</v>
      </c>
      <c r="FO3" s="7" t="s">
        <v>246</v>
      </c>
      <c r="FP3" s="7" t="s">
        <v>246</v>
      </c>
      <c r="FQ3" s="7" t="s">
        <v>246</v>
      </c>
      <c r="FR3" s="7" t="s">
        <v>246</v>
      </c>
      <c r="FS3" s="7" t="s">
        <v>246</v>
      </c>
      <c r="FT3" s="7" t="s">
        <v>246</v>
      </c>
      <c r="FU3" s="7" t="s">
        <v>246</v>
      </c>
      <c r="FV3" s="7" t="s">
        <v>246</v>
      </c>
      <c r="FW3" s="7" t="s">
        <v>246</v>
      </c>
      <c r="FX3" s="7" t="s">
        <v>246</v>
      </c>
      <c r="FY3" s="7" t="s">
        <v>246</v>
      </c>
      <c r="FZ3" s="7" t="s">
        <v>246</v>
      </c>
      <c r="GA3" s="7" t="s">
        <v>246</v>
      </c>
      <c r="GB3" s="7" t="s">
        <v>246</v>
      </c>
      <c r="GC3" s="7" t="s">
        <v>246</v>
      </c>
      <c r="GD3" s="7" t="s">
        <v>246</v>
      </c>
      <c r="GE3" s="7" t="s">
        <v>246</v>
      </c>
      <c r="GF3" s="7" t="s">
        <v>246</v>
      </c>
      <c r="GG3" s="7" t="s">
        <v>246</v>
      </c>
      <c r="GH3" s="7" t="s">
        <v>246</v>
      </c>
      <c r="GI3" s="7" t="s">
        <v>246</v>
      </c>
      <c r="GJ3" s="7" t="s">
        <v>246</v>
      </c>
      <c r="GK3" s="7" t="s">
        <v>246</v>
      </c>
      <c r="GL3" s="7" t="s">
        <v>246</v>
      </c>
      <c r="GM3" s="7" t="s">
        <v>246</v>
      </c>
      <c r="GN3" s="7" t="s">
        <v>246</v>
      </c>
      <c r="GO3" s="7" t="s">
        <v>246</v>
      </c>
      <c r="GP3" s="7" t="s">
        <v>246</v>
      </c>
      <c r="GQ3" s="7" t="s">
        <v>246</v>
      </c>
      <c r="GR3" s="7" t="s">
        <v>246</v>
      </c>
      <c r="GS3" s="7" t="s">
        <v>246</v>
      </c>
      <c r="GT3" s="7" t="s">
        <v>246</v>
      </c>
      <c r="GU3" s="7" t="s">
        <v>246</v>
      </c>
      <c r="GV3" s="7" t="s">
        <v>246</v>
      </c>
      <c r="GW3" s="7" t="s">
        <v>246</v>
      </c>
      <c r="GX3" s="7" t="s">
        <v>246</v>
      </c>
      <c r="GY3" s="7" t="s">
        <v>246</v>
      </c>
      <c r="GZ3" s="7" t="s">
        <v>246</v>
      </c>
      <c r="HA3" s="7" t="s">
        <v>246</v>
      </c>
      <c r="HB3" s="7" t="s">
        <v>246</v>
      </c>
      <c r="HC3" s="7" t="s">
        <v>246</v>
      </c>
      <c r="HD3" s="7" t="s">
        <v>246</v>
      </c>
      <c r="HE3" s="7" t="s">
        <v>246</v>
      </c>
      <c r="HF3" s="7" t="s">
        <v>246</v>
      </c>
      <c r="HG3" s="7" t="s">
        <v>246</v>
      </c>
      <c r="HH3" s="7" t="s">
        <v>246</v>
      </c>
      <c r="HI3" s="7" t="s">
        <v>246</v>
      </c>
      <c r="HJ3" s="7" t="s">
        <v>246</v>
      </c>
      <c r="HK3" s="7" t="s">
        <v>246</v>
      </c>
      <c r="HL3" s="7" t="s">
        <v>246</v>
      </c>
      <c r="HM3" s="7" t="s">
        <v>246</v>
      </c>
      <c r="HN3" s="7" t="s">
        <v>246</v>
      </c>
      <c r="HO3" s="7" t="s">
        <v>246</v>
      </c>
      <c r="HP3" s="7" t="s">
        <v>246</v>
      </c>
      <c r="HQ3" s="7" t="s">
        <v>246</v>
      </c>
      <c r="HR3" s="7" t="s">
        <v>246</v>
      </c>
      <c r="HS3" s="7" t="s">
        <v>246</v>
      </c>
      <c r="HT3" s="7" t="s">
        <v>246</v>
      </c>
      <c r="HU3" s="7" t="s">
        <v>246</v>
      </c>
      <c r="HV3" s="7" t="s">
        <v>246</v>
      </c>
      <c r="HW3" s="7" t="s">
        <v>246</v>
      </c>
      <c r="HX3" s="7" t="s">
        <v>246</v>
      </c>
      <c r="HY3" s="7" t="s">
        <v>246</v>
      </c>
      <c r="HZ3" s="7" t="s">
        <v>246</v>
      </c>
      <c r="IA3" s="7" t="s">
        <v>246</v>
      </c>
      <c r="IB3" s="7" t="s">
        <v>246</v>
      </c>
      <c r="IC3" s="7" t="s">
        <v>246</v>
      </c>
      <c r="ID3" s="7" t="s">
        <v>246</v>
      </c>
      <c r="IE3" s="7" t="s">
        <v>246</v>
      </c>
      <c r="IF3" s="7" t="s">
        <v>246</v>
      </c>
      <c r="IG3" s="7" t="s">
        <v>246</v>
      </c>
      <c r="IH3" s="7" t="s">
        <v>246</v>
      </c>
      <c r="II3" s="7" t="s">
        <v>246</v>
      </c>
      <c r="IJ3" s="7" t="s">
        <v>246</v>
      </c>
      <c r="IK3" s="7" t="s">
        <v>246</v>
      </c>
      <c r="IL3" s="7" t="s">
        <v>246</v>
      </c>
      <c r="IM3" s="7" t="s">
        <v>246</v>
      </c>
      <c r="IN3" s="7" t="s">
        <v>246</v>
      </c>
      <c r="IO3" s="7" t="s">
        <v>246</v>
      </c>
      <c r="IP3" s="7" t="s">
        <v>246</v>
      </c>
      <c r="IQ3" s="7" t="s">
        <v>246</v>
      </c>
    </row>
    <row r="4" spans="1:251" x14ac:dyDescent="0.2">
      <c r="A4" s="4" t="s">
        <v>238</v>
      </c>
      <c r="B4" s="7" t="s">
        <v>247</v>
      </c>
      <c r="C4" s="7" t="s">
        <v>247</v>
      </c>
      <c r="D4" s="7" t="s">
        <v>247</v>
      </c>
      <c r="E4" s="7" t="s">
        <v>247</v>
      </c>
      <c r="F4" s="7" t="s">
        <v>247</v>
      </c>
      <c r="G4" s="7" t="s">
        <v>247</v>
      </c>
      <c r="H4" s="7" t="s">
        <v>247</v>
      </c>
      <c r="I4" s="7" t="s">
        <v>247</v>
      </c>
      <c r="J4" s="7" t="s">
        <v>247</v>
      </c>
      <c r="K4" s="7" t="s">
        <v>247</v>
      </c>
      <c r="L4" s="7" t="s">
        <v>247</v>
      </c>
      <c r="M4" s="7" t="s">
        <v>247</v>
      </c>
      <c r="N4" s="7" t="s">
        <v>247</v>
      </c>
      <c r="O4" s="7" t="s">
        <v>247</v>
      </c>
      <c r="P4" s="7" t="s">
        <v>247</v>
      </c>
      <c r="Q4" s="7" t="s">
        <v>247</v>
      </c>
      <c r="R4" s="7" t="s">
        <v>247</v>
      </c>
      <c r="S4" s="7" t="s">
        <v>247</v>
      </c>
      <c r="T4" s="7" t="s">
        <v>247</v>
      </c>
      <c r="U4" s="7" t="s">
        <v>247</v>
      </c>
      <c r="V4" s="7" t="s">
        <v>247</v>
      </c>
      <c r="W4" s="7" t="s">
        <v>247</v>
      </c>
      <c r="X4" s="7" t="s">
        <v>247</v>
      </c>
      <c r="Y4" s="7" t="s">
        <v>247</v>
      </c>
      <c r="Z4" s="7" t="s">
        <v>247</v>
      </c>
      <c r="AA4" s="7" t="s">
        <v>247</v>
      </c>
      <c r="AB4" s="7" t="s">
        <v>247</v>
      </c>
      <c r="AC4" s="7" t="s">
        <v>247</v>
      </c>
      <c r="AD4" s="7" t="s">
        <v>247</v>
      </c>
      <c r="AE4" s="7" t="s">
        <v>247</v>
      </c>
      <c r="AF4" s="7" t="s">
        <v>247</v>
      </c>
      <c r="AG4" s="7" t="s">
        <v>247</v>
      </c>
      <c r="AH4" s="7" t="s">
        <v>247</v>
      </c>
      <c r="AI4" s="7" t="s">
        <v>247</v>
      </c>
      <c r="AJ4" s="7" t="s">
        <v>247</v>
      </c>
      <c r="AK4" s="7" t="s">
        <v>247</v>
      </c>
      <c r="AL4" s="7" t="s">
        <v>247</v>
      </c>
      <c r="AM4" s="7" t="s">
        <v>247</v>
      </c>
      <c r="AN4" s="7" t="s">
        <v>247</v>
      </c>
      <c r="AO4" s="7" t="s">
        <v>247</v>
      </c>
      <c r="AP4" s="7" t="s">
        <v>247</v>
      </c>
      <c r="AQ4" s="7" t="s">
        <v>247</v>
      </c>
      <c r="AR4" s="7" t="s">
        <v>247</v>
      </c>
      <c r="AS4" s="7" t="s">
        <v>247</v>
      </c>
      <c r="AT4" s="7" t="s">
        <v>247</v>
      </c>
      <c r="AU4" s="7" t="s">
        <v>247</v>
      </c>
      <c r="AV4" s="7" t="s">
        <v>247</v>
      </c>
      <c r="AW4" s="7" t="s">
        <v>247</v>
      </c>
      <c r="AX4" s="7" t="s">
        <v>247</v>
      </c>
      <c r="AY4" s="7" t="s">
        <v>247</v>
      </c>
      <c r="AZ4" s="7" t="s">
        <v>247</v>
      </c>
      <c r="BA4" s="7" t="s">
        <v>247</v>
      </c>
      <c r="BB4" s="7" t="s">
        <v>247</v>
      </c>
      <c r="BC4" s="7" t="s">
        <v>247</v>
      </c>
      <c r="BD4" s="7" t="s">
        <v>247</v>
      </c>
      <c r="BE4" s="7" t="s">
        <v>247</v>
      </c>
      <c r="BF4" s="7" t="s">
        <v>247</v>
      </c>
      <c r="BG4" s="7" t="s">
        <v>247</v>
      </c>
      <c r="BH4" s="7" t="s">
        <v>247</v>
      </c>
      <c r="BI4" s="7" t="s">
        <v>247</v>
      </c>
      <c r="BJ4" s="7" t="s">
        <v>247</v>
      </c>
      <c r="BK4" s="7" t="s">
        <v>247</v>
      </c>
      <c r="BL4" s="7" t="s">
        <v>247</v>
      </c>
      <c r="BM4" s="7" t="s">
        <v>247</v>
      </c>
      <c r="BN4" s="7" t="s">
        <v>247</v>
      </c>
      <c r="BO4" s="7" t="s">
        <v>247</v>
      </c>
      <c r="BP4" s="7" t="s">
        <v>247</v>
      </c>
      <c r="BQ4" s="7" t="s">
        <v>247</v>
      </c>
      <c r="BR4" s="7" t="s">
        <v>247</v>
      </c>
      <c r="BS4" s="7" t="s">
        <v>247</v>
      </c>
      <c r="BT4" s="7" t="s">
        <v>247</v>
      </c>
      <c r="BU4" s="7" t="s">
        <v>247</v>
      </c>
      <c r="BV4" s="7" t="s">
        <v>247</v>
      </c>
      <c r="BW4" s="7" t="s">
        <v>247</v>
      </c>
      <c r="BX4" s="7" t="s">
        <v>247</v>
      </c>
      <c r="BY4" s="7" t="s">
        <v>247</v>
      </c>
      <c r="BZ4" s="7" t="s">
        <v>247</v>
      </c>
      <c r="CA4" s="7" t="s">
        <v>247</v>
      </c>
      <c r="CB4" s="7" t="s">
        <v>247</v>
      </c>
      <c r="CC4" s="7" t="s">
        <v>247</v>
      </c>
      <c r="CD4" s="7" t="s">
        <v>247</v>
      </c>
      <c r="CE4" s="7" t="s">
        <v>247</v>
      </c>
      <c r="CF4" s="7" t="s">
        <v>247</v>
      </c>
      <c r="CG4" s="7" t="s">
        <v>247</v>
      </c>
      <c r="CH4" s="7" t="s">
        <v>247</v>
      </c>
      <c r="CI4" s="7" t="s">
        <v>247</v>
      </c>
      <c r="CJ4" s="7" t="s">
        <v>247</v>
      </c>
      <c r="CK4" s="7" t="s">
        <v>247</v>
      </c>
      <c r="CL4" s="7" t="s">
        <v>247</v>
      </c>
      <c r="CM4" s="7" t="s">
        <v>247</v>
      </c>
      <c r="CN4" s="7" t="s">
        <v>247</v>
      </c>
      <c r="CO4" s="7" t="s">
        <v>247</v>
      </c>
      <c r="CP4" s="7" t="s">
        <v>247</v>
      </c>
      <c r="CQ4" s="7" t="s">
        <v>247</v>
      </c>
      <c r="CR4" s="7" t="s">
        <v>247</v>
      </c>
      <c r="CS4" s="7" t="s">
        <v>247</v>
      </c>
      <c r="CT4" s="7" t="s">
        <v>247</v>
      </c>
      <c r="CU4" s="7" t="s">
        <v>247</v>
      </c>
      <c r="CV4" s="7" t="s">
        <v>247</v>
      </c>
      <c r="CW4" s="7" t="s">
        <v>247</v>
      </c>
      <c r="CX4" s="7" t="s">
        <v>247</v>
      </c>
      <c r="CY4" s="7" t="s">
        <v>247</v>
      </c>
      <c r="CZ4" s="7" t="s">
        <v>247</v>
      </c>
      <c r="DA4" s="7" t="s">
        <v>247</v>
      </c>
      <c r="DB4" s="7" t="s">
        <v>247</v>
      </c>
      <c r="DC4" s="7" t="s">
        <v>247</v>
      </c>
      <c r="DD4" s="7" t="s">
        <v>247</v>
      </c>
      <c r="DE4" s="7" t="s">
        <v>247</v>
      </c>
      <c r="DF4" s="7" t="s">
        <v>247</v>
      </c>
      <c r="DG4" s="7" t="s">
        <v>247</v>
      </c>
      <c r="DH4" s="7" t="s">
        <v>247</v>
      </c>
      <c r="DI4" s="7" t="s">
        <v>247</v>
      </c>
      <c r="DJ4" s="7" t="s">
        <v>247</v>
      </c>
      <c r="DK4" s="7" t="s">
        <v>247</v>
      </c>
      <c r="DL4" s="7" t="s">
        <v>247</v>
      </c>
      <c r="DM4" s="7" t="s">
        <v>247</v>
      </c>
      <c r="DN4" s="7" t="s">
        <v>247</v>
      </c>
      <c r="DO4" s="7" t="s">
        <v>247</v>
      </c>
      <c r="DP4" s="7" t="s">
        <v>247</v>
      </c>
      <c r="DQ4" s="7" t="s">
        <v>247</v>
      </c>
      <c r="DR4" s="7" t="s">
        <v>247</v>
      </c>
      <c r="DS4" s="7" t="s">
        <v>247</v>
      </c>
      <c r="DT4" s="7" t="s">
        <v>247</v>
      </c>
      <c r="DU4" s="7" t="s">
        <v>247</v>
      </c>
      <c r="DV4" s="7" t="s">
        <v>247</v>
      </c>
      <c r="DW4" s="7" t="s">
        <v>247</v>
      </c>
      <c r="DX4" s="7" t="s">
        <v>247</v>
      </c>
      <c r="DY4" s="7" t="s">
        <v>247</v>
      </c>
      <c r="DZ4" s="7" t="s">
        <v>247</v>
      </c>
      <c r="EA4" s="7" t="s">
        <v>247</v>
      </c>
      <c r="EB4" s="7" t="s">
        <v>247</v>
      </c>
      <c r="EC4" s="7" t="s">
        <v>247</v>
      </c>
      <c r="ED4" s="7" t="s">
        <v>247</v>
      </c>
      <c r="EE4" s="7" t="s">
        <v>247</v>
      </c>
      <c r="EF4" s="7" t="s">
        <v>247</v>
      </c>
      <c r="EG4" s="7" t="s">
        <v>247</v>
      </c>
      <c r="EH4" s="7" t="s">
        <v>247</v>
      </c>
      <c r="EI4" s="7" t="s">
        <v>247</v>
      </c>
      <c r="EJ4" s="7" t="s">
        <v>247</v>
      </c>
      <c r="EK4" s="7" t="s">
        <v>247</v>
      </c>
      <c r="EL4" s="7" t="s">
        <v>247</v>
      </c>
      <c r="EM4" s="7" t="s">
        <v>247</v>
      </c>
      <c r="EN4" s="7" t="s">
        <v>247</v>
      </c>
      <c r="EO4" s="7" t="s">
        <v>247</v>
      </c>
      <c r="EP4" s="7" t="s">
        <v>247</v>
      </c>
      <c r="EQ4" s="7" t="s">
        <v>247</v>
      </c>
      <c r="ER4" s="7" t="s">
        <v>247</v>
      </c>
      <c r="ES4" s="7" t="s">
        <v>247</v>
      </c>
      <c r="ET4" s="7" t="s">
        <v>247</v>
      </c>
      <c r="EU4" s="7" t="s">
        <v>247</v>
      </c>
      <c r="EV4" s="7" t="s">
        <v>247</v>
      </c>
      <c r="EW4" s="7" t="s">
        <v>247</v>
      </c>
      <c r="EX4" s="7" t="s">
        <v>247</v>
      </c>
      <c r="EY4" s="7" t="s">
        <v>247</v>
      </c>
      <c r="EZ4" s="7" t="s">
        <v>247</v>
      </c>
      <c r="FA4" s="7" t="s">
        <v>247</v>
      </c>
      <c r="FB4" s="7" t="s">
        <v>247</v>
      </c>
      <c r="FC4" s="7" t="s">
        <v>247</v>
      </c>
      <c r="FD4" s="7" t="s">
        <v>247</v>
      </c>
      <c r="FE4" s="7" t="s">
        <v>247</v>
      </c>
      <c r="FF4" s="7" t="s">
        <v>247</v>
      </c>
      <c r="FG4" s="7" t="s">
        <v>247</v>
      </c>
      <c r="FH4" s="7" t="s">
        <v>247</v>
      </c>
      <c r="FI4" s="7" t="s">
        <v>247</v>
      </c>
      <c r="FJ4" s="7" t="s">
        <v>247</v>
      </c>
      <c r="FK4" s="7" t="s">
        <v>247</v>
      </c>
      <c r="FL4" s="7" t="s">
        <v>247</v>
      </c>
      <c r="FM4" s="7" t="s">
        <v>247</v>
      </c>
      <c r="FN4" s="7" t="s">
        <v>247</v>
      </c>
      <c r="FO4" s="7" t="s">
        <v>247</v>
      </c>
      <c r="FP4" s="7" t="s">
        <v>247</v>
      </c>
      <c r="FQ4" s="7" t="s">
        <v>247</v>
      </c>
      <c r="FR4" s="7" t="s">
        <v>247</v>
      </c>
      <c r="FS4" s="7" t="s">
        <v>247</v>
      </c>
      <c r="FT4" s="7" t="s">
        <v>247</v>
      </c>
      <c r="FU4" s="7" t="s">
        <v>247</v>
      </c>
      <c r="FV4" s="7" t="s">
        <v>247</v>
      </c>
      <c r="FW4" s="7" t="s">
        <v>247</v>
      </c>
      <c r="FX4" s="7" t="s">
        <v>247</v>
      </c>
      <c r="FY4" s="7" t="s">
        <v>247</v>
      </c>
      <c r="FZ4" s="7" t="s">
        <v>247</v>
      </c>
      <c r="GA4" s="7" t="s">
        <v>247</v>
      </c>
      <c r="GB4" s="7" t="s">
        <v>247</v>
      </c>
      <c r="GC4" s="7" t="s">
        <v>247</v>
      </c>
      <c r="GD4" s="7" t="s">
        <v>247</v>
      </c>
      <c r="GE4" s="7" t="s">
        <v>247</v>
      </c>
      <c r="GF4" s="7" t="s">
        <v>247</v>
      </c>
      <c r="GG4" s="7" t="s">
        <v>247</v>
      </c>
      <c r="GH4" s="7" t="s">
        <v>247</v>
      </c>
      <c r="GI4" s="7" t="s">
        <v>247</v>
      </c>
      <c r="GJ4" s="7" t="s">
        <v>247</v>
      </c>
      <c r="GK4" s="7" t="s">
        <v>247</v>
      </c>
      <c r="GL4" s="7" t="s">
        <v>247</v>
      </c>
      <c r="GM4" s="7" t="s">
        <v>247</v>
      </c>
      <c r="GN4" s="7" t="s">
        <v>247</v>
      </c>
      <c r="GO4" s="7" t="s">
        <v>247</v>
      </c>
      <c r="GP4" s="7" t="s">
        <v>247</v>
      </c>
      <c r="GQ4" s="7" t="s">
        <v>247</v>
      </c>
      <c r="GR4" s="7" t="s">
        <v>247</v>
      </c>
      <c r="GS4" s="7" t="s">
        <v>247</v>
      </c>
      <c r="GT4" s="7" t="s">
        <v>247</v>
      </c>
      <c r="GU4" s="7" t="s">
        <v>247</v>
      </c>
      <c r="GV4" s="7" t="s">
        <v>247</v>
      </c>
      <c r="GW4" s="7" t="s">
        <v>247</v>
      </c>
      <c r="GX4" s="7" t="s">
        <v>247</v>
      </c>
      <c r="GY4" s="7" t="s">
        <v>247</v>
      </c>
      <c r="GZ4" s="7" t="s">
        <v>247</v>
      </c>
      <c r="HA4" s="7" t="s">
        <v>247</v>
      </c>
      <c r="HB4" s="7" t="s">
        <v>247</v>
      </c>
      <c r="HC4" s="7" t="s">
        <v>247</v>
      </c>
      <c r="HD4" s="7" t="s">
        <v>247</v>
      </c>
      <c r="HE4" s="7" t="s">
        <v>247</v>
      </c>
      <c r="HF4" s="7" t="s">
        <v>247</v>
      </c>
      <c r="HG4" s="7" t="s">
        <v>247</v>
      </c>
      <c r="HH4" s="7" t="s">
        <v>247</v>
      </c>
      <c r="HI4" s="7" t="s">
        <v>247</v>
      </c>
      <c r="HJ4" s="7" t="s">
        <v>247</v>
      </c>
      <c r="HK4" s="7" t="s">
        <v>247</v>
      </c>
      <c r="HL4" s="7" t="s">
        <v>247</v>
      </c>
      <c r="HM4" s="7" t="s">
        <v>247</v>
      </c>
      <c r="HN4" s="7" t="s">
        <v>247</v>
      </c>
      <c r="HO4" s="7" t="s">
        <v>247</v>
      </c>
      <c r="HP4" s="7" t="s">
        <v>247</v>
      </c>
      <c r="HQ4" s="7" t="s">
        <v>247</v>
      </c>
      <c r="HR4" s="7" t="s">
        <v>247</v>
      </c>
      <c r="HS4" s="7" t="s">
        <v>247</v>
      </c>
      <c r="HT4" s="7" t="s">
        <v>247</v>
      </c>
      <c r="HU4" s="7" t="s">
        <v>247</v>
      </c>
      <c r="HV4" s="7" t="s">
        <v>247</v>
      </c>
      <c r="HW4" s="7" t="s">
        <v>247</v>
      </c>
      <c r="HX4" s="7" t="s">
        <v>247</v>
      </c>
      <c r="HY4" s="7" t="s">
        <v>247</v>
      </c>
      <c r="HZ4" s="7" t="s">
        <v>247</v>
      </c>
      <c r="IA4" s="7" t="s">
        <v>247</v>
      </c>
      <c r="IB4" s="7" t="s">
        <v>247</v>
      </c>
      <c r="IC4" s="7" t="s">
        <v>247</v>
      </c>
      <c r="ID4" s="7" t="s">
        <v>247</v>
      </c>
      <c r="IE4" s="7" t="s">
        <v>247</v>
      </c>
      <c r="IF4" s="7" t="s">
        <v>247</v>
      </c>
      <c r="IG4" s="7" t="s">
        <v>247</v>
      </c>
      <c r="IH4" s="7" t="s">
        <v>247</v>
      </c>
      <c r="II4" s="7" t="s">
        <v>247</v>
      </c>
      <c r="IJ4" s="7" t="s">
        <v>247</v>
      </c>
      <c r="IK4" s="7" t="s">
        <v>247</v>
      </c>
      <c r="IL4" s="7" t="s">
        <v>247</v>
      </c>
      <c r="IM4" s="7" t="s">
        <v>247</v>
      </c>
      <c r="IN4" s="7" t="s">
        <v>247</v>
      </c>
      <c r="IO4" s="7" t="s">
        <v>247</v>
      </c>
      <c r="IP4" s="7" t="s">
        <v>247</v>
      </c>
      <c r="IQ4" s="7" t="s">
        <v>247</v>
      </c>
    </row>
    <row r="5" spans="1:251" x14ac:dyDescent="0.2">
      <c r="A5" s="4" t="s">
        <v>239</v>
      </c>
      <c r="B5" s="7" t="s">
        <v>248</v>
      </c>
      <c r="C5" s="7" t="s">
        <v>248</v>
      </c>
      <c r="D5" s="7" t="s">
        <v>248</v>
      </c>
      <c r="E5" s="7" t="s">
        <v>248</v>
      </c>
      <c r="F5" s="7" t="s">
        <v>248</v>
      </c>
      <c r="G5" s="7" t="s">
        <v>248</v>
      </c>
      <c r="H5" s="7" t="s">
        <v>248</v>
      </c>
      <c r="I5" s="7" t="s">
        <v>248</v>
      </c>
      <c r="J5" s="7" t="s">
        <v>248</v>
      </c>
      <c r="K5" s="7" t="s">
        <v>248</v>
      </c>
      <c r="L5" s="7" t="s">
        <v>248</v>
      </c>
      <c r="M5" s="7" t="s">
        <v>248</v>
      </c>
      <c r="N5" s="7" t="s">
        <v>248</v>
      </c>
      <c r="O5" s="7" t="s">
        <v>248</v>
      </c>
      <c r="P5" s="7" t="s">
        <v>248</v>
      </c>
      <c r="Q5" s="7" t="s">
        <v>248</v>
      </c>
      <c r="R5" s="7" t="s">
        <v>248</v>
      </c>
      <c r="S5" s="7" t="s">
        <v>248</v>
      </c>
      <c r="T5" s="7" t="s">
        <v>248</v>
      </c>
      <c r="U5" s="7" t="s">
        <v>248</v>
      </c>
      <c r="V5" s="7" t="s">
        <v>248</v>
      </c>
      <c r="W5" s="7" t="s">
        <v>248</v>
      </c>
      <c r="X5" s="7" t="s">
        <v>248</v>
      </c>
      <c r="Y5" s="7" t="s">
        <v>248</v>
      </c>
      <c r="Z5" s="7" t="s">
        <v>248</v>
      </c>
      <c r="AA5" s="7" t="s">
        <v>248</v>
      </c>
      <c r="AB5" s="7" t="s">
        <v>248</v>
      </c>
      <c r="AC5" s="7" t="s">
        <v>248</v>
      </c>
      <c r="AD5" s="7" t="s">
        <v>248</v>
      </c>
      <c r="AE5" s="7" t="s">
        <v>248</v>
      </c>
      <c r="AF5" s="7" t="s">
        <v>248</v>
      </c>
      <c r="AG5" s="7" t="s">
        <v>248</v>
      </c>
      <c r="AH5" s="7" t="s">
        <v>248</v>
      </c>
      <c r="AI5" s="7" t="s">
        <v>248</v>
      </c>
      <c r="AJ5" s="7" t="s">
        <v>248</v>
      </c>
      <c r="AK5" s="7" t="s">
        <v>248</v>
      </c>
      <c r="AL5" s="7" t="s">
        <v>248</v>
      </c>
      <c r="AM5" s="7" t="s">
        <v>248</v>
      </c>
      <c r="AN5" s="7" t="s">
        <v>248</v>
      </c>
      <c r="AO5" s="7" t="s">
        <v>248</v>
      </c>
      <c r="AP5" s="7" t="s">
        <v>248</v>
      </c>
      <c r="AQ5" s="7" t="s">
        <v>248</v>
      </c>
      <c r="AR5" s="7" t="s">
        <v>248</v>
      </c>
      <c r="AS5" s="7" t="s">
        <v>248</v>
      </c>
      <c r="AT5" s="7" t="s">
        <v>248</v>
      </c>
      <c r="AU5" s="7" t="s">
        <v>248</v>
      </c>
      <c r="AV5" s="7" t="s">
        <v>248</v>
      </c>
      <c r="AW5" s="7" t="s">
        <v>248</v>
      </c>
      <c r="AX5" s="7" t="s">
        <v>248</v>
      </c>
      <c r="AY5" s="7" t="s">
        <v>248</v>
      </c>
      <c r="AZ5" s="7" t="s">
        <v>248</v>
      </c>
      <c r="BA5" s="7" t="s">
        <v>248</v>
      </c>
      <c r="BB5" s="7" t="s">
        <v>248</v>
      </c>
      <c r="BC5" s="7" t="s">
        <v>248</v>
      </c>
      <c r="BD5" s="7" t="s">
        <v>248</v>
      </c>
      <c r="BE5" s="7" t="s">
        <v>248</v>
      </c>
      <c r="BF5" s="7" t="s">
        <v>248</v>
      </c>
      <c r="BG5" s="7" t="s">
        <v>248</v>
      </c>
      <c r="BH5" s="7" t="s">
        <v>248</v>
      </c>
      <c r="BI5" s="7" t="s">
        <v>248</v>
      </c>
      <c r="BJ5" s="7" t="s">
        <v>248</v>
      </c>
      <c r="BK5" s="7" t="s">
        <v>248</v>
      </c>
      <c r="BL5" s="7" t="s">
        <v>248</v>
      </c>
      <c r="BM5" s="7" t="s">
        <v>248</v>
      </c>
      <c r="BN5" s="7" t="s">
        <v>248</v>
      </c>
      <c r="BO5" s="7" t="s">
        <v>248</v>
      </c>
      <c r="BP5" s="7" t="s">
        <v>248</v>
      </c>
      <c r="BQ5" s="7" t="s">
        <v>248</v>
      </c>
      <c r="BR5" s="7" t="s">
        <v>248</v>
      </c>
      <c r="BS5" s="7" t="s">
        <v>248</v>
      </c>
      <c r="BT5" s="7" t="s">
        <v>248</v>
      </c>
      <c r="BU5" s="7" t="s">
        <v>248</v>
      </c>
      <c r="BV5" s="7" t="s">
        <v>248</v>
      </c>
      <c r="BW5" s="7" t="s">
        <v>248</v>
      </c>
      <c r="BX5" s="7" t="s">
        <v>248</v>
      </c>
      <c r="BY5" s="7" t="s">
        <v>248</v>
      </c>
      <c r="BZ5" s="7" t="s">
        <v>248</v>
      </c>
      <c r="CA5" s="7" t="s">
        <v>248</v>
      </c>
      <c r="CB5" s="7" t="s">
        <v>248</v>
      </c>
      <c r="CC5" s="7" t="s">
        <v>248</v>
      </c>
      <c r="CD5" s="7" t="s">
        <v>248</v>
      </c>
      <c r="CE5" s="7" t="s">
        <v>248</v>
      </c>
      <c r="CF5" s="7" t="s">
        <v>248</v>
      </c>
      <c r="CG5" s="7" t="s">
        <v>248</v>
      </c>
      <c r="CH5" s="7" t="s">
        <v>248</v>
      </c>
      <c r="CI5" s="7" t="s">
        <v>248</v>
      </c>
      <c r="CJ5" s="7" t="s">
        <v>248</v>
      </c>
      <c r="CK5" s="7" t="s">
        <v>248</v>
      </c>
      <c r="CL5" s="7" t="s">
        <v>248</v>
      </c>
      <c r="CM5" s="7" t="s">
        <v>248</v>
      </c>
      <c r="CN5" s="7" t="s">
        <v>248</v>
      </c>
      <c r="CO5" s="7" t="s">
        <v>248</v>
      </c>
      <c r="CP5" s="7" t="s">
        <v>248</v>
      </c>
      <c r="CQ5" s="7" t="s">
        <v>248</v>
      </c>
      <c r="CR5" s="7" t="s">
        <v>248</v>
      </c>
      <c r="CS5" s="7" t="s">
        <v>248</v>
      </c>
      <c r="CT5" s="7" t="s">
        <v>248</v>
      </c>
      <c r="CU5" s="7" t="s">
        <v>248</v>
      </c>
      <c r="CV5" s="7" t="s">
        <v>248</v>
      </c>
      <c r="CW5" s="7" t="s">
        <v>248</v>
      </c>
      <c r="CX5" s="7" t="s">
        <v>248</v>
      </c>
      <c r="CY5" s="7" t="s">
        <v>248</v>
      </c>
      <c r="CZ5" s="7" t="s">
        <v>248</v>
      </c>
      <c r="DA5" s="7" t="s">
        <v>248</v>
      </c>
      <c r="DB5" s="7" t="s">
        <v>248</v>
      </c>
      <c r="DC5" s="7" t="s">
        <v>248</v>
      </c>
      <c r="DD5" s="7" t="s">
        <v>248</v>
      </c>
      <c r="DE5" s="7" t="s">
        <v>248</v>
      </c>
      <c r="DF5" s="7" t="s">
        <v>248</v>
      </c>
      <c r="DG5" s="7" t="s">
        <v>248</v>
      </c>
      <c r="DH5" s="7" t="s">
        <v>248</v>
      </c>
      <c r="DI5" s="7" t="s">
        <v>248</v>
      </c>
      <c r="DJ5" s="7" t="s">
        <v>248</v>
      </c>
      <c r="DK5" s="7" t="s">
        <v>248</v>
      </c>
      <c r="DL5" s="7" t="s">
        <v>248</v>
      </c>
      <c r="DM5" s="7" t="s">
        <v>248</v>
      </c>
      <c r="DN5" s="7" t="s">
        <v>248</v>
      </c>
      <c r="DO5" s="7" t="s">
        <v>248</v>
      </c>
      <c r="DP5" s="7" t="s">
        <v>248</v>
      </c>
      <c r="DQ5" s="7" t="s">
        <v>248</v>
      </c>
      <c r="DR5" s="7" t="s">
        <v>248</v>
      </c>
      <c r="DS5" s="7" t="s">
        <v>248</v>
      </c>
      <c r="DT5" s="7" t="s">
        <v>248</v>
      </c>
      <c r="DU5" s="7" t="s">
        <v>248</v>
      </c>
      <c r="DV5" s="7" t="s">
        <v>248</v>
      </c>
      <c r="DW5" s="7" t="s">
        <v>248</v>
      </c>
      <c r="DX5" s="7" t="s">
        <v>248</v>
      </c>
      <c r="DY5" s="7" t="s">
        <v>248</v>
      </c>
      <c r="DZ5" s="7" t="s">
        <v>248</v>
      </c>
      <c r="EA5" s="7" t="s">
        <v>248</v>
      </c>
      <c r="EB5" s="7" t="s">
        <v>248</v>
      </c>
      <c r="EC5" s="7" t="s">
        <v>248</v>
      </c>
      <c r="ED5" s="7" t="s">
        <v>248</v>
      </c>
      <c r="EE5" s="7" t="s">
        <v>248</v>
      </c>
      <c r="EF5" s="7" t="s">
        <v>248</v>
      </c>
      <c r="EG5" s="7" t="s">
        <v>248</v>
      </c>
      <c r="EH5" s="7" t="s">
        <v>248</v>
      </c>
      <c r="EI5" s="7" t="s">
        <v>248</v>
      </c>
      <c r="EJ5" s="7" t="s">
        <v>248</v>
      </c>
      <c r="EK5" s="7" t="s">
        <v>248</v>
      </c>
      <c r="EL5" s="7" t="s">
        <v>248</v>
      </c>
      <c r="EM5" s="7" t="s">
        <v>248</v>
      </c>
      <c r="EN5" s="7" t="s">
        <v>248</v>
      </c>
      <c r="EO5" s="7" t="s">
        <v>248</v>
      </c>
      <c r="EP5" s="7" t="s">
        <v>248</v>
      </c>
      <c r="EQ5" s="7" t="s">
        <v>248</v>
      </c>
      <c r="ER5" s="7" t="s">
        <v>248</v>
      </c>
      <c r="ES5" s="7" t="s">
        <v>248</v>
      </c>
      <c r="ET5" s="7" t="s">
        <v>248</v>
      </c>
      <c r="EU5" s="7" t="s">
        <v>248</v>
      </c>
      <c r="EV5" s="7" t="s">
        <v>248</v>
      </c>
      <c r="EW5" s="7" t="s">
        <v>248</v>
      </c>
      <c r="EX5" s="7" t="s">
        <v>248</v>
      </c>
      <c r="EY5" s="7" t="s">
        <v>248</v>
      </c>
      <c r="EZ5" s="7" t="s">
        <v>248</v>
      </c>
      <c r="FA5" s="7" t="s">
        <v>248</v>
      </c>
      <c r="FB5" s="7" t="s">
        <v>248</v>
      </c>
      <c r="FC5" s="7" t="s">
        <v>248</v>
      </c>
      <c r="FD5" s="7" t="s">
        <v>248</v>
      </c>
      <c r="FE5" s="7" t="s">
        <v>248</v>
      </c>
      <c r="FF5" s="7" t="s">
        <v>248</v>
      </c>
      <c r="FG5" s="7" t="s">
        <v>248</v>
      </c>
      <c r="FH5" s="7" t="s">
        <v>248</v>
      </c>
      <c r="FI5" s="7" t="s">
        <v>248</v>
      </c>
      <c r="FJ5" s="7" t="s">
        <v>248</v>
      </c>
      <c r="FK5" s="7" t="s">
        <v>248</v>
      </c>
      <c r="FL5" s="7" t="s">
        <v>248</v>
      </c>
      <c r="FM5" s="7" t="s">
        <v>248</v>
      </c>
      <c r="FN5" s="7" t="s">
        <v>248</v>
      </c>
      <c r="FO5" s="7" t="s">
        <v>248</v>
      </c>
      <c r="FP5" s="7" t="s">
        <v>248</v>
      </c>
      <c r="FQ5" s="7" t="s">
        <v>248</v>
      </c>
      <c r="FR5" s="7" t="s">
        <v>248</v>
      </c>
      <c r="FS5" s="7" t="s">
        <v>248</v>
      </c>
      <c r="FT5" s="7" t="s">
        <v>248</v>
      </c>
      <c r="FU5" s="7" t="s">
        <v>248</v>
      </c>
      <c r="FV5" s="7" t="s">
        <v>248</v>
      </c>
      <c r="FW5" s="7" t="s">
        <v>248</v>
      </c>
      <c r="FX5" s="7" t="s">
        <v>248</v>
      </c>
      <c r="FY5" s="7" t="s">
        <v>248</v>
      </c>
      <c r="FZ5" s="7" t="s">
        <v>248</v>
      </c>
      <c r="GA5" s="7" t="s">
        <v>248</v>
      </c>
      <c r="GB5" s="7" t="s">
        <v>248</v>
      </c>
      <c r="GC5" s="7" t="s">
        <v>248</v>
      </c>
      <c r="GD5" s="7" t="s">
        <v>248</v>
      </c>
      <c r="GE5" s="7" t="s">
        <v>248</v>
      </c>
      <c r="GF5" s="7" t="s">
        <v>248</v>
      </c>
      <c r="GG5" s="7" t="s">
        <v>248</v>
      </c>
      <c r="GH5" s="7" t="s">
        <v>248</v>
      </c>
      <c r="GI5" s="7" t="s">
        <v>248</v>
      </c>
      <c r="GJ5" s="7" t="s">
        <v>248</v>
      </c>
      <c r="GK5" s="7" t="s">
        <v>248</v>
      </c>
      <c r="GL5" s="7" t="s">
        <v>248</v>
      </c>
      <c r="GM5" s="7" t="s">
        <v>248</v>
      </c>
      <c r="GN5" s="7" t="s">
        <v>248</v>
      </c>
      <c r="GO5" s="7" t="s">
        <v>248</v>
      </c>
      <c r="GP5" s="7" t="s">
        <v>248</v>
      </c>
      <c r="GQ5" s="7" t="s">
        <v>248</v>
      </c>
      <c r="GR5" s="7" t="s">
        <v>248</v>
      </c>
      <c r="GS5" s="7" t="s">
        <v>248</v>
      </c>
      <c r="GT5" s="7" t="s">
        <v>248</v>
      </c>
      <c r="GU5" s="7" t="s">
        <v>248</v>
      </c>
      <c r="GV5" s="7" t="s">
        <v>248</v>
      </c>
      <c r="GW5" s="7" t="s">
        <v>248</v>
      </c>
      <c r="GX5" s="7" t="s">
        <v>248</v>
      </c>
      <c r="GY5" s="7" t="s">
        <v>248</v>
      </c>
      <c r="GZ5" s="7" t="s">
        <v>248</v>
      </c>
      <c r="HA5" s="7" t="s">
        <v>248</v>
      </c>
      <c r="HB5" s="7" t="s">
        <v>248</v>
      </c>
      <c r="HC5" s="7" t="s">
        <v>248</v>
      </c>
      <c r="HD5" s="7" t="s">
        <v>248</v>
      </c>
      <c r="HE5" s="7" t="s">
        <v>248</v>
      </c>
      <c r="HF5" s="7" t="s">
        <v>248</v>
      </c>
      <c r="HG5" s="7" t="s">
        <v>248</v>
      </c>
      <c r="HH5" s="7" t="s">
        <v>248</v>
      </c>
      <c r="HI5" s="7" t="s">
        <v>248</v>
      </c>
      <c r="HJ5" s="7" t="s">
        <v>248</v>
      </c>
      <c r="HK5" s="7" t="s">
        <v>248</v>
      </c>
      <c r="HL5" s="7" t="s">
        <v>248</v>
      </c>
      <c r="HM5" s="7" t="s">
        <v>248</v>
      </c>
      <c r="HN5" s="7" t="s">
        <v>248</v>
      </c>
      <c r="HO5" s="7" t="s">
        <v>248</v>
      </c>
      <c r="HP5" s="7" t="s">
        <v>248</v>
      </c>
      <c r="HQ5" s="7" t="s">
        <v>248</v>
      </c>
      <c r="HR5" s="7" t="s">
        <v>248</v>
      </c>
      <c r="HS5" s="7" t="s">
        <v>248</v>
      </c>
      <c r="HT5" s="7" t="s">
        <v>248</v>
      </c>
      <c r="HU5" s="7" t="s">
        <v>248</v>
      </c>
      <c r="HV5" s="7" t="s">
        <v>248</v>
      </c>
      <c r="HW5" s="7" t="s">
        <v>248</v>
      </c>
      <c r="HX5" s="7" t="s">
        <v>248</v>
      </c>
      <c r="HY5" s="7" t="s">
        <v>248</v>
      </c>
      <c r="HZ5" s="7" t="s">
        <v>248</v>
      </c>
      <c r="IA5" s="7" t="s">
        <v>248</v>
      </c>
      <c r="IB5" s="7" t="s">
        <v>248</v>
      </c>
      <c r="IC5" s="7" t="s">
        <v>248</v>
      </c>
      <c r="ID5" s="7" t="s">
        <v>248</v>
      </c>
      <c r="IE5" s="7" t="s">
        <v>248</v>
      </c>
      <c r="IF5" s="7" t="s">
        <v>248</v>
      </c>
      <c r="IG5" s="7" t="s">
        <v>248</v>
      </c>
      <c r="IH5" s="7" t="s">
        <v>248</v>
      </c>
      <c r="II5" s="7" t="s">
        <v>248</v>
      </c>
      <c r="IJ5" s="7" t="s">
        <v>248</v>
      </c>
      <c r="IK5" s="7" t="s">
        <v>248</v>
      </c>
      <c r="IL5" s="7" t="s">
        <v>248</v>
      </c>
      <c r="IM5" s="7" t="s">
        <v>248</v>
      </c>
      <c r="IN5" s="7" t="s">
        <v>248</v>
      </c>
      <c r="IO5" s="7" t="s">
        <v>248</v>
      </c>
      <c r="IP5" s="7" t="s">
        <v>248</v>
      </c>
      <c r="IQ5" s="7" t="s">
        <v>248</v>
      </c>
    </row>
    <row r="6" spans="1:251" x14ac:dyDescent="0.2">
      <c r="A6" s="4" t="s">
        <v>240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>
        <v>1</v>
      </c>
      <c r="DU6" s="1">
        <v>1</v>
      </c>
      <c r="DV6" s="1">
        <v>1</v>
      </c>
      <c r="DW6" s="1">
        <v>1</v>
      </c>
      <c r="DX6" s="1">
        <v>1</v>
      </c>
      <c r="DY6" s="1">
        <v>1</v>
      </c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1</v>
      </c>
      <c r="EH6" s="1">
        <v>1</v>
      </c>
      <c r="EI6" s="1">
        <v>1</v>
      </c>
      <c r="EJ6" s="1">
        <v>1</v>
      </c>
      <c r="EK6" s="1">
        <v>1</v>
      </c>
      <c r="EL6" s="1">
        <v>1</v>
      </c>
      <c r="EM6" s="1">
        <v>1</v>
      </c>
      <c r="EN6" s="1">
        <v>1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>
        <v>1</v>
      </c>
      <c r="EU6" s="1">
        <v>1</v>
      </c>
      <c r="EV6" s="1">
        <v>1</v>
      </c>
      <c r="EW6" s="1">
        <v>1</v>
      </c>
      <c r="EX6" s="1">
        <v>1</v>
      </c>
      <c r="EY6" s="1">
        <v>1</v>
      </c>
      <c r="EZ6" s="1">
        <v>1</v>
      </c>
      <c r="FA6" s="1">
        <v>1</v>
      </c>
      <c r="FB6" s="1">
        <v>1</v>
      </c>
      <c r="FC6" s="1">
        <v>1</v>
      </c>
      <c r="FD6" s="1">
        <v>1</v>
      </c>
      <c r="FE6" s="1">
        <v>1</v>
      </c>
      <c r="FF6" s="1">
        <v>1</v>
      </c>
      <c r="FG6" s="1">
        <v>1</v>
      </c>
      <c r="FH6" s="1">
        <v>1</v>
      </c>
      <c r="FI6" s="1">
        <v>1</v>
      </c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1</v>
      </c>
      <c r="FP6" s="1">
        <v>1</v>
      </c>
      <c r="FQ6" s="1">
        <v>1</v>
      </c>
      <c r="FR6" s="1">
        <v>1</v>
      </c>
      <c r="FS6" s="1">
        <v>1</v>
      </c>
      <c r="FT6" s="1">
        <v>1</v>
      </c>
      <c r="FU6" s="1">
        <v>1</v>
      </c>
      <c r="FV6" s="1">
        <v>1</v>
      </c>
      <c r="FW6" s="1">
        <v>1</v>
      </c>
      <c r="FX6" s="1">
        <v>1</v>
      </c>
      <c r="FY6" s="1">
        <v>1</v>
      </c>
      <c r="FZ6" s="1">
        <v>1</v>
      </c>
      <c r="GA6" s="1">
        <v>1</v>
      </c>
      <c r="GB6" s="1">
        <v>1</v>
      </c>
      <c r="GC6" s="1">
        <v>1</v>
      </c>
      <c r="GD6" s="1">
        <v>1</v>
      </c>
      <c r="GE6" s="1">
        <v>1</v>
      </c>
      <c r="GF6" s="1">
        <v>1</v>
      </c>
      <c r="GG6" s="1">
        <v>1</v>
      </c>
      <c r="GH6" s="1">
        <v>1</v>
      </c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 s="1">
        <v>1</v>
      </c>
      <c r="HH6" s="1">
        <v>1</v>
      </c>
      <c r="HI6" s="1">
        <v>1</v>
      </c>
      <c r="HJ6" s="1">
        <v>1</v>
      </c>
      <c r="HK6" s="1">
        <v>1</v>
      </c>
      <c r="HL6" s="1">
        <v>1</v>
      </c>
      <c r="HM6" s="1">
        <v>1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1</v>
      </c>
      <c r="HX6" s="1">
        <v>1</v>
      </c>
      <c r="HY6" s="1">
        <v>1</v>
      </c>
      <c r="HZ6" s="1">
        <v>1</v>
      </c>
      <c r="IA6" s="1">
        <v>1</v>
      </c>
      <c r="IB6" s="1">
        <v>1</v>
      </c>
      <c r="IC6" s="1">
        <v>1</v>
      </c>
      <c r="ID6" s="1">
        <v>1</v>
      </c>
      <c r="IE6" s="1">
        <v>1</v>
      </c>
      <c r="IF6" s="1">
        <v>1</v>
      </c>
      <c r="IG6" s="1">
        <v>1</v>
      </c>
      <c r="IH6" s="1">
        <v>1</v>
      </c>
      <c r="II6" s="1">
        <v>1</v>
      </c>
      <c r="IJ6" s="1">
        <v>1</v>
      </c>
      <c r="IK6" s="1">
        <v>1</v>
      </c>
      <c r="IL6" s="1">
        <v>1</v>
      </c>
      <c r="IM6" s="1">
        <v>1</v>
      </c>
      <c r="IN6" s="1">
        <v>1</v>
      </c>
      <c r="IO6" s="1">
        <v>1</v>
      </c>
      <c r="IP6" s="1">
        <v>1</v>
      </c>
      <c r="IQ6" s="1">
        <v>1</v>
      </c>
    </row>
    <row r="7" spans="1:251" s="6" customFormat="1" x14ac:dyDescent="0.2">
      <c r="A7" s="5" t="s">
        <v>241</v>
      </c>
      <c r="B7" s="6">
        <v>45383</v>
      </c>
      <c r="C7" s="6">
        <v>45383</v>
      </c>
      <c r="D7" s="6">
        <v>42979</v>
      </c>
      <c r="E7" s="6">
        <v>42979</v>
      </c>
      <c r="F7" s="6">
        <v>42979</v>
      </c>
      <c r="G7" s="6">
        <v>42979</v>
      </c>
      <c r="H7" s="6">
        <v>42979</v>
      </c>
      <c r="I7" s="6">
        <v>42979</v>
      </c>
      <c r="J7" s="6">
        <v>42979</v>
      </c>
      <c r="K7" s="6">
        <v>42979</v>
      </c>
      <c r="L7" s="6">
        <v>42979</v>
      </c>
      <c r="M7" s="6">
        <v>42979</v>
      </c>
      <c r="N7" s="6">
        <v>42979</v>
      </c>
      <c r="O7" s="6">
        <v>42979</v>
      </c>
      <c r="P7" s="6">
        <v>42979</v>
      </c>
      <c r="Q7" s="6">
        <v>42979</v>
      </c>
      <c r="R7" s="6">
        <v>42979</v>
      </c>
      <c r="S7" s="6">
        <v>42979</v>
      </c>
      <c r="T7" s="6">
        <v>42979</v>
      </c>
      <c r="U7" s="6">
        <v>42979</v>
      </c>
      <c r="V7" s="6">
        <v>42979</v>
      </c>
      <c r="W7" s="6">
        <v>42979</v>
      </c>
      <c r="X7" s="6">
        <v>42979</v>
      </c>
      <c r="Y7" s="6">
        <v>42979</v>
      </c>
      <c r="Z7" s="6">
        <v>42979</v>
      </c>
      <c r="AA7" s="6">
        <v>42979</v>
      </c>
      <c r="AB7" s="6">
        <v>42979</v>
      </c>
      <c r="AC7" s="6">
        <v>42979</v>
      </c>
      <c r="AD7" s="6">
        <v>42979</v>
      </c>
      <c r="AE7" s="6">
        <v>42979</v>
      </c>
      <c r="AF7" s="6">
        <v>42979</v>
      </c>
      <c r="AG7" s="6">
        <v>45383</v>
      </c>
      <c r="AH7" s="6">
        <v>45383</v>
      </c>
      <c r="AI7" s="6">
        <v>45383</v>
      </c>
      <c r="AJ7" s="6">
        <v>45383</v>
      </c>
      <c r="AK7" s="6">
        <v>45383</v>
      </c>
      <c r="AL7" s="6">
        <v>42979</v>
      </c>
      <c r="AM7" s="6">
        <v>45383</v>
      </c>
      <c r="AN7" s="6">
        <v>42979</v>
      </c>
      <c r="AO7" s="6">
        <v>42979</v>
      </c>
      <c r="AP7" s="6">
        <v>42979</v>
      </c>
      <c r="AQ7" s="6">
        <v>45383</v>
      </c>
      <c r="AR7" s="6">
        <v>45383</v>
      </c>
      <c r="AS7" s="6">
        <v>45383</v>
      </c>
      <c r="AT7" s="6">
        <v>45383</v>
      </c>
      <c r="AU7" s="6">
        <v>45383</v>
      </c>
      <c r="AV7" s="6">
        <v>45383</v>
      </c>
      <c r="AW7" s="6">
        <v>45383</v>
      </c>
      <c r="AX7" s="6">
        <v>45383</v>
      </c>
      <c r="AY7" s="6">
        <v>45383</v>
      </c>
      <c r="AZ7" s="6">
        <v>45383</v>
      </c>
      <c r="BA7" s="6">
        <v>45383</v>
      </c>
      <c r="BB7" s="6">
        <v>45383</v>
      </c>
      <c r="BC7" s="6">
        <v>45383</v>
      </c>
      <c r="BD7" s="6">
        <v>44743</v>
      </c>
      <c r="BE7" s="6">
        <v>44743</v>
      </c>
      <c r="BF7" s="6">
        <v>42979</v>
      </c>
      <c r="BG7" s="6">
        <v>42979</v>
      </c>
      <c r="BH7" s="6">
        <v>45383</v>
      </c>
      <c r="BI7" s="6">
        <v>45383</v>
      </c>
      <c r="BJ7" s="6">
        <v>42979</v>
      </c>
      <c r="BK7" s="6">
        <v>45383</v>
      </c>
      <c r="BL7" s="6">
        <v>45383</v>
      </c>
      <c r="BM7" s="6">
        <v>44470</v>
      </c>
      <c r="BN7" s="6">
        <v>44470</v>
      </c>
      <c r="BO7" s="6">
        <v>45383</v>
      </c>
      <c r="BP7" s="6">
        <v>45383</v>
      </c>
      <c r="BQ7" s="6">
        <v>45383</v>
      </c>
      <c r="BR7" s="6">
        <v>45383</v>
      </c>
      <c r="BS7" s="6">
        <v>45383</v>
      </c>
      <c r="BT7" s="6">
        <v>45383</v>
      </c>
      <c r="BU7" s="6">
        <v>45383</v>
      </c>
      <c r="BV7" s="6">
        <v>45383</v>
      </c>
      <c r="BW7" s="6">
        <v>45383</v>
      </c>
      <c r="BX7" s="6">
        <v>45383</v>
      </c>
      <c r="BY7" s="6">
        <v>45383</v>
      </c>
      <c r="BZ7" s="6">
        <v>42979</v>
      </c>
      <c r="CA7" s="6">
        <v>42979</v>
      </c>
      <c r="CB7" s="6">
        <v>42979</v>
      </c>
      <c r="CC7" s="6">
        <v>42979</v>
      </c>
      <c r="CD7" s="6">
        <v>45383</v>
      </c>
      <c r="CE7" s="6">
        <v>45383</v>
      </c>
      <c r="CF7" s="6">
        <v>45383</v>
      </c>
      <c r="CG7" s="6">
        <v>45383</v>
      </c>
      <c r="CH7" s="6">
        <v>45383</v>
      </c>
      <c r="CI7" s="6">
        <v>45383</v>
      </c>
      <c r="CJ7" s="6">
        <v>45383</v>
      </c>
      <c r="CK7" s="6">
        <v>45383</v>
      </c>
      <c r="CL7" s="6">
        <v>45383</v>
      </c>
      <c r="CM7" s="6">
        <v>45383</v>
      </c>
      <c r="CN7" s="6">
        <v>45383</v>
      </c>
      <c r="CO7" s="6">
        <v>45383</v>
      </c>
      <c r="CP7" s="6">
        <v>45383</v>
      </c>
      <c r="CQ7" s="6">
        <v>45383</v>
      </c>
      <c r="CR7" s="6">
        <v>45383</v>
      </c>
      <c r="CS7" s="6">
        <v>42979</v>
      </c>
      <c r="CT7" s="6">
        <v>45383</v>
      </c>
      <c r="CU7" s="6">
        <v>45383</v>
      </c>
      <c r="CV7" s="6">
        <v>45383</v>
      </c>
      <c r="CW7" s="6">
        <v>45383</v>
      </c>
      <c r="CX7" s="6">
        <v>45383</v>
      </c>
      <c r="CY7" s="6">
        <v>45383</v>
      </c>
      <c r="CZ7" s="6">
        <v>44743</v>
      </c>
      <c r="DA7" s="6">
        <v>45383</v>
      </c>
      <c r="DB7" s="6">
        <v>45383</v>
      </c>
      <c r="DC7" s="6">
        <v>45383</v>
      </c>
      <c r="DD7" s="6">
        <v>45383</v>
      </c>
      <c r="DE7" s="6">
        <v>45383</v>
      </c>
      <c r="DF7" s="6">
        <v>45383</v>
      </c>
      <c r="DG7" s="6">
        <v>45383</v>
      </c>
      <c r="DH7" s="6">
        <v>45383</v>
      </c>
      <c r="DI7" s="6">
        <v>42979</v>
      </c>
      <c r="DJ7" s="6">
        <v>42979</v>
      </c>
      <c r="DK7" s="6">
        <v>42979</v>
      </c>
      <c r="DL7" s="6">
        <v>45383</v>
      </c>
      <c r="DM7" s="6">
        <v>45383</v>
      </c>
      <c r="DN7" s="6">
        <v>45383</v>
      </c>
      <c r="DO7" s="6">
        <v>42979</v>
      </c>
      <c r="DP7" s="6">
        <v>45383</v>
      </c>
      <c r="DQ7" s="6">
        <v>45383</v>
      </c>
      <c r="DR7" s="6">
        <v>45383</v>
      </c>
      <c r="DS7" s="6">
        <v>45383</v>
      </c>
      <c r="DT7" s="6">
        <v>45383</v>
      </c>
      <c r="DU7" s="6">
        <v>45383</v>
      </c>
      <c r="DV7" s="6">
        <v>42979</v>
      </c>
      <c r="DW7" s="6">
        <v>42979</v>
      </c>
      <c r="DX7" s="6">
        <v>45383</v>
      </c>
      <c r="DY7" s="6">
        <v>45383</v>
      </c>
      <c r="DZ7" s="6">
        <v>45383</v>
      </c>
      <c r="EA7" s="6">
        <v>42979</v>
      </c>
      <c r="EB7" s="6">
        <v>42979</v>
      </c>
      <c r="EC7" s="6">
        <v>42979</v>
      </c>
      <c r="ED7" s="6">
        <v>45383</v>
      </c>
      <c r="EE7" s="6">
        <v>45383</v>
      </c>
      <c r="EF7" s="6">
        <v>42979</v>
      </c>
      <c r="EG7" s="6">
        <v>42979</v>
      </c>
      <c r="EH7" s="6">
        <v>42979</v>
      </c>
      <c r="EI7" s="6">
        <v>42979</v>
      </c>
      <c r="EJ7" s="6">
        <v>42979</v>
      </c>
      <c r="EK7" s="6">
        <v>42979</v>
      </c>
      <c r="EL7" s="6">
        <v>42979</v>
      </c>
      <c r="EM7" s="6">
        <v>42979</v>
      </c>
      <c r="EN7" s="6">
        <v>42979</v>
      </c>
      <c r="EO7" s="6">
        <v>42979</v>
      </c>
      <c r="EP7" s="6">
        <v>42979</v>
      </c>
      <c r="EQ7" s="6">
        <v>42979</v>
      </c>
      <c r="ER7" s="6">
        <v>42979</v>
      </c>
      <c r="ES7" s="6">
        <v>42979</v>
      </c>
      <c r="ET7" s="6">
        <v>42979</v>
      </c>
      <c r="EU7" s="6">
        <v>42979</v>
      </c>
      <c r="EV7" s="6">
        <v>42979</v>
      </c>
      <c r="EW7" s="6">
        <v>42979</v>
      </c>
      <c r="EX7" s="6">
        <v>42979</v>
      </c>
      <c r="EY7" s="6">
        <v>42979</v>
      </c>
      <c r="EZ7" s="6">
        <v>42979</v>
      </c>
      <c r="FA7" s="6">
        <v>42979</v>
      </c>
      <c r="FB7" s="6">
        <v>42979</v>
      </c>
      <c r="FC7" s="6">
        <v>42979</v>
      </c>
      <c r="FD7" s="6">
        <v>42979</v>
      </c>
      <c r="FE7" s="6">
        <v>42979</v>
      </c>
      <c r="FF7" s="6">
        <v>42979</v>
      </c>
      <c r="FG7" s="6">
        <v>42979</v>
      </c>
      <c r="FH7" s="6">
        <v>42979</v>
      </c>
      <c r="FI7" s="6">
        <v>45383</v>
      </c>
      <c r="FJ7" s="6">
        <v>45383</v>
      </c>
      <c r="FK7" s="6">
        <v>45383</v>
      </c>
      <c r="FL7" s="6">
        <v>45383</v>
      </c>
      <c r="FM7" s="6">
        <v>45383</v>
      </c>
      <c r="FN7" s="6">
        <v>42979</v>
      </c>
      <c r="FO7" s="6">
        <v>45383</v>
      </c>
      <c r="FP7" s="6">
        <v>42979</v>
      </c>
      <c r="FQ7" s="6">
        <v>42979</v>
      </c>
      <c r="FR7" s="6">
        <v>42979</v>
      </c>
      <c r="FS7" s="6">
        <v>45383</v>
      </c>
      <c r="FT7" s="6">
        <v>45383</v>
      </c>
      <c r="FU7" s="6">
        <v>45383</v>
      </c>
      <c r="FV7" s="6">
        <v>45383</v>
      </c>
      <c r="FW7" s="6">
        <v>45383</v>
      </c>
      <c r="FX7" s="6">
        <v>45383</v>
      </c>
      <c r="FY7" s="6">
        <v>45383</v>
      </c>
      <c r="FZ7" s="6">
        <v>45383</v>
      </c>
      <c r="GA7" s="6">
        <v>45383</v>
      </c>
      <c r="GB7" s="6">
        <v>45383</v>
      </c>
      <c r="GC7" s="6">
        <v>45383</v>
      </c>
      <c r="GD7" s="6">
        <v>45383</v>
      </c>
      <c r="GE7" s="6">
        <v>45383</v>
      </c>
      <c r="GF7" s="6">
        <v>44743</v>
      </c>
      <c r="GG7" s="6">
        <v>44743</v>
      </c>
      <c r="GH7" s="6">
        <v>42979</v>
      </c>
      <c r="GI7" s="6">
        <v>42979</v>
      </c>
      <c r="GJ7" s="6">
        <v>45383</v>
      </c>
      <c r="GK7" s="6">
        <v>45383</v>
      </c>
      <c r="GL7" s="6">
        <v>42979</v>
      </c>
      <c r="GM7" s="6">
        <v>45383</v>
      </c>
      <c r="GN7" s="6">
        <v>45383</v>
      </c>
      <c r="GO7" s="6">
        <v>44470</v>
      </c>
      <c r="GP7" s="6">
        <v>44470</v>
      </c>
      <c r="GQ7" s="6">
        <v>45383</v>
      </c>
      <c r="GR7" s="6">
        <v>45383</v>
      </c>
      <c r="GS7" s="6">
        <v>45383</v>
      </c>
      <c r="GT7" s="6">
        <v>45383</v>
      </c>
      <c r="GU7" s="6">
        <v>45383</v>
      </c>
      <c r="GV7" s="6">
        <v>45383</v>
      </c>
      <c r="GW7" s="6">
        <v>45383</v>
      </c>
      <c r="GX7" s="6">
        <v>45383</v>
      </c>
      <c r="GY7" s="6">
        <v>45383</v>
      </c>
      <c r="GZ7" s="6">
        <v>45383</v>
      </c>
      <c r="HA7" s="6">
        <v>45383</v>
      </c>
      <c r="HB7" s="6">
        <v>42979</v>
      </c>
      <c r="HC7" s="6">
        <v>42979</v>
      </c>
      <c r="HD7" s="6">
        <v>42979</v>
      </c>
      <c r="HE7" s="6">
        <v>42979</v>
      </c>
      <c r="HF7" s="6">
        <v>45383</v>
      </c>
      <c r="HG7" s="6">
        <v>45383</v>
      </c>
      <c r="HH7" s="6">
        <v>45383</v>
      </c>
      <c r="HI7" s="6">
        <v>45383</v>
      </c>
      <c r="HJ7" s="6">
        <v>45383</v>
      </c>
      <c r="HK7" s="6">
        <v>45383</v>
      </c>
      <c r="HL7" s="6">
        <v>45383</v>
      </c>
      <c r="HM7" s="6">
        <v>45383</v>
      </c>
      <c r="HN7" s="6">
        <v>45383</v>
      </c>
      <c r="HO7" s="6">
        <v>45383</v>
      </c>
      <c r="HP7" s="6">
        <v>45383</v>
      </c>
      <c r="HQ7" s="6">
        <v>45383</v>
      </c>
      <c r="HR7" s="6">
        <v>45383</v>
      </c>
      <c r="HS7" s="6">
        <v>45383</v>
      </c>
      <c r="HT7" s="6">
        <v>45383</v>
      </c>
      <c r="HU7" s="6">
        <v>42979</v>
      </c>
      <c r="HV7" s="6">
        <v>45383</v>
      </c>
      <c r="HW7" s="6">
        <v>45383</v>
      </c>
      <c r="HX7" s="6">
        <v>45383</v>
      </c>
      <c r="HY7" s="6">
        <v>45383</v>
      </c>
      <c r="HZ7" s="6">
        <v>45383</v>
      </c>
      <c r="IA7" s="6">
        <v>45383</v>
      </c>
      <c r="IB7" s="6">
        <v>44743</v>
      </c>
      <c r="IC7" s="6">
        <v>45383</v>
      </c>
      <c r="ID7" s="6">
        <v>45383</v>
      </c>
      <c r="IE7" s="6">
        <v>45383</v>
      </c>
      <c r="IF7" s="6">
        <v>45383</v>
      </c>
      <c r="IG7" s="6">
        <v>45383</v>
      </c>
      <c r="IH7" s="6">
        <v>45383</v>
      </c>
      <c r="II7" s="6">
        <v>45383</v>
      </c>
      <c r="IJ7" s="6">
        <v>45383</v>
      </c>
      <c r="IK7" s="6">
        <v>42979</v>
      </c>
      <c r="IL7" s="6">
        <v>42979</v>
      </c>
      <c r="IM7" s="6">
        <v>42979</v>
      </c>
      <c r="IN7" s="6">
        <v>45383</v>
      </c>
      <c r="IO7" s="6">
        <v>45383</v>
      </c>
      <c r="IP7" s="6">
        <v>45383</v>
      </c>
      <c r="IQ7" s="6">
        <v>42979</v>
      </c>
    </row>
    <row r="8" spans="1:251" s="6" customFormat="1" x14ac:dyDescent="0.2">
      <c r="A8" s="5" t="s">
        <v>242</v>
      </c>
      <c r="B8" s="6">
        <v>46023</v>
      </c>
      <c r="C8" s="6">
        <v>46023</v>
      </c>
      <c r="D8" s="6">
        <v>46023</v>
      </c>
      <c r="E8" s="6">
        <v>46023</v>
      </c>
      <c r="F8" s="6">
        <v>46023</v>
      </c>
      <c r="G8" s="6">
        <v>46023</v>
      </c>
      <c r="H8" s="6">
        <v>46023</v>
      </c>
      <c r="I8" s="6">
        <v>46023</v>
      </c>
      <c r="J8" s="6">
        <v>46023</v>
      </c>
      <c r="K8" s="6">
        <v>46023</v>
      </c>
      <c r="L8" s="6">
        <v>46023</v>
      </c>
      <c r="M8" s="6">
        <v>46023</v>
      </c>
      <c r="N8" s="6">
        <v>46023</v>
      </c>
      <c r="O8" s="6">
        <v>46023</v>
      </c>
      <c r="P8" s="6">
        <v>46023</v>
      </c>
      <c r="Q8" s="6">
        <v>46023</v>
      </c>
      <c r="R8" s="6">
        <v>46023</v>
      </c>
      <c r="S8" s="6">
        <v>46023</v>
      </c>
      <c r="T8" s="6">
        <v>46023</v>
      </c>
      <c r="U8" s="6">
        <v>46023</v>
      </c>
      <c r="V8" s="6">
        <v>46023</v>
      </c>
      <c r="W8" s="6">
        <v>46023</v>
      </c>
      <c r="X8" s="6">
        <v>46023</v>
      </c>
      <c r="Y8" s="6">
        <v>46023</v>
      </c>
      <c r="Z8" s="6">
        <v>46023</v>
      </c>
      <c r="AA8" s="6">
        <v>46023</v>
      </c>
      <c r="AB8" s="6">
        <v>46023</v>
      </c>
      <c r="AC8" s="6">
        <v>46023</v>
      </c>
      <c r="AD8" s="6">
        <v>46023</v>
      </c>
      <c r="AE8" s="6">
        <v>46023</v>
      </c>
      <c r="AF8" s="6">
        <v>46023</v>
      </c>
      <c r="AG8" s="6">
        <v>46023</v>
      </c>
      <c r="AH8" s="6">
        <v>46023</v>
      </c>
      <c r="AI8" s="6">
        <v>46023</v>
      </c>
      <c r="AJ8" s="6">
        <v>46023</v>
      </c>
      <c r="AK8" s="6">
        <v>46023</v>
      </c>
      <c r="AL8" s="6">
        <v>46023</v>
      </c>
      <c r="AM8" s="6">
        <v>46023</v>
      </c>
      <c r="AN8" s="6">
        <v>46023</v>
      </c>
      <c r="AO8" s="6">
        <v>46023</v>
      </c>
      <c r="AP8" s="6">
        <v>46023</v>
      </c>
      <c r="AQ8" s="6">
        <v>46023</v>
      </c>
      <c r="AR8" s="6">
        <v>46023</v>
      </c>
      <c r="AS8" s="6">
        <v>46023</v>
      </c>
      <c r="AT8" s="6">
        <v>46023</v>
      </c>
      <c r="AU8" s="6">
        <v>46023</v>
      </c>
      <c r="AV8" s="6">
        <v>46023</v>
      </c>
      <c r="AW8" s="6">
        <v>46023</v>
      </c>
      <c r="AX8" s="6">
        <v>46023</v>
      </c>
      <c r="AY8" s="6">
        <v>46023</v>
      </c>
      <c r="AZ8" s="6">
        <v>46023</v>
      </c>
      <c r="BA8" s="6">
        <v>46023</v>
      </c>
      <c r="BB8" s="6">
        <v>46023</v>
      </c>
      <c r="BC8" s="6">
        <v>46023</v>
      </c>
      <c r="BD8" s="6">
        <v>46023</v>
      </c>
      <c r="BE8" s="6">
        <v>46023</v>
      </c>
      <c r="BF8" s="6">
        <v>46023</v>
      </c>
      <c r="BG8" s="6">
        <v>46023</v>
      </c>
      <c r="BH8" s="6">
        <v>46023</v>
      </c>
      <c r="BI8" s="6">
        <v>46023</v>
      </c>
      <c r="BJ8" s="6">
        <v>46023</v>
      </c>
      <c r="BK8" s="6">
        <v>46023</v>
      </c>
      <c r="BL8" s="6">
        <v>46023</v>
      </c>
      <c r="BM8" s="6">
        <v>46023</v>
      </c>
      <c r="BN8" s="6">
        <v>46023</v>
      </c>
      <c r="BO8" s="6">
        <v>46023</v>
      </c>
      <c r="BP8" s="6">
        <v>46023</v>
      </c>
      <c r="BQ8" s="6">
        <v>46023</v>
      </c>
      <c r="BR8" s="6">
        <v>46023</v>
      </c>
      <c r="BS8" s="6">
        <v>46023</v>
      </c>
      <c r="BT8" s="6">
        <v>46023</v>
      </c>
      <c r="BU8" s="6">
        <v>46023</v>
      </c>
      <c r="BV8" s="6">
        <v>46023</v>
      </c>
      <c r="BW8" s="6">
        <v>46023</v>
      </c>
      <c r="BX8" s="6">
        <v>46023</v>
      </c>
      <c r="BY8" s="6">
        <v>46023</v>
      </c>
      <c r="BZ8" s="6">
        <v>46023</v>
      </c>
      <c r="CA8" s="6">
        <v>46023</v>
      </c>
      <c r="CB8" s="6">
        <v>46023</v>
      </c>
      <c r="CC8" s="6">
        <v>46023</v>
      </c>
      <c r="CD8" s="6">
        <v>46023</v>
      </c>
      <c r="CE8" s="6">
        <v>46023</v>
      </c>
      <c r="CF8" s="6">
        <v>46023</v>
      </c>
      <c r="CG8" s="6">
        <v>46023</v>
      </c>
      <c r="CH8" s="6">
        <v>46023</v>
      </c>
      <c r="CI8" s="6">
        <v>46023</v>
      </c>
      <c r="CJ8" s="6">
        <v>46023</v>
      </c>
      <c r="CK8" s="6">
        <v>46023</v>
      </c>
      <c r="CL8" s="6">
        <v>46023</v>
      </c>
      <c r="CM8" s="6">
        <v>46023</v>
      </c>
      <c r="CN8" s="6">
        <v>46023</v>
      </c>
      <c r="CO8" s="6">
        <v>46023</v>
      </c>
      <c r="CP8" s="6">
        <v>46023</v>
      </c>
      <c r="CQ8" s="6">
        <v>46023</v>
      </c>
      <c r="CR8" s="6">
        <v>46023</v>
      </c>
      <c r="CS8" s="6">
        <v>46023</v>
      </c>
      <c r="CT8" s="6">
        <v>46023</v>
      </c>
      <c r="CU8" s="6">
        <v>46023</v>
      </c>
      <c r="CV8" s="6">
        <v>46023</v>
      </c>
      <c r="CW8" s="6">
        <v>46023</v>
      </c>
      <c r="CX8" s="6">
        <v>46023</v>
      </c>
      <c r="CY8" s="6">
        <v>46023</v>
      </c>
      <c r="CZ8" s="6">
        <v>46023</v>
      </c>
      <c r="DA8" s="6">
        <v>46023</v>
      </c>
      <c r="DB8" s="6">
        <v>46023</v>
      </c>
      <c r="DC8" s="6">
        <v>46023</v>
      </c>
      <c r="DD8" s="6">
        <v>46023</v>
      </c>
      <c r="DE8" s="6">
        <v>46023</v>
      </c>
      <c r="DF8" s="6">
        <v>46023</v>
      </c>
      <c r="DG8" s="6">
        <v>46023</v>
      </c>
      <c r="DH8" s="6">
        <v>46023</v>
      </c>
      <c r="DI8" s="6">
        <v>46023</v>
      </c>
      <c r="DJ8" s="6">
        <v>46023</v>
      </c>
      <c r="DK8" s="6">
        <v>46023</v>
      </c>
      <c r="DL8" s="6">
        <v>46023</v>
      </c>
      <c r="DM8" s="6">
        <v>46023</v>
      </c>
      <c r="DN8" s="6">
        <v>46023</v>
      </c>
      <c r="DO8" s="6">
        <v>46023</v>
      </c>
      <c r="DP8" s="6">
        <v>46023</v>
      </c>
      <c r="DQ8" s="6">
        <v>46023</v>
      </c>
      <c r="DR8" s="6">
        <v>46023</v>
      </c>
      <c r="DS8" s="6">
        <v>46023</v>
      </c>
      <c r="DT8" s="6">
        <v>46023</v>
      </c>
      <c r="DU8" s="6">
        <v>46023</v>
      </c>
      <c r="DV8" s="6">
        <v>46023</v>
      </c>
      <c r="DW8" s="6">
        <v>46023</v>
      </c>
      <c r="DX8" s="6">
        <v>46023</v>
      </c>
      <c r="DY8" s="6">
        <v>46023</v>
      </c>
      <c r="DZ8" s="6">
        <v>46023</v>
      </c>
      <c r="EA8" s="6">
        <v>46023</v>
      </c>
      <c r="EB8" s="6">
        <v>46023</v>
      </c>
      <c r="EC8" s="6">
        <v>46023</v>
      </c>
      <c r="ED8" s="6">
        <v>46023</v>
      </c>
      <c r="EE8" s="6">
        <v>46023</v>
      </c>
      <c r="EF8" s="6">
        <v>46023</v>
      </c>
      <c r="EG8" s="6">
        <v>46023</v>
      </c>
      <c r="EH8" s="6">
        <v>46023</v>
      </c>
      <c r="EI8" s="6">
        <v>46023</v>
      </c>
      <c r="EJ8" s="6">
        <v>46023</v>
      </c>
      <c r="EK8" s="6">
        <v>46023</v>
      </c>
      <c r="EL8" s="6">
        <v>46023</v>
      </c>
      <c r="EM8" s="6">
        <v>46023</v>
      </c>
      <c r="EN8" s="6">
        <v>46023</v>
      </c>
      <c r="EO8" s="6">
        <v>46023</v>
      </c>
      <c r="EP8" s="6">
        <v>46023</v>
      </c>
      <c r="EQ8" s="6">
        <v>46023</v>
      </c>
      <c r="ER8" s="6">
        <v>46023</v>
      </c>
      <c r="ES8" s="6">
        <v>46023</v>
      </c>
      <c r="ET8" s="6">
        <v>46023</v>
      </c>
      <c r="EU8" s="6">
        <v>46023</v>
      </c>
      <c r="EV8" s="6">
        <v>46023</v>
      </c>
      <c r="EW8" s="6">
        <v>46023</v>
      </c>
      <c r="EX8" s="6">
        <v>46023</v>
      </c>
      <c r="EY8" s="6">
        <v>46023</v>
      </c>
      <c r="EZ8" s="6">
        <v>46023</v>
      </c>
      <c r="FA8" s="6">
        <v>46023</v>
      </c>
      <c r="FB8" s="6">
        <v>46023</v>
      </c>
      <c r="FC8" s="6">
        <v>46023</v>
      </c>
      <c r="FD8" s="6">
        <v>46023</v>
      </c>
      <c r="FE8" s="6">
        <v>46023</v>
      </c>
      <c r="FF8" s="6">
        <v>46023</v>
      </c>
      <c r="FG8" s="6">
        <v>46023</v>
      </c>
      <c r="FH8" s="6">
        <v>46023</v>
      </c>
      <c r="FI8" s="6">
        <v>46023</v>
      </c>
      <c r="FJ8" s="6">
        <v>46023</v>
      </c>
      <c r="FK8" s="6">
        <v>46023</v>
      </c>
      <c r="FL8" s="6">
        <v>46023</v>
      </c>
      <c r="FM8" s="6">
        <v>46023</v>
      </c>
      <c r="FN8" s="6">
        <v>46023</v>
      </c>
      <c r="FO8" s="6">
        <v>46023</v>
      </c>
      <c r="FP8" s="6">
        <v>46023</v>
      </c>
      <c r="FQ8" s="6">
        <v>46023</v>
      </c>
      <c r="FR8" s="6">
        <v>46023</v>
      </c>
      <c r="FS8" s="6">
        <v>46023</v>
      </c>
      <c r="FT8" s="6">
        <v>46023</v>
      </c>
      <c r="FU8" s="6">
        <v>46023</v>
      </c>
      <c r="FV8" s="6">
        <v>46023</v>
      </c>
      <c r="FW8" s="6">
        <v>46023</v>
      </c>
      <c r="FX8" s="6">
        <v>46023</v>
      </c>
      <c r="FY8" s="6">
        <v>46023</v>
      </c>
      <c r="FZ8" s="6">
        <v>46023</v>
      </c>
      <c r="GA8" s="6">
        <v>46023</v>
      </c>
      <c r="GB8" s="6">
        <v>46023</v>
      </c>
      <c r="GC8" s="6">
        <v>46023</v>
      </c>
      <c r="GD8" s="6">
        <v>46023</v>
      </c>
      <c r="GE8" s="6">
        <v>46023</v>
      </c>
      <c r="GF8" s="6">
        <v>46023</v>
      </c>
      <c r="GG8" s="6">
        <v>46023</v>
      </c>
      <c r="GH8" s="6">
        <v>46023</v>
      </c>
      <c r="GI8" s="6">
        <v>46023</v>
      </c>
      <c r="GJ8" s="6">
        <v>46023</v>
      </c>
      <c r="GK8" s="6">
        <v>46023</v>
      </c>
      <c r="GL8" s="6">
        <v>46023</v>
      </c>
      <c r="GM8" s="6">
        <v>46023</v>
      </c>
      <c r="GN8" s="6">
        <v>46023</v>
      </c>
      <c r="GO8" s="6">
        <v>46023</v>
      </c>
      <c r="GP8" s="6">
        <v>46023</v>
      </c>
      <c r="GQ8" s="6">
        <v>46023</v>
      </c>
      <c r="GR8" s="6">
        <v>46023</v>
      </c>
      <c r="GS8" s="6">
        <v>46023</v>
      </c>
      <c r="GT8" s="6">
        <v>46023</v>
      </c>
      <c r="GU8" s="6">
        <v>46023</v>
      </c>
      <c r="GV8" s="6">
        <v>46023</v>
      </c>
      <c r="GW8" s="6">
        <v>46023</v>
      </c>
      <c r="GX8" s="6">
        <v>46023</v>
      </c>
      <c r="GY8" s="6">
        <v>46023</v>
      </c>
      <c r="GZ8" s="6">
        <v>46023</v>
      </c>
      <c r="HA8" s="6">
        <v>46023</v>
      </c>
      <c r="HB8" s="6">
        <v>46023</v>
      </c>
      <c r="HC8" s="6">
        <v>46023</v>
      </c>
      <c r="HD8" s="6">
        <v>46023</v>
      </c>
      <c r="HE8" s="6">
        <v>46023</v>
      </c>
      <c r="HF8" s="6">
        <v>46023</v>
      </c>
      <c r="HG8" s="6">
        <v>46023</v>
      </c>
      <c r="HH8" s="6">
        <v>46023</v>
      </c>
      <c r="HI8" s="6">
        <v>46023</v>
      </c>
      <c r="HJ8" s="6">
        <v>46023</v>
      </c>
      <c r="HK8" s="6">
        <v>46023</v>
      </c>
      <c r="HL8" s="6">
        <v>46023</v>
      </c>
      <c r="HM8" s="6">
        <v>46023</v>
      </c>
      <c r="HN8" s="6">
        <v>46023</v>
      </c>
      <c r="HO8" s="6">
        <v>46023</v>
      </c>
      <c r="HP8" s="6">
        <v>46023</v>
      </c>
      <c r="HQ8" s="6">
        <v>46023</v>
      </c>
      <c r="HR8" s="6">
        <v>46023</v>
      </c>
      <c r="HS8" s="6">
        <v>46023</v>
      </c>
      <c r="HT8" s="6">
        <v>46023</v>
      </c>
      <c r="HU8" s="6">
        <v>46023</v>
      </c>
      <c r="HV8" s="6">
        <v>46023</v>
      </c>
      <c r="HW8" s="6">
        <v>46023</v>
      </c>
      <c r="HX8" s="6">
        <v>46023</v>
      </c>
      <c r="HY8" s="6">
        <v>46023</v>
      </c>
      <c r="HZ8" s="6">
        <v>46023</v>
      </c>
      <c r="IA8" s="6">
        <v>46023</v>
      </c>
      <c r="IB8" s="6">
        <v>46023</v>
      </c>
      <c r="IC8" s="6">
        <v>46023</v>
      </c>
      <c r="ID8" s="6">
        <v>46023</v>
      </c>
      <c r="IE8" s="6">
        <v>46023</v>
      </c>
      <c r="IF8" s="6">
        <v>46023</v>
      </c>
      <c r="IG8" s="6">
        <v>46023</v>
      </c>
      <c r="IH8" s="6">
        <v>46023</v>
      </c>
      <c r="II8" s="6">
        <v>46023</v>
      </c>
      <c r="IJ8" s="6">
        <v>46023</v>
      </c>
      <c r="IK8" s="6">
        <v>46023</v>
      </c>
      <c r="IL8" s="6">
        <v>46023</v>
      </c>
      <c r="IM8" s="6">
        <v>46023</v>
      </c>
      <c r="IN8" s="6">
        <v>46023</v>
      </c>
      <c r="IO8" s="6">
        <v>46023</v>
      </c>
      <c r="IP8" s="6">
        <v>46023</v>
      </c>
      <c r="IQ8" s="6">
        <v>46023</v>
      </c>
    </row>
    <row r="9" spans="1:251" x14ac:dyDescent="0.2">
      <c r="A9" s="4" t="s">
        <v>243</v>
      </c>
      <c r="B9" s="1">
        <v>22</v>
      </c>
      <c r="C9" s="1">
        <v>22</v>
      </c>
      <c r="D9" s="1">
        <v>101</v>
      </c>
      <c r="E9" s="1">
        <v>101</v>
      </c>
      <c r="F9" s="1">
        <v>101</v>
      </c>
      <c r="G9" s="1">
        <v>101</v>
      </c>
      <c r="H9" s="1">
        <v>101</v>
      </c>
      <c r="I9" s="1">
        <v>101</v>
      </c>
      <c r="J9" s="1">
        <v>101</v>
      </c>
      <c r="K9" s="1">
        <v>101</v>
      </c>
      <c r="L9" s="1">
        <v>101</v>
      </c>
      <c r="M9" s="1">
        <v>101</v>
      </c>
      <c r="N9" s="1">
        <v>101</v>
      </c>
      <c r="O9" s="1">
        <v>101</v>
      </c>
      <c r="P9" s="1">
        <v>101</v>
      </c>
      <c r="Q9" s="1">
        <v>101</v>
      </c>
      <c r="R9" s="1">
        <v>101</v>
      </c>
      <c r="S9" s="1">
        <v>101</v>
      </c>
      <c r="T9" s="1">
        <v>101</v>
      </c>
      <c r="U9" s="1">
        <v>101</v>
      </c>
      <c r="V9" s="1">
        <v>101</v>
      </c>
      <c r="W9" s="1">
        <v>101</v>
      </c>
      <c r="X9" s="1">
        <v>101</v>
      </c>
      <c r="Y9" s="1">
        <v>101</v>
      </c>
      <c r="Z9" s="1">
        <v>101</v>
      </c>
      <c r="AA9" s="1">
        <v>101</v>
      </c>
      <c r="AB9" s="1">
        <v>101</v>
      </c>
      <c r="AC9" s="1">
        <v>101</v>
      </c>
      <c r="AD9" s="1">
        <v>101</v>
      </c>
      <c r="AE9" s="1">
        <v>101</v>
      </c>
      <c r="AF9" s="1">
        <v>101</v>
      </c>
      <c r="AG9" s="1">
        <v>22</v>
      </c>
      <c r="AH9" s="1">
        <v>22</v>
      </c>
      <c r="AI9" s="1">
        <v>22</v>
      </c>
      <c r="AJ9" s="1">
        <v>22</v>
      </c>
      <c r="AK9" s="1">
        <v>22</v>
      </c>
      <c r="AL9" s="1">
        <v>101</v>
      </c>
      <c r="AM9" s="1">
        <v>22</v>
      </c>
      <c r="AN9" s="1">
        <v>101</v>
      </c>
      <c r="AO9" s="1">
        <v>101</v>
      </c>
      <c r="AP9" s="1">
        <v>101</v>
      </c>
      <c r="AQ9" s="1">
        <v>22</v>
      </c>
      <c r="AR9" s="1">
        <v>22</v>
      </c>
      <c r="AS9" s="1">
        <v>22</v>
      </c>
      <c r="AT9" s="1">
        <v>22</v>
      </c>
      <c r="AU9" s="1">
        <v>22</v>
      </c>
      <c r="AV9" s="1">
        <v>22</v>
      </c>
      <c r="AW9" s="1">
        <v>22</v>
      </c>
      <c r="AX9" s="1">
        <v>22</v>
      </c>
      <c r="AY9" s="1">
        <v>22</v>
      </c>
      <c r="AZ9" s="1">
        <v>22</v>
      </c>
      <c r="BA9" s="1">
        <v>22</v>
      </c>
      <c r="BB9" s="1">
        <v>22</v>
      </c>
      <c r="BC9" s="1">
        <v>22</v>
      </c>
      <c r="BD9" s="1">
        <v>43</v>
      </c>
      <c r="BE9" s="1">
        <v>43</v>
      </c>
      <c r="BF9" s="1">
        <v>101</v>
      </c>
      <c r="BG9" s="1">
        <v>101</v>
      </c>
      <c r="BH9" s="1">
        <v>22</v>
      </c>
      <c r="BI9" s="1">
        <v>22</v>
      </c>
      <c r="BJ9" s="1">
        <v>101</v>
      </c>
      <c r="BK9" s="1">
        <v>22</v>
      </c>
      <c r="BL9" s="1">
        <v>22</v>
      </c>
      <c r="BM9" s="1">
        <v>52</v>
      </c>
      <c r="BN9" s="1">
        <v>52</v>
      </c>
      <c r="BO9" s="1">
        <v>22</v>
      </c>
      <c r="BP9" s="1">
        <v>22</v>
      </c>
      <c r="BQ9" s="1">
        <v>22</v>
      </c>
      <c r="BR9" s="1">
        <v>22</v>
      </c>
      <c r="BS9" s="1">
        <v>22</v>
      </c>
      <c r="BT9" s="1">
        <v>22</v>
      </c>
      <c r="BU9" s="1">
        <v>22</v>
      </c>
      <c r="BV9" s="1">
        <v>22</v>
      </c>
      <c r="BW9" s="1">
        <v>22</v>
      </c>
      <c r="BX9" s="1">
        <v>22</v>
      </c>
      <c r="BY9" s="1">
        <v>22</v>
      </c>
      <c r="BZ9" s="1">
        <v>101</v>
      </c>
      <c r="CA9" s="1">
        <v>101</v>
      </c>
      <c r="CB9" s="1">
        <v>101</v>
      </c>
      <c r="CC9" s="1">
        <v>101</v>
      </c>
      <c r="CD9" s="1">
        <v>22</v>
      </c>
      <c r="CE9" s="1">
        <v>22</v>
      </c>
      <c r="CF9" s="1">
        <v>22</v>
      </c>
      <c r="CG9" s="1">
        <v>22</v>
      </c>
      <c r="CH9" s="1">
        <v>22</v>
      </c>
      <c r="CI9" s="1">
        <v>22</v>
      </c>
      <c r="CJ9" s="1">
        <v>22</v>
      </c>
      <c r="CK9" s="1">
        <v>22</v>
      </c>
      <c r="CL9" s="1">
        <v>22</v>
      </c>
      <c r="CM9" s="1">
        <v>22</v>
      </c>
      <c r="CN9" s="1">
        <v>22</v>
      </c>
      <c r="CO9" s="1">
        <v>22</v>
      </c>
      <c r="CP9" s="1">
        <v>22</v>
      </c>
      <c r="CQ9" s="1">
        <v>22</v>
      </c>
      <c r="CR9" s="1">
        <v>22</v>
      </c>
      <c r="CS9" s="1">
        <v>101</v>
      </c>
      <c r="CT9" s="1">
        <v>22</v>
      </c>
      <c r="CU9" s="1">
        <v>22</v>
      </c>
      <c r="CV9" s="1">
        <v>22</v>
      </c>
      <c r="CW9" s="1">
        <v>22</v>
      </c>
      <c r="CX9" s="1">
        <v>22</v>
      </c>
      <c r="CY9" s="1">
        <v>22</v>
      </c>
      <c r="CZ9" s="1">
        <v>43</v>
      </c>
      <c r="DA9" s="1">
        <v>22</v>
      </c>
      <c r="DB9" s="1">
        <v>22</v>
      </c>
      <c r="DC9" s="1">
        <v>22</v>
      </c>
      <c r="DD9" s="1">
        <v>22</v>
      </c>
      <c r="DE9" s="1">
        <v>22</v>
      </c>
      <c r="DF9" s="1">
        <v>22</v>
      </c>
      <c r="DG9" s="1">
        <v>22</v>
      </c>
      <c r="DH9" s="1">
        <v>22</v>
      </c>
      <c r="DI9" s="1">
        <v>101</v>
      </c>
      <c r="DJ9" s="1">
        <v>101</v>
      </c>
      <c r="DK9" s="1">
        <v>101</v>
      </c>
      <c r="DL9" s="1">
        <v>22</v>
      </c>
      <c r="DM9" s="1">
        <v>22</v>
      </c>
      <c r="DN9" s="1">
        <v>22</v>
      </c>
      <c r="DO9" s="1">
        <v>101</v>
      </c>
      <c r="DP9" s="1">
        <v>22</v>
      </c>
      <c r="DQ9" s="1">
        <v>22</v>
      </c>
      <c r="DR9" s="1">
        <v>22</v>
      </c>
      <c r="DS9" s="1">
        <v>22</v>
      </c>
      <c r="DT9" s="1">
        <v>22</v>
      </c>
      <c r="DU9" s="1">
        <v>22</v>
      </c>
      <c r="DV9" s="1">
        <v>101</v>
      </c>
      <c r="DW9" s="1">
        <v>101</v>
      </c>
      <c r="DX9" s="1">
        <v>22</v>
      </c>
      <c r="DY9" s="1">
        <v>22</v>
      </c>
      <c r="DZ9" s="1">
        <v>22</v>
      </c>
      <c r="EA9" s="1">
        <v>101</v>
      </c>
      <c r="EB9" s="1">
        <v>101</v>
      </c>
      <c r="EC9" s="1">
        <v>101</v>
      </c>
      <c r="ED9" s="1">
        <v>22</v>
      </c>
      <c r="EE9" s="1">
        <v>22</v>
      </c>
      <c r="EF9" s="1">
        <v>101</v>
      </c>
      <c r="EG9" s="1">
        <v>101</v>
      </c>
      <c r="EH9" s="1">
        <v>101</v>
      </c>
      <c r="EI9" s="1">
        <v>101</v>
      </c>
      <c r="EJ9" s="1">
        <v>101</v>
      </c>
      <c r="EK9" s="1">
        <v>101</v>
      </c>
      <c r="EL9" s="1">
        <v>101</v>
      </c>
      <c r="EM9" s="1">
        <v>101</v>
      </c>
      <c r="EN9" s="1">
        <v>101</v>
      </c>
      <c r="EO9" s="1">
        <v>101</v>
      </c>
      <c r="EP9" s="1">
        <v>101</v>
      </c>
      <c r="EQ9" s="1">
        <v>101</v>
      </c>
      <c r="ER9" s="1">
        <v>101</v>
      </c>
      <c r="ES9" s="1">
        <v>101</v>
      </c>
      <c r="ET9" s="1">
        <v>101</v>
      </c>
      <c r="EU9" s="1">
        <v>101</v>
      </c>
      <c r="EV9" s="1">
        <v>101</v>
      </c>
      <c r="EW9" s="1">
        <v>101</v>
      </c>
      <c r="EX9" s="1">
        <v>101</v>
      </c>
      <c r="EY9" s="1">
        <v>101</v>
      </c>
      <c r="EZ9" s="1">
        <v>101</v>
      </c>
      <c r="FA9" s="1">
        <v>101</v>
      </c>
      <c r="FB9" s="1">
        <v>101</v>
      </c>
      <c r="FC9" s="1">
        <v>101</v>
      </c>
      <c r="FD9" s="1">
        <v>101</v>
      </c>
      <c r="FE9" s="1">
        <v>101</v>
      </c>
      <c r="FF9" s="1">
        <v>101</v>
      </c>
      <c r="FG9" s="1">
        <v>101</v>
      </c>
      <c r="FH9" s="1">
        <v>101</v>
      </c>
      <c r="FI9" s="1">
        <v>22</v>
      </c>
      <c r="FJ9" s="1">
        <v>22</v>
      </c>
      <c r="FK9" s="1">
        <v>22</v>
      </c>
      <c r="FL9" s="1">
        <v>22</v>
      </c>
      <c r="FM9" s="1">
        <v>22</v>
      </c>
      <c r="FN9" s="1">
        <v>101</v>
      </c>
      <c r="FO9" s="1">
        <v>22</v>
      </c>
      <c r="FP9" s="1">
        <v>101</v>
      </c>
      <c r="FQ9" s="1">
        <v>101</v>
      </c>
      <c r="FR9" s="1">
        <v>101</v>
      </c>
      <c r="FS9" s="1">
        <v>22</v>
      </c>
      <c r="FT9" s="1">
        <v>22</v>
      </c>
      <c r="FU9" s="1">
        <v>22</v>
      </c>
      <c r="FV9" s="1">
        <v>22</v>
      </c>
      <c r="FW9" s="1">
        <v>22</v>
      </c>
      <c r="FX9" s="1">
        <v>22</v>
      </c>
      <c r="FY9" s="1">
        <v>22</v>
      </c>
      <c r="FZ9" s="1">
        <v>22</v>
      </c>
      <c r="GA9" s="1">
        <v>22</v>
      </c>
      <c r="GB9" s="1">
        <v>22</v>
      </c>
      <c r="GC9" s="1">
        <v>22</v>
      </c>
      <c r="GD9" s="1">
        <v>22</v>
      </c>
      <c r="GE9" s="1">
        <v>22</v>
      </c>
      <c r="GF9" s="1">
        <v>43</v>
      </c>
      <c r="GG9" s="1">
        <v>43</v>
      </c>
      <c r="GH9" s="1">
        <v>101</v>
      </c>
      <c r="GI9" s="1">
        <v>101</v>
      </c>
      <c r="GJ9" s="1">
        <v>22</v>
      </c>
      <c r="GK9" s="1">
        <v>22</v>
      </c>
      <c r="GL9" s="1">
        <v>101</v>
      </c>
      <c r="GM9" s="1">
        <v>22</v>
      </c>
      <c r="GN9" s="1">
        <v>22</v>
      </c>
      <c r="GO9" s="1">
        <v>52</v>
      </c>
      <c r="GP9" s="1">
        <v>52</v>
      </c>
      <c r="GQ9" s="1">
        <v>22</v>
      </c>
      <c r="GR9" s="1">
        <v>22</v>
      </c>
      <c r="GS9" s="1">
        <v>22</v>
      </c>
      <c r="GT9" s="1">
        <v>22</v>
      </c>
      <c r="GU9" s="1">
        <v>22</v>
      </c>
      <c r="GV9" s="1">
        <v>22</v>
      </c>
      <c r="GW9" s="1">
        <v>22</v>
      </c>
      <c r="GX9" s="1">
        <v>22</v>
      </c>
      <c r="GY9" s="1">
        <v>22</v>
      </c>
      <c r="GZ9" s="1">
        <v>22</v>
      </c>
      <c r="HA9" s="1">
        <v>22</v>
      </c>
      <c r="HB9" s="1">
        <v>101</v>
      </c>
      <c r="HC9" s="1">
        <v>101</v>
      </c>
      <c r="HD9" s="1">
        <v>101</v>
      </c>
      <c r="HE9" s="1">
        <v>101</v>
      </c>
      <c r="HF9" s="1">
        <v>22</v>
      </c>
      <c r="HG9" s="1">
        <v>22</v>
      </c>
      <c r="HH9" s="1">
        <v>22</v>
      </c>
      <c r="HI9" s="1">
        <v>22</v>
      </c>
      <c r="HJ9" s="1">
        <v>22</v>
      </c>
      <c r="HK9" s="1">
        <v>22</v>
      </c>
      <c r="HL9" s="1">
        <v>22</v>
      </c>
      <c r="HM9" s="1">
        <v>22</v>
      </c>
      <c r="HN9" s="1">
        <v>22</v>
      </c>
      <c r="HO9" s="1">
        <v>22</v>
      </c>
      <c r="HP9" s="1">
        <v>22</v>
      </c>
      <c r="HQ9" s="1">
        <v>22</v>
      </c>
      <c r="HR9" s="1">
        <v>22</v>
      </c>
      <c r="HS9" s="1">
        <v>22</v>
      </c>
      <c r="HT9" s="1">
        <v>22</v>
      </c>
      <c r="HU9" s="1">
        <v>101</v>
      </c>
      <c r="HV9" s="1">
        <v>22</v>
      </c>
      <c r="HW9" s="1">
        <v>22</v>
      </c>
      <c r="HX9" s="1">
        <v>22</v>
      </c>
      <c r="HY9" s="1">
        <v>22</v>
      </c>
      <c r="HZ9" s="1">
        <v>22</v>
      </c>
      <c r="IA9" s="1">
        <v>22</v>
      </c>
      <c r="IB9" s="1">
        <v>43</v>
      </c>
      <c r="IC9" s="1">
        <v>22</v>
      </c>
      <c r="ID9" s="1">
        <v>22</v>
      </c>
      <c r="IE9" s="1">
        <v>22</v>
      </c>
      <c r="IF9" s="1">
        <v>22</v>
      </c>
      <c r="IG9" s="1">
        <v>22</v>
      </c>
      <c r="IH9" s="1">
        <v>22</v>
      </c>
      <c r="II9" s="1">
        <v>22</v>
      </c>
      <c r="IJ9" s="1">
        <v>22</v>
      </c>
      <c r="IK9" s="1">
        <v>101</v>
      </c>
      <c r="IL9" s="1">
        <v>101</v>
      </c>
      <c r="IM9" s="1">
        <v>101</v>
      </c>
      <c r="IN9" s="1">
        <v>22</v>
      </c>
      <c r="IO9" s="1">
        <v>22</v>
      </c>
      <c r="IP9" s="1">
        <v>22</v>
      </c>
      <c r="IQ9" s="1">
        <v>101</v>
      </c>
    </row>
    <row r="10" spans="1:251" x14ac:dyDescent="0.2">
      <c r="A10" s="4" t="s">
        <v>244</v>
      </c>
      <c r="B10" s="7" t="s">
        <v>249</v>
      </c>
      <c r="C10" s="7" t="s">
        <v>250</v>
      </c>
      <c r="D10" s="7" t="s">
        <v>251</v>
      </c>
      <c r="E10" s="7" t="s">
        <v>252</v>
      </c>
      <c r="F10" s="7" t="s">
        <v>253</v>
      </c>
      <c r="G10" s="7" t="s">
        <v>254</v>
      </c>
      <c r="H10" s="7" t="s">
        <v>255</v>
      </c>
      <c r="I10" s="7" t="s">
        <v>256</v>
      </c>
      <c r="J10" s="7" t="s">
        <v>257</v>
      </c>
      <c r="K10" s="7" t="s">
        <v>258</v>
      </c>
      <c r="L10" s="7" t="s">
        <v>259</v>
      </c>
      <c r="M10" s="7" t="s">
        <v>260</v>
      </c>
      <c r="N10" s="7" t="s">
        <v>261</v>
      </c>
      <c r="O10" s="7" t="s">
        <v>262</v>
      </c>
      <c r="P10" s="7" t="s">
        <v>263</v>
      </c>
      <c r="Q10" s="7" t="s">
        <v>264</v>
      </c>
      <c r="R10" s="7" t="s">
        <v>265</v>
      </c>
      <c r="S10" s="7" t="s">
        <v>266</v>
      </c>
      <c r="T10" s="7" t="s">
        <v>267</v>
      </c>
      <c r="U10" s="7" t="s">
        <v>268</v>
      </c>
      <c r="V10" s="7" t="s">
        <v>269</v>
      </c>
      <c r="W10" s="7" t="s">
        <v>270</v>
      </c>
      <c r="X10" s="7" t="s">
        <v>271</v>
      </c>
      <c r="Y10" s="7" t="s">
        <v>272</v>
      </c>
      <c r="Z10" s="7" t="s">
        <v>273</v>
      </c>
      <c r="AA10" s="7" t="s">
        <v>274</v>
      </c>
      <c r="AB10" s="7" t="s">
        <v>275</v>
      </c>
      <c r="AC10" s="7" t="s">
        <v>276</v>
      </c>
      <c r="AD10" s="7" t="s">
        <v>277</v>
      </c>
      <c r="AE10" s="7" t="s">
        <v>278</v>
      </c>
      <c r="AF10" s="7" t="s">
        <v>279</v>
      </c>
      <c r="AG10" s="7" t="s">
        <v>280</v>
      </c>
      <c r="AH10" s="7" t="s">
        <v>281</v>
      </c>
      <c r="AI10" s="7" t="s">
        <v>282</v>
      </c>
      <c r="AJ10" s="7" t="s">
        <v>283</v>
      </c>
      <c r="AK10" s="7" t="s">
        <v>284</v>
      </c>
      <c r="AL10" s="7" t="s">
        <v>285</v>
      </c>
      <c r="AM10" s="7" t="s">
        <v>286</v>
      </c>
      <c r="AN10" s="7" t="s">
        <v>287</v>
      </c>
      <c r="AO10" s="7" t="s">
        <v>288</v>
      </c>
      <c r="AP10" s="7" t="s">
        <v>289</v>
      </c>
      <c r="AQ10" s="7" t="s">
        <v>290</v>
      </c>
      <c r="AR10" s="7" t="s">
        <v>291</v>
      </c>
      <c r="AS10" s="7" t="s">
        <v>292</v>
      </c>
      <c r="AT10" s="7" t="s">
        <v>293</v>
      </c>
      <c r="AU10" s="7" t="s">
        <v>294</v>
      </c>
      <c r="AV10" s="7" t="s">
        <v>295</v>
      </c>
      <c r="AW10" s="7" t="s">
        <v>296</v>
      </c>
      <c r="AX10" s="7" t="s">
        <v>297</v>
      </c>
      <c r="AY10" s="7" t="s">
        <v>298</v>
      </c>
      <c r="AZ10" s="7" t="s">
        <v>299</v>
      </c>
      <c r="BA10" s="7" t="s">
        <v>300</v>
      </c>
      <c r="BB10" s="7" t="s">
        <v>301</v>
      </c>
      <c r="BC10" s="7" t="s">
        <v>302</v>
      </c>
      <c r="BD10" s="7" t="s">
        <v>303</v>
      </c>
      <c r="BE10" s="7" t="s">
        <v>304</v>
      </c>
      <c r="BF10" s="7" t="s">
        <v>305</v>
      </c>
      <c r="BG10" s="7" t="s">
        <v>306</v>
      </c>
      <c r="BH10" s="7" t="s">
        <v>307</v>
      </c>
      <c r="BI10" s="7" t="s">
        <v>308</v>
      </c>
      <c r="BJ10" s="7" t="s">
        <v>309</v>
      </c>
      <c r="BK10" s="7" t="s">
        <v>310</v>
      </c>
      <c r="BL10" s="7" t="s">
        <v>311</v>
      </c>
      <c r="BM10" s="7" t="s">
        <v>312</v>
      </c>
      <c r="BN10" s="7" t="s">
        <v>313</v>
      </c>
      <c r="BO10" s="7" t="s">
        <v>314</v>
      </c>
      <c r="BP10" s="7" t="s">
        <v>315</v>
      </c>
      <c r="BQ10" s="7" t="s">
        <v>316</v>
      </c>
      <c r="BR10" s="7" t="s">
        <v>317</v>
      </c>
      <c r="BS10" s="7" t="s">
        <v>318</v>
      </c>
      <c r="BT10" s="7" t="s">
        <v>319</v>
      </c>
      <c r="BU10" s="7" t="s">
        <v>320</v>
      </c>
      <c r="BV10" s="7" t="s">
        <v>321</v>
      </c>
      <c r="BW10" s="7" t="s">
        <v>322</v>
      </c>
      <c r="BX10" s="7" t="s">
        <v>323</v>
      </c>
      <c r="BY10" s="7" t="s">
        <v>324</v>
      </c>
      <c r="BZ10" s="7" t="s">
        <v>325</v>
      </c>
      <c r="CA10" s="7" t="s">
        <v>326</v>
      </c>
      <c r="CB10" s="7" t="s">
        <v>327</v>
      </c>
      <c r="CC10" s="7" t="s">
        <v>328</v>
      </c>
      <c r="CD10" s="7" t="s">
        <v>329</v>
      </c>
      <c r="CE10" s="7" t="s">
        <v>330</v>
      </c>
      <c r="CF10" s="7" t="s">
        <v>331</v>
      </c>
      <c r="CG10" s="7" t="s">
        <v>332</v>
      </c>
      <c r="CH10" s="7" t="s">
        <v>333</v>
      </c>
      <c r="CI10" s="7" t="s">
        <v>334</v>
      </c>
      <c r="CJ10" s="7" t="s">
        <v>335</v>
      </c>
      <c r="CK10" s="7" t="s">
        <v>336</v>
      </c>
      <c r="CL10" s="7" t="s">
        <v>337</v>
      </c>
      <c r="CM10" s="7" t="s">
        <v>338</v>
      </c>
      <c r="CN10" s="7" t="s">
        <v>339</v>
      </c>
      <c r="CO10" s="7" t="s">
        <v>340</v>
      </c>
      <c r="CP10" s="7" t="s">
        <v>341</v>
      </c>
      <c r="CQ10" s="7" t="s">
        <v>342</v>
      </c>
      <c r="CR10" s="7" t="s">
        <v>343</v>
      </c>
      <c r="CS10" s="7" t="s">
        <v>344</v>
      </c>
      <c r="CT10" s="7" t="s">
        <v>345</v>
      </c>
      <c r="CU10" s="7" t="s">
        <v>346</v>
      </c>
      <c r="CV10" s="7" t="s">
        <v>347</v>
      </c>
      <c r="CW10" s="7" t="s">
        <v>348</v>
      </c>
      <c r="CX10" s="7" t="s">
        <v>349</v>
      </c>
      <c r="CY10" s="7" t="s">
        <v>350</v>
      </c>
      <c r="CZ10" s="7" t="s">
        <v>351</v>
      </c>
      <c r="DA10" s="7" t="s">
        <v>352</v>
      </c>
      <c r="DB10" s="7" t="s">
        <v>353</v>
      </c>
      <c r="DC10" s="7" t="s">
        <v>354</v>
      </c>
      <c r="DD10" s="7" t="s">
        <v>355</v>
      </c>
      <c r="DE10" s="7" t="s">
        <v>356</v>
      </c>
      <c r="DF10" s="7" t="s">
        <v>357</v>
      </c>
      <c r="DG10" s="7" t="s">
        <v>358</v>
      </c>
      <c r="DH10" s="7" t="s">
        <v>359</v>
      </c>
      <c r="DI10" s="7" t="s">
        <v>360</v>
      </c>
      <c r="DJ10" s="7" t="s">
        <v>361</v>
      </c>
      <c r="DK10" s="7" t="s">
        <v>362</v>
      </c>
      <c r="DL10" s="7" t="s">
        <v>363</v>
      </c>
      <c r="DM10" s="7" t="s">
        <v>364</v>
      </c>
      <c r="DN10" s="7" t="s">
        <v>365</v>
      </c>
      <c r="DO10" s="7" t="s">
        <v>366</v>
      </c>
      <c r="DP10" s="7" t="s">
        <v>367</v>
      </c>
      <c r="DQ10" s="7" t="s">
        <v>368</v>
      </c>
      <c r="DR10" s="7" t="s">
        <v>369</v>
      </c>
      <c r="DS10" s="7" t="s">
        <v>370</v>
      </c>
      <c r="DT10" s="7" t="s">
        <v>371</v>
      </c>
      <c r="DU10" s="7" t="s">
        <v>372</v>
      </c>
      <c r="DV10" s="7" t="s">
        <v>373</v>
      </c>
      <c r="DW10" s="7" t="s">
        <v>374</v>
      </c>
      <c r="DX10" s="7" t="s">
        <v>375</v>
      </c>
      <c r="DY10" s="7" t="s">
        <v>376</v>
      </c>
      <c r="DZ10" s="7" t="s">
        <v>377</v>
      </c>
      <c r="EA10" s="7" t="s">
        <v>378</v>
      </c>
      <c r="EB10" s="7" t="s">
        <v>379</v>
      </c>
      <c r="EC10" s="7" t="s">
        <v>380</v>
      </c>
      <c r="ED10" s="7" t="s">
        <v>381</v>
      </c>
      <c r="EE10" s="7" t="s">
        <v>382</v>
      </c>
      <c r="EF10" s="7" t="s">
        <v>383</v>
      </c>
      <c r="EG10" s="7" t="s">
        <v>384</v>
      </c>
      <c r="EH10" s="7" t="s">
        <v>385</v>
      </c>
      <c r="EI10" s="7" t="s">
        <v>386</v>
      </c>
      <c r="EJ10" s="7" t="s">
        <v>387</v>
      </c>
      <c r="EK10" s="7" t="s">
        <v>388</v>
      </c>
      <c r="EL10" s="7" t="s">
        <v>389</v>
      </c>
      <c r="EM10" s="7" t="s">
        <v>390</v>
      </c>
      <c r="EN10" s="7" t="s">
        <v>391</v>
      </c>
      <c r="EO10" s="7" t="s">
        <v>392</v>
      </c>
      <c r="EP10" s="7" t="s">
        <v>393</v>
      </c>
      <c r="EQ10" s="7" t="s">
        <v>394</v>
      </c>
      <c r="ER10" s="7" t="s">
        <v>395</v>
      </c>
      <c r="ES10" s="7" t="s">
        <v>396</v>
      </c>
      <c r="ET10" s="7" t="s">
        <v>397</v>
      </c>
      <c r="EU10" s="7" t="s">
        <v>398</v>
      </c>
      <c r="EV10" s="7" t="s">
        <v>399</v>
      </c>
      <c r="EW10" s="7" t="s">
        <v>400</v>
      </c>
      <c r="EX10" s="7" t="s">
        <v>401</v>
      </c>
      <c r="EY10" s="7" t="s">
        <v>402</v>
      </c>
      <c r="EZ10" s="7" t="s">
        <v>403</v>
      </c>
      <c r="FA10" s="7" t="s">
        <v>404</v>
      </c>
      <c r="FB10" s="7" t="s">
        <v>405</v>
      </c>
      <c r="FC10" s="7" t="s">
        <v>406</v>
      </c>
      <c r="FD10" s="7" t="s">
        <v>407</v>
      </c>
      <c r="FE10" s="7" t="s">
        <v>408</v>
      </c>
      <c r="FF10" s="7" t="s">
        <v>409</v>
      </c>
      <c r="FG10" s="7" t="s">
        <v>410</v>
      </c>
      <c r="FH10" s="7" t="s">
        <v>411</v>
      </c>
      <c r="FI10" s="7" t="s">
        <v>412</v>
      </c>
      <c r="FJ10" s="7" t="s">
        <v>413</v>
      </c>
      <c r="FK10" s="7" t="s">
        <v>414</v>
      </c>
      <c r="FL10" s="7" t="s">
        <v>415</v>
      </c>
      <c r="FM10" s="7" t="s">
        <v>416</v>
      </c>
      <c r="FN10" s="7" t="s">
        <v>417</v>
      </c>
      <c r="FO10" s="7" t="s">
        <v>418</v>
      </c>
      <c r="FP10" s="7" t="s">
        <v>419</v>
      </c>
      <c r="FQ10" s="7" t="s">
        <v>420</v>
      </c>
      <c r="FR10" s="7" t="s">
        <v>421</v>
      </c>
      <c r="FS10" s="7" t="s">
        <v>422</v>
      </c>
      <c r="FT10" s="7" t="s">
        <v>423</v>
      </c>
      <c r="FU10" s="7" t="s">
        <v>424</v>
      </c>
      <c r="FV10" s="7" t="s">
        <v>425</v>
      </c>
      <c r="FW10" s="7" t="s">
        <v>426</v>
      </c>
      <c r="FX10" s="7" t="s">
        <v>427</v>
      </c>
      <c r="FY10" s="7" t="s">
        <v>428</v>
      </c>
      <c r="FZ10" s="7" t="s">
        <v>429</v>
      </c>
      <c r="GA10" s="7" t="s">
        <v>430</v>
      </c>
      <c r="GB10" s="7" t="s">
        <v>431</v>
      </c>
      <c r="GC10" s="7" t="s">
        <v>432</v>
      </c>
      <c r="GD10" s="7" t="s">
        <v>433</v>
      </c>
      <c r="GE10" s="7" t="s">
        <v>434</v>
      </c>
      <c r="GF10" s="7" t="s">
        <v>435</v>
      </c>
      <c r="GG10" s="7" t="s">
        <v>436</v>
      </c>
      <c r="GH10" s="7" t="s">
        <v>437</v>
      </c>
      <c r="GI10" s="7" t="s">
        <v>438</v>
      </c>
      <c r="GJ10" s="7" t="s">
        <v>439</v>
      </c>
      <c r="GK10" s="7" t="s">
        <v>440</v>
      </c>
      <c r="GL10" s="7" t="s">
        <v>441</v>
      </c>
      <c r="GM10" s="7" t="s">
        <v>442</v>
      </c>
      <c r="GN10" s="7" t="s">
        <v>443</v>
      </c>
      <c r="GO10" s="7" t="s">
        <v>444</v>
      </c>
      <c r="GP10" s="7" t="s">
        <v>445</v>
      </c>
      <c r="GQ10" s="7" t="s">
        <v>446</v>
      </c>
      <c r="GR10" s="7" t="s">
        <v>447</v>
      </c>
      <c r="GS10" s="7" t="s">
        <v>448</v>
      </c>
      <c r="GT10" s="7" t="s">
        <v>449</v>
      </c>
      <c r="GU10" s="7" t="s">
        <v>450</v>
      </c>
      <c r="GV10" s="7" t="s">
        <v>451</v>
      </c>
      <c r="GW10" s="7" t="s">
        <v>452</v>
      </c>
      <c r="GX10" s="7" t="s">
        <v>453</v>
      </c>
      <c r="GY10" s="7" t="s">
        <v>454</v>
      </c>
      <c r="GZ10" s="7" t="s">
        <v>455</v>
      </c>
      <c r="HA10" s="7" t="s">
        <v>456</v>
      </c>
      <c r="HB10" s="7" t="s">
        <v>457</v>
      </c>
      <c r="HC10" s="7" t="s">
        <v>458</v>
      </c>
      <c r="HD10" s="7" t="s">
        <v>459</v>
      </c>
      <c r="HE10" s="7" t="s">
        <v>460</v>
      </c>
      <c r="HF10" s="7" t="s">
        <v>461</v>
      </c>
      <c r="HG10" s="7" t="s">
        <v>462</v>
      </c>
      <c r="HH10" s="7" t="s">
        <v>463</v>
      </c>
      <c r="HI10" s="7" t="s">
        <v>464</v>
      </c>
      <c r="HJ10" s="7" t="s">
        <v>465</v>
      </c>
      <c r="HK10" s="7" t="s">
        <v>466</v>
      </c>
      <c r="HL10" s="7" t="s">
        <v>467</v>
      </c>
      <c r="HM10" s="7" t="s">
        <v>468</v>
      </c>
      <c r="HN10" s="7" t="s">
        <v>469</v>
      </c>
      <c r="HO10" s="7" t="s">
        <v>470</v>
      </c>
      <c r="HP10" s="7" t="s">
        <v>471</v>
      </c>
      <c r="HQ10" s="7" t="s">
        <v>472</v>
      </c>
      <c r="HR10" s="7" t="s">
        <v>473</v>
      </c>
      <c r="HS10" s="7" t="s">
        <v>474</v>
      </c>
      <c r="HT10" s="7" t="s">
        <v>475</v>
      </c>
      <c r="HU10" s="7" t="s">
        <v>476</v>
      </c>
      <c r="HV10" s="7" t="s">
        <v>477</v>
      </c>
      <c r="HW10" s="7" t="s">
        <v>478</v>
      </c>
      <c r="HX10" s="7" t="s">
        <v>479</v>
      </c>
      <c r="HY10" s="7" t="s">
        <v>480</v>
      </c>
      <c r="HZ10" s="7" t="s">
        <v>481</v>
      </c>
      <c r="IA10" s="7" t="s">
        <v>482</v>
      </c>
      <c r="IB10" s="7" t="s">
        <v>483</v>
      </c>
      <c r="IC10" s="7" t="s">
        <v>484</v>
      </c>
      <c r="ID10" s="7" t="s">
        <v>485</v>
      </c>
      <c r="IE10" s="7" t="s">
        <v>486</v>
      </c>
      <c r="IF10" s="7" t="s">
        <v>487</v>
      </c>
      <c r="IG10" s="7" t="s">
        <v>488</v>
      </c>
      <c r="IH10" s="7" t="s">
        <v>489</v>
      </c>
      <c r="II10" s="7" t="s">
        <v>490</v>
      </c>
      <c r="IJ10" s="7" t="s">
        <v>491</v>
      </c>
      <c r="IK10" s="7" t="s">
        <v>492</v>
      </c>
      <c r="IL10" s="7" t="s">
        <v>493</v>
      </c>
      <c r="IM10" s="7" t="s">
        <v>494</v>
      </c>
      <c r="IN10" s="7" t="s">
        <v>495</v>
      </c>
      <c r="IO10" s="7" t="s">
        <v>496</v>
      </c>
      <c r="IP10" s="7" t="s">
        <v>497</v>
      </c>
      <c r="IQ10" s="7" t="s">
        <v>498</v>
      </c>
    </row>
    <row r="11" spans="1:251" x14ac:dyDescent="0.2">
      <c r="A11" s="9">
        <v>42979</v>
      </c>
      <c r="D11" s="8">
        <v>73.27</v>
      </c>
      <c r="E11" s="8">
        <v>72.62</v>
      </c>
      <c r="F11" s="8">
        <v>73.55</v>
      </c>
      <c r="G11" s="8">
        <v>72.44</v>
      </c>
      <c r="H11" s="8">
        <v>75.33</v>
      </c>
      <c r="I11" s="8">
        <v>75.89</v>
      </c>
      <c r="J11" s="8">
        <v>68.25</v>
      </c>
      <c r="K11" s="8">
        <v>78.489999999999995</v>
      </c>
      <c r="L11" s="8">
        <v>68.349999999999994</v>
      </c>
      <c r="M11" s="8">
        <v>81.7</v>
      </c>
      <c r="N11" s="8">
        <v>78.069999999999993</v>
      </c>
      <c r="O11" s="8">
        <v>79.19</v>
      </c>
      <c r="P11" s="8">
        <v>72.02</v>
      </c>
      <c r="Q11" s="8">
        <v>70.23</v>
      </c>
      <c r="R11" s="8">
        <v>72.55</v>
      </c>
      <c r="S11" s="8">
        <v>73.22</v>
      </c>
      <c r="T11" s="8">
        <v>73.34</v>
      </c>
      <c r="U11" s="8">
        <v>70.78</v>
      </c>
      <c r="V11" s="8">
        <v>75.66</v>
      </c>
      <c r="W11" s="8">
        <v>73.52</v>
      </c>
      <c r="X11" s="8">
        <v>63.06</v>
      </c>
      <c r="Y11" s="8">
        <v>79.91</v>
      </c>
      <c r="Z11" s="8">
        <v>81.33</v>
      </c>
      <c r="AA11" s="8">
        <v>63.18</v>
      </c>
      <c r="AB11" s="8">
        <v>71.59</v>
      </c>
      <c r="AC11" s="8">
        <v>78.650000000000006</v>
      </c>
      <c r="AD11" s="8">
        <v>72.989999999999995</v>
      </c>
      <c r="AE11" s="8">
        <v>68.52</v>
      </c>
      <c r="AF11" s="8">
        <v>74.09</v>
      </c>
      <c r="AL11" s="8">
        <v>77.41</v>
      </c>
      <c r="AN11" s="8">
        <v>72.53</v>
      </c>
      <c r="AO11" s="8">
        <v>43.44</v>
      </c>
      <c r="AP11" s="8">
        <v>43.44</v>
      </c>
      <c r="BF11" s="8">
        <v>72.63</v>
      </c>
      <c r="BG11" s="8">
        <v>72.63</v>
      </c>
      <c r="BJ11" s="8">
        <v>76.5</v>
      </c>
      <c r="BZ11" s="8">
        <v>82.94</v>
      </c>
      <c r="CA11" s="8">
        <v>78.52</v>
      </c>
      <c r="CB11" s="8">
        <v>85.25</v>
      </c>
      <c r="CC11" s="8">
        <v>82.22</v>
      </c>
      <c r="CS11" s="8">
        <v>67.66</v>
      </c>
      <c r="DI11" s="8">
        <v>86.05</v>
      </c>
      <c r="DJ11" s="8">
        <v>69.38</v>
      </c>
      <c r="DK11" s="8">
        <v>67.680000000000007</v>
      </c>
      <c r="DO11" s="8">
        <v>74.03</v>
      </c>
      <c r="DV11" s="8">
        <v>70.099999999999994</v>
      </c>
      <c r="DW11" s="8">
        <v>74.09</v>
      </c>
      <c r="EA11" s="8">
        <v>80.55</v>
      </c>
      <c r="EB11" s="8">
        <v>96.97</v>
      </c>
      <c r="EC11" s="8">
        <v>78.89</v>
      </c>
      <c r="EF11" s="8">
        <v>73.5</v>
      </c>
      <c r="EG11" s="8">
        <v>71.63</v>
      </c>
      <c r="EH11" s="8">
        <v>74.52</v>
      </c>
      <c r="EI11" s="8">
        <v>73.08</v>
      </c>
      <c r="EJ11" s="8">
        <v>76.19</v>
      </c>
      <c r="EK11" s="8">
        <v>76.069999999999993</v>
      </c>
      <c r="EL11" s="8">
        <v>69.83</v>
      </c>
      <c r="EM11" s="8">
        <v>78.38</v>
      </c>
      <c r="EN11" s="8">
        <v>70.03</v>
      </c>
      <c r="EO11" s="8">
        <v>82.01</v>
      </c>
      <c r="EP11" s="8">
        <v>77.150000000000006</v>
      </c>
      <c r="EQ11" s="8">
        <v>78.099999999999994</v>
      </c>
      <c r="ER11" s="8">
        <v>72.41</v>
      </c>
      <c r="ES11" s="8">
        <v>71.14</v>
      </c>
      <c r="ET11" s="8">
        <v>72.23</v>
      </c>
      <c r="EU11" s="8">
        <v>73.94</v>
      </c>
      <c r="EV11" s="8">
        <v>72.09</v>
      </c>
      <c r="EW11" s="8">
        <v>68.319999999999993</v>
      </c>
      <c r="EX11" s="8">
        <v>74.95</v>
      </c>
      <c r="EY11" s="8">
        <v>73.3</v>
      </c>
      <c r="EZ11" s="8">
        <v>63.65</v>
      </c>
      <c r="FA11" s="8">
        <v>80.37</v>
      </c>
      <c r="FB11" s="8">
        <v>80.94</v>
      </c>
      <c r="FC11" s="8">
        <v>62.9</v>
      </c>
      <c r="FD11" s="8">
        <v>71.989999999999995</v>
      </c>
      <c r="FE11" s="8">
        <v>77.97</v>
      </c>
      <c r="FF11" s="8">
        <v>72.72</v>
      </c>
      <c r="FG11" s="8">
        <v>69.23</v>
      </c>
      <c r="FH11" s="8">
        <v>73.959999999999994</v>
      </c>
      <c r="FN11" s="8">
        <v>76.45</v>
      </c>
      <c r="FP11" s="8">
        <v>79.34</v>
      </c>
      <c r="FQ11" s="8">
        <v>42.38</v>
      </c>
      <c r="FR11" s="8">
        <v>42.38</v>
      </c>
      <c r="GH11" s="8">
        <v>74.19</v>
      </c>
      <c r="GI11" s="8">
        <v>74.19</v>
      </c>
      <c r="GL11" s="8">
        <v>76.09</v>
      </c>
      <c r="HB11" s="8">
        <v>83.72</v>
      </c>
      <c r="HC11" s="8">
        <v>79.47</v>
      </c>
      <c r="HD11" s="8">
        <v>86.96</v>
      </c>
      <c r="HE11" s="8">
        <v>81.97</v>
      </c>
      <c r="HU11" s="8">
        <v>68.05</v>
      </c>
      <c r="IK11" s="8">
        <v>81.53</v>
      </c>
      <c r="IL11" s="8">
        <v>67.48</v>
      </c>
      <c r="IM11" s="8">
        <v>68.010000000000005</v>
      </c>
      <c r="IQ11" s="8">
        <v>73.819999999999993</v>
      </c>
    </row>
    <row r="12" spans="1:251" x14ac:dyDescent="0.2">
      <c r="A12" s="9">
        <v>43009</v>
      </c>
      <c r="D12" s="8">
        <v>73.8</v>
      </c>
      <c r="E12" s="8">
        <v>73.48</v>
      </c>
      <c r="F12" s="8">
        <v>74.02</v>
      </c>
      <c r="G12" s="8">
        <v>71.489999999999995</v>
      </c>
      <c r="H12" s="8">
        <v>76.2</v>
      </c>
      <c r="I12" s="8">
        <v>76.13</v>
      </c>
      <c r="J12" s="8">
        <v>68.37</v>
      </c>
      <c r="K12" s="8">
        <v>78.36</v>
      </c>
      <c r="L12" s="8">
        <v>68.709999999999994</v>
      </c>
      <c r="M12" s="8">
        <v>82.1</v>
      </c>
      <c r="N12" s="8">
        <v>77.790000000000006</v>
      </c>
      <c r="O12" s="8">
        <v>80.06</v>
      </c>
      <c r="P12" s="8">
        <v>72.459999999999994</v>
      </c>
      <c r="Q12" s="8">
        <v>70.180000000000007</v>
      </c>
      <c r="R12" s="8">
        <v>73.3</v>
      </c>
      <c r="S12" s="8">
        <v>73.88</v>
      </c>
      <c r="T12" s="8">
        <v>78.5</v>
      </c>
      <c r="U12" s="8">
        <v>80.89</v>
      </c>
      <c r="V12" s="8">
        <v>75.91</v>
      </c>
      <c r="W12" s="8">
        <v>73.7</v>
      </c>
      <c r="X12" s="8">
        <v>62.04</v>
      </c>
      <c r="Y12" s="8">
        <v>80.63</v>
      </c>
      <c r="Z12" s="8">
        <v>81.81</v>
      </c>
      <c r="AA12" s="8">
        <v>64.16</v>
      </c>
      <c r="AB12" s="8">
        <v>71.650000000000006</v>
      </c>
      <c r="AC12" s="8">
        <v>78.81</v>
      </c>
      <c r="AD12" s="8">
        <v>73.260000000000005</v>
      </c>
      <c r="AE12" s="8">
        <v>69.03</v>
      </c>
      <c r="AF12" s="8">
        <v>74.290000000000006</v>
      </c>
      <c r="AL12" s="8">
        <v>77.59</v>
      </c>
      <c r="AN12" s="8">
        <v>71.599999999999994</v>
      </c>
      <c r="AO12" s="8">
        <v>45.16</v>
      </c>
      <c r="AP12" s="8">
        <v>45.16</v>
      </c>
      <c r="BF12" s="8">
        <v>71.69</v>
      </c>
      <c r="BG12" s="8">
        <v>71.69</v>
      </c>
      <c r="BJ12" s="8">
        <v>76.5</v>
      </c>
      <c r="BZ12" s="8">
        <v>82</v>
      </c>
      <c r="CA12" s="8">
        <v>79.2</v>
      </c>
      <c r="CB12" s="8">
        <v>83.45</v>
      </c>
      <c r="CC12" s="8">
        <v>81.61</v>
      </c>
      <c r="CS12" s="8">
        <v>71.53</v>
      </c>
      <c r="DI12" s="8">
        <v>86.19</v>
      </c>
      <c r="DJ12" s="8">
        <v>72.099999999999994</v>
      </c>
      <c r="DK12" s="8">
        <v>65.84</v>
      </c>
      <c r="DO12" s="8">
        <v>72.94</v>
      </c>
      <c r="DV12" s="8">
        <v>70.099999999999994</v>
      </c>
      <c r="DW12" s="8">
        <v>74.09</v>
      </c>
      <c r="EA12" s="8">
        <v>80.290000000000006</v>
      </c>
      <c r="EB12" s="8">
        <v>94.3</v>
      </c>
      <c r="EC12" s="8">
        <v>78.89</v>
      </c>
      <c r="EF12" s="8">
        <v>73.95</v>
      </c>
      <c r="EG12" s="8">
        <v>72.48</v>
      </c>
      <c r="EH12" s="8">
        <v>74.89</v>
      </c>
      <c r="EI12" s="8">
        <v>71.91</v>
      </c>
      <c r="EJ12" s="8">
        <v>76.989999999999995</v>
      </c>
      <c r="EK12" s="8">
        <v>76.459999999999994</v>
      </c>
      <c r="EL12" s="8">
        <v>70.040000000000006</v>
      </c>
      <c r="EM12" s="8">
        <v>78.58</v>
      </c>
      <c r="EN12" s="8">
        <v>70.55</v>
      </c>
      <c r="EO12" s="8">
        <v>82.39</v>
      </c>
      <c r="EP12" s="8">
        <v>77.08</v>
      </c>
      <c r="EQ12" s="8">
        <v>79.16</v>
      </c>
      <c r="ER12" s="8">
        <v>72.91</v>
      </c>
      <c r="ES12" s="8">
        <v>71.22</v>
      </c>
      <c r="ET12" s="8">
        <v>73.14</v>
      </c>
      <c r="EU12" s="8">
        <v>74.510000000000005</v>
      </c>
      <c r="EV12" s="8">
        <v>76.88</v>
      </c>
      <c r="EW12" s="8">
        <v>78.290000000000006</v>
      </c>
      <c r="EX12" s="8">
        <v>75.459999999999994</v>
      </c>
      <c r="EY12" s="8">
        <v>73.489999999999995</v>
      </c>
      <c r="EZ12" s="8">
        <v>63.05</v>
      </c>
      <c r="FA12" s="8">
        <v>80.87</v>
      </c>
      <c r="FB12" s="8">
        <v>81.5</v>
      </c>
      <c r="FC12" s="8">
        <v>63.53</v>
      </c>
      <c r="FD12" s="8">
        <v>72.09</v>
      </c>
      <c r="FE12" s="8">
        <v>78.14</v>
      </c>
      <c r="FF12" s="8">
        <v>72.94</v>
      </c>
      <c r="FG12" s="8">
        <v>69.66</v>
      </c>
      <c r="FH12" s="8">
        <v>74.099999999999994</v>
      </c>
      <c r="FN12" s="8">
        <v>75.760000000000005</v>
      </c>
      <c r="FP12" s="8">
        <v>79.66</v>
      </c>
      <c r="FQ12" s="8">
        <v>43.92</v>
      </c>
      <c r="FR12" s="8">
        <v>43.92</v>
      </c>
      <c r="GH12" s="8">
        <v>74.14</v>
      </c>
      <c r="GI12" s="8">
        <v>74.14</v>
      </c>
      <c r="GL12" s="8">
        <v>76.09</v>
      </c>
      <c r="HB12" s="8">
        <v>82.58</v>
      </c>
      <c r="HC12" s="8">
        <v>80.13</v>
      </c>
      <c r="HD12" s="8">
        <v>84.84</v>
      </c>
      <c r="HE12" s="8">
        <v>81.319999999999993</v>
      </c>
      <c r="HU12" s="8">
        <v>71.33</v>
      </c>
      <c r="IK12" s="8">
        <v>81.540000000000006</v>
      </c>
      <c r="IL12" s="8">
        <v>70.02</v>
      </c>
      <c r="IM12" s="8">
        <v>65.81</v>
      </c>
      <c r="IQ12" s="8">
        <v>72.73</v>
      </c>
    </row>
    <row r="13" spans="1:251" x14ac:dyDescent="0.2">
      <c r="A13" s="9">
        <v>43040</v>
      </c>
      <c r="D13" s="8">
        <v>74.239999999999995</v>
      </c>
      <c r="E13" s="8">
        <v>73.760000000000005</v>
      </c>
      <c r="F13" s="8">
        <v>74.55</v>
      </c>
      <c r="G13" s="8">
        <v>73.180000000000007</v>
      </c>
      <c r="H13" s="8">
        <v>75.92</v>
      </c>
      <c r="I13" s="8">
        <v>76.349999999999994</v>
      </c>
      <c r="J13" s="8">
        <v>68.53</v>
      </c>
      <c r="K13" s="8">
        <v>78.040000000000006</v>
      </c>
      <c r="L13" s="8">
        <v>69.58</v>
      </c>
      <c r="M13" s="8">
        <v>82.52</v>
      </c>
      <c r="N13" s="8">
        <v>78.56</v>
      </c>
      <c r="O13" s="8">
        <v>79.709999999999994</v>
      </c>
      <c r="P13" s="8">
        <v>72.290000000000006</v>
      </c>
      <c r="Q13" s="8">
        <v>70.5</v>
      </c>
      <c r="R13" s="8">
        <v>73.28</v>
      </c>
      <c r="S13" s="8">
        <v>73.099999999999994</v>
      </c>
      <c r="T13" s="8">
        <v>82.53</v>
      </c>
      <c r="U13" s="8">
        <v>84.86</v>
      </c>
      <c r="V13" s="8">
        <v>79.989999999999995</v>
      </c>
      <c r="W13" s="8">
        <v>73.92</v>
      </c>
      <c r="X13" s="8">
        <v>62.84</v>
      </c>
      <c r="Y13" s="8">
        <v>80.28</v>
      </c>
      <c r="Z13" s="8">
        <v>82.15</v>
      </c>
      <c r="AA13" s="8">
        <v>65.22</v>
      </c>
      <c r="AB13" s="8">
        <v>71.31</v>
      </c>
      <c r="AC13" s="8">
        <v>79.75</v>
      </c>
      <c r="AD13" s="8">
        <v>73.25</v>
      </c>
      <c r="AE13" s="8">
        <v>69.959999999999994</v>
      </c>
      <c r="AF13" s="8">
        <v>74.010000000000005</v>
      </c>
      <c r="AL13" s="8">
        <v>78.44</v>
      </c>
      <c r="AN13" s="8">
        <v>72.36</v>
      </c>
      <c r="AO13" s="8">
        <v>45.39</v>
      </c>
      <c r="AP13" s="8">
        <v>45.39</v>
      </c>
      <c r="BF13" s="8">
        <v>72.62</v>
      </c>
      <c r="BG13" s="8">
        <v>72.62</v>
      </c>
      <c r="BJ13" s="8">
        <v>76.5</v>
      </c>
      <c r="BZ13" s="8">
        <v>82.24</v>
      </c>
      <c r="CA13" s="8">
        <v>77.58</v>
      </c>
      <c r="CB13" s="8">
        <v>84.07</v>
      </c>
      <c r="CC13" s="8">
        <v>81.96</v>
      </c>
      <c r="CS13" s="8">
        <v>74.28</v>
      </c>
      <c r="DI13" s="8">
        <v>84.24</v>
      </c>
      <c r="DJ13" s="8">
        <v>70.11</v>
      </c>
      <c r="DK13" s="8">
        <v>64.61</v>
      </c>
      <c r="DO13" s="8">
        <v>73.59</v>
      </c>
      <c r="DV13" s="8">
        <v>70.099999999999994</v>
      </c>
      <c r="DW13" s="8">
        <v>74.09</v>
      </c>
      <c r="EA13" s="8">
        <v>80.3</v>
      </c>
      <c r="EB13" s="8">
        <v>94.32</v>
      </c>
      <c r="EC13" s="8">
        <v>78.89</v>
      </c>
      <c r="EF13" s="8">
        <v>74.38</v>
      </c>
      <c r="EG13" s="8">
        <v>72.77</v>
      </c>
      <c r="EH13" s="8">
        <v>75.3</v>
      </c>
      <c r="EI13" s="8">
        <v>73.849999999999994</v>
      </c>
      <c r="EJ13" s="8">
        <v>76.72</v>
      </c>
      <c r="EK13" s="8">
        <v>76.7</v>
      </c>
      <c r="EL13" s="8">
        <v>69.650000000000006</v>
      </c>
      <c r="EM13" s="8">
        <v>78.33</v>
      </c>
      <c r="EN13" s="8">
        <v>70.680000000000007</v>
      </c>
      <c r="EO13" s="8">
        <v>82.92</v>
      </c>
      <c r="EP13" s="8">
        <v>78.14</v>
      </c>
      <c r="EQ13" s="8">
        <v>79.62</v>
      </c>
      <c r="ER13" s="8">
        <v>72.849999999999994</v>
      </c>
      <c r="ES13" s="8">
        <v>71.66</v>
      </c>
      <c r="ET13" s="8">
        <v>73.209999999999994</v>
      </c>
      <c r="EU13" s="8">
        <v>73.790000000000006</v>
      </c>
      <c r="EV13" s="8">
        <v>81.14</v>
      </c>
      <c r="EW13" s="8">
        <v>82.79</v>
      </c>
      <c r="EX13" s="8">
        <v>79.510000000000005</v>
      </c>
      <c r="EY13" s="8">
        <v>73.680000000000007</v>
      </c>
      <c r="EZ13" s="8">
        <v>63.31</v>
      </c>
      <c r="FA13" s="8">
        <v>80.59</v>
      </c>
      <c r="FB13" s="8">
        <v>81.94</v>
      </c>
      <c r="FC13" s="8">
        <v>64.72</v>
      </c>
      <c r="FD13" s="8">
        <v>71.599999999999994</v>
      </c>
      <c r="FE13" s="8">
        <v>79.260000000000005</v>
      </c>
      <c r="FF13" s="8">
        <v>73.23</v>
      </c>
      <c r="FG13" s="8">
        <v>70.430000000000007</v>
      </c>
      <c r="FH13" s="8">
        <v>74.209999999999994</v>
      </c>
      <c r="FN13" s="8">
        <v>75.989999999999995</v>
      </c>
      <c r="FP13" s="8">
        <v>79.55</v>
      </c>
      <c r="FQ13" s="8">
        <v>44.15</v>
      </c>
      <c r="FR13" s="8">
        <v>44.15</v>
      </c>
      <c r="GH13" s="8">
        <v>74.319999999999993</v>
      </c>
      <c r="GI13" s="8">
        <v>74.319999999999993</v>
      </c>
      <c r="GL13" s="8">
        <v>76.09</v>
      </c>
      <c r="HB13" s="8">
        <v>82.97</v>
      </c>
      <c r="HC13" s="8">
        <v>78.41</v>
      </c>
      <c r="HD13" s="8">
        <v>85.34</v>
      </c>
      <c r="HE13" s="8">
        <v>81.99</v>
      </c>
      <c r="HU13" s="8">
        <v>74.56</v>
      </c>
      <c r="IK13" s="8">
        <v>81.19</v>
      </c>
      <c r="IL13" s="8">
        <v>70.290000000000006</v>
      </c>
      <c r="IM13" s="8">
        <v>65.02</v>
      </c>
      <c r="IQ13" s="8">
        <v>73.3</v>
      </c>
    </row>
    <row r="14" spans="1:251" x14ac:dyDescent="0.2">
      <c r="A14" s="9">
        <v>43070</v>
      </c>
      <c r="D14" s="8">
        <v>75.02</v>
      </c>
      <c r="E14" s="8">
        <v>74.59</v>
      </c>
      <c r="F14" s="8">
        <v>74.42</v>
      </c>
      <c r="G14" s="8">
        <v>76.180000000000007</v>
      </c>
      <c r="H14" s="8">
        <v>78.430000000000007</v>
      </c>
      <c r="I14" s="8">
        <v>75.930000000000007</v>
      </c>
      <c r="J14" s="8">
        <v>67.97</v>
      </c>
      <c r="K14" s="8">
        <v>77.92</v>
      </c>
      <c r="L14" s="8">
        <v>68.72</v>
      </c>
      <c r="M14" s="8">
        <v>81.81</v>
      </c>
      <c r="N14" s="8">
        <v>78.27</v>
      </c>
      <c r="O14" s="8">
        <v>79.63</v>
      </c>
      <c r="P14" s="8">
        <v>73.430000000000007</v>
      </c>
      <c r="Q14" s="8">
        <v>72.09</v>
      </c>
      <c r="R14" s="8">
        <v>73.55</v>
      </c>
      <c r="S14" s="8">
        <v>74.540000000000006</v>
      </c>
      <c r="T14" s="8">
        <v>82.34</v>
      </c>
      <c r="U14" s="8">
        <v>85.4</v>
      </c>
      <c r="V14" s="8">
        <v>79.08</v>
      </c>
      <c r="W14" s="8">
        <v>74.47</v>
      </c>
      <c r="X14" s="8">
        <v>63.19</v>
      </c>
      <c r="Y14" s="8">
        <v>80.45</v>
      </c>
      <c r="Z14" s="8">
        <v>81.069999999999993</v>
      </c>
      <c r="AA14" s="8">
        <v>66.42</v>
      </c>
      <c r="AB14" s="8">
        <v>72.25</v>
      </c>
      <c r="AC14" s="8">
        <v>80.27</v>
      </c>
      <c r="AD14" s="8">
        <v>78.709999999999994</v>
      </c>
      <c r="AE14" s="8">
        <v>69.61</v>
      </c>
      <c r="AF14" s="8">
        <v>81.180000000000007</v>
      </c>
      <c r="AL14" s="8">
        <v>77.75</v>
      </c>
      <c r="AN14" s="8">
        <v>73.7</v>
      </c>
      <c r="AO14" s="8">
        <v>45.32</v>
      </c>
      <c r="AP14" s="8">
        <v>45.32</v>
      </c>
      <c r="BF14" s="8">
        <v>73</v>
      </c>
      <c r="BG14" s="8">
        <v>73</v>
      </c>
      <c r="BJ14" s="8">
        <v>76.5</v>
      </c>
      <c r="BZ14" s="8">
        <v>82.83</v>
      </c>
      <c r="CA14" s="8">
        <v>78.5</v>
      </c>
      <c r="CB14" s="8">
        <v>85.74</v>
      </c>
      <c r="CC14" s="8">
        <v>81.62</v>
      </c>
      <c r="CS14" s="8">
        <v>75.06</v>
      </c>
      <c r="DI14" s="8">
        <v>93.8</v>
      </c>
      <c r="DJ14" s="8">
        <v>76.790000000000006</v>
      </c>
      <c r="DK14" s="8">
        <v>72.91</v>
      </c>
      <c r="DO14" s="8">
        <v>73.540000000000006</v>
      </c>
      <c r="DV14" s="8">
        <v>70.099999999999994</v>
      </c>
      <c r="DW14" s="8">
        <v>74.09</v>
      </c>
      <c r="EA14" s="8">
        <v>80.7</v>
      </c>
      <c r="EB14" s="8">
        <v>93.49</v>
      </c>
      <c r="EC14" s="8">
        <v>79.430000000000007</v>
      </c>
      <c r="EF14" s="8">
        <v>75.02</v>
      </c>
      <c r="EG14" s="8">
        <v>73.510000000000005</v>
      </c>
      <c r="EH14" s="8">
        <v>75.02</v>
      </c>
      <c r="EI14" s="8">
        <v>76.59</v>
      </c>
      <c r="EJ14" s="8">
        <v>79.02</v>
      </c>
      <c r="EK14" s="8">
        <v>76.25</v>
      </c>
      <c r="EL14" s="8">
        <v>69.290000000000006</v>
      </c>
      <c r="EM14" s="8">
        <v>79.39</v>
      </c>
      <c r="EN14" s="8">
        <v>69.88</v>
      </c>
      <c r="EO14" s="8">
        <v>82.42</v>
      </c>
      <c r="EP14" s="8">
        <v>77.42</v>
      </c>
      <c r="EQ14" s="8">
        <v>78.52</v>
      </c>
      <c r="ER14" s="8">
        <v>73.62</v>
      </c>
      <c r="ES14" s="8">
        <v>72.209999999999994</v>
      </c>
      <c r="ET14" s="8">
        <v>73.48</v>
      </c>
      <c r="EU14" s="8">
        <v>75.27</v>
      </c>
      <c r="EV14" s="8">
        <v>81.650000000000006</v>
      </c>
      <c r="EW14" s="8">
        <v>84.67</v>
      </c>
      <c r="EX14" s="8">
        <v>78.900000000000006</v>
      </c>
      <c r="EY14" s="8">
        <v>74.23</v>
      </c>
      <c r="EZ14" s="8">
        <v>63.98</v>
      </c>
      <c r="FA14" s="8">
        <v>80.62</v>
      </c>
      <c r="FB14" s="8">
        <v>80.73</v>
      </c>
      <c r="FC14" s="8">
        <v>65.819999999999993</v>
      </c>
      <c r="FD14" s="8">
        <v>72.650000000000006</v>
      </c>
      <c r="FE14" s="8">
        <v>79.69</v>
      </c>
      <c r="FF14" s="8">
        <v>72.28</v>
      </c>
      <c r="FG14" s="8">
        <v>70.52</v>
      </c>
      <c r="FH14" s="8">
        <v>72.88</v>
      </c>
      <c r="FN14" s="8">
        <v>73.819999999999993</v>
      </c>
      <c r="FP14" s="8">
        <v>79.13</v>
      </c>
      <c r="FQ14" s="8">
        <v>44.23</v>
      </c>
      <c r="FR14" s="8">
        <v>44.23</v>
      </c>
      <c r="GH14" s="8">
        <v>74.81</v>
      </c>
      <c r="GI14" s="8">
        <v>74.81</v>
      </c>
      <c r="GL14" s="8">
        <v>76.09</v>
      </c>
      <c r="HB14" s="8">
        <v>83.57</v>
      </c>
      <c r="HC14" s="8">
        <v>79.709999999999994</v>
      </c>
      <c r="HD14" s="8">
        <v>86.88</v>
      </c>
      <c r="HE14" s="8">
        <v>81.69</v>
      </c>
      <c r="HU14" s="8">
        <v>76.94</v>
      </c>
      <c r="IK14" s="8">
        <v>90.44</v>
      </c>
      <c r="IL14" s="8">
        <v>76</v>
      </c>
      <c r="IM14" s="8">
        <v>74.44</v>
      </c>
      <c r="IQ14" s="8">
        <v>73.25</v>
      </c>
    </row>
    <row r="15" spans="1:251" x14ac:dyDescent="0.2">
      <c r="A15" s="9">
        <v>43101</v>
      </c>
      <c r="D15" s="8">
        <v>74.63</v>
      </c>
      <c r="E15" s="8">
        <v>74.03</v>
      </c>
      <c r="F15" s="8">
        <v>75.180000000000007</v>
      </c>
      <c r="G15" s="8">
        <v>72.83</v>
      </c>
      <c r="H15" s="8">
        <v>76.28</v>
      </c>
      <c r="I15" s="8">
        <v>76.5</v>
      </c>
      <c r="J15" s="8">
        <v>68.89</v>
      </c>
      <c r="K15" s="8">
        <v>78.36</v>
      </c>
      <c r="L15" s="8">
        <v>69.05</v>
      </c>
      <c r="M15" s="8">
        <v>82.56</v>
      </c>
      <c r="N15" s="8">
        <v>77.64</v>
      </c>
      <c r="O15" s="8">
        <v>80.900000000000006</v>
      </c>
      <c r="P15" s="8">
        <v>73.12</v>
      </c>
      <c r="Q15" s="8">
        <v>71.12</v>
      </c>
      <c r="R15" s="8">
        <v>73.63</v>
      </c>
      <c r="S15" s="8">
        <v>74.56</v>
      </c>
      <c r="T15" s="8">
        <v>81.900000000000006</v>
      </c>
      <c r="U15" s="8">
        <v>81.39</v>
      </c>
      <c r="V15" s="8">
        <v>82.18</v>
      </c>
      <c r="W15" s="8">
        <v>74.69</v>
      </c>
      <c r="X15" s="8">
        <v>62.37</v>
      </c>
      <c r="Y15" s="8">
        <v>80.290000000000006</v>
      </c>
      <c r="Z15" s="8">
        <v>82.68</v>
      </c>
      <c r="AA15" s="8">
        <v>65.55</v>
      </c>
      <c r="AB15" s="8">
        <v>72.81</v>
      </c>
      <c r="AC15" s="8">
        <v>79.930000000000007</v>
      </c>
      <c r="AD15" s="8">
        <v>79.84</v>
      </c>
      <c r="AE15" s="8">
        <v>71.41</v>
      </c>
      <c r="AF15" s="8">
        <v>82.11</v>
      </c>
      <c r="AL15" s="8">
        <v>78.930000000000007</v>
      </c>
      <c r="AN15" s="8">
        <v>74.099999999999994</v>
      </c>
      <c r="AO15" s="8">
        <v>45.47</v>
      </c>
      <c r="AP15" s="8">
        <v>45.47</v>
      </c>
      <c r="BF15" s="8">
        <v>73.16</v>
      </c>
      <c r="BG15" s="8">
        <v>73.16</v>
      </c>
      <c r="BJ15" s="8">
        <v>76.5</v>
      </c>
      <c r="BZ15" s="8">
        <v>83.15</v>
      </c>
      <c r="CA15" s="8">
        <v>77.5</v>
      </c>
      <c r="CB15" s="8">
        <v>86.02</v>
      </c>
      <c r="CC15" s="8">
        <v>82.27</v>
      </c>
      <c r="CS15" s="8">
        <v>74.34</v>
      </c>
      <c r="DI15" s="8">
        <v>93.16</v>
      </c>
      <c r="DJ15" s="8">
        <v>79.11</v>
      </c>
      <c r="DK15" s="8">
        <v>70.260000000000005</v>
      </c>
      <c r="DO15" s="8">
        <v>73.989999999999995</v>
      </c>
      <c r="DV15" s="8">
        <v>70.099999999999994</v>
      </c>
      <c r="DW15" s="8">
        <v>74.09</v>
      </c>
      <c r="EA15" s="8">
        <v>80.7</v>
      </c>
      <c r="EB15" s="8">
        <v>93.51</v>
      </c>
      <c r="EC15" s="8">
        <v>79.430000000000007</v>
      </c>
      <c r="EF15" s="8">
        <v>74.88</v>
      </c>
      <c r="EG15" s="8">
        <v>73.069999999999993</v>
      </c>
      <c r="EH15" s="8">
        <v>76.13</v>
      </c>
      <c r="EI15" s="8">
        <v>73.77</v>
      </c>
      <c r="EJ15" s="8">
        <v>77</v>
      </c>
      <c r="EK15" s="8">
        <v>76.81</v>
      </c>
      <c r="EL15" s="8">
        <v>70.11</v>
      </c>
      <c r="EM15" s="8">
        <v>78.98</v>
      </c>
      <c r="EN15" s="8">
        <v>70.040000000000006</v>
      </c>
      <c r="EO15" s="8">
        <v>83.05</v>
      </c>
      <c r="EP15" s="8">
        <v>77.42</v>
      </c>
      <c r="EQ15" s="8">
        <v>80.09</v>
      </c>
      <c r="ER15" s="8">
        <v>73.36</v>
      </c>
      <c r="ES15" s="8">
        <v>71.400000000000006</v>
      </c>
      <c r="ET15" s="8">
        <v>73.61</v>
      </c>
      <c r="EU15" s="8">
        <v>75.239999999999995</v>
      </c>
      <c r="EV15" s="8">
        <v>81.069999999999993</v>
      </c>
      <c r="EW15" s="8">
        <v>79.97</v>
      </c>
      <c r="EX15" s="8">
        <v>81.709999999999994</v>
      </c>
      <c r="EY15" s="8">
        <v>74.59</v>
      </c>
      <c r="EZ15" s="8">
        <v>63.52</v>
      </c>
      <c r="FA15" s="8">
        <v>80.59</v>
      </c>
      <c r="FB15" s="8">
        <v>82.45</v>
      </c>
      <c r="FC15" s="8">
        <v>64.84</v>
      </c>
      <c r="FD15" s="8">
        <v>73.260000000000005</v>
      </c>
      <c r="FE15" s="8">
        <v>79.67</v>
      </c>
      <c r="FF15" s="8">
        <v>73.41</v>
      </c>
      <c r="FG15" s="8">
        <v>72.2</v>
      </c>
      <c r="FH15" s="8">
        <v>73.790000000000006</v>
      </c>
      <c r="FN15" s="8">
        <v>75.53</v>
      </c>
      <c r="FP15" s="8">
        <v>79.97</v>
      </c>
      <c r="FQ15" s="8">
        <v>44.34</v>
      </c>
      <c r="FR15" s="8">
        <v>44.34</v>
      </c>
      <c r="GH15" s="8">
        <v>74.540000000000006</v>
      </c>
      <c r="GI15" s="8">
        <v>74.540000000000006</v>
      </c>
      <c r="GL15" s="8">
        <v>76.09</v>
      </c>
      <c r="HB15" s="8">
        <v>83.87</v>
      </c>
      <c r="HC15" s="8">
        <v>78.31</v>
      </c>
      <c r="HD15" s="8">
        <v>87.15</v>
      </c>
      <c r="HE15" s="8">
        <v>82.31</v>
      </c>
      <c r="HU15" s="8">
        <v>75.83</v>
      </c>
      <c r="IK15" s="8">
        <v>90.13</v>
      </c>
      <c r="IL15" s="8">
        <v>78.709999999999994</v>
      </c>
      <c r="IM15" s="8">
        <v>71.59</v>
      </c>
      <c r="IQ15" s="8">
        <v>73.78</v>
      </c>
    </row>
    <row r="16" spans="1:251" x14ac:dyDescent="0.2">
      <c r="A16" s="9">
        <v>43132</v>
      </c>
      <c r="D16" s="8">
        <v>73.78</v>
      </c>
      <c r="E16" s="8">
        <v>73.84</v>
      </c>
      <c r="F16" s="8">
        <v>73.87</v>
      </c>
      <c r="G16" s="8">
        <v>73.02</v>
      </c>
      <c r="H16" s="8">
        <v>74.209999999999994</v>
      </c>
      <c r="I16" s="8">
        <v>76.11</v>
      </c>
      <c r="J16" s="8">
        <v>69.11</v>
      </c>
      <c r="K16" s="8">
        <v>78.69</v>
      </c>
      <c r="L16" s="8">
        <v>68.66</v>
      </c>
      <c r="M16" s="8">
        <v>82.68</v>
      </c>
      <c r="N16" s="8">
        <v>77.569999999999993</v>
      </c>
      <c r="O16" s="8">
        <v>78.59</v>
      </c>
      <c r="P16" s="8">
        <v>72.8</v>
      </c>
      <c r="Q16" s="8">
        <v>71</v>
      </c>
      <c r="R16" s="8">
        <v>73.59</v>
      </c>
      <c r="S16" s="8">
        <v>73.78</v>
      </c>
      <c r="T16" s="8">
        <v>82.56</v>
      </c>
      <c r="U16" s="8">
        <v>82.95</v>
      </c>
      <c r="V16" s="8">
        <v>81.95</v>
      </c>
      <c r="W16" s="8">
        <v>73.91</v>
      </c>
      <c r="X16" s="8">
        <v>62.36</v>
      </c>
      <c r="Y16" s="8">
        <v>78.569999999999993</v>
      </c>
      <c r="Z16" s="8">
        <v>82.26</v>
      </c>
      <c r="AA16" s="8">
        <v>65.11</v>
      </c>
      <c r="AB16" s="8">
        <v>72.13</v>
      </c>
      <c r="AC16" s="8">
        <v>78.7</v>
      </c>
      <c r="AD16" s="8">
        <v>79.41</v>
      </c>
      <c r="AE16" s="8">
        <v>69.599999999999994</v>
      </c>
      <c r="AF16" s="8">
        <v>82.09</v>
      </c>
      <c r="AL16" s="8">
        <v>79.150000000000006</v>
      </c>
      <c r="AN16" s="8">
        <v>74.16</v>
      </c>
      <c r="AO16" s="8">
        <v>45.26</v>
      </c>
      <c r="AP16" s="8">
        <v>45.26</v>
      </c>
      <c r="BF16" s="8">
        <v>73.83</v>
      </c>
      <c r="BG16" s="8">
        <v>73.83</v>
      </c>
      <c r="BJ16" s="8">
        <v>76.5</v>
      </c>
      <c r="BZ16" s="8">
        <v>81.99</v>
      </c>
      <c r="CA16" s="8">
        <v>77.45</v>
      </c>
      <c r="CB16" s="8">
        <v>83.91</v>
      </c>
      <c r="CC16" s="8">
        <v>81.61</v>
      </c>
      <c r="CS16" s="8">
        <v>72.989999999999995</v>
      </c>
      <c r="DI16" s="8">
        <v>85.58</v>
      </c>
      <c r="DJ16" s="8">
        <v>71.510000000000005</v>
      </c>
      <c r="DK16" s="8">
        <v>65.430000000000007</v>
      </c>
      <c r="DO16" s="8">
        <v>72.83</v>
      </c>
      <c r="DV16" s="8">
        <v>72.709999999999994</v>
      </c>
      <c r="DW16" s="8">
        <v>75.56</v>
      </c>
      <c r="EA16" s="8">
        <v>80.709999999999994</v>
      </c>
      <c r="EB16" s="8">
        <v>93.53</v>
      </c>
      <c r="EC16" s="8">
        <v>79.430000000000007</v>
      </c>
      <c r="EF16" s="8">
        <v>74.03</v>
      </c>
      <c r="EG16" s="8">
        <v>72.900000000000006</v>
      </c>
      <c r="EH16" s="8">
        <v>74.92</v>
      </c>
      <c r="EI16" s="8">
        <v>73.42</v>
      </c>
      <c r="EJ16" s="8">
        <v>75.069999999999993</v>
      </c>
      <c r="EK16" s="8">
        <v>76.260000000000005</v>
      </c>
      <c r="EL16" s="8">
        <v>70.27</v>
      </c>
      <c r="EM16" s="8">
        <v>78.760000000000005</v>
      </c>
      <c r="EN16" s="8">
        <v>69.97</v>
      </c>
      <c r="EO16" s="8">
        <v>82.62</v>
      </c>
      <c r="EP16" s="8">
        <v>77.209999999999994</v>
      </c>
      <c r="EQ16" s="8">
        <v>77.62</v>
      </c>
      <c r="ER16" s="8">
        <v>73</v>
      </c>
      <c r="ES16" s="8">
        <v>71.069999999999993</v>
      </c>
      <c r="ET16" s="8">
        <v>73.61</v>
      </c>
      <c r="EU16" s="8">
        <v>74.53</v>
      </c>
      <c r="EV16" s="8">
        <v>82.08</v>
      </c>
      <c r="EW16" s="8">
        <v>82.4</v>
      </c>
      <c r="EX16" s="8">
        <v>81.540000000000006</v>
      </c>
      <c r="EY16" s="8">
        <v>73.760000000000005</v>
      </c>
      <c r="EZ16" s="8">
        <v>63.5</v>
      </c>
      <c r="FA16" s="8">
        <v>79.16</v>
      </c>
      <c r="FB16" s="8">
        <v>82.22</v>
      </c>
      <c r="FC16" s="8">
        <v>64.739999999999995</v>
      </c>
      <c r="FD16" s="8">
        <v>72.37</v>
      </c>
      <c r="FE16" s="8">
        <v>78.16</v>
      </c>
      <c r="FF16" s="8">
        <v>73.239999999999995</v>
      </c>
      <c r="FG16" s="8">
        <v>70.569999999999993</v>
      </c>
      <c r="FH16" s="8">
        <v>74.17</v>
      </c>
      <c r="FN16" s="8">
        <v>76.8</v>
      </c>
      <c r="FP16" s="8">
        <v>81.39</v>
      </c>
      <c r="FQ16" s="8">
        <v>44</v>
      </c>
      <c r="FR16" s="8">
        <v>44</v>
      </c>
      <c r="GH16" s="8">
        <v>74.8</v>
      </c>
      <c r="GI16" s="8">
        <v>74.8</v>
      </c>
      <c r="GL16" s="8">
        <v>76.09</v>
      </c>
      <c r="HB16" s="8">
        <v>82.95</v>
      </c>
      <c r="HC16" s="8">
        <v>78.41</v>
      </c>
      <c r="HD16" s="8">
        <v>85.6</v>
      </c>
      <c r="HE16" s="8">
        <v>81.760000000000005</v>
      </c>
      <c r="HU16" s="8">
        <v>75.63</v>
      </c>
      <c r="IK16" s="8">
        <v>82.25</v>
      </c>
      <c r="IL16" s="8">
        <v>71.16</v>
      </c>
      <c r="IM16" s="8">
        <v>65.91</v>
      </c>
      <c r="IQ16" s="8">
        <v>72.83</v>
      </c>
    </row>
    <row r="17" spans="1:251" x14ac:dyDescent="0.2">
      <c r="A17" s="9">
        <v>43160</v>
      </c>
      <c r="D17" s="8">
        <v>74.05</v>
      </c>
      <c r="E17" s="8">
        <v>73.849999999999994</v>
      </c>
      <c r="F17" s="8">
        <v>74.2</v>
      </c>
      <c r="G17" s="8">
        <v>71.209999999999994</v>
      </c>
      <c r="H17" s="8">
        <v>76.8</v>
      </c>
      <c r="I17" s="8">
        <v>76.22</v>
      </c>
      <c r="J17" s="8">
        <v>69.150000000000006</v>
      </c>
      <c r="K17" s="8">
        <v>79.11</v>
      </c>
      <c r="L17" s="8">
        <v>68.680000000000007</v>
      </c>
      <c r="M17" s="8">
        <v>82.25</v>
      </c>
      <c r="N17" s="8">
        <v>78.53</v>
      </c>
      <c r="O17" s="8">
        <v>78.37</v>
      </c>
      <c r="P17" s="8">
        <v>73.05</v>
      </c>
      <c r="Q17" s="8">
        <v>71.36</v>
      </c>
      <c r="R17" s="8">
        <v>73.77</v>
      </c>
      <c r="S17" s="8">
        <v>74</v>
      </c>
      <c r="T17" s="8">
        <v>81.59</v>
      </c>
      <c r="U17" s="8">
        <v>81.8</v>
      </c>
      <c r="V17" s="8">
        <v>81.16</v>
      </c>
      <c r="W17" s="8">
        <v>73.91</v>
      </c>
      <c r="X17" s="8">
        <v>62.9</v>
      </c>
      <c r="Y17" s="8">
        <v>80.489999999999995</v>
      </c>
      <c r="Z17" s="8">
        <v>82.18</v>
      </c>
      <c r="AA17" s="8">
        <v>65.37</v>
      </c>
      <c r="AB17" s="8">
        <v>71.89</v>
      </c>
      <c r="AC17" s="8">
        <v>78.45</v>
      </c>
      <c r="AD17" s="8">
        <v>79.45</v>
      </c>
      <c r="AE17" s="8">
        <v>70.34</v>
      </c>
      <c r="AF17" s="8">
        <v>81.93</v>
      </c>
      <c r="AL17" s="8">
        <v>79.06</v>
      </c>
      <c r="AN17" s="8">
        <v>74.52</v>
      </c>
      <c r="AO17" s="8">
        <v>45.78</v>
      </c>
      <c r="AP17" s="8">
        <v>45.78</v>
      </c>
      <c r="BF17" s="8">
        <v>74</v>
      </c>
      <c r="BG17" s="8">
        <v>74</v>
      </c>
      <c r="BJ17" s="8">
        <v>76.5</v>
      </c>
      <c r="BZ17" s="8">
        <v>82.78</v>
      </c>
      <c r="CA17" s="8">
        <v>77.98</v>
      </c>
      <c r="CB17" s="8">
        <v>84.78</v>
      </c>
      <c r="CC17" s="8">
        <v>82.4</v>
      </c>
      <c r="CS17" s="8">
        <v>72.540000000000006</v>
      </c>
      <c r="DI17" s="8">
        <v>83.89</v>
      </c>
      <c r="DJ17" s="8">
        <v>71.75</v>
      </c>
      <c r="DK17" s="8">
        <v>62.89</v>
      </c>
      <c r="DO17" s="8">
        <v>72.8</v>
      </c>
      <c r="DV17" s="8">
        <v>72.709999999999994</v>
      </c>
      <c r="DW17" s="8">
        <v>75.56</v>
      </c>
      <c r="EA17" s="8">
        <v>80.489999999999995</v>
      </c>
      <c r="EB17" s="8">
        <v>93.55</v>
      </c>
      <c r="EC17" s="8">
        <v>79.19</v>
      </c>
      <c r="EF17" s="8">
        <v>74.3</v>
      </c>
      <c r="EG17" s="8">
        <v>72.92</v>
      </c>
      <c r="EH17" s="8">
        <v>75.2</v>
      </c>
      <c r="EI17" s="8">
        <v>72</v>
      </c>
      <c r="EJ17" s="8">
        <v>77.39</v>
      </c>
      <c r="EK17" s="8">
        <v>76.56</v>
      </c>
      <c r="EL17" s="8">
        <v>70.13</v>
      </c>
      <c r="EM17" s="8">
        <v>79.69</v>
      </c>
      <c r="EN17" s="8">
        <v>71.44</v>
      </c>
      <c r="EO17" s="8">
        <v>82.72</v>
      </c>
      <c r="EP17" s="8">
        <v>77.48</v>
      </c>
      <c r="EQ17" s="8">
        <v>77.569999999999993</v>
      </c>
      <c r="ER17" s="8">
        <v>73.290000000000006</v>
      </c>
      <c r="ES17" s="8">
        <v>71.56</v>
      </c>
      <c r="ET17" s="8">
        <v>73.81</v>
      </c>
      <c r="EU17" s="8">
        <v>74.67</v>
      </c>
      <c r="EV17" s="8">
        <v>80.489999999999995</v>
      </c>
      <c r="EW17" s="8">
        <v>80.959999999999994</v>
      </c>
      <c r="EX17" s="8">
        <v>79.84</v>
      </c>
      <c r="EY17" s="8">
        <v>73.760000000000005</v>
      </c>
      <c r="EZ17" s="8">
        <v>63.96</v>
      </c>
      <c r="FA17" s="8">
        <v>80.739999999999995</v>
      </c>
      <c r="FB17" s="8">
        <v>82.12</v>
      </c>
      <c r="FC17" s="8">
        <v>64.63</v>
      </c>
      <c r="FD17" s="8">
        <v>72.22</v>
      </c>
      <c r="FE17" s="8">
        <v>78.040000000000006</v>
      </c>
      <c r="FF17" s="8">
        <v>73.069999999999993</v>
      </c>
      <c r="FG17" s="8">
        <v>71.22</v>
      </c>
      <c r="FH17" s="8">
        <v>73.69</v>
      </c>
      <c r="FN17" s="8">
        <v>76.459999999999994</v>
      </c>
      <c r="FP17" s="8">
        <v>81.08</v>
      </c>
      <c r="FQ17" s="8">
        <v>44.51</v>
      </c>
      <c r="FR17" s="8">
        <v>44.51</v>
      </c>
      <c r="GH17" s="8">
        <v>75.010000000000005</v>
      </c>
      <c r="GI17" s="8">
        <v>75.010000000000005</v>
      </c>
      <c r="GL17" s="8">
        <v>76.09</v>
      </c>
      <c r="HB17" s="8">
        <v>83.51</v>
      </c>
      <c r="HC17" s="8">
        <v>78.92</v>
      </c>
      <c r="HD17" s="8">
        <v>86.22</v>
      </c>
      <c r="HE17" s="8">
        <v>82.27</v>
      </c>
      <c r="HU17" s="8">
        <v>73.78</v>
      </c>
      <c r="IK17" s="8">
        <v>80.959999999999994</v>
      </c>
      <c r="IL17" s="8">
        <v>71.63</v>
      </c>
      <c r="IM17" s="8">
        <v>63.51</v>
      </c>
      <c r="IQ17" s="8">
        <v>72.59</v>
      </c>
    </row>
    <row r="18" spans="1:251" x14ac:dyDescent="0.2">
      <c r="A18" s="9">
        <v>43191</v>
      </c>
      <c r="D18" s="8">
        <v>73.760000000000005</v>
      </c>
      <c r="E18" s="8">
        <v>73.260000000000005</v>
      </c>
      <c r="F18" s="8">
        <v>74.02</v>
      </c>
      <c r="G18" s="8">
        <v>71.42</v>
      </c>
      <c r="H18" s="8">
        <v>76.650000000000006</v>
      </c>
      <c r="I18" s="8">
        <v>76.400000000000006</v>
      </c>
      <c r="J18" s="8">
        <v>68.319999999999993</v>
      </c>
      <c r="K18" s="8">
        <v>78.03</v>
      </c>
      <c r="L18" s="8">
        <v>70.77</v>
      </c>
      <c r="M18" s="8">
        <v>82.12</v>
      </c>
      <c r="N18" s="8">
        <v>78.23</v>
      </c>
      <c r="O18" s="8">
        <v>80.16</v>
      </c>
      <c r="P18" s="8">
        <v>73.400000000000006</v>
      </c>
      <c r="Q18" s="8">
        <v>71.7</v>
      </c>
      <c r="R18" s="8">
        <v>74.13</v>
      </c>
      <c r="S18" s="8">
        <v>74.349999999999994</v>
      </c>
      <c r="T18" s="8">
        <v>79.75</v>
      </c>
      <c r="U18" s="8">
        <v>79.44</v>
      </c>
      <c r="V18" s="8">
        <v>79.83</v>
      </c>
      <c r="W18" s="8">
        <v>73.87</v>
      </c>
      <c r="X18" s="8">
        <v>63.43</v>
      </c>
      <c r="Y18" s="8">
        <v>77.67</v>
      </c>
      <c r="Z18" s="8">
        <v>81.209999999999994</v>
      </c>
      <c r="AA18" s="8">
        <v>66.010000000000005</v>
      </c>
      <c r="AB18" s="8">
        <v>72.650000000000006</v>
      </c>
      <c r="AC18" s="8">
        <v>77.7</v>
      </c>
      <c r="AD18" s="8">
        <v>79.44</v>
      </c>
      <c r="AE18" s="8">
        <v>68.89</v>
      </c>
      <c r="AF18" s="8">
        <v>82.35</v>
      </c>
      <c r="AL18" s="8">
        <v>79.31</v>
      </c>
      <c r="AN18" s="8">
        <v>76.400000000000006</v>
      </c>
      <c r="AO18" s="8">
        <v>46.43</v>
      </c>
      <c r="AP18" s="8">
        <v>46.43</v>
      </c>
      <c r="BF18" s="8">
        <v>73.8</v>
      </c>
      <c r="BG18" s="8">
        <v>73.8</v>
      </c>
      <c r="BJ18" s="8">
        <v>76.5</v>
      </c>
      <c r="BZ18" s="8">
        <v>82.27</v>
      </c>
      <c r="CA18" s="8">
        <v>76.86</v>
      </c>
      <c r="CB18" s="8">
        <v>83.81</v>
      </c>
      <c r="CC18" s="8">
        <v>82.4</v>
      </c>
      <c r="CS18" s="8">
        <v>77.12</v>
      </c>
      <c r="DI18" s="8">
        <v>88.91</v>
      </c>
      <c r="DJ18" s="8">
        <v>74.17</v>
      </c>
      <c r="DK18" s="8">
        <v>68.069999999999993</v>
      </c>
      <c r="DO18" s="8">
        <v>73.22</v>
      </c>
      <c r="DV18" s="8">
        <v>72.709999999999994</v>
      </c>
      <c r="DW18" s="8">
        <v>75.56</v>
      </c>
      <c r="EA18" s="8">
        <v>80.489999999999995</v>
      </c>
      <c r="EB18" s="8">
        <v>93.57</v>
      </c>
      <c r="EC18" s="8">
        <v>79.19</v>
      </c>
      <c r="EF18" s="8">
        <v>73.98</v>
      </c>
      <c r="EG18" s="8">
        <v>72.23</v>
      </c>
      <c r="EH18" s="8">
        <v>75.11</v>
      </c>
      <c r="EI18" s="8">
        <v>71.84</v>
      </c>
      <c r="EJ18" s="8">
        <v>77.209999999999994</v>
      </c>
      <c r="EK18" s="8">
        <v>76.81</v>
      </c>
      <c r="EL18" s="8">
        <v>69.88</v>
      </c>
      <c r="EM18" s="8">
        <v>78.709999999999994</v>
      </c>
      <c r="EN18" s="8">
        <v>71.7</v>
      </c>
      <c r="EO18" s="8">
        <v>82.85</v>
      </c>
      <c r="EP18" s="8">
        <v>77.72</v>
      </c>
      <c r="EQ18" s="8">
        <v>79.459999999999994</v>
      </c>
      <c r="ER18" s="8">
        <v>73.510000000000005</v>
      </c>
      <c r="ES18" s="8">
        <v>71.7</v>
      </c>
      <c r="ET18" s="8">
        <v>74</v>
      </c>
      <c r="EU18" s="8">
        <v>75.010000000000005</v>
      </c>
      <c r="EV18" s="8">
        <v>78.28</v>
      </c>
      <c r="EW18" s="8">
        <v>77.650000000000006</v>
      </c>
      <c r="EX18" s="8">
        <v>78.540000000000006</v>
      </c>
      <c r="EY18" s="8">
        <v>73.7</v>
      </c>
      <c r="EZ18" s="8">
        <v>64.09</v>
      </c>
      <c r="FA18" s="8">
        <v>78.459999999999994</v>
      </c>
      <c r="FB18" s="8">
        <v>80.78</v>
      </c>
      <c r="FC18" s="8">
        <v>65.38</v>
      </c>
      <c r="FD18" s="8">
        <v>72.959999999999994</v>
      </c>
      <c r="FE18" s="8">
        <v>77.16</v>
      </c>
      <c r="FF18" s="8">
        <v>73.19</v>
      </c>
      <c r="FG18" s="8">
        <v>69.680000000000007</v>
      </c>
      <c r="FH18" s="8">
        <v>74.44</v>
      </c>
      <c r="FN18" s="8">
        <v>77.16</v>
      </c>
      <c r="FP18" s="8">
        <v>80.72</v>
      </c>
      <c r="FQ18" s="8">
        <v>45.07</v>
      </c>
      <c r="FR18" s="8">
        <v>45.07</v>
      </c>
      <c r="GH18" s="8">
        <v>75.95</v>
      </c>
      <c r="GI18" s="8">
        <v>75.95</v>
      </c>
      <c r="GL18" s="8">
        <v>76.09</v>
      </c>
      <c r="HB18" s="8">
        <v>82.89</v>
      </c>
      <c r="HC18" s="8">
        <v>77.92</v>
      </c>
      <c r="HD18" s="8">
        <v>84.93</v>
      </c>
      <c r="HE18" s="8">
        <v>82.26</v>
      </c>
      <c r="HU18" s="8">
        <v>77.56</v>
      </c>
      <c r="IK18" s="8">
        <v>85.5</v>
      </c>
      <c r="IL18" s="8">
        <v>73.37</v>
      </c>
      <c r="IM18" s="8">
        <v>69.05</v>
      </c>
      <c r="IQ18" s="8">
        <v>73.02</v>
      </c>
    </row>
    <row r="19" spans="1:251" x14ac:dyDescent="0.2">
      <c r="A19" s="9">
        <v>43221</v>
      </c>
      <c r="D19" s="8">
        <v>73.72</v>
      </c>
      <c r="E19" s="8">
        <v>74.180000000000007</v>
      </c>
      <c r="F19" s="8">
        <v>73.13</v>
      </c>
      <c r="G19" s="8">
        <v>72.05</v>
      </c>
      <c r="H19" s="8">
        <v>76.33</v>
      </c>
      <c r="I19" s="8">
        <v>76.47</v>
      </c>
      <c r="J19" s="8">
        <v>67.790000000000006</v>
      </c>
      <c r="K19" s="8">
        <v>77.97</v>
      </c>
      <c r="L19" s="8">
        <v>70.45</v>
      </c>
      <c r="M19" s="8">
        <v>82.14</v>
      </c>
      <c r="N19" s="8">
        <v>78.959999999999994</v>
      </c>
      <c r="O19" s="8">
        <v>80.7</v>
      </c>
      <c r="P19" s="8">
        <v>73.290000000000006</v>
      </c>
      <c r="Q19" s="8">
        <v>71.28</v>
      </c>
      <c r="R19" s="8">
        <v>74.31</v>
      </c>
      <c r="S19" s="8">
        <v>74.28</v>
      </c>
      <c r="T19" s="8">
        <v>78.099999999999994</v>
      </c>
      <c r="U19" s="8">
        <v>78.930000000000007</v>
      </c>
      <c r="V19" s="8">
        <v>77.06</v>
      </c>
      <c r="W19" s="8">
        <v>73.28</v>
      </c>
      <c r="X19" s="8">
        <v>63.06</v>
      </c>
      <c r="Y19" s="8">
        <v>80.36</v>
      </c>
      <c r="Z19" s="8">
        <v>81.06</v>
      </c>
      <c r="AA19" s="8">
        <v>65.150000000000006</v>
      </c>
      <c r="AB19" s="8">
        <v>71.59</v>
      </c>
      <c r="AC19" s="8">
        <v>76.98</v>
      </c>
      <c r="AD19" s="8">
        <v>78.709999999999994</v>
      </c>
      <c r="AE19" s="8">
        <v>68.180000000000007</v>
      </c>
      <c r="AF19" s="8">
        <v>81.61</v>
      </c>
      <c r="AL19" s="8">
        <v>79.94</v>
      </c>
      <c r="AN19" s="8">
        <v>76.19</v>
      </c>
      <c r="AO19" s="8">
        <v>46.93</v>
      </c>
      <c r="AP19" s="8">
        <v>46.93</v>
      </c>
      <c r="BF19" s="8">
        <v>74.069999999999993</v>
      </c>
      <c r="BG19" s="8">
        <v>74.069999999999993</v>
      </c>
      <c r="BJ19" s="8">
        <v>76.5</v>
      </c>
      <c r="BZ19" s="8">
        <v>82.02</v>
      </c>
      <c r="CA19" s="8">
        <v>75.45</v>
      </c>
      <c r="CB19" s="8">
        <v>83.59</v>
      </c>
      <c r="CC19" s="8">
        <v>82.37</v>
      </c>
      <c r="CS19" s="8">
        <v>80.47</v>
      </c>
      <c r="DI19" s="8">
        <v>84.74</v>
      </c>
      <c r="DJ19" s="8">
        <v>69.98</v>
      </c>
      <c r="DK19" s="8">
        <v>65.41</v>
      </c>
      <c r="DO19" s="8">
        <v>73.400000000000006</v>
      </c>
      <c r="DV19" s="8">
        <v>72.709999999999994</v>
      </c>
      <c r="DW19" s="8">
        <v>75.56</v>
      </c>
      <c r="EA19" s="8">
        <v>80.5</v>
      </c>
      <c r="EB19" s="8">
        <v>93.59</v>
      </c>
      <c r="EC19" s="8">
        <v>79.19</v>
      </c>
      <c r="EF19" s="8">
        <v>73.930000000000007</v>
      </c>
      <c r="EG19" s="8">
        <v>72.930000000000007</v>
      </c>
      <c r="EH19" s="8">
        <v>74.349999999999994</v>
      </c>
      <c r="EI19" s="8">
        <v>72.72</v>
      </c>
      <c r="EJ19" s="8">
        <v>76.89</v>
      </c>
      <c r="EK19" s="8">
        <v>76.489999999999995</v>
      </c>
      <c r="EL19" s="8">
        <v>68.39</v>
      </c>
      <c r="EM19" s="8">
        <v>78.52</v>
      </c>
      <c r="EN19" s="8">
        <v>71.08</v>
      </c>
      <c r="EO19" s="8">
        <v>82.29</v>
      </c>
      <c r="EP19" s="8">
        <v>78.290000000000006</v>
      </c>
      <c r="EQ19" s="8">
        <v>80.239999999999995</v>
      </c>
      <c r="ER19" s="8">
        <v>73.41</v>
      </c>
      <c r="ES19" s="8">
        <v>71.349999999999994</v>
      </c>
      <c r="ET19" s="8">
        <v>74.16</v>
      </c>
      <c r="EU19" s="8">
        <v>74.94</v>
      </c>
      <c r="EV19" s="8">
        <v>77.73</v>
      </c>
      <c r="EW19" s="8">
        <v>77.73</v>
      </c>
      <c r="EX19" s="8">
        <v>77.47</v>
      </c>
      <c r="EY19" s="8">
        <v>73.040000000000006</v>
      </c>
      <c r="EZ19" s="8">
        <v>63.55</v>
      </c>
      <c r="FA19" s="8">
        <v>80.61</v>
      </c>
      <c r="FB19" s="8">
        <v>80.56</v>
      </c>
      <c r="FC19" s="8">
        <v>64.319999999999993</v>
      </c>
      <c r="FD19" s="8">
        <v>71.98</v>
      </c>
      <c r="FE19" s="8">
        <v>76.34</v>
      </c>
      <c r="FF19" s="8">
        <v>73.11</v>
      </c>
      <c r="FG19" s="8">
        <v>68.67</v>
      </c>
      <c r="FH19" s="8">
        <v>74.709999999999994</v>
      </c>
      <c r="FN19" s="8">
        <v>76.760000000000005</v>
      </c>
      <c r="FP19" s="8">
        <v>81.040000000000006</v>
      </c>
      <c r="FQ19" s="8">
        <v>45.56</v>
      </c>
      <c r="FR19" s="8">
        <v>45.56</v>
      </c>
      <c r="GH19" s="8">
        <v>76.02</v>
      </c>
      <c r="GI19" s="8">
        <v>76.02</v>
      </c>
      <c r="GL19" s="8">
        <v>76.09</v>
      </c>
      <c r="HB19" s="8">
        <v>82.67</v>
      </c>
      <c r="HC19" s="8">
        <v>76.569999999999993</v>
      </c>
      <c r="HD19" s="8">
        <v>85.03</v>
      </c>
      <c r="HE19" s="8">
        <v>81.98</v>
      </c>
      <c r="HU19" s="8">
        <v>80.48</v>
      </c>
      <c r="IK19" s="8">
        <v>80.83</v>
      </c>
      <c r="IL19" s="8">
        <v>68.319999999999993</v>
      </c>
      <c r="IM19" s="8">
        <v>66.19</v>
      </c>
      <c r="IQ19" s="8">
        <v>73.06</v>
      </c>
    </row>
    <row r="20" spans="1:251" x14ac:dyDescent="0.2">
      <c r="A20" s="9">
        <v>43252</v>
      </c>
      <c r="D20" s="8">
        <v>73.48</v>
      </c>
      <c r="E20" s="8">
        <v>74.02</v>
      </c>
      <c r="F20" s="8">
        <v>72.95</v>
      </c>
      <c r="G20" s="8">
        <v>72.3</v>
      </c>
      <c r="H20" s="8">
        <v>75.11</v>
      </c>
      <c r="I20" s="8">
        <v>76.36</v>
      </c>
      <c r="J20" s="8">
        <v>67.930000000000007</v>
      </c>
      <c r="K20" s="8">
        <v>76.959999999999994</v>
      </c>
      <c r="L20" s="8">
        <v>70.790000000000006</v>
      </c>
      <c r="M20" s="8">
        <v>82.44</v>
      </c>
      <c r="N20" s="8">
        <v>77.92</v>
      </c>
      <c r="O20" s="8">
        <v>81.12</v>
      </c>
      <c r="P20" s="8">
        <v>73.39</v>
      </c>
      <c r="Q20" s="8">
        <v>71.55</v>
      </c>
      <c r="R20" s="8">
        <v>74.010000000000005</v>
      </c>
      <c r="S20" s="8">
        <v>74.569999999999993</v>
      </c>
      <c r="T20" s="8">
        <v>80.349999999999994</v>
      </c>
      <c r="U20" s="8">
        <v>80.59</v>
      </c>
      <c r="V20" s="8">
        <v>79.89</v>
      </c>
      <c r="W20" s="8">
        <v>73.290000000000006</v>
      </c>
      <c r="X20" s="8">
        <v>63.3</v>
      </c>
      <c r="Y20" s="8">
        <v>79.19</v>
      </c>
      <c r="Z20" s="8">
        <v>81.319999999999993</v>
      </c>
      <c r="AA20" s="8">
        <v>64.97</v>
      </c>
      <c r="AB20" s="8">
        <v>71.47</v>
      </c>
      <c r="AC20" s="8">
        <v>77.38</v>
      </c>
      <c r="AD20" s="8">
        <v>77.89</v>
      </c>
      <c r="AE20" s="8">
        <v>68.22</v>
      </c>
      <c r="AF20" s="8">
        <v>80.53</v>
      </c>
      <c r="AL20" s="8">
        <v>79.349999999999994</v>
      </c>
      <c r="AN20" s="8">
        <v>76.02</v>
      </c>
      <c r="AO20" s="8">
        <v>46.83</v>
      </c>
      <c r="AP20" s="8">
        <v>46.83</v>
      </c>
      <c r="BF20" s="8">
        <v>74.39</v>
      </c>
      <c r="BG20" s="8">
        <v>74.39</v>
      </c>
      <c r="BJ20" s="8">
        <v>76.5</v>
      </c>
      <c r="BZ20" s="8">
        <v>81.81</v>
      </c>
      <c r="CA20" s="8">
        <v>75.75</v>
      </c>
      <c r="CB20" s="8">
        <v>84.08</v>
      </c>
      <c r="CC20" s="8">
        <v>81.489999999999995</v>
      </c>
      <c r="CS20" s="8">
        <v>80.400000000000006</v>
      </c>
      <c r="DI20" s="8">
        <v>86.56</v>
      </c>
      <c r="DJ20" s="8">
        <v>70.59</v>
      </c>
      <c r="DK20" s="8">
        <v>67.48</v>
      </c>
      <c r="DO20" s="8">
        <v>72.41</v>
      </c>
      <c r="DV20" s="8">
        <v>72.709999999999994</v>
      </c>
      <c r="DW20" s="8">
        <v>75.56</v>
      </c>
      <c r="EA20" s="8">
        <v>80.75</v>
      </c>
      <c r="EB20" s="8">
        <v>93.6</v>
      </c>
      <c r="EC20" s="8">
        <v>79.48</v>
      </c>
      <c r="EF20" s="8">
        <v>73.69</v>
      </c>
      <c r="EG20" s="8">
        <v>72.8</v>
      </c>
      <c r="EH20" s="8">
        <v>74.12</v>
      </c>
      <c r="EI20" s="8">
        <v>72.92</v>
      </c>
      <c r="EJ20" s="8">
        <v>75.89</v>
      </c>
      <c r="EK20" s="8">
        <v>76.64</v>
      </c>
      <c r="EL20" s="8">
        <v>68.5</v>
      </c>
      <c r="EM20" s="8">
        <v>77.56</v>
      </c>
      <c r="EN20" s="8">
        <v>71.42</v>
      </c>
      <c r="EO20" s="8">
        <v>82.91</v>
      </c>
      <c r="EP20" s="8">
        <v>77.44</v>
      </c>
      <c r="EQ20" s="8">
        <v>81.400000000000006</v>
      </c>
      <c r="ER20" s="8">
        <v>73.52</v>
      </c>
      <c r="ES20" s="8">
        <v>71.55</v>
      </c>
      <c r="ET20" s="8">
        <v>74.05</v>
      </c>
      <c r="EU20" s="8">
        <v>75.16</v>
      </c>
      <c r="EV20" s="8">
        <v>79.28</v>
      </c>
      <c r="EW20" s="8">
        <v>78.37</v>
      </c>
      <c r="EX20" s="8">
        <v>79.760000000000005</v>
      </c>
      <c r="EY20" s="8">
        <v>73.040000000000006</v>
      </c>
      <c r="EZ20" s="8">
        <v>63.69</v>
      </c>
      <c r="FA20" s="8">
        <v>79.63</v>
      </c>
      <c r="FB20" s="8">
        <v>80.78</v>
      </c>
      <c r="FC20" s="8">
        <v>64.13</v>
      </c>
      <c r="FD20" s="8">
        <v>71.88</v>
      </c>
      <c r="FE20" s="8">
        <v>76.680000000000007</v>
      </c>
      <c r="FF20" s="8">
        <v>72.459999999999994</v>
      </c>
      <c r="FG20" s="8">
        <v>68.42</v>
      </c>
      <c r="FH20" s="8">
        <v>73.91</v>
      </c>
      <c r="FN20" s="8">
        <v>77.69</v>
      </c>
      <c r="FP20" s="8">
        <v>80.790000000000006</v>
      </c>
      <c r="FQ20" s="8">
        <v>45.42</v>
      </c>
      <c r="FR20" s="8">
        <v>45.42</v>
      </c>
      <c r="GH20" s="8">
        <v>76.790000000000006</v>
      </c>
      <c r="GI20" s="8">
        <v>76.790000000000006</v>
      </c>
      <c r="GL20" s="8">
        <v>76.09</v>
      </c>
      <c r="HB20" s="8">
        <v>82.45</v>
      </c>
      <c r="HC20" s="8">
        <v>76.66</v>
      </c>
      <c r="HD20" s="8">
        <v>85.22</v>
      </c>
      <c r="HE20" s="8">
        <v>81.36</v>
      </c>
      <c r="HU20" s="8">
        <v>81.63</v>
      </c>
      <c r="IK20" s="8">
        <v>82.39</v>
      </c>
      <c r="IL20" s="8">
        <v>68.709999999999994</v>
      </c>
      <c r="IM20" s="8">
        <v>68.28</v>
      </c>
      <c r="IQ20" s="8">
        <v>72.28</v>
      </c>
    </row>
    <row r="21" spans="1:251" x14ac:dyDescent="0.2">
      <c r="A21" s="9">
        <v>43282</v>
      </c>
      <c r="D21" s="8">
        <v>74.040000000000006</v>
      </c>
      <c r="E21" s="8">
        <v>75.010000000000005</v>
      </c>
      <c r="F21" s="8">
        <v>73.83</v>
      </c>
      <c r="G21" s="8">
        <v>71.069999999999993</v>
      </c>
      <c r="H21" s="8">
        <v>74.400000000000006</v>
      </c>
      <c r="I21" s="8">
        <v>76.3</v>
      </c>
      <c r="J21" s="8">
        <v>67.33</v>
      </c>
      <c r="K21" s="8">
        <v>77.12</v>
      </c>
      <c r="L21" s="8">
        <v>70.42</v>
      </c>
      <c r="M21" s="8">
        <v>83.3</v>
      </c>
      <c r="N21" s="8">
        <v>77.27</v>
      </c>
      <c r="O21" s="8">
        <v>81.400000000000006</v>
      </c>
      <c r="P21" s="8">
        <v>73.400000000000006</v>
      </c>
      <c r="Q21" s="8">
        <v>71.459999999999994</v>
      </c>
      <c r="R21" s="8">
        <v>74.16</v>
      </c>
      <c r="S21" s="8">
        <v>74.540000000000006</v>
      </c>
      <c r="T21" s="8">
        <v>80.75</v>
      </c>
      <c r="U21" s="8">
        <v>82.45</v>
      </c>
      <c r="V21" s="8">
        <v>78.84</v>
      </c>
      <c r="W21" s="8">
        <v>73.72</v>
      </c>
      <c r="X21" s="8">
        <v>63.05</v>
      </c>
      <c r="Y21" s="8">
        <v>80.290000000000006</v>
      </c>
      <c r="Z21" s="8">
        <v>81.540000000000006</v>
      </c>
      <c r="AA21" s="8">
        <v>66.31</v>
      </c>
      <c r="AB21" s="8">
        <v>71.94</v>
      </c>
      <c r="AC21" s="8">
        <v>77.58</v>
      </c>
      <c r="AD21" s="8">
        <v>78.98</v>
      </c>
      <c r="AE21" s="8">
        <v>70.13</v>
      </c>
      <c r="AF21" s="8">
        <v>81.38</v>
      </c>
      <c r="AL21" s="8">
        <v>80.12</v>
      </c>
      <c r="AN21" s="8">
        <v>76.81</v>
      </c>
      <c r="AO21" s="8">
        <v>46.95</v>
      </c>
      <c r="AP21" s="8">
        <v>46.95</v>
      </c>
      <c r="BF21" s="8">
        <v>74.52</v>
      </c>
      <c r="BG21" s="8">
        <v>74.52</v>
      </c>
      <c r="BJ21" s="8">
        <v>76.5</v>
      </c>
      <c r="BZ21" s="8">
        <v>81.98</v>
      </c>
      <c r="CA21" s="8">
        <v>76.52</v>
      </c>
      <c r="CB21" s="8">
        <v>84.18</v>
      </c>
      <c r="CC21" s="8">
        <v>81.58</v>
      </c>
      <c r="CS21" s="8">
        <v>77.66</v>
      </c>
      <c r="DI21" s="8">
        <v>94.68</v>
      </c>
      <c r="DJ21" s="8">
        <v>74.739999999999995</v>
      </c>
      <c r="DK21" s="8">
        <v>75.66</v>
      </c>
      <c r="DO21" s="8">
        <v>72.78</v>
      </c>
      <c r="DV21" s="8">
        <v>72.709999999999994</v>
      </c>
      <c r="DW21" s="8">
        <v>75.56</v>
      </c>
      <c r="EA21" s="8">
        <v>80.760000000000005</v>
      </c>
      <c r="EB21" s="8">
        <v>93.63</v>
      </c>
      <c r="EC21" s="8">
        <v>79.48</v>
      </c>
      <c r="EF21" s="8">
        <v>74.069999999999993</v>
      </c>
      <c r="EG21" s="8">
        <v>73.7</v>
      </c>
      <c r="EH21" s="8">
        <v>74.650000000000006</v>
      </c>
      <c r="EI21" s="8">
        <v>71.59</v>
      </c>
      <c r="EJ21" s="8">
        <v>75.37</v>
      </c>
      <c r="EK21" s="8">
        <v>76.61</v>
      </c>
      <c r="EL21" s="8">
        <v>68.44</v>
      </c>
      <c r="EM21" s="8">
        <v>77.849999999999994</v>
      </c>
      <c r="EN21" s="8">
        <v>71.41</v>
      </c>
      <c r="EO21" s="8">
        <v>83.75</v>
      </c>
      <c r="EP21" s="8">
        <v>76.95</v>
      </c>
      <c r="EQ21" s="8">
        <v>80.66</v>
      </c>
      <c r="ER21" s="8">
        <v>73.45</v>
      </c>
      <c r="ES21" s="8">
        <v>71.400000000000006</v>
      </c>
      <c r="ET21" s="8">
        <v>74</v>
      </c>
      <c r="EU21" s="8">
        <v>75.17</v>
      </c>
      <c r="EV21" s="8">
        <v>79.25</v>
      </c>
      <c r="EW21" s="8">
        <v>80.8</v>
      </c>
      <c r="EX21" s="8">
        <v>77.72</v>
      </c>
      <c r="EY21" s="8">
        <v>73.400000000000006</v>
      </c>
      <c r="EZ21" s="8">
        <v>63.37</v>
      </c>
      <c r="FA21" s="8">
        <v>80.36</v>
      </c>
      <c r="FB21" s="8">
        <v>80.92</v>
      </c>
      <c r="FC21" s="8">
        <v>65.650000000000006</v>
      </c>
      <c r="FD21" s="8">
        <v>72.14</v>
      </c>
      <c r="FE21" s="8">
        <v>77</v>
      </c>
      <c r="FF21" s="8">
        <v>73.45</v>
      </c>
      <c r="FG21" s="8">
        <v>70.95</v>
      </c>
      <c r="FH21" s="8">
        <v>74.33</v>
      </c>
      <c r="FN21" s="8">
        <v>77.39</v>
      </c>
      <c r="FP21" s="8">
        <v>81.03</v>
      </c>
      <c r="FQ21" s="8">
        <v>45.6</v>
      </c>
      <c r="FR21" s="8">
        <v>45.6</v>
      </c>
      <c r="GH21" s="8">
        <v>76.260000000000005</v>
      </c>
      <c r="GI21" s="8">
        <v>76.260000000000005</v>
      </c>
      <c r="GL21" s="8">
        <v>76.09</v>
      </c>
      <c r="HB21" s="8">
        <v>82.76</v>
      </c>
      <c r="HC21" s="8">
        <v>77.78</v>
      </c>
      <c r="HD21" s="8">
        <v>85.42</v>
      </c>
      <c r="HE21" s="8">
        <v>81.62</v>
      </c>
      <c r="HU21" s="8">
        <v>80.11</v>
      </c>
      <c r="IK21" s="8">
        <v>88.45</v>
      </c>
      <c r="IL21" s="8">
        <v>71.290000000000006</v>
      </c>
      <c r="IM21" s="8">
        <v>75.459999999999994</v>
      </c>
      <c r="IQ21" s="8">
        <v>72.56</v>
      </c>
    </row>
    <row r="22" spans="1:251" x14ac:dyDescent="0.2">
      <c r="A22" s="9">
        <v>43313</v>
      </c>
      <c r="D22" s="8">
        <v>73.930000000000007</v>
      </c>
      <c r="E22" s="8">
        <v>75.12</v>
      </c>
      <c r="F22" s="8">
        <v>73</v>
      </c>
      <c r="G22" s="8">
        <v>72.209999999999994</v>
      </c>
      <c r="H22" s="8">
        <v>75.44</v>
      </c>
      <c r="I22" s="8">
        <v>77.010000000000005</v>
      </c>
      <c r="J22" s="8">
        <v>69.099999999999994</v>
      </c>
      <c r="K22" s="8">
        <v>77.63</v>
      </c>
      <c r="L22" s="8">
        <v>72.19</v>
      </c>
      <c r="M22" s="8">
        <v>83.08</v>
      </c>
      <c r="N22" s="8">
        <v>77.95</v>
      </c>
      <c r="O22" s="8">
        <v>81.239999999999995</v>
      </c>
      <c r="P22" s="8">
        <v>72.91</v>
      </c>
      <c r="Q22" s="8">
        <v>70.98</v>
      </c>
      <c r="R22" s="8">
        <v>73.94</v>
      </c>
      <c r="S22" s="8">
        <v>73.81</v>
      </c>
      <c r="T22" s="8">
        <v>80.400000000000006</v>
      </c>
      <c r="U22" s="8">
        <v>79.64</v>
      </c>
      <c r="V22" s="8">
        <v>80.930000000000007</v>
      </c>
      <c r="W22" s="8">
        <v>74.010000000000005</v>
      </c>
      <c r="X22" s="8">
        <v>62.94</v>
      </c>
      <c r="Y22" s="8">
        <v>79.77</v>
      </c>
      <c r="Z22" s="8">
        <v>81.400000000000006</v>
      </c>
      <c r="AA22" s="8">
        <v>66.44</v>
      </c>
      <c r="AB22" s="8">
        <v>72.61</v>
      </c>
      <c r="AC22" s="8">
        <v>77.739999999999995</v>
      </c>
      <c r="AD22" s="8">
        <v>78.88</v>
      </c>
      <c r="AE22" s="8">
        <v>69.010000000000005</v>
      </c>
      <c r="AF22" s="8">
        <v>81.59</v>
      </c>
      <c r="AL22" s="8">
        <v>79.83</v>
      </c>
      <c r="AN22" s="8">
        <v>77.69</v>
      </c>
      <c r="AO22" s="8">
        <v>47.05</v>
      </c>
      <c r="AP22" s="8">
        <v>47.05</v>
      </c>
      <c r="BF22" s="8">
        <v>74.58</v>
      </c>
      <c r="BG22" s="8">
        <v>74.58</v>
      </c>
      <c r="BJ22" s="8">
        <v>76.5</v>
      </c>
      <c r="BZ22" s="8">
        <v>81.83</v>
      </c>
      <c r="CA22" s="8">
        <v>76.41</v>
      </c>
      <c r="CB22" s="8">
        <v>83.64</v>
      </c>
      <c r="CC22" s="8">
        <v>81.739999999999995</v>
      </c>
      <c r="CS22" s="8">
        <v>80.14</v>
      </c>
      <c r="DI22" s="8">
        <v>86.27</v>
      </c>
      <c r="DJ22" s="8">
        <v>72.349999999999994</v>
      </c>
      <c r="DK22" s="8">
        <v>65.760000000000005</v>
      </c>
      <c r="DO22" s="8">
        <v>72.73</v>
      </c>
      <c r="DV22" s="8">
        <v>72.709999999999994</v>
      </c>
      <c r="DW22" s="8">
        <v>78.010000000000005</v>
      </c>
      <c r="EA22" s="8">
        <v>80.760000000000005</v>
      </c>
      <c r="EB22" s="8">
        <v>93.66</v>
      </c>
      <c r="EC22" s="8">
        <v>79.48</v>
      </c>
      <c r="EF22" s="8">
        <v>73.989999999999995</v>
      </c>
      <c r="EG22" s="8">
        <v>73.760000000000005</v>
      </c>
      <c r="EH22" s="8">
        <v>73.989999999999995</v>
      </c>
      <c r="EI22" s="8">
        <v>73</v>
      </c>
      <c r="EJ22" s="8">
        <v>76.02</v>
      </c>
      <c r="EK22" s="8">
        <v>77.11</v>
      </c>
      <c r="EL22" s="8">
        <v>69.91</v>
      </c>
      <c r="EM22" s="8">
        <v>78.22</v>
      </c>
      <c r="EN22" s="8">
        <v>72.959999999999994</v>
      </c>
      <c r="EO22" s="8">
        <v>82.84</v>
      </c>
      <c r="EP22" s="8">
        <v>77.72</v>
      </c>
      <c r="EQ22" s="8">
        <v>80.599999999999994</v>
      </c>
      <c r="ER22" s="8">
        <v>73.05</v>
      </c>
      <c r="ES22" s="8">
        <v>70.94</v>
      </c>
      <c r="ET22" s="8">
        <v>74.08</v>
      </c>
      <c r="EU22" s="8">
        <v>74.39</v>
      </c>
      <c r="EV22" s="8">
        <v>79.42</v>
      </c>
      <c r="EW22" s="8">
        <v>78.34</v>
      </c>
      <c r="EX22" s="8">
        <v>80.05</v>
      </c>
      <c r="EY22" s="8">
        <v>73.72</v>
      </c>
      <c r="EZ22" s="8">
        <v>63.2</v>
      </c>
      <c r="FA22" s="8">
        <v>79.95</v>
      </c>
      <c r="FB22" s="8">
        <v>80.849999999999994</v>
      </c>
      <c r="FC22" s="8">
        <v>66.209999999999994</v>
      </c>
      <c r="FD22" s="8">
        <v>72.7</v>
      </c>
      <c r="FE22" s="8">
        <v>77.27</v>
      </c>
      <c r="FF22" s="8">
        <v>73.08</v>
      </c>
      <c r="FG22" s="8">
        <v>69.959999999999994</v>
      </c>
      <c r="FH22" s="8">
        <v>74.180000000000007</v>
      </c>
      <c r="FN22" s="8">
        <v>77.36</v>
      </c>
      <c r="FP22" s="8">
        <v>82.06</v>
      </c>
      <c r="FQ22" s="8">
        <v>45.77</v>
      </c>
      <c r="FR22" s="8">
        <v>45.77</v>
      </c>
      <c r="GH22" s="8">
        <v>75.37</v>
      </c>
      <c r="GI22" s="8">
        <v>75.37</v>
      </c>
      <c r="GL22" s="8">
        <v>76.09</v>
      </c>
      <c r="HB22" s="8">
        <v>82.37</v>
      </c>
      <c r="HC22" s="8">
        <v>77.319999999999993</v>
      </c>
      <c r="HD22" s="8">
        <v>84.68</v>
      </c>
      <c r="HE22" s="8">
        <v>81.540000000000006</v>
      </c>
      <c r="HU22" s="8">
        <v>78.91</v>
      </c>
      <c r="IK22" s="8">
        <v>81.53</v>
      </c>
      <c r="IL22" s="8">
        <v>69.97</v>
      </c>
      <c r="IM22" s="8">
        <v>65.84</v>
      </c>
      <c r="IQ22" s="8">
        <v>72.64</v>
      </c>
    </row>
    <row r="23" spans="1:251" x14ac:dyDescent="0.2">
      <c r="A23" s="9">
        <v>43344</v>
      </c>
      <c r="D23" s="8">
        <v>74.08</v>
      </c>
      <c r="E23" s="8">
        <v>74.95</v>
      </c>
      <c r="F23" s="8">
        <v>73.38</v>
      </c>
      <c r="G23" s="8">
        <v>72.989999999999995</v>
      </c>
      <c r="H23" s="8">
        <v>75.239999999999995</v>
      </c>
      <c r="I23" s="8">
        <v>77.239999999999995</v>
      </c>
      <c r="J23" s="8">
        <v>69.41</v>
      </c>
      <c r="K23" s="8">
        <v>77.87</v>
      </c>
      <c r="L23" s="8">
        <v>74.36</v>
      </c>
      <c r="M23" s="8">
        <v>82.99</v>
      </c>
      <c r="N23" s="8">
        <v>77.67</v>
      </c>
      <c r="O23" s="8">
        <v>80.900000000000006</v>
      </c>
      <c r="P23" s="8">
        <v>73.180000000000007</v>
      </c>
      <c r="Q23" s="8">
        <v>71.83</v>
      </c>
      <c r="R23" s="8">
        <v>73.790000000000006</v>
      </c>
      <c r="S23" s="8">
        <v>73.87</v>
      </c>
      <c r="T23" s="8">
        <v>80.39</v>
      </c>
      <c r="U23" s="8">
        <v>79.260000000000005</v>
      </c>
      <c r="V23" s="8">
        <v>81.28</v>
      </c>
      <c r="W23" s="8">
        <v>73.08</v>
      </c>
      <c r="X23" s="8">
        <v>62.77</v>
      </c>
      <c r="Y23" s="8">
        <v>79.98</v>
      </c>
      <c r="Z23" s="8">
        <v>79.56</v>
      </c>
      <c r="AA23" s="8">
        <v>65.72</v>
      </c>
      <c r="AB23" s="8">
        <v>71.349999999999994</v>
      </c>
      <c r="AC23" s="8">
        <v>77.28</v>
      </c>
      <c r="AD23" s="8">
        <v>77.48</v>
      </c>
      <c r="AE23" s="8">
        <v>69.150000000000006</v>
      </c>
      <c r="AF23" s="8">
        <v>79.73</v>
      </c>
      <c r="AL23" s="8">
        <v>79.3</v>
      </c>
      <c r="AN23" s="8">
        <v>77.3</v>
      </c>
      <c r="AO23" s="8">
        <v>49.09</v>
      </c>
      <c r="AP23" s="8">
        <v>49.09</v>
      </c>
      <c r="BF23" s="8">
        <v>74.77</v>
      </c>
      <c r="BG23" s="8">
        <v>74.77</v>
      </c>
      <c r="BJ23" s="8">
        <v>77.95</v>
      </c>
      <c r="BZ23" s="8">
        <v>81.599999999999994</v>
      </c>
      <c r="CA23" s="8">
        <v>75.75</v>
      </c>
      <c r="CB23" s="8">
        <v>83.59</v>
      </c>
      <c r="CC23" s="8">
        <v>81.45</v>
      </c>
      <c r="CS23" s="8">
        <v>83.8</v>
      </c>
      <c r="DI23" s="8">
        <v>89.01</v>
      </c>
      <c r="DJ23" s="8">
        <v>73.97</v>
      </c>
      <c r="DK23" s="8">
        <v>68.349999999999994</v>
      </c>
      <c r="DO23" s="8">
        <v>73.290000000000006</v>
      </c>
      <c r="DV23" s="8">
        <v>72.709999999999994</v>
      </c>
      <c r="DW23" s="8">
        <v>78.010000000000005</v>
      </c>
      <c r="EA23" s="8">
        <v>81.260000000000005</v>
      </c>
      <c r="EB23" s="8">
        <v>93.69</v>
      </c>
      <c r="EC23" s="8">
        <v>80.02</v>
      </c>
      <c r="EF23" s="8">
        <v>74.069999999999993</v>
      </c>
      <c r="EG23" s="8">
        <v>73.819999999999993</v>
      </c>
      <c r="EH23" s="8">
        <v>74.06</v>
      </c>
      <c r="EI23" s="8">
        <v>73.739999999999995</v>
      </c>
      <c r="EJ23" s="8">
        <v>75.66</v>
      </c>
      <c r="EK23" s="8">
        <v>77.33</v>
      </c>
      <c r="EL23" s="8">
        <v>70.33</v>
      </c>
      <c r="EM23" s="8">
        <v>77.94</v>
      </c>
      <c r="EN23" s="8">
        <v>74.7</v>
      </c>
      <c r="EO23" s="8">
        <v>83.16</v>
      </c>
      <c r="EP23" s="8">
        <v>77.33</v>
      </c>
      <c r="EQ23" s="8">
        <v>80.290000000000006</v>
      </c>
      <c r="ER23" s="8">
        <v>73.23</v>
      </c>
      <c r="ES23" s="8">
        <v>71.67</v>
      </c>
      <c r="ET23" s="8">
        <v>73.73</v>
      </c>
      <c r="EU23" s="8">
        <v>74.47</v>
      </c>
      <c r="EV23" s="8">
        <v>79.22</v>
      </c>
      <c r="EW23" s="8">
        <v>77.209999999999994</v>
      </c>
      <c r="EX23" s="8">
        <v>80.61</v>
      </c>
      <c r="EY23" s="8">
        <v>72.819999999999993</v>
      </c>
      <c r="EZ23" s="8">
        <v>63.09</v>
      </c>
      <c r="FA23" s="8">
        <v>80.23</v>
      </c>
      <c r="FB23" s="8">
        <v>79.150000000000006</v>
      </c>
      <c r="FC23" s="8">
        <v>65.400000000000006</v>
      </c>
      <c r="FD23" s="8">
        <v>71.569999999999993</v>
      </c>
      <c r="FE23" s="8">
        <v>76.75</v>
      </c>
      <c r="FF23" s="8">
        <v>72.44</v>
      </c>
      <c r="FG23" s="8">
        <v>69.8</v>
      </c>
      <c r="FH23" s="8">
        <v>73.37</v>
      </c>
      <c r="FN23" s="8">
        <v>77.349999999999994</v>
      </c>
      <c r="FP23" s="8">
        <v>80.59</v>
      </c>
      <c r="FQ23" s="8">
        <v>47.8</v>
      </c>
      <c r="FR23" s="8">
        <v>47.8</v>
      </c>
      <c r="GH23" s="8">
        <v>75.81</v>
      </c>
      <c r="GI23" s="8">
        <v>75.81</v>
      </c>
      <c r="GL23" s="8">
        <v>78.790000000000006</v>
      </c>
      <c r="HB23" s="8">
        <v>82.25</v>
      </c>
      <c r="HC23" s="8">
        <v>77.02</v>
      </c>
      <c r="HD23" s="8">
        <v>84.85</v>
      </c>
      <c r="HE23" s="8">
        <v>81.2</v>
      </c>
      <c r="HU23" s="8">
        <v>84.3</v>
      </c>
      <c r="IK23" s="8">
        <v>84.93</v>
      </c>
      <c r="IL23" s="8">
        <v>72.459999999999994</v>
      </c>
      <c r="IM23" s="8">
        <v>68.959999999999994</v>
      </c>
      <c r="IQ23" s="8">
        <v>72.989999999999995</v>
      </c>
    </row>
    <row r="24" spans="1:251" x14ac:dyDescent="0.2">
      <c r="A24" s="9">
        <v>43374</v>
      </c>
      <c r="D24" s="8">
        <v>74.430000000000007</v>
      </c>
      <c r="E24" s="8">
        <v>75.11</v>
      </c>
      <c r="F24" s="8">
        <v>74.09</v>
      </c>
      <c r="G24" s="8">
        <v>73.72</v>
      </c>
      <c r="H24" s="8">
        <v>74.510000000000005</v>
      </c>
      <c r="I24" s="8">
        <v>77.650000000000006</v>
      </c>
      <c r="J24" s="8">
        <v>69.680000000000007</v>
      </c>
      <c r="K24" s="8">
        <v>76.849999999999994</v>
      </c>
      <c r="L24" s="8">
        <v>77.040000000000006</v>
      </c>
      <c r="M24" s="8">
        <v>82.98</v>
      </c>
      <c r="N24" s="8">
        <v>77.650000000000006</v>
      </c>
      <c r="O24" s="8">
        <v>81.87</v>
      </c>
      <c r="P24" s="8">
        <v>73.44</v>
      </c>
      <c r="Q24" s="8">
        <v>72.45</v>
      </c>
      <c r="R24" s="8">
        <v>73.900000000000006</v>
      </c>
      <c r="S24" s="8">
        <v>73.900000000000006</v>
      </c>
      <c r="T24" s="8">
        <v>82.38</v>
      </c>
      <c r="U24" s="8">
        <v>85.94</v>
      </c>
      <c r="V24" s="8">
        <v>78.67</v>
      </c>
      <c r="W24" s="8">
        <v>73.73</v>
      </c>
      <c r="X24" s="8">
        <v>63.23</v>
      </c>
      <c r="Y24" s="8">
        <v>79.900000000000006</v>
      </c>
      <c r="Z24" s="8">
        <v>81.45</v>
      </c>
      <c r="AA24" s="8">
        <v>66.75</v>
      </c>
      <c r="AB24" s="8">
        <v>71.849999999999994</v>
      </c>
      <c r="AC24" s="8">
        <v>77.7</v>
      </c>
      <c r="AD24" s="8">
        <v>78.069999999999993</v>
      </c>
      <c r="AE24" s="8">
        <v>69.16</v>
      </c>
      <c r="AF24" s="8">
        <v>80.47</v>
      </c>
      <c r="AL24" s="8">
        <v>79.7</v>
      </c>
      <c r="AN24" s="8">
        <v>77.900000000000006</v>
      </c>
      <c r="AO24" s="8">
        <v>51.69</v>
      </c>
      <c r="AP24" s="8">
        <v>51.69</v>
      </c>
      <c r="BF24" s="8">
        <v>74.88</v>
      </c>
      <c r="BG24" s="8">
        <v>74.88</v>
      </c>
      <c r="BJ24" s="8">
        <v>77.95</v>
      </c>
      <c r="BZ24" s="8">
        <v>81</v>
      </c>
      <c r="CA24" s="8">
        <v>76.959999999999994</v>
      </c>
      <c r="CB24" s="8">
        <v>81.88</v>
      </c>
      <c r="CC24" s="8">
        <v>81.319999999999993</v>
      </c>
      <c r="CS24" s="8">
        <v>85.62</v>
      </c>
      <c r="DI24" s="8">
        <v>90</v>
      </c>
      <c r="DJ24" s="8">
        <v>74.510000000000005</v>
      </c>
      <c r="DK24" s="8">
        <v>69.34</v>
      </c>
      <c r="DO24" s="8">
        <v>72.22</v>
      </c>
      <c r="DV24" s="8">
        <v>72.709999999999994</v>
      </c>
      <c r="DW24" s="8">
        <v>78.010000000000005</v>
      </c>
      <c r="EA24" s="8">
        <v>81.260000000000005</v>
      </c>
      <c r="EB24" s="8">
        <v>93.71</v>
      </c>
      <c r="EC24" s="8">
        <v>80.02</v>
      </c>
      <c r="EF24" s="8">
        <v>74.569999999999993</v>
      </c>
      <c r="EG24" s="8">
        <v>73.98</v>
      </c>
      <c r="EH24" s="8">
        <v>75.09</v>
      </c>
      <c r="EI24" s="8">
        <v>74.209999999999994</v>
      </c>
      <c r="EJ24" s="8">
        <v>75.17</v>
      </c>
      <c r="EK24" s="8">
        <v>78</v>
      </c>
      <c r="EL24" s="8">
        <v>70.349999999999994</v>
      </c>
      <c r="EM24" s="8">
        <v>77.67</v>
      </c>
      <c r="EN24" s="8">
        <v>78.06</v>
      </c>
      <c r="EO24" s="8">
        <v>83.46</v>
      </c>
      <c r="EP24" s="8">
        <v>77.59</v>
      </c>
      <c r="EQ24" s="8">
        <v>81.42</v>
      </c>
      <c r="ER24" s="8">
        <v>73.540000000000006</v>
      </c>
      <c r="ES24" s="8">
        <v>72.290000000000006</v>
      </c>
      <c r="ET24" s="8">
        <v>74</v>
      </c>
      <c r="EU24" s="8">
        <v>74.44</v>
      </c>
      <c r="EV24" s="8">
        <v>81.53</v>
      </c>
      <c r="EW24" s="8">
        <v>84.65</v>
      </c>
      <c r="EX24" s="8">
        <v>78.78</v>
      </c>
      <c r="EY24" s="8">
        <v>73.64</v>
      </c>
      <c r="EZ24" s="8">
        <v>63.42</v>
      </c>
      <c r="FA24" s="8">
        <v>80.13</v>
      </c>
      <c r="FB24" s="8">
        <v>81.13</v>
      </c>
      <c r="FC24" s="8">
        <v>66.56</v>
      </c>
      <c r="FD24" s="8">
        <v>72.17</v>
      </c>
      <c r="FE24" s="8">
        <v>77.59</v>
      </c>
      <c r="FF24" s="8">
        <v>72.19</v>
      </c>
      <c r="FG24" s="8">
        <v>69.89</v>
      </c>
      <c r="FH24" s="8">
        <v>72.989999999999995</v>
      </c>
      <c r="FN24" s="8">
        <v>78.36</v>
      </c>
      <c r="FP24" s="8">
        <v>82.03</v>
      </c>
      <c r="FQ24" s="8">
        <v>50.23</v>
      </c>
      <c r="FR24" s="8">
        <v>50.23</v>
      </c>
      <c r="GH24" s="8">
        <v>76.03</v>
      </c>
      <c r="GI24" s="8">
        <v>76.03</v>
      </c>
      <c r="GL24" s="8">
        <v>78.790000000000006</v>
      </c>
      <c r="HB24" s="8">
        <v>81.61</v>
      </c>
      <c r="HC24" s="8">
        <v>77.94</v>
      </c>
      <c r="HD24" s="8">
        <v>83.18</v>
      </c>
      <c r="HE24" s="8">
        <v>81.14</v>
      </c>
      <c r="HU24" s="8">
        <v>86.75</v>
      </c>
      <c r="IK24" s="8">
        <v>85.71</v>
      </c>
      <c r="IL24" s="8">
        <v>72.989999999999995</v>
      </c>
      <c r="IM24" s="8">
        <v>69.709999999999994</v>
      </c>
      <c r="IQ24" s="8">
        <v>71.959999999999994</v>
      </c>
    </row>
    <row r="25" spans="1:251" x14ac:dyDescent="0.2">
      <c r="A25" s="9">
        <v>43405</v>
      </c>
      <c r="D25" s="8">
        <v>74.349999999999994</v>
      </c>
      <c r="E25" s="8">
        <v>74.84</v>
      </c>
      <c r="F25" s="8">
        <v>74.03</v>
      </c>
      <c r="G25" s="8">
        <v>74.66</v>
      </c>
      <c r="H25" s="8">
        <v>74.13</v>
      </c>
      <c r="I25" s="8">
        <v>77.92</v>
      </c>
      <c r="J25" s="8">
        <v>70.03</v>
      </c>
      <c r="K25" s="8">
        <v>77.8</v>
      </c>
      <c r="L25" s="8">
        <v>77.09</v>
      </c>
      <c r="M25" s="8">
        <v>83.3</v>
      </c>
      <c r="N25" s="8">
        <v>78.39</v>
      </c>
      <c r="O25" s="8">
        <v>81.239999999999995</v>
      </c>
      <c r="P25" s="8">
        <v>73.38</v>
      </c>
      <c r="Q25" s="8">
        <v>72.36</v>
      </c>
      <c r="R25" s="8">
        <v>74.28</v>
      </c>
      <c r="S25" s="8">
        <v>73.5</v>
      </c>
      <c r="T25" s="8">
        <v>80.89</v>
      </c>
      <c r="U25" s="8">
        <v>83.93</v>
      </c>
      <c r="V25" s="8">
        <v>77.7</v>
      </c>
      <c r="W25" s="8">
        <v>73.680000000000007</v>
      </c>
      <c r="X25" s="8">
        <v>63.24</v>
      </c>
      <c r="Y25" s="8">
        <v>79.72</v>
      </c>
      <c r="Z25" s="8">
        <v>81.22</v>
      </c>
      <c r="AA25" s="8">
        <v>66.430000000000007</v>
      </c>
      <c r="AB25" s="8">
        <v>71.400000000000006</v>
      </c>
      <c r="AC25" s="8">
        <v>78.58</v>
      </c>
      <c r="AD25" s="8">
        <v>78.17</v>
      </c>
      <c r="AE25" s="8">
        <v>70.430000000000007</v>
      </c>
      <c r="AF25" s="8">
        <v>80.25</v>
      </c>
      <c r="AL25" s="8">
        <v>78.989999999999995</v>
      </c>
      <c r="AN25" s="8">
        <v>77.13</v>
      </c>
      <c r="AO25" s="8">
        <v>52.69</v>
      </c>
      <c r="AP25" s="8">
        <v>52.69</v>
      </c>
      <c r="BF25" s="8">
        <v>75.36</v>
      </c>
      <c r="BG25" s="8">
        <v>75.36</v>
      </c>
      <c r="BJ25" s="8">
        <v>77.95</v>
      </c>
      <c r="BZ25" s="8">
        <v>81.59</v>
      </c>
      <c r="CA25" s="8">
        <v>76.739999999999995</v>
      </c>
      <c r="CB25" s="8">
        <v>82.64</v>
      </c>
      <c r="CC25" s="8">
        <v>81.98</v>
      </c>
      <c r="CS25" s="8">
        <v>73.87</v>
      </c>
      <c r="DI25" s="8">
        <v>86.68</v>
      </c>
      <c r="DJ25" s="8">
        <v>73.45</v>
      </c>
      <c r="DK25" s="8">
        <v>65.45</v>
      </c>
      <c r="DO25" s="8">
        <v>74.239999999999995</v>
      </c>
      <c r="DV25" s="8">
        <v>72.709999999999994</v>
      </c>
      <c r="DW25" s="8">
        <v>78.010000000000005</v>
      </c>
      <c r="EA25" s="8">
        <v>81.260000000000005</v>
      </c>
      <c r="EB25" s="8">
        <v>93.73</v>
      </c>
      <c r="EC25" s="8">
        <v>80.02</v>
      </c>
      <c r="EF25" s="8">
        <v>74.47</v>
      </c>
      <c r="EG25" s="8">
        <v>73.900000000000006</v>
      </c>
      <c r="EH25" s="8">
        <v>74.8</v>
      </c>
      <c r="EI25" s="8">
        <v>75.37</v>
      </c>
      <c r="EJ25" s="8">
        <v>74.849999999999994</v>
      </c>
      <c r="EK25" s="8">
        <v>78.430000000000007</v>
      </c>
      <c r="EL25" s="8">
        <v>70.989999999999995</v>
      </c>
      <c r="EM25" s="8">
        <v>78.28</v>
      </c>
      <c r="EN25" s="8">
        <v>78.63</v>
      </c>
      <c r="EO25" s="8">
        <v>84.32</v>
      </c>
      <c r="EP25" s="8">
        <v>78.09</v>
      </c>
      <c r="EQ25" s="8">
        <v>80.84</v>
      </c>
      <c r="ER25" s="8">
        <v>73.67</v>
      </c>
      <c r="ES25" s="8">
        <v>72.47</v>
      </c>
      <c r="ET25" s="8">
        <v>74.31</v>
      </c>
      <c r="EU25" s="8">
        <v>74.349999999999994</v>
      </c>
      <c r="EV25" s="8">
        <v>80.03</v>
      </c>
      <c r="EW25" s="8">
        <v>83.23</v>
      </c>
      <c r="EX25" s="8">
        <v>77.22</v>
      </c>
      <c r="EY25" s="8">
        <v>73.569999999999993</v>
      </c>
      <c r="EZ25" s="8">
        <v>63.52</v>
      </c>
      <c r="FA25" s="8">
        <v>79.58</v>
      </c>
      <c r="FB25" s="8">
        <v>80.92</v>
      </c>
      <c r="FC25" s="8">
        <v>66.28</v>
      </c>
      <c r="FD25" s="8">
        <v>71.8</v>
      </c>
      <c r="FE25" s="8">
        <v>78.39</v>
      </c>
      <c r="FF25" s="8">
        <v>72.709999999999994</v>
      </c>
      <c r="FG25" s="8">
        <v>71.02</v>
      </c>
      <c r="FH25" s="8">
        <v>73.3</v>
      </c>
      <c r="FN25" s="8">
        <v>77.14</v>
      </c>
      <c r="FP25" s="8">
        <v>81.8</v>
      </c>
      <c r="FQ25" s="8">
        <v>51.17</v>
      </c>
      <c r="FR25" s="8">
        <v>51.17</v>
      </c>
      <c r="GH25" s="8">
        <v>75.78</v>
      </c>
      <c r="GI25" s="8">
        <v>75.78</v>
      </c>
      <c r="GL25" s="8">
        <v>78.790000000000006</v>
      </c>
      <c r="HB25" s="8">
        <v>82.21</v>
      </c>
      <c r="HC25" s="8">
        <v>77.72</v>
      </c>
      <c r="HD25" s="8">
        <v>83.8</v>
      </c>
      <c r="HE25" s="8">
        <v>81.88</v>
      </c>
      <c r="HU25" s="8">
        <v>77.650000000000006</v>
      </c>
      <c r="IK25" s="8">
        <v>83.65</v>
      </c>
      <c r="IL25" s="8">
        <v>73.37</v>
      </c>
      <c r="IM25" s="8">
        <v>66.08</v>
      </c>
      <c r="IQ25" s="8">
        <v>74.09</v>
      </c>
    </row>
    <row r="26" spans="1:251" x14ac:dyDescent="0.2">
      <c r="A26" s="9">
        <v>43435</v>
      </c>
      <c r="D26" s="8">
        <v>75.36</v>
      </c>
      <c r="E26" s="8">
        <v>76.17</v>
      </c>
      <c r="F26" s="8">
        <v>74.069999999999993</v>
      </c>
      <c r="G26" s="8">
        <v>76.5</v>
      </c>
      <c r="H26" s="8">
        <v>77.45</v>
      </c>
      <c r="I26" s="8">
        <v>78.209999999999994</v>
      </c>
      <c r="J26" s="8">
        <v>70.760000000000005</v>
      </c>
      <c r="K26" s="8">
        <v>77.98</v>
      </c>
      <c r="L26" s="8">
        <v>77.2</v>
      </c>
      <c r="M26" s="8">
        <v>83.85</v>
      </c>
      <c r="N26" s="8">
        <v>77.89</v>
      </c>
      <c r="O26" s="8">
        <v>81.67</v>
      </c>
      <c r="P26" s="8">
        <v>74.36</v>
      </c>
      <c r="Q26" s="8">
        <v>73.5</v>
      </c>
      <c r="R26" s="8">
        <v>74.3</v>
      </c>
      <c r="S26" s="8">
        <v>75.12</v>
      </c>
      <c r="T26" s="8">
        <v>82.18</v>
      </c>
      <c r="U26" s="8">
        <v>83.84</v>
      </c>
      <c r="V26" s="8">
        <v>80.34</v>
      </c>
      <c r="W26" s="8">
        <v>74.27</v>
      </c>
      <c r="X26" s="8">
        <v>63.77</v>
      </c>
      <c r="Y26" s="8">
        <v>80.709999999999994</v>
      </c>
      <c r="Z26" s="8">
        <v>79.8</v>
      </c>
      <c r="AA26" s="8">
        <v>67.31</v>
      </c>
      <c r="AB26" s="8">
        <v>72.17</v>
      </c>
      <c r="AC26" s="8">
        <v>79.64</v>
      </c>
      <c r="AD26" s="8">
        <v>77.14</v>
      </c>
      <c r="AE26" s="8">
        <v>71.12</v>
      </c>
      <c r="AF26" s="8">
        <v>78.75</v>
      </c>
      <c r="AL26" s="8">
        <v>79.14</v>
      </c>
      <c r="AN26" s="8">
        <v>76.78</v>
      </c>
      <c r="AO26" s="8">
        <v>52.5</v>
      </c>
      <c r="AP26" s="8">
        <v>52.5</v>
      </c>
      <c r="BF26" s="8">
        <v>75.52</v>
      </c>
      <c r="BG26" s="8">
        <v>75.52</v>
      </c>
      <c r="BJ26" s="8">
        <v>77.95</v>
      </c>
      <c r="BZ26" s="8">
        <v>81.94</v>
      </c>
      <c r="CA26" s="8">
        <v>78.790000000000006</v>
      </c>
      <c r="CB26" s="8">
        <v>83.89</v>
      </c>
      <c r="CC26" s="8">
        <v>81.23</v>
      </c>
      <c r="CS26" s="8">
        <v>73.02</v>
      </c>
      <c r="DI26" s="8">
        <v>98.84</v>
      </c>
      <c r="DJ26" s="8">
        <v>85.19</v>
      </c>
      <c r="DK26" s="8">
        <v>73.489999999999995</v>
      </c>
      <c r="DO26" s="8">
        <v>74.19</v>
      </c>
      <c r="DV26" s="8">
        <v>72.709999999999994</v>
      </c>
      <c r="DW26" s="8">
        <v>78.010000000000005</v>
      </c>
      <c r="EA26" s="8">
        <v>81.84</v>
      </c>
      <c r="EB26" s="8">
        <v>93.74</v>
      </c>
      <c r="EC26" s="8">
        <v>80.66</v>
      </c>
      <c r="EF26" s="8">
        <v>75.319999999999993</v>
      </c>
      <c r="EG26" s="8">
        <v>75.14</v>
      </c>
      <c r="EH26" s="8">
        <v>74.69</v>
      </c>
      <c r="EI26" s="8">
        <v>76.87</v>
      </c>
      <c r="EJ26" s="8">
        <v>77.77</v>
      </c>
      <c r="EK26" s="8">
        <v>78.55</v>
      </c>
      <c r="EL26" s="8">
        <v>71.02</v>
      </c>
      <c r="EM26" s="8">
        <v>78.56</v>
      </c>
      <c r="EN26" s="8">
        <v>78.31</v>
      </c>
      <c r="EO26" s="8">
        <v>85.01</v>
      </c>
      <c r="EP26" s="8">
        <v>77.790000000000006</v>
      </c>
      <c r="EQ26" s="8">
        <v>81.02</v>
      </c>
      <c r="ER26" s="8">
        <v>74.510000000000005</v>
      </c>
      <c r="ES26" s="8">
        <v>73.319999999999993</v>
      </c>
      <c r="ET26" s="8">
        <v>74.42</v>
      </c>
      <c r="EU26" s="8">
        <v>75.84</v>
      </c>
      <c r="EV26" s="8">
        <v>80.599999999999994</v>
      </c>
      <c r="EW26" s="8">
        <v>81.33</v>
      </c>
      <c r="EX26" s="8">
        <v>79.78</v>
      </c>
      <c r="EY26" s="8">
        <v>74.02</v>
      </c>
      <c r="EZ26" s="8">
        <v>63.72</v>
      </c>
      <c r="FA26" s="8">
        <v>80.62</v>
      </c>
      <c r="FB26" s="8">
        <v>79.69</v>
      </c>
      <c r="FC26" s="8">
        <v>66.92</v>
      </c>
      <c r="FD26" s="8">
        <v>72.45</v>
      </c>
      <c r="FE26" s="8">
        <v>79.290000000000006</v>
      </c>
      <c r="FF26" s="8">
        <v>71.8</v>
      </c>
      <c r="FG26" s="8">
        <v>72.09</v>
      </c>
      <c r="FH26" s="8">
        <v>71.7</v>
      </c>
      <c r="FN26" s="8">
        <v>76.83</v>
      </c>
      <c r="FP26" s="8">
        <v>81.099999999999994</v>
      </c>
      <c r="FQ26" s="8">
        <v>50.91</v>
      </c>
      <c r="FR26" s="8">
        <v>50.91</v>
      </c>
      <c r="GH26" s="8">
        <v>76.349999999999994</v>
      </c>
      <c r="GI26" s="8">
        <v>76.349999999999994</v>
      </c>
      <c r="GL26" s="8">
        <v>78.790000000000006</v>
      </c>
      <c r="HB26" s="8">
        <v>82.51</v>
      </c>
      <c r="HC26" s="8">
        <v>79.25</v>
      </c>
      <c r="HD26" s="8">
        <v>85</v>
      </c>
      <c r="HE26" s="8">
        <v>81.22</v>
      </c>
      <c r="HU26" s="8">
        <v>73.28</v>
      </c>
      <c r="IK26" s="8">
        <v>94.43</v>
      </c>
      <c r="IL26" s="8">
        <v>83.32</v>
      </c>
      <c r="IM26" s="8">
        <v>74.12</v>
      </c>
      <c r="IQ26" s="8">
        <v>74.02</v>
      </c>
    </row>
    <row r="27" spans="1:251" x14ac:dyDescent="0.2">
      <c r="A27" s="9">
        <v>43466</v>
      </c>
      <c r="D27" s="8">
        <v>75.48</v>
      </c>
      <c r="E27" s="8">
        <v>76.040000000000006</v>
      </c>
      <c r="F27" s="8">
        <v>75.010000000000005</v>
      </c>
      <c r="G27" s="8">
        <v>75.09</v>
      </c>
      <c r="H27" s="8">
        <v>76.22</v>
      </c>
      <c r="I27" s="8">
        <v>79.19</v>
      </c>
      <c r="J27" s="8">
        <v>71.58</v>
      </c>
      <c r="K27" s="8">
        <v>78.03</v>
      </c>
      <c r="L27" s="8">
        <v>79.680000000000007</v>
      </c>
      <c r="M27" s="8">
        <v>85.7</v>
      </c>
      <c r="N27" s="8">
        <v>78.069999999999993</v>
      </c>
      <c r="O27" s="8">
        <v>82.47</v>
      </c>
      <c r="P27" s="8">
        <v>74.11</v>
      </c>
      <c r="Q27" s="8">
        <v>72.88</v>
      </c>
      <c r="R27" s="8">
        <v>74.569999999999993</v>
      </c>
      <c r="S27" s="8">
        <v>74.83</v>
      </c>
      <c r="T27" s="8">
        <v>81.349999999999994</v>
      </c>
      <c r="U27" s="8">
        <v>80.61</v>
      </c>
      <c r="V27" s="8">
        <v>81.86</v>
      </c>
      <c r="W27" s="8">
        <v>74.81</v>
      </c>
      <c r="X27" s="8">
        <v>63.78</v>
      </c>
      <c r="Y27" s="8">
        <v>80.33</v>
      </c>
      <c r="Z27" s="8">
        <v>81.81</v>
      </c>
      <c r="AA27" s="8">
        <v>67.099999999999994</v>
      </c>
      <c r="AB27" s="8">
        <v>73.040000000000006</v>
      </c>
      <c r="AC27" s="8">
        <v>79.53</v>
      </c>
      <c r="AD27" s="8">
        <v>78.44</v>
      </c>
      <c r="AE27" s="8">
        <v>71.19</v>
      </c>
      <c r="AF27" s="8">
        <v>80.38</v>
      </c>
      <c r="AL27" s="8">
        <v>80.81</v>
      </c>
      <c r="AN27" s="8">
        <v>78.13</v>
      </c>
      <c r="AO27" s="8">
        <v>52.14</v>
      </c>
      <c r="AP27" s="8">
        <v>52.14</v>
      </c>
      <c r="BF27" s="8">
        <v>75.69</v>
      </c>
      <c r="BG27" s="8">
        <v>75.69</v>
      </c>
      <c r="BJ27" s="8">
        <v>77.95</v>
      </c>
      <c r="BZ27" s="8">
        <v>81.73</v>
      </c>
      <c r="CA27" s="8">
        <v>76.25</v>
      </c>
      <c r="CB27" s="8">
        <v>84.44</v>
      </c>
      <c r="CC27" s="8">
        <v>80.930000000000007</v>
      </c>
      <c r="CS27" s="8">
        <v>66.42</v>
      </c>
      <c r="DI27" s="8">
        <v>95.88</v>
      </c>
      <c r="DJ27" s="8">
        <v>81.13</v>
      </c>
      <c r="DK27" s="8">
        <v>72.48</v>
      </c>
      <c r="DO27" s="8">
        <v>75.08</v>
      </c>
      <c r="DV27" s="8">
        <v>72.709999999999994</v>
      </c>
      <c r="DW27" s="8">
        <v>78.010000000000005</v>
      </c>
      <c r="EA27" s="8">
        <v>81.849999999999994</v>
      </c>
      <c r="EB27" s="8">
        <v>93.89</v>
      </c>
      <c r="EC27" s="8">
        <v>80.66</v>
      </c>
      <c r="EF27" s="8">
        <v>75.58</v>
      </c>
      <c r="EG27" s="8">
        <v>75.209999999999994</v>
      </c>
      <c r="EH27" s="8">
        <v>75.73</v>
      </c>
      <c r="EI27" s="8">
        <v>75.45</v>
      </c>
      <c r="EJ27" s="8">
        <v>76.8</v>
      </c>
      <c r="EK27" s="8">
        <v>79.510000000000005</v>
      </c>
      <c r="EL27" s="8">
        <v>71.900000000000006</v>
      </c>
      <c r="EM27" s="8">
        <v>78.81</v>
      </c>
      <c r="EN27" s="8">
        <v>80.84</v>
      </c>
      <c r="EO27" s="8">
        <v>86.16</v>
      </c>
      <c r="EP27" s="8">
        <v>77.930000000000007</v>
      </c>
      <c r="EQ27" s="8">
        <v>82.05</v>
      </c>
      <c r="ER27" s="8">
        <v>74.22</v>
      </c>
      <c r="ES27" s="8">
        <v>72.67</v>
      </c>
      <c r="ET27" s="8">
        <v>74.540000000000006</v>
      </c>
      <c r="EU27" s="8">
        <v>75.569999999999993</v>
      </c>
      <c r="EV27" s="8">
        <v>79.819999999999993</v>
      </c>
      <c r="EW27" s="8">
        <v>79.22</v>
      </c>
      <c r="EX27" s="8">
        <v>80.069999999999993</v>
      </c>
      <c r="EY27" s="8">
        <v>74.540000000000006</v>
      </c>
      <c r="EZ27" s="8">
        <v>63.63</v>
      </c>
      <c r="FA27" s="8">
        <v>80.47</v>
      </c>
      <c r="FB27" s="8">
        <v>81.45</v>
      </c>
      <c r="FC27" s="8">
        <v>66.510000000000005</v>
      </c>
      <c r="FD27" s="8">
        <v>73.22</v>
      </c>
      <c r="FE27" s="8">
        <v>79.34</v>
      </c>
      <c r="FF27" s="8">
        <v>72.760000000000005</v>
      </c>
      <c r="FG27" s="8">
        <v>71.760000000000005</v>
      </c>
      <c r="FH27" s="8">
        <v>73.11</v>
      </c>
      <c r="FN27" s="8">
        <v>77.88</v>
      </c>
      <c r="FP27" s="8">
        <v>81.540000000000006</v>
      </c>
      <c r="FQ27" s="8">
        <v>50.57</v>
      </c>
      <c r="FR27" s="8">
        <v>50.57</v>
      </c>
      <c r="GH27" s="8">
        <v>75.38</v>
      </c>
      <c r="GI27" s="8">
        <v>75.38</v>
      </c>
      <c r="GL27" s="8">
        <v>78.790000000000006</v>
      </c>
      <c r="HB27" s="8">
        <v>82.36</v>
      </c>
      <c r="HC27" s="8">
        <v>77.52</v>
      </c>
      <c r="HD27" s="8">
        <v>85.39</v>
      </c>
      <c r="HE27" s="8">
        <v>80.900000000000006</v>
      </c>
      <c r="HU27" s="8">
        <v>69.19</v>
      </c>
      <c r="IK27" s="8">
        <v>93.68</v>
      </c>
      <c r="IL27" s="8">
        <v>82.19</v>
      </c>
      <c r="IM27" s="8">
        <v>73.97</v>
      </c>
      <c r="IQ27" s="8">
        <v>74.95</v>
      </c>
    </row>
    <row r="28" spans="1:251" x14ac:dyDescent="0.2">
      <c r="A28" s="9">
        <v>43497</v>
      </c>
      <c r="D28" s="8">
        <v>75.58</v>
      </c>
      <c r="E28" s="8">
        <v>76.44</v>
      </c>
      <c r="F28" s="8">
        <v>74.64</v>
      </c>
      <c r="G28" s="8">
        <v>75.319999999999993</v>
      </c>
      <c r="H28" s="8">
        <v>77.11</v>
      </c>
      <c r="I28" s="8">
        <v>79.81</v>
      </c>
      <c r="J28" s="8">
        <v>72.92</v>
      </c>
      <c r="K28" s="8">
        <v>78.510000000000005</v>
      </c>
      <c r="L28" s="8">
        <v>80.5</v>
      </c>
      <c r="M28" s="8">
        <v>86.44</v>
      </c>
      <c r="N28" s="8">
        <v>78.83</v>
      </c>
      <c r="O28" s="8">
        <v>82.03</v>
      </c>
      <c r="P28" s="8">
        <v>73.69</v>
      </c>
      <c r="Q28" s="8">
        <v>71.72</v>
      </c>
      <c r="R28" s="8">
        <v>75.290000000000006</v>
      </c>
      <c r="S28" s="8">
        <v>74.150000000000006</v>
      </c>
      <c r="T28" s="8">
        <v>87.87</v>
      </c>
      <c r="U28" s="8">
        <v>90.04</v>
      </c>
      <c r="V28" s="8">
        <v>85.51</v>
      </c>
      <c r="W28" s="8">
        <v>74.41</v>
      </c>
      <c r="X28" s="8">
        <v>63.4</v>
      </c>
      <c r="Y28" s="8">
        <v>80.7</v>
      </c>
      <c r="Z28" s="8">
        <v>82.21</v>
      </c>
      <c r="AA28" s="8">
        <v>66.75</v>
      </c>
      <c r="AB28" s="8">
        <v>72.650000000000006</v>
      </c>
      <c r="AC28" s="8">
        <v>78.510000000000005</v>
      </c>
      <c r="AD28" s="8">
        <v>79.36</v>
      </c>
      <c r="AE28" s="8">
        <v>71.39</v>
      </c>
      <c r="AF28" s="8">
        <v>81.5</v>
      </c>
      <c r="AL28" s="8">
        <v>80.540000000000006</v>
      </c>
      <c r="AN28" s="8">
        <v>78.38</v>
      </c>
      <c r="AO28" s="8">
        <v>51.88</v>
      </c>
      <c r="AP28" s="8">
        <v>51.88</v>
      </c>
      <c r="BF28" s="8">
        <v>75.78</v>
      </c>
      <c r="BG28" s="8">
        <v>75.78</v>
      </c>
      <c r="BJ28" s="8">
        <v>77.95</v>
      </c>
      <c r="BZ28" s="8">
        <v>81.96</v>
      </c>
      <c r="CA28" s="8">
        <v>77.52</v>
      </c>
      <c r="CB28" s="8">
        <v>84.15</v>
      </c>
      <c r="CC28" s="8">
        <v>81.349999999999994</v>
      </c>
      <c r="CS28" s="8">
        <v>71.349999999999994</v>
      </c>
      <c r="DI28" s="8">
        <v>86.35</v>
      </c>
      <c r="DJ28" s="8">
        <v>71</v>
      </c>
      <c r="DK28" s="8">
        <v>66.91</v>
      </c>
      <c r="DO28" s="8">
        <v>73.650000000000006</v>
      </c>
      <c r="DV28" s="8">
        <v>76.739999999999995</v>
      </c>
      <c r="DW28" s="8">
        <v>78.959999999999994</v>
      </c>
      <c r="EA28" s="8">
        <v>81.86</v>
      </c>
      <c r="EB28" s="8">
        <v>93.91</v>
      </c>
      <c r="EC28" s="8">
        <v>80.66</v>
      </c>
      <c r="EF28" s="8">
        <v>75.98</v>
      </c>
      <c r="EG28" s="8">
        <v>75.67</v>
      </c>
      <c r="EH28" s="8">
        <v>76.040000000000006</v>
      </c>
      <c r="EI28" s="8">
        <v>75.760000000000005</v>
      </c>
      <c r="EJ28" s="8">
        <v>77.48</v>
      </c>
      <c r="EK28" s="8">
        <v>79.92</v>
      </c>
      <c r="EL28" s="8">
        <v>73.22</v>
      </c>
      <c r="EM28" s="8">
        <v>79.28</v>
      </c>
      <c r="EN28" s="8">
        <v>80.599999999999994</v>
      </c>
      <c r="EO28" s="8">
        <v>86.91</v>
      </c>
      <c r="EP28" s="8">
        <v>78.62</v>
      </c>
      <c r="EQ28" s="8">
        <v>81.09</v>
      </c>
      <c r="ER28" s="8">
        <v>73.849999999999994</v>
      </c>
      <c r="ES28" s="8">
        <v>71.66</v>
      </c>
      <c r="ET28" s="8">
        <v>75.150000000000006</v>
      </c>
      <c r="EU28" s="8">
        <v>75.03</v>
      </c>
      <c r="EV28" s="8">
        <v>86.5</v>
      </c>
      <c r="EW28" s="8">
        <v>88.21</v>
      </c>
      <c r="EX28" s="8">
        <v>84.86</v>
      </c>
      <c r="EY28" s="8">
        <v>74.19</v>
      </c>
      <c r="EZ28" s="8">
        <v>63.55</v>
      </c>
      <c r="FA28" s="8">
        <v>80.58</v>
      </c>
      <c r="FB28" s="8">
        <v>81.93</v>
      </c>
      <c r="FC28" s="8">
        <v>66.62</v>
      </c>
      <c r="FD28" s="8">
        <v>72.849999999999994</v>
      </c>
      <c r="FE28" s="8">
        <v>78.12</v>
      </c>
      <c r="FF28" s="8">
        <v>73.36</v>
      </c>
      <c r="FG28" s="8">
        <v>71.69</v>
      </c>
      <c r="FH28" s="8">
        <v>73.94</v>
      </c>
      <c r="FN28" s="8">
        <v>78.52</v>
      </c>
      <c r="FP28" s="8">
        <v>82.77</v>
      </c>
      <c r="FQ28" s="8">
        <v>50.37</v>
      </c>
      <c r="FR28" s="8">
        <v>50.37</v>
      </c>
      <c r="GH28" s="8">
        <v>75.22</v>
      </c>
      <c r="GI28" s="8">
        <v>75.22</v>
      </c>
      <c r="GL28" s="8">
        <v>78.790000000000006</v>
      </c>
      <c r="HB28" s="8">
        <v>82.49</v>
      </c>
      <c r="HC28" s="8">
        <v>78.36</v>
      </c>
      <c r="HD28" s="8">
        <v>84.89</v>
      </c>
      <c r="HE28" s="8">
        <v>81.42</v>
      </c>
      <c r="HU28" s="8">
        <v>71.38</v>
      </c>
      <c r="IK28" s="8">
        <v>84.19</v>
      </c>
      <c r="IL28" s="8">
        <v>72.400000000000006</v>
      </c>
      <c r="IM28" s="8">
        <v>67.83</v>
      </c>
      <c r="IQ28" s="8">
        <v>73.540000000000006</v>
      </c>
    </row>
    <row r="29" spans="1:251" x14ac:dyDescent="0.2">
      <c r="A29" s="9">
        <v>43525</v>
      </c>
      <c r="D29" s="8">
        <v>76.33</v>
      </c>
      <c r="E29" s="8">
        <v>77.88</v>
      </c>
      <c r="F29" s="8">
        <v>74.819999999999993</v>
      </c>
      <c r="G29" s="8">
        <v>76.62</v>
      </c>
      <c r="H29" s="8">
        <v>77.459999999999994</v>
      </c>
      <c r="I29" s="8">
        <v>79.319999999999993</v>
      </c>
      <c r="J29" s="8">
        <v>72.89</v>
      </c>
      <c r="K29" s="8">
        <v>78.53</v>
      </c>
      <c r="L29" s="8">
        <v>80.41</v>
      </c>
      <c r="M29" s="8">
        <v>85.81</v>
      </c>
      <c r="N29" s="8">
        <v>78.22</v>
      </c>
      <c r="O29" s="8">
        <v>80.680000000000007</v>
      </c>
      <c r="P29" s="8">
        <v>74.27</v>
      </c>
      <c r="Q29" s="8">
        <v>72.81</v>
      </c>
      <c r="R29" s="8">
        <v>75.180000000000007</v>
      </c>
      <c r="S29" s="8">
        <v>74.81</v>
      </c>
      <c r="T29" s="8">
        <v>89.87</v>
      </c>
      <c r="U29" s="8">
        <v>89.96</v>
      </c>
      <c r="V29" s="8">
        <v>89.55</v>
      </c>
      <c r="W29" s="8">
        <v>74.22</v>
      </c>
      <c r="X29" s="8">
        <v>63.79</v>
      </c>
      <c r="Y29" s="8">
        <v>80.87</v>
      </c>
      <c r="Z29" s="8">
        <v>82.01</v>
      </c>
      <c r="AA29" s="8">
        <v>65.680000000000007</v>
      </c>
      <c r="AB29" s="8">
        <v>72.91</v>
      </c>
      <c r="AC29" s="8">
        <v>77.510000000000005</v>
      </c>
      <c r="AD29" s="8">
        <v>79.06</v>
      </c>
      <c r="AE29" s="8">
        <v>71.41</v>
      </c>
      <c r="AF29" s="8">
        <v>81.11</v>
      </c>
      <c r="AL29" s="8">
        <v>79.92</v>
      </c>
      <c r="AN29" s="8">
        <v>78.87</v>
      </c>
      <c r="AO29" s="8">
        <v>52.1</v>
      </c>
      <c r="AP29" s="8">
        <v>52.1</v>
      </c>
      <c r="BF29" s="8">
        <v>75.849999999999994</v>
      </c>
      <c r="BG29" s="8">
        <v>75.849999999999994</v>
      </c>
      <c r="BJ29" s="8">
        <v>77.95</v>
      </c>
      <c r="BZ29" s="8">
        <v>82.01</v>
      </c>
      <c r="CA29" s="8">
        <v>78</v>
      </c>
      <c r="CB29" s="8">
        <v>83.67</v>
      </c>
      <c r="CC29" s="8">
        <v>81.72</v>
      </c>
      <c r="CS29" s="8">
        <v>74.83</v>
      </c>
      <c r="DI29" s="8">
        <v>83.79</v>
      </c>
      <c r="DJ29" s="8">
        <v>70.63</v>
      </c>
      <c r="DK29" s="8">
        <v>63.55</v>
      </c>
      <c r="DO29" s="8">
        <v>75.959999999999994</v>
      </c>
      <c r="DV29" s="8">
        <v>76.739999999999995</v>
      </c>
      <c r="DW29" s="8">
        <v>78.959999999999994</v>
      </c>
      <c r="EA29" s="8">
        <v>81.739999999999995</v>
      </c>
      <c r="EB29" s="8">
        <v>93.93</v>
      </c>
      <c r="EC29" s="8">
        <v>80.540000000000006</v>
      </c>
      <c r="EF29" s="8">
        <v>76.349999999999994</v>
      </c>
      <c r="EG29" s="8">
        <v>76.62</v>
      </c>
      <c r="EH29" s="8">
        <v>75.69</v>
      </c>
      <c r="EI29" s="8">
        <v>77.260000000000005</v>
      </c>
      <c r="EJ29" s="8">
        <v>77.930000000000007</v>
      </c>
      <c r="EK29" s="8">
        <v>79.69</v>
      </c>
      <c r="EL29" s="8">
        <v>73.510000000000005</v>
      </c>
      <c r="EM29" s="8">
        <v>79.31</v>
      </c>
      <c r="EN29" s="8">
        <v>81.3</v>
      </c>
      <c r="EO29" s="8">
        <v>86.02</v>
      </c>
      <c r="EP29" s="8">
        <v>78.33</v>
      </c>
      <c r="EQ29" s="8">
        <v>80.14</v>
      </c>
      <c r="ER29" s="8">
        <v>74.2</v>
      </c>
      <c r="ES29" s="8">
        <v>72.27</v>
      </c>
      <c r="ET29" s="8">
        <v>75.02</v>
      </c>
      <c r="EU29" s="8">
        <v>75.540000000000006</v>
      </c>
      <c r="EV29" s="8">
        <v>87.95</v>
      </c>
      <c r="EW29" s="8">
        <v>87.58</v>
      </c>
      <c r="EX29" s="8">
        <v>88</v>
      </c>
      <c r="EY29" s="8">
        <v>73.930000000000007</v>
      </c>
      <c r="EZ29" s="8">
        <v>63.68</v>
      </c>
      <c r="FA29" s="8">
        <v>80.930000000000007</v>
      </c>
      <c r="FB29" s="8">
        <v>81.739999999999995</v>
      </c>
      <c r="FC29" s="8">
        <v>65.47</v>
      </c>
      <c r="FD29" s="8">
        <v>73.03</v>
      </c>
      <c r="FE29" s="8">
        <v>76.98</v>
      </c>
      <c r="FF29" s="8">
        <v>73.31</v>
      </c>
      <c r="FG29" s="8">
        <v>71.83</v>
      </c>
      <c r="FH29" s="8">
        <v>73.83</v>
      </c>
      <c r="FN29" s="8">
        <v>78.349999999999994</v>
      </c>
      <c r="FP29" s="8">
        <v>82.49</v>
      </c>
      <c r="FQ29" s="8">
        <v>50.56</v>
      </c>
      <c r="FR29" s="8">
        <v>50.56</v>
      </c>
      <c r="GH29" s="8">
        <v>75.13</v>
      </c>
      <c r="GI29" s="8">
        <v>75.13</v>
      </c>
      <c r="GL29" s="8">
        <v>78.790000000000006</v>
      </c>
      <c r="HB29" s="8">
        <v>82.53</v>
      </c>
      <c r="HC29" s="8">
        <v>78.64</v>
      </c>
      <c r="HD29" s="8">
        <v>84.59</v>
      </c>
      <c r="HE29" s="8">
        <v>81.7</v>
      </c>
      <c r="HU29" s="8">
        <v>75.489999999999995</v>
      </c>
      <c r="IK29" s="8">
        <v>81.739999999999995</v>
      </c>
      <c r="IL29" s="8">
        <v>72.28</v>
      </c>
      <c r="IM29" s="8">
        <v>64.010000000000005</v>
      </c>
      <c r="IQ29" s="8">
        <v>75.8</v>
      </c>
    </row>
    <row r="30" spans="1:251" x14ac:dyDescent="0.2">
      <c r="A30" s="9">
        <v>43556</v>
      </c>
      <c r="D30" s="8">
        <v>76.47</v>
      </c>
      <c r="E30" s="8">
        <v>77.92</v>
      </c>
      <c r="F30" s="8">
        <v>74.819999999999993</v>
      </c>
      <c r="G30" s="8">
        <v>77.099999999999994</v>
      </c>
      <c r="H30" s="8">
        <v>78.260000000000005</v>
      </c>
      <c r="I30" s="8">
        <v>78.680000000000007</v>
      </c>
      <c r="J30" s="8">
        <v>71.81</v>
      </c>
      <c r="K30" s="8">
        <v>78.08</v>
      </c>
      <c r="L30" s="8">
        <v>80.16</v>
      </c>
      <c r="M30" s="8">
        <v>85.33</v>
      </c>
      <c r="N30" s="8">
        <v>78.16</v>
      </c>
      <c r="O30" s="8">
        <v>79.58</v>
      </c>
      <c r="P30" s="8">
        <v>74.62</v>
      </c>
      <c r="Q30" s="8">
        <v>73.930000000000007</v>
      </c>
      <c r="R30" s="8">
        <v>74.62</v>
      </c>
      <c r="S30" s="8">
        <v>75.17</v>
      </c>
      <c r="T30" s="8">
        <v>83.02</v>
      </c>
      <c r="U30" s="8">
        <v>79.09</v>
      </c>
      <c r="V30" s="8">
        <v>86.64</v>
      </c>
      <c r="W30" s="8">
        <v>74.25</v>
      </c>
      <c r="X30" s="8">
        <v>64.09</v>
      </c>
      <c r="Y30" s="8">
        <v>81.14</v>
      </c>
      <c r="Z30" s="8">
        <v>80.14</v>
      </c>
      <c r="AA30" s="8">
        <v>66.7</v>
      </c>
      <c r="AB30" s="8">
        <v>73.03</v>
      </c>
      <c r="AC30" s="8">
        <v>77.84</v>
      </c>
      <c r="AD30" s="8">
        <v>78.58</v>
      </c>
      <c r="AE30" s="8">
        <v>70.430000000000007</v>
      </c>
      <c r="AF30" s="8">
        <v>80.78</v>
      </c>
      <c r="AL30" s="8">
        <v>79.989999999999995</v>
      </c>
      <c r="AN30" s="8">
        <v>78.92</v>
      </c>
      <c r="AO30" s="8">
        <v>52.92</v>
      </c>
      <c r="AP30" s="8">
        <v>52.92</v>
      </c>
      <c r="BF30" s="8">
        <v>75.92</v>
      </c>
      <c r="BG30" s="8">
        <v>75.92</v>
      </c>
      <c r="BJ30" s="8">
        <v>77.95</v>
      </c>
      <c r="BZ30" s="8">
        <v>82.95</v>
      </c>
      <c r="CA30" s="8">
        <v>78.569999999999993</v>
      </c>
      <c r="CB30" s="8">
        <v>85.17</v>
      </c>
      <c r="CC30" s="8">
        <v>82.31</v>
      </c>
      <c r="CS30" s="8">
        <v>79.45</v>
      </c>
      <c r="DI30" s="8">
        <v>93.36</v>
      </c>
      <c r="DJ30" s="8">
        <v>77.87</v>
      </c>
      <c r="DK30" s="8">
        <v>71.459999999999994</v>
      </c>
      <c r="DO30" s="8">
        <v>77.58</v>
      </c>
      <c r="DV30" s="8">
        <v>76.739999999999995</v>
      </c>
      <c r="DW30" s="8">
        <v>78.959999999999994</v>
      </c>
      <c r="EA30" s="8">
        <v>81.739999999999995</v>
      </c>
      <c r="EB30" s="8">
        <v>93.95</v>
      </c>
      <c r="EC30" s="8">
        <v>80.540000000000006</v>
      </c>
      <c r="EF30" s="8">
        <v>76.42</v>
      </c>
      <c r="EG30" s="8">
        <v>76.680000000000007</v>
      </c>
      <c r="EH30" s="8">
        <v>75.53</v>
      </c>
      <c r="EI30" s="8">
        <v>77.39</v>
      </c>
      <c r="EJ30" s="8">
        <v>78.88</v>
      </c>
      <c r="EK30" s="8">
        <v>79.28</v>
      </c>
      <c r="EL30" s="8">
        <v>72.92</v>
      </c>
      <c r="EM30" s="8">
        <v>78.87</v>
      </c>
      <c r="EN30" s="8">
        <v>81.540000000000006</v>
      </c>
      <c r="EO30" s="8">
        <v>85.7</v>
      </c>
      <c r="EP30" s="8">
        <v>78.05</v>
      </c>
      <c r="EQ30" s="8">
        <v>79.38</v>
      </c>
      <c r="ER30" s="8">
        <v>74.69</v>
      </c>
      <c r="ES30" s="8">
        <v>73.45</v>
      </c>
      <c r="ET30" s="8">
        <v>74.56</v>
      </c>
      <c r="EU30" s="8">
        <v>76.13</v>
      </c>
      <c r="EV30" s="8">
        <v>83.02</v>
      </c>
      <c r="EW30" s="8">
        <v>79.09</v>
      </c>
      <c r="EX30" s="8">
        <v>85.93</v>
      </c>
      <c r="EY30" s="8">
        <v>73.89</v>
      </c>
      <c r="EZ30" s="8">
        <v>64.180000000000007</v>
      </c>
      <c r="FA30" s="8">
        <v>81.09</v>
      </c>
      <c r="FB30" s="8">
        <v>79.7</v>
      </c>
      <c r="FC30" s="8">
        <v>66.099999999999994</v>
      </c>
      <c r="FD30" s="8">
        <v>73.09</v>
      </c>
      <c r="FE30" s="8">
        <v>77.44</v>
      </c>
      <c r="FF30" s="8">
        <v>72.61</v>
      </c>
      <c r="FG30" s="8">
        <v>70.819999999999993</v>
      </c>
      <c r="FH30" s="8">
        <v>73.239999999999995</v>
      </c>
      <c r="FN30" s="8">
        <v>78.7</v>
      </c>
      <c r="FP30" s="8">
        <v>82.26</v>
      </c>
      <c r="FQ30" s="8">
        <v>51.31</v>
      </c>
      <c r="FR30" s="8">
        <v>51.31</v>
      </c>
      <c r="GH30" s="8">
        <v>74.709999999999994</v>
      </c>
      <c r="GI30" s="8">
        <v>74.709999999999994</v>
      </c>
      <c r="GL30" s="8">
        <v>78.790000000000006</v>
      </c>
      <c r="HB30" s="8">
        <v>83.46</v>
      </c>
      <c r="HC30" s="8">
        <v>79.430000000000007</v>
      </c>
      <c r="HD30" s="8">
        <v>86.09</v>
      </c>
      <c r="HE30" s="8">
        <v>82.19</v>
      </c>
      <c r="HU30" s="8">
        <v>80.239999999999995</v>
      </c>
      <c r="IK30" s="8">
        <v>89.52</v>
      </c>
      <c r="IL30" s="8">
        <v>75.95</v>
      </c>
      <c r="IM30" s="8">
        <v>73.08</v>
      </c>
      <c r="IQ30" s="8">
        <v>77.650000000000006</v>
      </c>
    </row>
    <row r="31" spans="1:251" x14ac:dyDescent="0.2">
      <c r="A31" s="9">
        <v>43586</v>
      </c>
      <c r="D31" s="8">
        <v>75.62</v>
      </c>
      <c r="E31" s="8">
        <v>77.430000000000007</v>
      </c>
      <c r="F31" s="8">
        <v>73.98</v>
      </c>
      <c r="G31" s="8">
        <v>74.44</v>
      </c>
      <c r="H31" s="8">
        <v>77.459999999999994</v>
      </c>
      <c r="I31" s="8">
        <v>79.88</v>
      </c>
      <c r="J31" s="8">
        <v>72.67</v>
      </c>
      <c r="K31" s="8">
        <v>78.86</v>
      </c>
      <c r="L31" s="8">
        <v>80.650000000000006</v>
      </c>
      <c r="M31" s="8">
        <v>86.2</v>
      </c>
      <c r="N31" s="8">
        <v>79.040000000000006</v>
      </c>
      <c r="O31" s="8">
        <v>82.38</v>
      </c>
      <c r="P31" s="8">
        <v>74.59</v>
      </c>
      <c r="Q31" s="8">
        <v>73.430000000000007</v>
      </c>
      <c r="R31" s="8">
        <v>75.14</v>
      </c>
      <c r="S31" s="8">
        <v>75.150000000000006</v>
      </c>
      <c r="T31" s="8">
        <v>82.8</v>
      </c>
      <c r="U31" s="8">
        <v>82.94</v>
      </c>
      <c r="V31" s="8">
        <v>82.44</v>
      </c>
      <c r="W31" s="8">
        <v>73.680000000000007</v>
      </c>
      <c r="X31" s="8">
        <v>63.97</v>
      </c>
      <c r="Y31" s="8">
        <v>80.34</v>
      </c>
      <c r="Z31" s="8">
        <v>80.91</v>
      </c>
      <c r="AA31" s="8">
        <v>65.91</v>
      </c>
      <c r="AB31" s="8">
        <v>72.5</v>
      </c>
      <c r="AC31" s="8">
        <v>76.56</v>
      </c>
      <c r="AD31" s="8">
        <v>79.17</v>
      </c>
      <c r="AE31" s="8">
        <v>70.58</v>
      </c>
      <c r="AF31" s="8">
        <v>81.489999999999995</v>
      </c>
      <c r="AL31" s="8">
        <v>80.8</v>
      </c>
      <c r="AN31" s="8">
        <v>79.17</v>
      </c>
      <c r="AO31" s="8">
        <v>53.24</v>
      </c>
      <c r="AP31" s="8">
        <v>53.24</v>
      </c>
      <c r="BF31" s="8">
        <v>75.62</v>
      </c>
      <c r="BG31" s="8">
        <v>75.62</v>
      </c>
      <c r="BJ31" s="8">
        <v>77.95</v>
      </c>
      <c r="BZ31" s="8">
        <v>82.39</v>
      </c>
      <c r="CA31" s="8">
        <v>77.75</v>
      </c>
      <c r="CB31" s="8">
        <v>84.68</v>
      </c>
      <c r="CC31" s="8">
        <v>81.739999999999995</v>
      </c>
      <c r="CS31" s="8">
        <v>80.7</v>
      </c>
      <c r="DI31" s="8">
        <v>86.77</v>
      </c>
      <c r="DJ31" s="8">
        <v>71.86</v>
      </c>
      <c r="DK31" s="8">
        <v>66.83</v>
      </c>
      <c r="DO31" s="8">
        <v>77.819999999999993</v>
      </c>
      <c r="DV31" s="8">
        <v>76.739999999999995</v>
      </c>
      <c r="DW31" s="8">
        <v>78.959999999999994</v>
      </c>
      <c r="EA31" s="8">
        <v>81.739999999999995</v>
      </c>
      <c r="EB31" s="8">
        <v>93.97</v>
      </c>
      <c r="EC31" s="8">
        <v>80.540000000000006</v>
      </c>
      <c r="EF31" s="8">
        <v>75.77</v>
      </c>
      <c r="EG31" s="8">
        <v>76.38</v>
      </c>
      <c r="EH31" s="8">
        <v>75.03</v>
      </c>
      <c r="EI31" s="8">
        <v>74.650000000000006</v>
      </c>
      <c r="EJ31" s="8">
        <v>78.11</v>
      </c>
      <c r="EK31" s="8">
        <v>80.22</v>
      </c>
      <c r="EL31" s="8">
        <v>73.510000000000005</v>
      </c>
      <c r="EM31" s="8">
        <v>79.16</v>
      </c>
      <c r="EN31" s="8">
        <v>82.24</v>
      </c>
      <c r="EO31" s="8">
        <v>86.19</v>
      </c>
      <c r="EP31" s="8">
        <v>78.89</v>
      </c>
      <c r="EQ31" s="8">
        <v>81.92</v>
      </c>
      <c r="ER31" s="8">
        <v>74.72</v>
      </c>
      <c r="ES31" s="8">
        <v>73.3</v>
      </c>
      <c r="ET31" s="8">
        <v>75.010000000000005</v>
      </c>
      <c r="EU31" s="8">
        <v>75.959999999999994</v>
      </c>
      <c r="EV31" s="8">
        <v>82.84</v>
      </c>
      <c r="EW31" s="8">
        <v>82.55</v>
      </c>
      <c r="EX31" s="8">
        <v>82.83</v>
      </c>
      <c r="EY31" s="8">
        <v>73.459999999999994</v>
      </c>
      <c r="EZ31" s="8">
        <v>64.11</v>
      </c>
      <c r="FA31" s="8">
        <v>80.930000000000007</v>
      </c>
      <c r="FB31" s="8">
        <v>80.22</v>
      </c>
      <c r="FC31" s="8">
        <v>65.41</v>
      </c>
      <c r="FD31" s="8">
        <v>72.739999999999995</v>
      </c>
      <c r="FE31" s="8">
        <v>76.150000000000006</v>
      </c>
      <c r="FF31" s="8">
        <v>73.5</v>
      </c>
      <c r="FG31" s="8">
        <v>70.91</v>
      </c>
      <c r="FH31" s="8">
        <v>74.400000000000006</v>
      </c>
      <c r="FN31" s="8">
        <v>79.069999999999993</v>
      </c>
      <c r="FP31" s="8">
        <v>82.45</v>
      </c>
      <c r="FQ31" s="8">
        <v>51.64</v>
      </c>
      <c r="FR31" s="8">
        <v>51.64</v>
      </c>
      <c r="GH31" s="8">
        <v>74.75</v>
      </c>
      <c r="GI31" s="8">
        <v>74.75</v>
      </c>
      <c r="GL31" s="8">
        <v>78.790000000000006</v>
      </c>
      <c r="HB31" s="8">
        <v>82.97</v>
      </c>
      <c r="HC31" s="8">
        <v>78.8</v>
      </c>
      <c r="HD31" s="8">
        <v>85.51</v>
      </c>
      <c r="HE31" s="8">
        <v>81.8</v>
      </c>
      <c r="HU31" s="8">
        <v>80.66</v>
      </c>
      <c r="IK31" s="8">
        <v>82.21</v>
      </c>
      <c r="IL31" s="8">
        <v>69.959999999999994</v>
      </c>
      <c r="IM31" s="8">
        <v>66.91</v>
      </c>
      <c r="IQ31" s="8">
        <v>77.72</v>
      </c>
    </row>
    <row r="32" spans="1:251" x14ac:dyDescent="0.2">
      <c r="A32" s="9">
        <v>43617</v>
      </c>
      <c r="D32" s="8">
        <v>76.13</v>
      </c>
      <c r="E32" s="8">
        <v>77.349999999999994</v>
      </c>
      <c r="F32" s="8">
        <v>75.400000000000006</v>
      </c>
      <c r="G32" s="8">
        <v>74.23</v>
      </c>
      <c r="H32" s="8">
        <v>76.88</v>
      </c>
      <c r="I32" s="8">
        <v>80</v>
      </c>
      <c r="J32" s="8">
        <v>72.88</v>
      </c>
      <c r="K32" s="8">
        <v>78.59</v>
      </c>
      <c r="L32" s="8">
        <v>81.09</v>
      </c>
      <c r="M32" s="8">
        <v>86.77</v>
      </c>
      <c r="N32" s="8">
        <v>78.900000000000006</v>
      </c>
      <c r="O32" s="8">
        <v>82.3</v>
      </c>
      <c r="P32" s="8">
        <v>75.14</v>
      </c>
      <c r="Q32" s="8">
        <v>74.16</v>
      </c>
      <c r="R32" s="8">
        <v>75.3</v>
      </c>
      <c r="S32" s="8">
        <v>75.86</v>
      </c>
      <c r="T32" s="8">
        <v>82.17</v>
      </c>
      <c r="U32" s="8">
        <v>82.96</v>
      </c>
      <c r="V32" s="8">
        <v>81.180000000000007</v>
      </c>
      <c r="W32" s="8">
        <v>73.64</v>
      </c>
      <c r="X32" s="8">
        <v>64.36</v>
      </c>
      <c r="Y32" s="8">
        <v>81.14</v>
      </c>
      <c r="Z32" s="8">
        <v>81.08</v>
      </c>
      <c r="AA32" s="8">
        <v>66.209999999999994</v>
      </c>
      <c r="AB32" s="8">
        <v>72.069999999999993</v>
      </c>
      <c r="AC32" s="8">
        <v>76.650000000000006</v>
      </c>
      <c r="AD32" s="8">
        <v>78.599999999999994</v>
      </c>
      <c r="AE32" s="8">
        <v>68.94</v>
      </c>
      <c r="AF32" s="8">
        <v>81.22</v>
      </c>
      <c r="AL32" s="8">
        <v>80.33</v>
      </c>
      <c r="AN32" s="8">
        <v>79.33</v>
      </c>
      <c r="AO32" s="8">
        <v>53.57</v>
      </c>
      <c r="AP32" s="8">
        <v>53.57</v>
      </c>
      <c r="BF32" s="8">
        <v>75.44</v>
      </c>
      <c r="BG32" s="8">
        <v>75.44</v>
      </c>
      <c r="BJ32" s="8">
        <v>77.95</v>
      </c>
      <c r="BZ32" s="8">
        <v>81.63</v>
      </c>
      <c r="CA32" s="8">
        <v>77.08</v>
      </c>
      <c r="CB32" s="8">
        <v>83.79</v>
      </c>
      <c r="CC32" s="8">
        <v>81.069999999999993</v>
      </c>
      <c r="CS32" s="8">
        <v>77.48</v>
      </c>
      <c r="DI32" s="8">
        <v>89.27</v>
      </c>
      <c r="DJ32" s="8">
        <v>72.53</v>
      </c>
      <c r="DK32" s="8">
        <v>69.86</v>
      </c>
      <c r="DO32" s="8">
        <v>77.040000000000006</v>
      </c>
      <c r="DV32" s="8">
        <v>76.739999999999995</v>
      </c>
      <c r="DW32" s="8">
        <v>78.959999999999994</v>
      </c>
      <c r="EA32" s="8">
        <v>81.96</v>
      </c>
      <c r="EB32" s="8">
        <v>92.08</v>
      </c>
      <c r="EC32" s="8">
        <v>80.97</v>
      </c>
      <c r="EF32" s="8">
        <v>76.42</v>
      </c>
      <c r="EG32" s="8">
        <v>76.349999999999994</v>
      </c>
      <c r="EH32" s="8">
        <v>76.69</v>
      </c>
      <c r="EI32" s="8">
        <v>74.849999999999994</v>
      </c>
      <c r="EJ32" s="8">
        <v>77.290000000000006</v>
      </c>
      <c r="EK32" s="8">
        <v>80.099999999999994</v>
      </c>
      <c r="EL32" s="8">
        <v>73.260000000000005</v>
      </c>
      <c r="EM32" s="8">
        <v>79.09</v>
      </c>
      <c r="EN32" s="8">
        <v>81.400000000000006</v>
      </c>
      <c r="EO32" s="8">
        <v>86.59</v>
      </c>
      <c r="EP32" s="8">
        <v>78.8</v>
      </c>
      <c r="EQ32" s="8">
        <v>81.8</v>
      </c>
      <c r="ER32" s="8">
        <v>75.17</v>
      </c>
      <c r="ES32" s="8">
        <v>73.98</v>
      </c>
      <c r="ET32" s="8">
        <v>75.17</v>
      </c>
      <c r="EU32" s="8">
        <v>76.430000000000007</v>
      </c>
      <c r="EV32" s="8">
        <v>81.25</v>
      </c>
      <c r="EW32" s="8">
        <v>81.05</v>
      </c>
      <c r="EX32" s="8">
        <v>81.17</v>
      </c>
      <c r="EY32" s="8">
        <v>73.37</v>
      </c>
      <c r="EZ32" s="8">
        <v>64.38</v>
      </c>
      <c r="FA32" s="8">
        <v>81.23</v>
      </c>
      <c r="FB32" s="8">
        <v>80.59</v>
      </c>
      <c r="FC32" s="8">
        <v>65.8</v>
      </c>
      <c r="FD32" s="8">
        <v>72.22</v>
      </c>
      <c r="FE32" s="8">
        <v>76.239999999999995</v>
      </c>
      <c r="FF32" s="8">
        <v>72.66</v>
      </c>
      <c r="FG32" s="8">
        <v>69.11</v>
      </c>
      <c r="FH32" s="8">
        <v>73.900000000000006</v>
      </c>
      <c r="FN32" s="8">
        <v>77.62</v>
      </c>
      <c r="FP32" s="8">
        <v>82.65</v>
      </c>
      <c r="FQ32" s="8">
        <v>51.97</v>
      </c>
      <c r="FR32" s="8">
        <v>51.97</v>
      </c>
      <c r="GH32" s="8">
        <v>75.14</v>
      </c>
      <c r="GI32" s="8">
        <v>75.14</v>
      </c>
      <c r="GL32" s="8">
        <v>78.790000000000006</v>
      </c>
      <c r="HB32" s="8">
        <v>82.17</v>
      </c>
      <c r="HC32" s="8">
        <v>77.8</v>
      </c>
      <c r="HD32" s="8">
        <v>84.58</v>
      </c>
      <c r="HE32" s="8">
        <v>81.13</v>
      </c>
      <c r="HU32" s="8">
        <v>77.12</v>
      </c>
      <c r="IK32" s="8">
        <v>84.52</v>
      </c>
      <c r="IL32" s="8">
        <v>69.69</v>
      </c>
      <c r="IM32" s="8">
        <v>70.86</v>
      </c>
      <c r="IQ32" s="8">
        <v>76.72</v>
      </c>
    </row>
    <row r="33" spans="1:251" x14ac:dyDescent="0.2">
      <c r="A33" s="9">
        <v>43647</v>
      </c>
      <c r="D33" s="8">
        <v>76.239999999999995</v>
      </c>
      <c r="E33" s="8">
        <v>77.45</v>
      </c>
      <c r="F33" s="8">
        <v>75.02</v>
      </c>
      <c r="G33" s="8">
        <v>77.34</v>
      </c>
      <c r="H33" s="8">
        <v>76.680000000000007</v>
      </c>
      <c r="I33" s="8">
        <v>80</v>
      </c>
      <c r="J33" s="8">
        <v>72.599999999999994</v>
      </c>
      <c r="K33" s="8">
        <v>79.05</v>
      </c>
      <c r="L33" s="8">
        <v>80.790000000000006</v>
      </c>
      <c r="M33" s="8">
        <v>86.86</v>
      </c>
      <c r="N33" s="8">
        <v>78.959999999999994</v>
      </c>
      <c r="O33" s="8">
        <v>82.35</v>
      </c>
      <c r="P33" s="8">
        <v>75.760000000000005</v>
      </c>
      <c r="Q33" s="8">
        <v>74.31</v>
      </c>
      <c r="R33" s="8">
        <v>75.790000000000006</v>
      </c>
      <c r="S33" s="8">
        <v>77.05</v>
      </c>
      <c r="T33" s="8">
        <v>81.42</v>
      </c>
      <c r="U33" s="8">
        <v>81.599999999999994</v>
      </c>
      <c r="V33" s="8">
        <v>81.010000000000005</v>
      </c>
      <c r="W33" s="8">
        <v>74.38</v>
      </c>
      <c r="X33" s="8">
        <v>64.989999999999995</v>
      </c>
      <c r="Y33" s="8">
        <v>80.209999999999994</v>
      </c>
      <c r="Z33" s="8">
        <v>81.33</v>
      </c>
      <c r="AA33" s="8">
        <v>66.83</v>
      </c>
      <c r="AB33" s="8">
        <v>73.06</v>
      </c>
      <c r="AC33" s="8">
        <v>77.69</v>
      </c>
      <c r="AD33" s="8">
        <v>79.540000000000006</v>
      </c>
      <c r="AE33" s="8">
        <v>70.040000000000006</v>
      </c>
      <c r="AF33" s="8">
        <v>82.12</v>
      </c>
      <c r="AL33" s="8">
        <v>80.77</v>
      </c>
      <c r="AN33" s="8">
        <v>79.3</v>
      </c>
      <c r="AO33" s="8">
        <v>54.1</v>
      </c>
      <c r="AP33" s="8">
        <v>54.1</v>
      </c>
      <c r="BF33" s="8">
        <v>75.84</v>
      </c>
      <c r="BG33" s="8">
        <v>75.84</v>
      </c>
      <c r="BJ33" s="8">
        <v>77.95</v>
      </c>
      <c r="BZ33" s="8">
        <v>82.78</v>
      </c>
      <c r="CA33" s="8">
        <v>78.87</v>
      </c>
      <c r="CB33" s="8">
        <v>85.14</v>
      </c>
      <c r="CC33" s="8">
        <v>81.91</v>
      </c>
      <c r="CS33" s="8">
        <v>76.680000000000007</v>
      </c>
      <c r="DI33" s="8">
        <v>98.52</v>
      </c>
      <c r="DJ33" s="8">
        <v>77.31</v>
      </c>
      <c r="DK33" s="8">
        <v>79.25</v>
      </c>
      <c r="DO33" s="8">
        <v>78.650000000000006</v>
      </c>
      <c r="DV33" s="8">
        <v>76.739999999999995</v>
      </c>
      <c r="DW33" s="8">
        <v>78.959999999999994</v>
      </c>
      <c r="EA33" s="8">
        <v>82.01</v>
      </c>
      <c r="EB33" s="8">
        <v>92.64</v>
      </c>
      <c r="EC33" s="8">
        <v>80.97</v>
      </c>
      <c r="EF33" s="8">
        <v>76.41</v>
      </c>
      <c r="EG33" s="8">
        <v>76.63</v>
      </c>
      <c r="EH33" s="8">
        <v>75.900000000000006</v>
      </c>
      <c r="EI33" s="8">
        <v>77.33</v>
      </c>
      <c r="EJ33" s="8">
        <v>77.52</v>
      </c>
      <c r="EK33" s="8">
        <v>80.31</v>
      </c>
      <c r="EL33" s="8">
        <v>73.64</v>
      </c>
      <c r="EM33" s="8">
        <v>79.67</v>
      </c>
      <c r="EN33" s="8">
        <v>81.87</v>
      </c>
      <c r="EO33" s="8">
        <v>86.82</v>
      </c>
      <c r="EP33" s="8">
        <v>78.900000000000006</v>
      </c>
      <c r="EQ33" s="8">
        <v>81.48</v>
      </c>
      <c r="ER33" s="8">
        <v>75.84</v>
      </c>
      <c r="ES33" s="8">
        <v>74.19</v>
      </c>
      <c r="ET33" s="8">
        <v>75.67</v>
      </c>
      <c r="EU33" s="8">
        <v>77.77</v>
      </c>
      <c r="EV33" s="8">
        <v>81.099999999999994</v>
      </c>
      <c r="EW33" s="8">
        <v>80.77</v>
      </c>
      <c r="EX33" s="8">
        <v>81.12</v>
      </c>
      <c r="EY33" s="8">
        <v>74.06</v>
      </c>
      <c r="EZ33" s="8">
        <v>65.260000000000005</v>
      </c>
      <c r="FA33" s="8">
        <v>80.44</v>
      </c>
      <c r="FB33" s="8">
        <v>80.88</v>
      </c>
      <c r="FC33" s="8">
        <v>66.28</v>
      </c>
      <c r="FD33" s="8">
        <v>73.13</v>
      </c>
      <c r="FE33" s="8">
        <v>77.2</v>
      </c>
      <c r="FF33" s="8">
        <v>73.72</v>
      </c>
      <c r="FG33" s="8">
        <v>70.260000000000005</v>
      </c>
      <c r="FH33" s="8">
        <v>74.94</v>
      </c>
      <c r="FN33" s="8">
        <v>78.87</v>
      </c>
      <c r="FP33" s="8">
        <v>82.62</v>
      </c>
      <c r="FQ33" s="8">
        <v>52.5</v>
      </c>
      <c r="FR33" s="8">
        <v>52.5</v>
      </c>
      <c r="GH33" s="8">
        <v>74.430000000000007</v>
      </c>
      <c r="GI33" s="8">
        <v>74.430000000000007</v>
      </c>
      <c r="GL33" s="8">
        <v>78.790000000000006</v>
      </c>
      <c r="HB33" s="8">
        <v>83.41</v>
      </c>
      <c r="HC33" s="8">
        <v>80.099999999999994</v>
      </c>
      <c r="HD33" s="8">
        <v>86.15</v>
      </c>
      <c r="HE33" s="8">
        <v>81.92</v>
      </c>
      <c r="HU33" s="8">
        <v>77.849999999999994</v>
      </c>
      <c r="IK33" s="8">
        <v>90.01</v>
      </c>
      <c r="IL33" s="8">
        <v>71.3</v>
      </c>
      <c r="IM33" s="8">
        <v>78.16</v>
      </c>
      <c r="IQ33" s="8">
        <v>78.55</v>
      </c>
    </row>
    <row r="34" spans="1:251" x14ac:dyDescent="0.2">
      <c r="A34" s="9">
        <v>43678</v>
      </c>
      <c r="D34" s="8">
        <v>77.34</v>
      </c>
      <c r="E34" s="8">
        <v>77.72</v>
      </c>
      <c r="F34" s="8">
        <v>76.81</v>
      </c>
      <c r="G34" s="8">
        <v>78.95</v>
      </c>
      <c r="H34" s="8">
        <v>77.400000000000006</v>
      </c>
      <c r="I34" s="8">
        <v>81.010000000000005</v>
      </c>
      <c r="J34" s="8">
        <v>73.17</v>
      </c>
      <c r="K34" s="8">
        <v>80.069999999999993</v>
      </c>
      <c r="L34" s="8">
        <v>83.25</v>
      </c>
      <c r="M34" s="8">
        <v>88.15</v>
      </c>
      <c r="N34" s="8">
        <v>80.45</v>
      </c>
      <c r="O34" s="8">
        <v>82.37</v>
      </c>
      <c r="P34" s="8">
        <v>76.41</v>
      </c>
      <c r="Q34" s="8">
        <v>75.95</v>
      </c>
      <c r="R34" s="8">
        <v>76.81</v>
      </c>
      <c r="S34" s="8">
        <v>76.39</v>
      </c>
      <c r="T34" s="8">
        <v>80.94</v>
      </c>
      <c r="U34" s="8">
        <v>80.94</v>
      </c>
      <c r="V34" s="8">
        <v>80.72</v>
      </c>
      <c r="W34" s="8">
        <v>74.33</v>
      </c>
      <c r="X34" s="8">
        <v>65.88</v>
      </c>
      <c r="Y34" s="8">
        <v>81.39</v>
      </c>
      <c r="Z34" s="8">
        <v>81.790000000000006</v>
      </c>
      <c r="AA34" s="8">
        <v>66.23</v>
      </c>
      <c r="AB34" s="8">
        <v>72.680000000000007</v>
      </c>
      <c r="AC34" s="8">
        <v>77.63</v>
      </c>
      <c r="AD34" s="8">
        <v>79.180000000000007</v>
      </c>
      <c r="AE34" s="8">
        <v>70.180000000000007</v>
      </c>
      <c r="AF34" s="8">
        <v>81.61</v>
      </c>
      <c r="AL34" s="8">
        <v>81.33</v>
      </c>
      <c r="AN34" s="8">
        <v>79.209999999999994</v>
      </c>
      <c r="AO34" s="8">
        <v>53.96</v>
      </c>
      <c r="AP34" s="8">
        <v>53.96</v>
      </c>
      <c r="BF34" s="8">
        <v>75.13</v>
      </c>
      <c r="BG34" s="8">
        <v>75.13</v>
      </c>
      <c r="BJ34" s="8">
        <v>77.95</v>
      </c>
      <c r="BZ34" s="8">
        <v>82.23</v>
      </c>
      <c r="CA34" s="8">
        <v>78.13</v>
      </c>
      <c r="CB34" s="8">
        <v>83.67</v>
      </c>
      <c r="CC34" s="8">
        <v>82.12</v>
      </c>
      <c r="CS34" s="8">
        <v>76.92</v>
      </c>
      <c r="DI34" s="8">
        <v>90.54</v>
      </c>
      <c r="DJ34" s="8">
        <v>73.05</v>
      </c>
      <c r="DK34" s="8">
        <v>71.260000000000005</v>
      </c>
      <c r="DO34" s="8">
        <v>78.099999999999994</v>
      </c>
      <c r="DV34" s="8">
        <v>76.739999999999995</v>
      </c>
      <c r="DW34" s="8">
        <v>79.03</v>
      </c>
      <c r="EA34" s="8">
        <v>82.01</v>
      </c>
      <c r="EB34" s="8">
        <v>92.66</v>
      </c>
      <c r="EC34" s="8">
        <v>80.97</v>
      </c>
      <c r="EF34" s="8">
        <v>77.56</v>
      </c>
      <c r="EG34" s="8">
        <v>76.84</v>
      </c>
      <c r="EH34" s="8">
        <v>77.92</v>
      </c>
      <c r="EI34" s="8">
        <v>79.05</v>
      </c>
      <c r="EJ34" s="8">
        <v>77.849999999999994</v>
      </c>
      <c r="EK34" s="8">
        <v>80.989999999999995</v>
      </c>
      <c r="EL34" s="8">
        <v>73.739999999999995</v>
      </c>
      <c r="EM34" s="8">
        <v>80.53</v>
      </c>
      <c r="EN34" s="8">
        <v>84.2</v>
      </c>
      <c r="EO34" s="8">
        <v>87.75</v>
      </c>
      <c r="EP34" s="8">
        <v>79.56</v>
      </c>
      <c r="EQ34" s="8">
        <v>81.430000000000007</v>
      </c>
      <c r="ER34" s="8">
        <v>76.44</v>
      </c>
      <c r="ES34" s="8">
        <v>76.040000000000006</v>
      </c>
      <c r="ET34" s="8">
        <v>76.5</v>
      </c>
      <c r="EU34" s="8">
        <v>76.75</v>
      </c>
      <c r="EV34" s="8">
        <v>79.87</v>
      </c>
      <c r="EW34" s="8">
        <v>77.959999999999994</v>
      </c>
      <c r="EX34" s="8">
        <v>81.180000000000007</v>
      </c>
      <c r="EY34" s="8">
        <v>74.099999999999994</v>
      </c>
      <c r="EZ34" s="8">
        <v>65.75</v>
      </c>
      <c r="FA34" s="8">
        <v>81.459999999999994</v>
      </c>
      <c r="FB34" s="8">
        <v>81.319999999999993</v>
      </c>
      <c r="FC34" s="8">
        <v>66.03</v>
      </c>
      <c r="FD34" s="8">
        <v>72.900000000000006</v>
      </c>
      <c r="FE34" s="8">
        <v>77.27</v>
      </c>
      <c r="FF34" s="8">
        <v>73.47</v>
      </c>
      <c r="FG34" s="8">
        <v>70.72</v>
      </c>
      <c r="FH34" s="8">
        <v>74.44</v>
      </c>
      <c r="FN34" s="8">
        <v>79.48</v>
      </c>
      <c r="FP34" s="8">
        <v>83.48</v>
      </c>
      <c r="FQ34" s="8">
        <v>52.33</v>
      </c>
      <c r="FR34" s="8">
        <v>52.33</v>
      </c>
      <c r="GH34" s="8">
        <v>74.430000000000007</v>
      </c>
      <c r="GI34" s="8">
        <v>74.430000000000007</v>
      </c>
      <c r="GL34" s="8">
        <v>78.790000000000006</v>
      </c>
      <c r="HB34" s="8">
        <v>82.83</v>
      </c>
      <c r="HC34" s="8">
        <v>78.97</v>
      </c>
      <c r="HD34" s="8">
        <v>84.9</v>
      </c>
      <c r="HE34" s="8">
        <v>81.99</v>
      </c>
      <c r="HU34" s="8">
        <v>76.53</v>
      </c>
      <c r="IK34" s="8">
        <v>84.66</v>
      </c>
      <c r="IL34" s="8">
        <v>69.39</v>
      </c>
      <c r="IM34" s="8">
        <v>71.37</v>
      </c>
      <c r="IQ34" s="8">
        <v>77.900000000000006</v>
      </c>
    </row>
    <row r="35" spans="1:251" x14ac:dyDescent="0.2">
      <c r="A35" s="9">
        <v>43709</v>
      </c>
      <c r="D35" s="8">
        <v>77.16</v>
      </c>
      <c r="E35" s="8">
        <v>77.16</v>
      </c>
      <c r="F35" s="8">
        <v>77.13</v>
      </c>
      <c r="G35" s="8">
        <v>77.540000000000006</v>
      </c>
      <c r="H35" s="8">
        <v>77.430000000000007</v>
      </c>
      <c r="I35" s="8">
        <v>81.62</v>
      </c>
      <c r="J35" s="8">
        <v>75.010000000000005</v>
      </c>
      <c r="K35" s="8">
        <v>81.489999999999995</v>
      </c>
      <c r="L35" s="8">
        <v>83.61</v>
      </c>
      <c r="M35" s="8">
        <v>87.41</v>
      </c>
      <c r="N35" s="8">
        <v>81.47</v>
      </c>
      <c r="O35" s="8">
        <v>81.93</v>
      </c>
      <c r="P35" s="8">
        <v>77.069999999999993</v>
      </c>
      <c r="Q35" s="8">
        <v>77.11</v>
      </c>
      <c r="R35" s="8">
        <v>77.84</v>
      </c>
      <c r="S35" s="8">
        <v>76.239999999999995</v>
      </c>
      <c r="T35" s="8">
        <v>79.31</v>
      </c>
      <c r="U35" s="8">
        <v>76.61</v>
      </c>
      <c r="V35" s="8">
        <v>81.73</v>
      </c>
      <c r="W35" s="8">
        <v>73.87</v>
      </c>
      <c r="X35" s="8">
        <v>65.81</v>
      </c>
      <c r="Y35" s="8">
        <v>80.5</v>
      </c>
      <c r="Z35" s="8">
        <v>80.400000000000006</v>
      </c>
      <c r="AA35" s="8">
        <v>66.03</v>
      </c>
      <c r="AB35" s="8">
        <v>72.12</v>
      </c>
      <c r="AC35" s="8">
        <v>77.709999999999994</v>
      </c>
      <c r="AD35" s="8">
        <v>78.28</v>
      </c>
      <c r="AE35" s="8">
        <v>70.53</v>
      </c>
      <c r="AF35" s="8">
        <v>80.36</v>
      </c>
      <c r="AL35" s="8">
        <v>80.69</v>
      </c>
      <c r="AN35" s="8">
        <v>79.78</v>
      </c>
      <c r="AO35" s="8">
        <v>57.1</v>
      </c>
      <c r="AP35" s="8">
        <v>57.1</v>
      </c>
      <c r="BF35" s="8">
        <v>75.11</v>
      </c>
      <c r="BG35" s="8">
        <v>75.11</v>
      </c>
      <c r="BJ35" s="8">
        <v>79.67</v>
      </c>
      <c r="BZ35" s="8">
        <v>81.849999999999994</v>
      </c>
      <c r="CA35" s="8">
        <v>77.56</v>
      </c>
      <c r="CB35" s="8">
        <v>83.84</v>
      </c>
      <c r="CC35" s="8">
        <v>81.349999999999994</v>
      </c>
      <c r="CS35" s="8">
        <v>78.7</v>
      </c>
      <c r="DI35" s="8">
        <v>91.64</v>
      </c>
      <c r="DJ35" s="8">
        <v>74.27</v>
      </c>
      <c r="DK35" s="8">
        <v>71.87</v>
      </c>
      <c r="DO35" s="8">
        <v>77.67</v>
      </c>
      <c r="DV35" s="8">
        <v>76.739999999999995</v>
      </c>
      <c r="DW35" s="8">
        <v>79.03</v>
      </c>
      <c r="EA35" s="8">
        <v>82.52</v>
      </c>
      <c r="EB35" s="8">
        <v>92.68</v>
      </c>
      <c r="EC35" s="8">
        <v>81.53</v>
      </c>
      <c r="EF35" s="8">
        <v>77.42</v>
      </c>
      <c r="EG35" s="8">
        <v>76.53</v>
      </c>
      <c r="EH35" s="8">
        <v>78.09</v>
      </c>
      <c r="EI35" s="8">
        <v>77.75</v>
      </c>
      <c r="EJ35" s="8">
        <v>77.89</v>
      </c>
      <c r="EK35" s="8">
        <v>81.87</v>
      </c>
      <c r="EL35" s="8">
        <v>76.069999999999993</v>
      </c>
      <c r="EM35" s="8">
        <v>81.430000000000007</v>
      </c>
      <c r="EN35" s="8">
        <v>84.51</v>
      </c>
      <c r="EO35" s="8">
        <v>87.29</v>
      </c>
      <c r="EP35" s="8">
        <v>81.52</v>
      </c>
      <c r="EQ35" s="8">
        <v>81.28</v>
      </c>
      <c r="ER35" s="8">
        <v>77.31</v>
      </c>
      <c r="ES35" s="8">
        <v>77.290000000000006</v>
      </c>
      <c r="ET35" s="8">
        <v>77.680000000000007</v>
      </c>
      <c r="EU35" s="8">
        <v>76.89</v>
      </c>
      <c r="EV35" s="8">
        <v>78.989999999999995</v>
      </c>
      <c r="EW35" s="8">
        <v>75.53</v>
      </c>
      <c r="EX35" s="8">
        <v>81.53</v>
      </c>
      <c r="EY35" s="8">
        <v>73.63</v>
      </c>
      <c r="EZ35" s="8">
        <v>65.89</v>
      </c>
      <c r="FA35" s="8">
        <v>80.489999999999995</v>
      </c>
      <c r="FB35" s="8">
        <v>80.010000000000005</v>
      </c>
      <c r="FC35" s="8">
        <v>65.67</v>
      </c>
      <c r="FD35" s="8">
        <v>72.28</v>
      </c>
      <c r="FE35" s="8">
        <v>77.53</v>
      </c>
      <c r="FF35" s="8">
        <v>72.61</v>
      </c>
      <c r="FG35" s="8">
        <v>70.52</v>
      </c>
      <c r="FH35" s="8">
        <v>73.34</v>
      </c>
      <c r="FN35" s="8">
        <v>78.2</v>
      </c>
      <c r="FP35" s="8">
        <v>83.48</v>
      </c>
      <c r="FQ35" s="8">
        <v>55.52</v>
      </c>
      <c r="FR35" s="8">
        <v>55.52</v>
      </c>
      <c r="GH35" s="8">
        <v>75.510000000000005</v>
      </c>
      <c r="GI35" s="8">
        <v>75.510000000000005</v>
      </c>
      <c r="GL35" s="8">
        <v>80.510000000000005</v>
      </c>
      <c r="HB35" s="8">
        <v>82.28</v>
      </c>
      <c r="HC35" s="8">
        <v>78.569999999999993</v>
      </c>
      <c r="HD35" s="8">
        <v>84.8</v>
      </c>
      <c r="HE35" s="8">
        <v>81.05</v>
      </c>
      <c r="HU35" s="8">
        <v>79.25</v>
      </c>
      <c r="IK35" s="8">
        <v>87.18</v>
      </c>
      <c r="IL35" s="8">
        <v>72.099999999999994</v>
      </c>
      <c r="IM35" s="8">
        <v>72.89</v>
      </c>
      <c r="IQ35" s="8">
        <v>77.69</v>
      </c>
    </row>
    <row r="36" spans="1:251" x14ac:dyDescent="0.2">
      <c r="A36" s="9">
        <v>43739</v>
      </c>
      <c r="D36" s="8">
        <v>77.3</v>
      </c>
      <c r="E36" s="8">
        <v>77.319999999999993</v>
      </c>
      <c r="F36" s="8">
        <v>77.260000000000005</v>
      </c>
      <c r="G36" s="8">
        <v>76.91</v>
      </c>
      <c r="H36" s="8">
        <v>78.11</v>
      </c>
      <c r="I36" s="8">
        <v>81.900000000000006</v>
      </c>
      <c r="J36" s="8">
        <v>75.3</v>
      </c>
      <c r="K36" s="8">
        <v>83.42</v>
      </c>
      <c r="L36" s="8">
        <v>82.67</v>
      </c>
      <c r="M36" s="8">
        <v>86.34</v>
      </c>
      <c r="N36" s="8">
        <v>82.44</v>
      </c>
      <c r="O36" s="8">
        <v>82.44</v>
      </c>
      <c r="P36" s="8">
        <v>76.94</v>
      </c>
      <c r="Q36" s="8">
        <v>76.489999999999995</v>
      </c>
      <c r="R36" s="8">
        <v>78.48</v>
      </c>
      <c r="S36" s="8">
        <v>75.94</v>
      </c>
      <c r="T36" s="8">
        <v>81.010000000000005</v>
      </c>
      <c r="U36" s="8">
        <v>81.94</v>
      </c>
      <c r="V36" s="8">
        <v>79.98</v>
      </c>
      <c r="W36" s="8">
        <v>74.739999999999995</v>
      </c>
      <c r="X36" s="8">
        <v>66.45</v>
      </c>
      <c r="Y36" s="8">
        <v>80.56</v>
      </c>
      <c r="Z36" s="8">
        <v>81.739999999999995</v>
      </c>
      <c r="AA36" s="8">
        <v>66.5</v>
      </c>
      <c r="AB36" s="8">
        <v>73.209999999999994</v>
      </c>
      <c r="AC36" s="8">
        <v>78.38</v>
      </c>
      <c r="AD36" s="8">
        <v>78.430000000000007</v>
      </c>
      <c r="AE36" s="8">
        <v>70.099999999999994</v>
      </c>
      <c r="AF36" s="8">
        <v>80.680000000000007</v>
      </c>
      <c r="AL36" s="8">
        <v>80.81</v>
      </c>
      <c r="AN36" s="8">
        <v>79.61</v>
      </c>
      <c r="AO36" s="8">
        <v>58.88</v>
      </c>
      <c r="AP36" s="8">
        <v>58.88</v>
      </c>
      <c r="BF36" s="8">
        <v>74.709999999999994</v>
      </c>
      <c r="BG36" s="8">
        <v>74.709999999999994</v>
      </c>
      <c r="BJ36" s="8">
        <v>79.67</v>
      </c>
      <c r="BZ36" s="8">
        <v>82.07</v>
      </c>
      <c r="CA36" s="8">
        <v>78.7</v>
      </c>
      <c r="CB36" s="8">
        <v>83.17</v>
      </c>
      <c r="CC36" s="8">
        <v>82.07</v>
      </c>
      <c r="CS36" s="8">
        <v>83.29</v>
      </c>
      <c r="DI36" s="8">
        <v>94.72</v>
      </c>
      <c r="DJ36" s="8">
        <v>78.819999999999993</v>
      </c>
      <c r="DK36" s="8">
        <v>72.709999999999994</v>
      </c>
      <c r="DO36" s="8">
        <v>77.5</v>
      </c>
      <c r="DV36" s="8">
        <v>76.739999999999995</v>
      </c>
      <c r="DW36" s="8">
        <v>79.03</v>
      </c>
      <c r="EA36" s="8">
        <v>82.52</v>
      </c>
      <c r="EB36" s="8">
        <v>92.7</v>
      </c>
      <c r="EC36" s="8">
        <v>81.53</v>
      </c>
      <c r="EF36" s="8">
        <v>77.64</v>
      </c>
      <c r="EG36" s="8">
        <v>76.77</v>
      </c>
      <c r="EH36" s="8">
        <v>78.34</v>
      </c>
      <c r="EI36" s="8">
        <v>77.19</v>
      </c>
      <c r="EJ36" s="8">
        <v>78.55</v>
      </c>
      <c r="EK36" s="8">
        <v>82.47</v>
      </c>
      <c r="EL36" s="8">
        <v>76.790000000000006</v>
      </c>
      <c r="EM36" s="8">
        <v>83.8</v>
      </c>
      <c r="EN36" s="8">
        <v>83.81</v>
      </c>
      <c r="EO36" s="8">
        <v>86.68</v>
      </c>
      <c r="EP36" s="8">
        <v>82.98</v>
      </c>
      <c r="EQ36" s="8">
        <v>81.97</v>
      </c>
      <c r="ER36" s="8">
        <v>77.290000000000006</v>
      </c>
      <c r="ES36" s="8">
        <v>76.91</v>
      </c>
      <c r="ET36" s="8">
        <v>78.28</v>
      </c>
      <c r="EU36" s="8">
        <v>76.69</v>
      </c>
      <c r="EV36" s="8">
        <v>81.58</v>
      </c>
      <c r="EW36" s="8">
        <v>81.5</v>
      </c>
      <c r="EX36" s="8">
        <v>81.430000000000007</v>
      </c>
      <c r="EY36" s="8">
        <v>74.56</v>
      </c>
      <c r="EZ36" s="8">
        <v>66.31</v>
      </c>
      <c r="FA36" s="8">
        <v>80.88</v>
      </c>
      <c r="FB36" s="8">
        <v>81.3</v>
      </c>
      <c r="FC36" s="8">
        <v>66.22</v>
      </c>
      <c r="FD36" s="8">
        <v>73.37</v>
      </c>
      <c r="FE36" s="8">
        <v>78.44</v>
      </c>
      <c r="FF36" s="8">
        <v>72.33</v>
      </c>
      <c r="FG36" s="8">
        <v>70.459999999999994</v>
      </c>
      <c r="FH36" s="8">
        <v>72.98</v>
      </c>
      <c r="FN36" s="8">
        <v>78.59</v>
      </c>
      <c r="FP36" s="8">
        <v>83.33</v>
      </c>
      <c r="FQ36" s="8">
        <v>57.31</v>
      </c>
      <c r="FR36" s="8">
        <v>57.31</v>
      </c>
      <c r="GH36" s="8">
        <v>75.5</v>
      </c>
      <c r="GI36" s="8">
        <v>75.5</v>
      </c>
      <c r="GL36" s="8">
        <v>80.510000000000005</v>
      </c>
      <c r="HB36" s="8">
        <v>82.58</v>
      </c>
      <c r="HC36" s="8">
        <v>79.319999999999993</v>
      </c>
      <c r="HD36" s="8">
        <v>84.02</v>
      </c>
      <c r="HE36" s="8">
        <v>82.12</v>
      </c>
      <c r="HU36" s="8">
        <v>81.319999999999993</v>
      </c>
      <c r="IK36" s="8">
        <v>88.1</v>
      </c>
      <c r="IL36" s="8">
        <v>74.23</v>
      </c>
      <c r="IM36" s="8">
        <v>72.41</v>
      </c>
      <c r="IQ36" s="8">
        <v>77.709999999999994</v>
      </c>
    </row>
    <row r="37" spans="1:251" x14ac:dyDescent="0.2">
      <c r="A37" s="9">
        <v>43770</v>
      </c>
      <c r="D37" s="8">
        <v>77.56</v>
      </c>
      <c r="E37" s="8">
        <v>77.3</v>
      </c>
      <c r="F37" s="8">
        <v>77.81</v>
      </c>
      <c r="G37" s="8">
        <v>78.709999999999994</v>
      </c>
      <c r="H37" s="8">
        <v>77.069999999999993</v>
      </c>
      <c r="I37" s="8">
        <v>81.7</v>
      </c>
      <c r="J37" s="8">
        <v>75</v>
      </c>
      <c r="K37" s="8">
        <v>83.98</v>
      </c>
      <c r="L37" s="8">
        <v>81.93</v>
      </c>
      <c r="M37" s="8">
        <v>86.37</v>
      </c>
      <c r="N37" s="8">
        <v>82.61</v>
      </c>
      <c r="O37" s="8">
        <v>81.67</v>
      </c>
      <c r="P37" s="8">
        <v>77.44</v>
      </c>
      <c r="Q37" s="8">
        <v>76.77</v>
      </c>
      <c r="R37" s="8">
        <v>79.209999999999994</v>
      </c>
      <c r="S37" s="8">
        <v>76.47</v>
      </c>
      <c r="T37" s="8">
        <v>82.57</v>
      </c>
      <c r="U37" s="8">
        <v>84.19</v>
      </c>
      <c r="V37" s="8">
        <v>80.87</v>
      </c>
      <c r="W37" s="8">
        <v>75.44</v>
      </c>
      <c r="X37" s="8">
        <v>66.52</v>
      </c>
      <c r="Y37" s="8">
        <v>80.37</v>
      </c>
      <c r="Z37" s="8">
        <v>82.12</v>
      </c>
      <c r="AA37" s="8">
        <v>66.849999999999994</v>
      </c>
      <c r="AB37" s="8">
        <v>73.760000000000005</v>
      </c>
      <c r="AC37" s="8">
        <v>80.05</v>
      </c>
      <c r="AD37" s="8">
        <v>78.05</v>
      </c>
      <c r="AE37" s="8">
        <v>70.430000000000007</v>
      </c>
      <c r="AF37" s="8">
        <v>80.099999999999994</v>
      </c>
      <c r="AL37" s="8">
        <v>80.69</v>
      </c>
      <c r="AN37" s="8">
        <v>79.87</v>
      </c>
      <c r="AO37" s="8">
        <v>59.35</v>
      </c>
      <c r="AP37" s="8">
        <v>59.35</v>
      </c>
      <c r="BF37" s="8">
        <v>74.66</v>
      </c>
      <c r="BG37" s="8">
        <v>74.66</v>
      </c>
      <c r="BJ37" s="8">
        <v>79.67</v>
      </c>
      <c r="BZ37" s="8">
        <v>83.03</v>
      </c>
      <c r="CA37" s="8">
        <v>79.25</v>
      </c>
      <c r="CB37" s="8">
        <v>84.65</v>
      </c>
      <c r="CC37" s="8">
        <v>82.72</v>
      </c>
      <c r="CS37" s="8">
        <v>79.97</v>
      </c>
      <c r="DI37" s="8">
        <v>87.61</v>
      </c>
      <c r="DJ37" s="8">
        <v>73.28</v>
      </c>
      <c r="DK37" s="8">
        <v>66.959999999999994</v>
      </c>
      <c r="DO37" s="8">
        <v>78.12</v>
      </c>
      <c r="DV37" s="8">
        <v>76.739999999999995</v>
      </c>
      <c r="DW37" s="8">
        <v>79.03</v>
      </c>
      <c r="EA37" s="8">
        <v>82.56</v>
      </c>
      <c r="EB37" s="8">
        <v>93.15</v>
      </c>
      <c r="EC37" s="8">
        <v>81.53</v>
      </c>
      <c r="EF37" s="8">
        <v>77.94</v>
      </c>
      <c r="EG37" s="8">
        <v>76.89</v>
      </c>
      <c r="EH37" s="8">
        <v>78.83</v>
      </c>
      <c r="EI37" s="8">
        <v>79.14</v>
      </c>
      <c r="EJ37" s="8">
        <v>77.47</v>
      </c>
      <c r="EK37" s="8">
        <v>82.4</v>
      </c>
      <c r="EL37" s="8">
        <v>76.72</v>
      </c>
      <c r="EM37" s="8">
        <v>84.65</v>
      </c>
      <c r="EN37" s="8">
        <v>83.6</v>
      </c>
      <c r="EO37" s="8">
        <v>86.51</v>
      </c>
      <c r="EP37" s="8">
        <v>83.04</v>
      </c>
      <c r="EQ37" s="8">
        <v>81.37</v>
      </c>
      <c r="ER37" s="8">
        <v>77.739999999999995</v>
      </c>
      <c r="ES37" s="8">
        <v>77.260000000000005</v>
      </c>
      <c r="ET37" s="8">
        <v>78.97</v>
      </c>
      <c r="EU37" s="8">
        <v>77.040000000000006</v>
      </c>
      <c r="EV37" s="8">
        <v>82.33</v>
      </c>
      <c r="EW37" s="8">
        <v>83.37</v>
      </c>
      <c r="EX37" s="8">
        <v>81.3</v>
      </c>
      <c r="EY37" s="8">
        <v>75.209999999999994</v>
      </c>
      <c r="EZ37" s="8">
        <v>66.33</v>
      </c>
      <c r="FA37" s="8">
        <v>80.42</v>
      </c>
      <c r="FB37" s="8">
        <v>81.790000000000006</v>
      </c>
      <c r="FC37" s="8">
        <v>66.3</v>
      </c>
      <c r="FD37" s="8">
        <v>73.91</v>
      </c>
      <c r="FE37" s="8">
        <v>80.19</v>
      </c>
      <c r="FF37" s="8">
        <v>72.400000000000006</v>
      </c>
      <c r="FG37" s="8">
        <v>70.78</v>
      </c>
      <c r="FH37" s="8">
        <v>72.97</v>
      </c>
      <c r="FN37" s="8">
        <v>79.75</v>
      </c>
      <c r="FP37" s="8">
        <v>82.8</v>
      </c>
      <c r="FQ37" s="8">
        <v>57.77</v>
      </c>
      <c r="FR37" s="8">
        <v>57.77</v>
      </c>
      <c r="GH37" s="8">
        <v>75.94</v>
      </c>
      <c r="GI37" s="8">
        <v>75.94</v>
      </c>
      <c r="GL37" s="8">
        <v>80.510000000000005</v>
      </c>
      <c r="HB37" s="8">
        <v>83.55</v>
      </c>
      <c r="HC37" s="8">
        <v>79.680000000000007</v>
      </c>
      <c r="HD37" s="8">
        <v>85.41</v>
      </c>
      <c r="HE37" s="8">
        <v>82.86</v>
      </c>
      <c r="HU37" s="8">
        <v>81.23</v>
      </c>
      <c r="IK37" s="8">
        <v>85.26</v>
      </c>
      <c r="IL37" s="8">
        <v>74.569999999999993</v>
      </c>
      <c r="IM37" s="8">
        <v>67.569999999999993</v>
      </c>
      <c r="IQ37" s="8">
        <v>78.05</v>
      </c>
    </row>
    <row r="38" spans="1:251" x14ac:dyDescent="0.2">
      <c r="A38" s="9">
        <v>43800</v>
      </c>
      <c r="D38" s="8">
        <v>78.55</v>
      </c>
      <c r="E38" s="8">
        <v>77.95</v>
      </c>
      <c r="F38" s="8">
        <v>78.319999999999993</v>
      </c>
      <c r="G38" s="8">
        <v>80.739999999999995</v>
      </c>
      <c r="H38" s="8">
        <v>80.25</v>
      </c>
      <c r="I38" s="8">
        <v>82.47</v>
      </c>
      <c r="J38" s="8">
        <v>76.349999999999994</v>
      </c>
      <c r="K38" s="8">
        <v>84.1</v>
      </c>
      <c r="L38" s="8">
        <v>81.400000000000006</v>
      </c>
      <c r="M38" s="8">
        <v>86.65</v>
      </c>
      <c r="N38" s="8">
        <v>83.24</v>
      </c>
      <c r="O38" s="8">
        <v>83.51</v>
      </c>
      <c r="P38" s="8">
        <v>78.36</v>
      </c>
      <c r="Q38" s="8">
        <v>78.180000000000007</v>
      </c>
      <c r="R38" s="8">
        <v>79.25</v>
      </c>
      <c r="S38" s="8">
        <v>77.64</v>
      </c>
      <c r="T38" s="8">
        <v>87.37</v>
      </c>
      <c r="U38" s="8">
        <v>91.43</v>
      </c>
      <c r="V38" s="8">
        <v>83.34</v>
      </c>
      <c r="W38" s="8">
        <v>75.77</v>
      </c>
      <c r="X38" s="8">
        <v>66.7</v>
      </c>
      <c r="Y38" s="8">
        <v>82.57</v>
      </c>
      <c r="Z38" s="8">
        <v>80.930000000000007</v>
      </c>
      <c r="AA38" s="8">
        <v>66.48</v>
      </c>
      <c r="AB38" s="8">
        <v>73.94</v>
      </c>
      <c r="AC38" s="8">
        <v>81.19</v>
      </c>
      <c r="AD38" s="8">
        <v>77.41</v>
      </c>
      <c r="AE38" s="8">
        <v>71.63</v>
      </c>
      <c r="AF38" s="8">
        <v>78.95</v>
      </c>
      <c r="AL38" s="8">
        <v>80.040000000000006</v>
      </c>
      <c r="AN38" s="8">
        <v>79.64</v>
      </c>
      <c r="AO38" s="8">
        <v>59.52</v>
      </c>
      <c r="AP38" s="8">
        <v>59.52</v>
      </c>
      <c r="BF38" s="8">
        <v>74.91</v>
      </c>
      <c r="BG38" s="8">
        <v>74.91</v>
      </c>
      <c r="BJ38" s="8">
        <v>79.67</v>
      </c>
      <c r="BZ38" s="8">
        <v>82.76</v>
      </c>
      <c r="CA38" s="8">
        <v>81.31</v>
      </c>
      <c r="CB38" s="8">
        <v>84.37</v>
      </c>
      <c r="CC38" s="8">
        <v>81.95</v>
      </c>
      <c r="CS38" s="8">
        <v>81.55</v>
      </c>
      <c r="DI38" s="8">
        <v>101.26</v>
      </c>
      <c r="DJ38" s="8">
        <v>86.04</v>
      </c>
      <c r="DK38" s="8">
        <v>76.37</v>
      </c>
      <c r="DO38" s="8">
        <v>78.48</v>
      </c>
      <c r="DV38" s="8">
        <v>76.739999999999995</v>
      </c>
      <c r="DW38" s="8">
        <v>79.03</v>
      </c>
      <c r="EA38" s="8">
        <v>83.01</v>
      </c>
      <c r="EB38" s="8">
        <v>94.33</v>
      </c>
      <c r="EC38" s="8">
        <v>81.91</v>
      </c>
      <c r="EF38" s="8">
        <v>78.63</v>
      </c>
      <c r="EG38" s="8">
        <v>77.209999999999994</v>
      </c>
      <c r="EH38" s="8">
        <v>79.010000000000005</v>
      </c>
      <c r="EI38" s="8">
        <v>80.98</v>
      </c>
      <c r="EJ38" s="8">
        <v>80.34</v>
      </c>
      <c r="EK38" s="8">
        <v>83.01</v>
      </c>
      <c r="EL38" s="8">
        <v>77.760000000000005</v>
      </c>
      <c r="EM38" s="8">
        <v>84.33</v>
      </c>
      <c r="EN38" s="8">
        <v>82.84</v>
      </c>
      <c r="EO38" s="8">
        <v>86.77</v>
      </c>
      <c r="EP38" s="8">
        <v>84.04</v>
      </c>
      <c r="EQ38" s="8">
        <v>82.99</v>
      </c>
      <c r="ER38" s="8">
        <v>78.47</v>
      </c>
      <c r="ES38" s="8">
        <v>78.14</v>
      </c>
      <c r="ET38" s="8">
        <v>79.05</v>
      </c>
      <c r="EU38" s="8">
        <v>78.2</v>
      </c>
      <c r="EV38" s="8">
        <v>85.52</v>
      </c>
      <c r="EW38" s="8">
        <v>88.85</v>
      </c>
      <c r="EX38" s="8">
        <v>82.67</v>
      </c>
      <c r="EY38" s="8">
        <v>75.52</v>
      </c>
      <c r="EZ38" s="8">
        <v>66.45</v>
      </c>
      <c r="FA38" s="8">
        <v>82.35</v>
      </c>
      <c r="FB38" s="8">
        <v>80.650000000000006</v>
      </c>
      <c r="FC38" s="8">
        <v>66.099999999999994</v>
      </c>
      <c r="FD38" s="8">
        <v>74.239999999999995</v>
      </c>
      <c r="FE38" s="8">
        <v>81.19</v>
      </c>
      <c r="FF38" s="8">
        <v>71.44</v>
      </c>
      <c r="FG38" s="8">
        <v>71.760000000000005</v>
      </c>
      <c r="FH38" s="8">
        <v>71.34</v>
      </c>
      <c r="FN38" s="8">
        <v>78.849999999999994</v>
      </c>
      <c r="FP38" s="8">
        <v>83.3</v>
      </c>
      <c r="FQ38" s="8">
        <v>58.06</v>
      </c>
      <c r="FR38" s="8">
        <v>58.06</v>
      </c>
      <c r="GH38" s="8">
        <v>76.099999999999994</v>
      </c>
      <c r="GI38" s="8">
        <v>76.099999999999994</v>
      </c>
      <c r="GL38" s="8">
        <v>80.510000000000005</v>
      </c>
      <c r="HB38" s="8">
        <v>83.07</v>
      </c>
      <c r="HC38" s="8">
        <v>81.599999999999994</v>
      </c>
      <c r="HD38" s="8">
        <v>84.82</v>
      </c>
      <c r="HE38" s="8">
        <v>82.07</v>
      </c>
      <c r="HU38" s="8">
        <v>81.489999999999995</v>
      </c>
      <c r="IK38" s="8">
        <v>96.96</v>
      </c>
      <c r="IL38" s="8">
        <v>85.21</v>
      </c>
      <c r="IM38" s="8">
        <v>76.47</v>
      </c>
      <c r="IQ38" s="8">
        <v>78.59</v>
      </c>
    </row>
    <row r="39" spans="1:251" x14ac:dyDescent="0.2">
      <c r="A39" s="9">
        <v>43831</v>
      </c>
      <c r="D39" s="8">
        <v>78.5</v>
      </c>
      <c r="E39" s="8">
        <v>78.040000000000006</v>
      </c>
      <c r="F39" s="8">
        <v>78.650000000000006</v>
      </c>
      <c r="G39" s="8">
        <v>80.02</v>
      </c>
      <c r="H39" s="8">
        <v>78.760000000000005</v>
      </c>
      <c r="I39" s="8">
        <v>82.83</v>
      </c>
      <c r="J39" s="8">
        <v>76.75</v>
      </c>
      <c r="K39" s="8">
        <v>84.14</v>
      </c>
      <c r="L39" s="8">
        <v>82.97</v>
      </c>
      <c r="M39" s="8">
        <v>86.69</v>
      </c>
      <c r="N39" s="8">
        <v>83.29</v>
      </c>
      <c r="O39" s="8">
        <v>83.82</v>
      </c>
      <c r="P39" s="8">
        <v>78.510000000000005</v>
      </c>
      <c r="Q39" s="8">
        <v>77.88</v>
      </c>
      <c r="R39" s="8">
        <v>79.84</v>
      </c>
      <c r="S39" s="8">
        <v>77.87</v>
      </c>
      <c r="T39" s="8">
        <v>84.31</v>
      </c>
      <c r="U39" s="8">
        <v>83.11</v>
      </c>
      <c r="V39" s="8">
        <v>85.29</v>
      </c>
      <c r="W39" s="8">
        <v>76.77</v>
      </c>
      <c r="X39" s="8">
        <v>66.760000000000005</v>
      </c>
      <c r="Y39" s="8">
        <v>82.14</v>
      </c>
      <c r="Z39" s="8">
        <v>82.65</v>
      </c>
      <c r="AA39" s="8">
        <v>67.22</v>
      </c>
      <c r="AB39" s="8">
        <v>75.790000000000006</v>
      </c>
      <c r="AC39" s="8">
        <v>81.03</v>
      </c>
      <c r="AD39" s="8">
        <v>78.56</v>
      </c>
      <c r="AE39" s="8">
        <v>72.849999999999994</v>
      </c>
      <c r="AF39" s="8">
        <v>80.09</v>
      </c>
      <c r="AL39" s="8">
        <v>81.93</v>
      </c>
      <c r="AN39" s="8">
        <v>80.010000000000005</v>
      </c>
      <c r="AO39" s="8">
        <v>60.05</v>
      </c>
      <c r="AP39" s="8">
        <v>60.05</v>
      </c>
      <c r="BF39" s="8">
        <v>74.790000000000006</v>
      </c>
      <c r="BG39" s="8">
        <v>74.790000000000006</v>
      </c>
      <c r="BJ39" s="8">
        <v>79.67</v>
      </c>
      <c r="BZ39" s="8">
        <v>82.71</v>
      </c>
      <c r="CA39" s="8">
        <v>78.430000000000007</v>
      </c>
      <c r="CB39" s="8">
        <v>85.38</v>
      </c>
      <c r="CC39" s="8">
        <v>81.7</v>
      </c>
      <c r="CS39" s="8">
        <v>80.540000000000006</v>
      </c>
      <c r="DI39" s="8">
        <v>100.66</v>
      </c>
      <c r="DJ39" s="8">
        <v>84.5</v>
      </c>
      <c r="DK39" s="8">
        <v>76.709999999999994</v>
      </c>
      <c r="DO39" s="8">
        <v>80.09</v>
      </c>
      <c r="DV39" s="8">
        <v>76.739999999999995</v>
      </c>
      <c r="DW39" s="8">
        <v>79.03</v>
      </c>
      <c r="EA39" s="8">
        <v>82.98</v>
      </c>
      <c r="EB39" s="8">
        <v>93.99</v>
      </c>
      <c r="EC39" s="8">
        <v>81.91</v>
      </c>
      <c r="EF39" s="8">
        <v>78.72</v>
      </c>
      <c r="EG39" s="8">
        <v>77.52</v>
      </c>
      <c r="EH39" s="8">
        <v>79.430000000000007</v>
      </c>
      <c r="EI39" s="8">
        <v>80.12</v>
      </c>
      <c r="EJ39" s="8">
        <v>79.25</v>
      </c>
      <c r="EK39" s="8">
        <v>83.44</v>
      </c>
      <c r="EL39" s="8">
        <v>78.75</v>
      </c>
      <c r="EM39" s="8">
        <v>84.49</v>
      </c>
      <c r="EN39" s="8">
        <v>83.66</v>
      </c>
      <c r="EO39" s="8">
        <v>86.81</v>
      </c>
      <c r="EP39" s="8">
        <v>83.92</v>
      </c>
      <c r="EQ39" s="8">
        <v>83.49</v>
      </c>
      <c r="ER39" s="8">
        <v>78.650000000000006</v>
      </c>
      <c r="ES39" s="8">
        <v>77.900000000000006</v>
      </c>
      <c r="ET39" s="8">
        <v>79.650000000000006</v>
      </c>
      <c r="EU39" s="8">
        <v>78.47</v>
      </c>
      <c r="EV39" s="8">
        <v>85.13</v>
      </c>
      <c r="EW39" s="8">
        <v>83.81</v>
      </c>
      <c r="EX39" s="8">
        <v>85.96</v>
      </c>
      <c r="EY39" s="8">
        <v>76.5</v>
      </c>
      <c r="EZ39" s="8">
        <v>66.53</v>
      </c>
      <c r="FA39" s="8">
        <v>81.93</v>
      </c>
      <c r="FB39" s="8">
        <v>82.31</v>
      </c>
      <c r="FC39" s="8">
        <v>66.930000000000007</v>
      </c>
      <c r="FD39" s="8">
        <v>75.92</v>
      </c>
      <c r="FE39" s="8">
        <v>81.08</v>
      </c>
      <c r="FF39" s="8">
        <v>72.84</v>
      </c>
      <c r="FG39" s="8">
        <v>73.03</v>
      </c>
      <c r="FH39" s="8">
        <v>72.78</v>
      </c>
      <c r="FN39" s="8">
        <v>80.849999999999994</v>
      </c>
      <c r="FP39" s="8">
        <v>83.45</v>
      </c>
      <c r="FQ39" s="8">
        <v>58.38</v>
      </c>
      <c r="FR39" s="8">
        <v>58.38</v>
      </c>
      <c r="GH39" s="8">
        <v>76.5</v>
      </c>
      <c r="GI39" s="8">
        <v>76.5</v>
      </c>
      <c r="GL39" s="8">
        <v>80.510000000000005</v>
      </c>
      <c r="HB39" s="8">
        <v>83.2</v>
      </c>
      <c r="HC39" s="8">
        <v>78.94</v>
      </c>
      <c r="HD39" s="8">
        <v>86.05</v>
      </c>
      <c r="HE39" s="8">
        <v>81.790000000000006</v>
      </c>
      <c r="HU39" s="8">
        <v>81.319999999999993</v>
      </c>
      <c r="IK39" s="8">
        <v>97.08</v>
      </c>
      <c r="IL39" s="8">
        <v>85.06</v>
      </c>
      <c r="IM39" s="8">
        <v>76.790000000000006</v>
      </c>
      <c r="IQ39" s="8">
        <v>80.22</v>
      </c>
    </row>
    <row r="40" spans="1:251" x14ac:dyDescent="0.2">
      <c r="A40" s="9">
        <v>43862</v>
      </c>
      <c r="D40" s="8">
        <v>78.36</v>
      </c>
      <c r="E40" s="8">
        <v>78.099999999999994</v>
      </c>
      <c r="F40" s="8">
        <v>77.8</v>
      </c>
      <c r="G40" s="8">
        <v>80.45</v>
      </c>
      <c r="H40" s="8">
        <v>80.31</v>
      </c>
      <c r="I40" s="8">
        <v>83.03</v>
      </c>
      <c r="J40" s="8">
        <v>77.58</v>
      </c>
      <c r="K40" s="8">
        <v>84.38</v>
      </c>
      <c r="L40" s="8">
        <v>84.86</v>
      </c>
      <c r="M40" s="8">
        <v>86.68</v>
      </c>
      <c r="N40" s="8">
        <v>83.29</v>
      </c>
      <c r="O40" s="8">
        <v>82.62</v>
      </c>
      <c r="P40" s="8">
        <v>78</v>
      </c>
      <c r="Q40" s="8">
        <v>76.98</v>
      </c>
      <c r="R40" s="8">
        <v>80.540000000000006</v>
      </c>
      <c r="S40" s="8">
        <v>76.72</v>
      </c>
      <c r="T40" s="8">
        <v>89</v>
      </c>
      <c r="U40" s="8">
        <v>89.19</v>
      </c>
      <c r="V40" s="8">
        <v>88.66</v>
      </c>
      <c r="W40" s="8">
        <v>76.010000000000005</v>
      </c>
      <c r="X40" s="8">
        <v>67.06</v>
      </c>
      <c r="Y40" s="8">
        <v>81.75</v>
      </c>
      <c r="Z40" s="8">
        <v>82.95</v>
      </c>
      <c r="AA40" s="8">
        <v>66.23</v>
      </c>
      <c r="AB40" s="8">
        <v>74.61</v>
      </c>
      <c r="AC40" s="8">
        <v>80.25</v>
      </c>
      <c r="AD40" s="8">
        <v>78.739999999999995</v>
      </c>
      <c r="AE40" s="8">
        <v>71.81</v>
      </c>
      <c r="AF40" s="8">
        <v>80.599999999999994</v>
      </c>
      <c r="AL40" s="8">
        <v>82.39</v>
      </c>
      <c r="AN40" s="8">
        <v>80.900000000000006</v>
      </c>
      <c r="AO40" s="8">
        <v>60.21</v>
      </c>
      <c r="AP40" s="8">
        <v>60.21</v>
      </c>
      <c r="BF40" s="8">
        <v>75.900000000000006</v>
      </c>
      <c r="BG40" s="8">
        <v>75.900000000000006</v>
      </c>
      <c r="BJ40" s="8">
        <v>79.67</v>
      </c>
      <c r="BZ40" s="8">
        <v>82.83</v>
      </c>
      <c r="CA40" s="8">
        <v>80.349999999999994</v>
      </c>
      <c r="CB40" s="8">
        <v>84.2</v>
      </c>
      <c r="CC40" s="8">
        <v>82.43</v>
      </c>
      <c r="CS40" s="8">
        <v>78.56</v>
      </c>
      <c r="DI40" s="8">
        <v>86.14</v>
      </c>
      <c r="DJ40" s="8">
        <v>72.489999999999995</v>
      </c>
      <c r="DK40" s="8">
        <v>65.5</v>
      </c>
      <c r="DO40" s="8">
        <v>78.680000000000007</v>
      </c>
      <c r="DV40" s="8">
        <v>80.14</v>
      </c>
      <c r="DW40" s="8">
        <v>79.75</v>
      </c>
      <c r="EA40" s="8">
        <v>82.98</v>
      </c>
      <c r="EB40" s="8">
        <v>94.01</v>
      </c>
      <c r="EC40" s="8">
        <v>81.91</v>
      </c>
      <c r="EF40" s="8">
        <v>78.489999999999995</v>
      </c>
      <c r="EG40" s="8">
        <v>77.37</v>
      </c>
      <c r="EH40" s="8">
        <v>78.73</v>
      </c>
      <c r="EI40" s="8">
        <v>80.45</v>
      </c>
      <c r="EJ40" s="8">
        <v>80.05</v>
      </c>
      <c r="EK40" s="8">
        <v>83.08</v>
      </c>
      <c r="EL40" s="8">
        <v>78.34</v>
      </c>
      <c r="EM40" s="8">
        <v>84.6</v>
      </c>
      <c r="EN40" s="8">
        <v>84.06</v>
      </c>
      <c r="EO40" s="8">
        <v>86.8</v>
      </c>
      <c r="EP40" s="8">
        <v>84.01</v>
      </c>
      <c r="EQ40" s="8">
        <v>81.650000000000006</v>
      </c>
      <c r="ER40" s="8">
        <v>78.290000000000006</v>
      </c>
      <c r="ES40" s="8">
        <v>77.34</v>
      </c>
      <c r="ET40" s="8">
        <v>80.27</v>
      </c>
      <c r="EU40" s="8">
        <v>77.44</v>
      </c>
      <c r="EV40" s="8">
        <v>87.8</v>
      </c>
      <c r="EW40" s="8">
        <v>86.97</v>
      </c>
      <c r="EX40" s="8">
        <v>88.24</v>
      </c>
      <c r="EY40" s="8">
        <v>75.63</v>
      </c>
      <c r="EZ40" s="8">
        <v>66.87</v>
      </c>
      <c r="FA40" s="8">
        <v>81.349999999999994</v>
      </c>
      <c r="FB40" s="8">
        <v>82.45</v>
      </c>
      <c r="FC40" s="8">
        <v>66.19</v>
      </c>
      <c r="FD40" s="8">
        <v>74.62</v>
      </c>
      <c r="FE40" s="8">
        <v>79.94</v>
      </c>
      <c r="FF40" s="8">
        <v>72.86</v>
      </c>
      <c r="FG40" s="8">
        <v>71.86</v>
      </c>
      <c r="FH40" s="8">
        <v>73.22</v>
      </c>
      <c r="FN40" s="8">
        <v>81.22</v>
      </c>
      <c r="FP40" s="8">
        <v>84.52</v>
      </c>
      <c r="FQ40" s="8">
        <v>58.41</v>
      </c>
      <c r="FR40" s="8">
        <v>58.41</v>
      </c>
      <c r="GH40" s="8">
        <v>76.13</v>
      </c>
      <c r="GI40" s="8">
        <v>76.13</v>
      </c>
      <c r="GL40" s="8">
        <v>80.510000000000005</v>
      </c>
      <c r="HB40" s="8">
        <v>83.41</v>
      </c>
      <c r="HC40" s="8">
        <v>80.84</v>
      </c>
      <c r="HD40" s="8">
        <v>85.2</v>
      </c>
      <c r="HE40" s="8">
        <v>82.56</v>
      </c>
      <c r="HU40" s="8">
        <v>78.09</v>
      </c>
      <c r="IK40" s="8">
        <v>83.52</v>
      </c>
      <c r="IL40" s="8">
        <v>73.34</v>
      </c>
      <c r="IM40" s="8">
        <v>65.92</v>
      </c>
      <c r="IQ40" s="8">
        <v>78.83</v>
      </c>
    </row>
    <row r="41" spans="1:251" x14ac:dyDescent="0.2">
      <c r="A41" s="9">
        <v>43891</v>
      </c>
      <c r="D41" s="8">
        <v>80.94</v>
      </c>
      <c r="E41" s="8">
        <v>79.349999999999994</v>
      </c>
      <c r="F41" s="8">
        <v>80.25</v>
      </c>
      <c r="G41" s="8">
        <v>85.24</v>
      </c>
      <c r="H41" s="8">
        <v>86.17</v>
      </c>
      <c r="I41" s="8">
        <v>85.2</v>
      </c>
      <c r="J41" s="8">
        <v>78.75</v>
      </c>
      <c r="K41" s="8">
        <v>86.01</v>
      </c>
      <c r="L41" s="8">
        <v>87.33</v>
      </c>
      <c r="M41" s="8">
        <v>88.13</v>
      </c>
      <c r="N41" s="8">
        <v>86.88</v>
      </c>
      <c r="O41" s="8">
        <v>85.5</v>
      </c>
      <c r="P41" s="8">
        <v>79.489999999999995</v>
      </c>
      <c r="Q41" s="8">
        <v>79.48</v>
      </c>
      <c r="R41" s="8">
        <v>81.12</v>
      </c>
      <c r="S41" s="8">
        <v>77.959999999999994</v>
      </c>
      <c r="T41" s="8">
        <v>93.82</v>
      </c>
      <c r="U41" s="8">
        <v>93.74</v>
      </c>
      <c r="V41" s="8">
        <v>93.73</v>
      </c>
      <c r="W41" s="8">
        <v>78.56</v>
      </c>
      <c r="X41" s="8">
        <v>67.44</v>
      </c>
      <c r="Y41" s="8">
        <v>85.64</v>
      </c>
      <c r="Z41" s="8">
        <v>84.74</v>
      </c>
      <c r="AA41" s="8">
        <v>68.209999999999994</v>
      </c>
      <c r="AB41" s="8">
        <v>77.25</v>
      </c>
      <c r="AC41" s="8">
        <v>83.49</v>
      </c>
      <c r="AD41" s="8">
        <v>81.02</v>
      </c>
      <c r="AE41" s="8">
        <v>75.22</v>
      </c>
      <c r="AF41" s="8">
        <v>82.57</v>
      </c>
      <c r="AL41" s="8">
        <v>82.53</v>
      </c>
      <c r="AN41" s="8">
        <v>81.010000000000005</v>
      </c>
      <c r="AO41" s="8">
        <v>61.26</v>
      </c>
      <c r="AP41" s="8">
        <v>61.26</v>
      </c>
      <c r="BF41" s="8">
        <v>75.650000000000006</v>
      </c>
      <c r="BG41" s="8">
        <v>75.650000000000006</v>
      </c>
      <c r="BJ41" s="8">
        <v>79.67</v>
      </c>
      <c r="BZ41" s="8">
        <v>88.48</v>
      </c>
      <c r="CA41" s="8">
        <v>85.13</v>
      </c>
      <c r="CB41" s="8">
        <v>89.16</v>
      </c>
      <c r="CC41" s="8">
        <v>88.8</v>
      </c>
      <c r="CS41" s="8">
        <v>72.27</v>
      </c>
      <c r="DI41" s="8">
        <v>87.68</v>
      </c>
      <c r="DJ41" s="8">
        <v>72.489999999999995</v>
      </c>
      <c r="DK41" s="8">
        <v>67.67</v>
      </c>
      <c r="DO41" s="8">
        <v>80.260000000000005</v>
      </c>
      <c r="DV41" s="8">
        <v>80.14</v>
      </c>
      <c r="DW41" s="8">
        <v>79.75</v>
      </c>
      <c r="EA41" s="8">
        <v>83.47</v>
      </c>
      <c r="EB41" s="8">
        <v>94.02</v>
      </c>
      <c r="EC41" s="8">
        <v>82.45</v>
      </c>
      <c r="EF41" s="8">
        <v>81.05</v>
      </c>
      <c r="EG41" s="8">
        <v>78.78</v>
      </c>
      <c r="EH41" s="8">
        <v>80.95</v>
      </c>
      <c r="EI41" s="8">
        <v>85.2</v>
      </c>
      <c r="EJ41" s="8">
        <v>85.82</v>
      </c>
      <c r="EK41" s="8">
        <v>85.48</v>
      </c>
      <c r="EL41" s="8">
        <v>79.92</v>
      </c>
      <c r="EM41" s="8">
        <v>87.06</v>
      </c>
      <c r="EN41" s="8">
        <v>87.86</v>
      </c>
      <c r="EO41" s="8">
        <v>88.12</v>
      </c>
      <c r="EP41" s="8">
        <v>87.29</v>
      </c>
      <c r="EQ41" s="8">
        <v>84.46</v>
      </c>
      <c r="ER41" s="8">
        <v>79.62</v>
      </c>
      <c r="ES41" s="8">
        <v>79.5</v>
      </c>
      <c r="ET41" s="8">
        <v>80.83</v>
      </c>
      <c r="EU41" s="8">
        <v>78.53</v>
      </c>
      <c r="EV41" s="8">
        <v>91.4</v>
      </c>
      <c r="EW41" s="8">
        <v>89.47</v>
      </c>
      <c r="EX41" s="8">
        <v>92.71</v>
      </c>
      <c r="EY41" s="8">
        <v>78.099999999999994</v>
      </c>
      <c r="EZ41" s="8">
        <v>67.16</v>
      </c>
      <c r="FA41" s="8">
        <v>84.98</v>
      </c>
      <c r="FB41" s="8">
        <v>84.2</v>
      </c>
      <c r="FC41" s="8">
        <v>67.92</v>
      </c>
      <c r="FD41" s="8">
        <v>77.099999999999994</v>
      </c>
      <c r="FE41" s="8">
        <v>83.59</v>
      </c>
      <c r="FF41" s="8">
        <v>74.77</v>
      </c>
      <c r="FG41" s="8">
        <v>75.11</v>
      </c>
      <c r="FH41" s="8">
        <v>74.66</v>
      </c>
      <c r="FN41" s="8">
        <v>81.72</v>
      </c>
      <c r="FP41" s="8">
        <v>84.73</v>
      </c>
      <c r="FQ41" s="8">
        <v>59.35</v>
      </c>
      <c r="FR41" s="8">
        <v>59.35</v>
      </c>
      <c r="GH41" s="8">
        <v>76.19</v>
      </c>
      <c r="GI41" s="8">
        <v>76.19</v>
      </c>
      <c r="GL41" s="8">
        <v>80.510000000000005</v>
      </c>
      <c r="HB41" s="8">
        <v>88.97</v>
      </c>
      <c r="HC41" s="8">
        <v>85.54</v>
      </c>
      <c r="HD41" s="8">
        <v>89.93</v>
      </c>
      <c r="HE41" s="8">
        <v>88.94</v>
      </c>
      <c r="HU41" s="8">
        <v>69.78</v>
      </c>
      <c r="IK41" s="8">
        <v>84.97</v>
      </c>
      <c r="IL41" s="8">
        <v>73.78</v>
      </c>
      <c r="IM41" s="8">
        <v>67.819999999999993</v>
      </c>
      <c r="IQ41" s="8">
        <v>80.47</v>
      </c>
    </row>
    <row r="42" spans="1:251" x14ac:dyDescent="0.2">
      <c r="A42" s="9">
        <v>43922</v>
      </c>
      <c r="D42" s="8">
        <v>81.67</v>
      </c>
      <c r="E42" s="8">
        <v>79.180000000000007</v>
      </c>
      <c r="F42" s="8">
        <v>80.87</v>
      </c>
      <c r="G42" s="8">
        <v>87.78</v>
      </c>
      <c r="H42" s="8">
        <v>88.98</v>
      </c>
      <c r="I42" s="8">
        <v>84.73</v>
      </c>
      <c r="J42" s="8">
        <v>75.66</v>
      </c>
      <c r="K42" s="8">
        <v>87.08</v>
      </c>
      <c r="L42" s="8">
        <v>85.48</v>
      </c>
      <c r="M42" s="8">
        <v>86.68</v>
      </c>
      <c r="N42" s="8">
        <v>87.57</v>
      </c>
      <c r="O42" s="8">
        <v>87.7</v>
      </c>
      <c r="P42" s="8">
        <v>80.150000000000006</v>
      </c>
      <c r="Q42" s="8">
        <v>79.400000000000006</v>
      </c>
      <c r="R42" s="8">
        <v>81.430000000000007</v>
      </c>
      <c r="S42" s="8">
        <v>79.66</v>
      </c>
      <c r="T42" s="8">
        <v>89.57</v>
      </c>
      <c r="U42" s="8">
        <v>89.32</v>
      </c>
      <c r="V42" s="8">
        <v>89.63</v>
      </c>
      <c r="W42" s="8">
        <v>80.739999999999995</v>
      </c>
      <c r="X42" s="8">
        <v>68.239999999999995</v>
      </c>
      <c r="Y42" s="8">
        <v>86.82</v>
      </c>
      <c r="Z42" s="8">
        <v>85.81</v>
      </c>
      <c r="AA42" s="8">
        <v>71.069999999999993</v>
      </c>
      <c r="AB42" s="8">
        <v>78.94</v>
      </c>
      <c r="AC42" s="8">
        <v>87.47</v>
      </c>
      <c r="AD42" s="8">
        <v>82.82</v>
      </c>
      <c r="AE42" s="8">
        <v>79.83</v>
      </c>
      <c r="AF42" s="8">
        <v>83.59</v>
      </c>
      <c r="AL42" s="8">
        <v>82.56</v>
      </c>
      <c r="AN42" s="8">
        <v>82.38</v>
      </c>
      <c r="AO42" s="8">
        <v>61.82</v>
      </c>
      <c r="AP42" s="8">
        <v>61.82</v>
      </c>
      <c r="BF42" s="8">
        <v>75.61</v>
      </c>
      <c r="BG42" s="8">
        <v>75.61</v>
      </c>
      <c r="BJ42" s="8">
        <v>79.67</v>
      </c>
      <c r="BZ42" s="8">
        <v>92.67</v>
      </c>
      <c r="CA42" s="8">
        <v>89.24</v>
      </c>
      <c r="CB42" s="8">
        <v>93.48</v>
      </c>
      <c r="CC42" s="8">
        <v>92.91</v>
      </c>
      <c r="CS42" s="8">
        <v>59.14</v>
      </c>
      <c r="DI42" s="8">
        <v>90.03</v>
      </c>
      <c r="DJ42" s="8">
        <v>71.97</v>
      </c>
      <c r="DK42" s="8">
        <v>71.37</v>
      </c>
      <c r="DO42" s="8">
        <v>82.01</v>
      </c>
      <c r="DV42" s="8">
        <v>80.14</v>
      </c>
      <c r="DW42" s="8">
        <v>79.75</v>
      </c>
      <c r="EA42" s="8">
        <v>83.34</v>
      </c>
      <c r="EB42" s="8">
        <v>92.59</v>
      </c>
      <c r="EC42" s="8">
        <v>82.45</v>
      </c>
      <c r="EF42" s="8">
        <v>81.89</v>
      </c>
      <c r="EG42" s="8">
        <v>78.48</v>
      </c>
      <c r="EH42" s="8">
        <v>81.95</v>
      </c>
      <c r="EI42" s="8">
        <v>87.34</v>
      </c>
      <c r="EJ42" s="8">
        <v>88.59</v>
      </c>
      <c r="EK42" s="8">
        <v>84.18</v>
      </c>
      <c r="EL42" s="8">
        <v>75.650000000000006</v>
      </c>
      <c r="EM42" s="8">
        <v>86.65</v>
      </c>
      <c r="EN42" s="8">
        <v>84.57</v>
      </c>
      <c r="EO42" s="8">
        <v>85.68</v>
      </c>
      <c r="EP42" s="8">
        <v>87.3</v>
      </c>
      <c r="EQ42" s="8">
        <v>87.67</v>
      </c>
      <c r="ER42" s="8">
        <v>79.91</v>
      </c>
      <c r="ES42" s="8">
        <v>79.08</v>
      </c>
      <c r="ET42" s="8">
        <v>80.930000000000007</v>
      </c>
      <c r="EU42" s="8">
        <v>79.790000000000006</v>
      </c>
      <c r="EV42" s="8">
        <v>87.8</v>
      </c>
      <c r="EW42" s="8">
        <v>84.81</v>
      </c>
      <c r="EX42" s="8">
        <v>89.95</v>
      </c>
      <c r="EY42" s="8">
        <v>80.27</v>
      </c>
      <c r="EZ42" s="8">
        <v>68.239999999999995</v>
      </c>
      <c r="FA42" s="8">
        <v>86.04</v>
      </c>
      <c r="FB42" s="8">
        <v>85.25</v>
      </c>
      <c r="FC42" s="8">
        <v>70.67</v>
      </c>
      <c r="FD42" s="8">
        <v>79.02</v>
      </c>
      <c r="FE42" s="8">
        <v>87.33</v>
      </c>
      <c r="FF42" s="8">
        <v>76.349999999999994</v>
      </c>
      <c r="FG42" s="8">
        <v>79.56</v>
      </c>
      <c r="FH42" s="8">
        <v>75.23</v>
      </c>
      <c r="FN42" s="8">
        <v>80.02</v>
      </c>
      <c r="FP42" s="8">
        <v>84.25</v>
      </c>
      <c r="FQ42" s="8">
        <v>60.02</v>
      </c>
      <c r="FR42" s="8">
        <v>60.02</v>
      </c>
      <c r="GH42" s="8">
        <v>75.75</v>
      </c>
      <c r="GI42" s="8">
        <v>75.75</v>
      </c>
      <c r="GL42" s="8">
        <v>80.510000000000005</v>
      </c>
      <c r="HB42" s="8">
        <v>93.31</v>
      </c>
      <c r="HC42" s="8">
        <v>89.94</v>
      </c>
      <c r="HD42" s="8">
        <v>94.46</v>
      </c>
      <c r="HE42" s="8">
        <v>93.13</v>
      </c>
      <c r="HU42" s="8">
        <v>60.23</v>
      </c>
      <c r="IK42" s="8">
        <v>86.72</v>
      </c>
      <c r="IL42" s="8">
        <v>73.48</v>
      </c>
      <c r="IM42" s="8">
        <v>70.89</v>
      </c>
      <c r="IQ42" s="8">
        <v>82.34</v>
      </c>
    </row>
    <row r="43" spans="1:251" x14ac:dyDescent="0.2">
      <c r="A43" s="9">
        <v>43952</v>
      </c>
      <c r="D43" s="8">
        <v>80.11</v>
      </c>
      <c r="E43" s="8">
        <v>78.459999999999994</v>
      </c>
      <c r="F43" s="8">
        <v>78.819999999999993</v>
      </c>
      <c r="G43" s="8">
        <v>84.65</v>
      </c>
      <c r="H43" s="8">
        <v>87.7</v>
      </c>
      <c r="I43" s="8">
        <v>84.83</v>
      </c>
      <c r="J43" s="8">
        <v>78.11</v>
      </c>
      <c r="K43" s="8">
        <v>86.35</v>
      </c>
      <c r="L43" s="8">
        <v>85.2</v>
      </c>
      <c r="M43" s="8">
        <v>85.95</v>
      </c>
      <c r="N43" s="8">
        <v>86.46</v>
      </c>
      <c r="O43" s="8">
        <v>87.65</v>
      </c>
      <c r="P43" s="8">
        <v>79.34</v>
      </c>
      <c r="Q43" s="8">
        <v>78.62</v>
      </c>
      <c r="R43" s="8">
        <v>81.290000000000006</v>
      </c>
      <c r="S43" s="8">
        <v>78.239999999999995</v>
      </c>
      <c r="T43" s="8">
        <v>86.66</v>
      </c>
      <c r="U43" s="8">
        <v>86.5</v>
      </c>
      <c r="V43" s="8">
        <v>86.66</v>
      </c>
      <c r="W43" s="8">
        <v>77.64</v>
      </c>
      <c r="X43" s="8">
        <v>68.09</v>
      </c>
      <c r="Y43" s="8">
        <v>85.42</v>
      </c>
      <c r="Z43" s="8">
        <v>83.49</v>
      </c>
      <c r="AA43" s="8">
        <v>68.489999999999995</v>
      </c>
      <c r="AB43" s="8">
        <v>75.180000000000007</v>
      </c>
      <c r="AC43" s="8">
        <v>83.75</v>
      </c>
      <c r="AD43" s="8">
        <v>81.52</v>
      </c>
      <c r="AE43" s="8">
        <v>74.739999999999995</v>
      </c>
      <c r="AF43" s="8">
        <v>83.34</v>
      </c>
      <c r="AL43" s="8">
        <v>83.09</v>
      </c>
      <c r="AN43" s="8">
        <v>81.67</v>
      </c>
      <c r="AO43" s="8">
        <v>62.13</v>
      </c>
      <c r="AP43" s="8">
        <v>62.13</v>
      </c>
      <c r="BF43" s="8">
        <v>74.89</v>
      </c>
      <c r="BG43" s="8">
        <v>74.89</v>
      </c>
      <c r="BJ43" s="8">
        <v>79.67</v>
      </c>
      <c r="BZ43" s="8">
        <v>88.21</v>
      </c>
      <c r="CA43" s="8">
        <v>84.33</v>
      </c>
      <c r="CB43" s="8">
        <v>89</v>
      </c>
      <c r="CC43" s="8">
        <v>88.56</v>
      </c>
      <c r="CS43" s="8">
        <v>60.9</v>
      </c>
      <c r="DI43" s="8">
        <v>88.27</v>
      </c>
      <c r="DJ43" s="8">
        <v>71.97</v>
      </c>
      <c r="DK43" s="8">
        <v>68.89</v>
      </c>
      <c r="DO43" s="8">
        <v>80.19</v>
      </c>
      <c r="DV43" s="8">
        <v>80.14</v>
      </c>
      <c r="DW43" s="8">
        <v>79.75</v>
      </c>
      <c r="EA43" s="8">
        <v>83.34</v>
      </c>
      <c r="EB43" s="8">
        <v>92.61</v>
      </c>
      <c r="EC43" s="8">
        <v>82.45</v>
      </c>
      <c r="EF43" s="8">
        <v>80.22</v>
      </c>
      <c r="EG43" s="8">
        <v>77.67</v>
      </c>
      <c r="EH43" s="8">
        <v>79.58</v>
      </c>
      <c r="EI43" s="8">
        <v>84.58</v>
      </c>
      <c r="EJ43" s="8">
        <v>87.74</v>
      </c>
      <c r="EK43" s="8">
        <v>84.79</v>
      </c>
      <c r="EL43" s="8">
        <v>79.239999999999995</v>
      </c>
      <c r="EM43" s="8">
        <v>86.57</v>
      </c>
      <c r="EN43" s="8">
        <v>84.46</v>
      </c>
      <c r="EO43" s="8">
        <v>85.84</v>
      </c>
      <c r="EP43" s="8">
        <v>86.18</v>
      </c>
      <c r="EQ43" s="8">
        <v>87.42</v>
      </c>
      <c r="ER43" s="8">
        <v>79.48</v>
      </c>
      <c r="ES43" s="8">
        <v>78.8</v>
      </c>
      <c r="ET43" s="8">
        <v>81.06</v>
      </c>
      <c r="EU43" s="8">
        <v>78.67</v>
      </c>
      <c r="EV43" s="8">
        <v>85.15</v>
      </c>
      <c r="EW43" s="8">
        <v>82.9</v>
      </c>
      <c r="EX43" s="8">
        <v>86.73</v>
      </c>
      <c r="EY43" s="8">
        <v>77.290000000000006</v>
      </c>
      <c r="EZ43" s="8">
        <v>68.180000000000007</v>
      </c>
      <c r="FA43" s="8">
        <v>85.05</v>
      </c>
      <c r="FB43" s="8">
        <v>83.03</v>
      </c>
      <c r="FC43" s="8">
        <v>68.180000000000007</v>
      </c>
      <c r="FD43" s="8">
        <v>75.23</v>
      </c>
      <c r="FE43" s="8">
        <v>83.87</v>
      </c>
      <c r="FF43" s="8">
        <v>75.319999999999993</v>
      </c>
      <c r="FG43" s="8">
        <v>74.69</v>
      </c>
      <c r="FH43" s="8">
        <v>75.540000000000006</v>
      </c>
      <c r="FN43" s="8">
        <v>82.22</v>
      </c>
      <c r="FP43" s="8">
        <v>84.15</v>
      </c>
      <c r="FQ43" s="8">
        <v>60.33</v>
      </c>
      <c r="FR43" s="8">
        <v>60.33</v>
      </c>
      <c r="GH43" s="8">
        <v>75.98</v>
      </c>
      <c r="GI43" s="8">
        <v>75.98</v>
      </c>
      <c r="GL43" s="8">
        <v>80.510000000000005</v>
      </c>
      <c r="HB43" s="8">
        <v>88.56</v>
      </c>
      <c r="HC43" s="8">
        <v>84.97</v>
      </c>
      <c r="HD43" s="8">
        <v>89.92</v>
      </c>
      <c r="HE43" s="8">
        <v>88.24</v>
      </c>
      <c r="HU43" s="8">
        <v>58.93</v>
      </c>
      <c r="IK43" s="8">
        <v>85.18</v>
      </c>
      <c r="IL43" s="8">
        <v>73.5</v>
      </c>
      <c r="IM43" s="8">
        <v>68.42</v>
      </c>
      <c r="IQ43" s="8">
        <v>80.37</v>
      </c>
    </row>
    <row r="44" spans="1:251" x14ac:dyDescent="0.2">
      <c r="A44" s="9">
        <v>43983</v>
      </c>
      <c r="D44" s="8">
        <v>79.150000000000006</v>
      </c>
      <c r="E44" s="8">
        <v>78.22</v>
      </c>
      <c r="F44" s="8">
        <v>78.400000000000006</v>
      </c>
      <c r="G44" s="8">
        <v>79.22</v>
      </c>
      <c r="H44" s="8">
        <v>85.7</v>
      </c>
      <c r="I44" s="8">
        <v>84.9</v>
      </c>
      <c r="J44" s="8">
        <v>78.81</v>
      </c>
      <c r="K44" s="8">
        <v>85.57</v>
      </c>
      <c r="L44" s="8">
        <v>86.33</v>
      </c>
      <c r="M44" s="8">
        <v>86.24</v>
      </c>
      <c r="N44" s="8">
        <v>86.89</v>
      </c>
      <c r="O44" s="8">
        <v>86.42</v>
      </c>
      <c r="P44" s="8">
        <v>78.97</v>
      </c>
      <c r="Q44" s="8">
        <v>77.97</v>
      </c>
      <c r="R44" s="8">
        <v>81.239999999999995</v>
      </c>
      <c r="S44" s="8">
        <v>77.900000000000006</v>
      </c>
      <c r="T44" s="8">
        <v>90.12</v>
      </c>
      <c r="U44" s="8">
        <v>91.91</v>
      </c>
      <c r="V44" s="8">
        <v>88.25</v>
      </c>
      <c r="W44" s="8">
        <v>76.94</v>
      </c>
      <c r="X44" s="8">
        <v>68.06</v>
      </c>
      <c r="Y44" s="8">
        <v>85.1</v>
      </c>
      <c r="Z44" s="8">
        <v>82.79</v>
      </c>
      <c r="AA44" s="8">
        <v>66.819999999999993</v>
      </c>
      <c r="AB44" s="8">
        <v>75.11</v>
      </c>
      <c r="AC44" s="8">
        <v>81.99</v>
      </c>
      <c r="AD44" s="8">
        <v>80.400000000000006</v>
      </c>
      <c r="AE44" s="8">
        <v>71.989999999999995</v>
      </c>
      <c r="AF44" s="8">
        <v>82.67</v>
      </c>
      <c r="AL44" s="8">
        <v>81.58</v>
      </c>
      <c r="AN44" s="8">
        <v>80.89</v>
      </c>
      <c r="AO44" s="8">
        <v>62.37</v>
      </c>
      <c r="AP44" s="8">
        <v>62.37</v>
      </c>
      <c r="BF44" s="8">
        <v>74.84</v>
      </c>
      <c r="BG44" s="8">
        <v>74.84</v>
      </c>
      <c r="BJ44" s="8">
        <v>79.67</v>
      </c>
      <c r="BZ44" s="8">
        <v>85.04</v>
      </c>
      <c r="CA44" s="8">
        <v>81.86</v>
      </c>
      <c r="CB44" s="8">
        <v>85.79</v>
      </c>
      <c r="CC44" s="8">
        <v>85.26</v>
      </c>
      <c r="CS44" s="8">
        <v>66.14</v>
      </c>
      <c r="DI44" s="8">
        <v>89.77</v>
      </c>
      <c r="DJ44" s="8">
        <v>80.23</v>
      </c>
      <c r="DK44" s="8">
        <v>64.7</v>
      </c>
      <c r="DO44" s="8">
        <v>80.3</v>
      </c>
      <c r="DV44" s="8">
        <v>80.14</v>
      </c>
      <c r="DW44" s="8">
        <v>79.75</v>
      </c>
      <c r="EA44" s="8">
        <v>83.5</v>
      </c>
      <c r="EB44" s="8">
        <v>92.96</v>
      </c>
      <c r="EC44" s="8">
        <v>82.59</v>
      </c>
      <c r="EF44" s="8">
        <v>79.37</v>
      </c>
      <c r="EG44" s="8">
        <v>77.41</v>
      </c>
      <c r="EH44" s="8">
        <v>79.39</v>
      </c>
      <c r="EI44" s="8">
        <v>79.66</v>
      </c>
      <c r="EJ44" s="8">
        <v>85.65</v>
      </c>
      <c r="EK44" s="8">
        <v>85.04</v>
      </c>
      <c r="EL44" s="8">
        <v>79.819999999999993</v>
      </c>
      <c r="EM44" s="8">
        <v>85.98</v>
      </c>
      <c r="EN44" s="8">
        <v>86.19</v>
      </c>
      <c r="EO44" s="8">
        <v>86.03</v>
      </c>
      <c r="EP44" s="8">
        <v>87.26</v>
      </c>
      <c r="EQ44" s="8">
        <v>86.2</v>
      </c>
      <c r="ER44" s="8">
        <v>79.239999999999995</v>
      </c>
      <c r="ES44" s="8">
        <v>78.28</v>
      </c>
      <c r="ET44" s="8">
        <v>81.09</v>
      </c>
      <c r="EU44" s="8">
        <v>78.5</v>
      </c>
      <c r="EV44" s="8">
        <v>89.49</v>
      </c>
      <c r="EW44" s="8">
        <v>89.73</v>
      </c>
      <c r="EX44" s="8">
        <v>89.07</v>
      </c>
      <c r="EY44" s="8">
        <v>76.58</v>
      </c>
      <c r="EZ44" s="8">
        <v>67.989999999999995</v>
      </c>
      <c r="FA44" s="8">
        <v>84.55</v>
      </c>
      <c r="FB44" s="8">
        <v>82.23</v>
      </c>
      <c r="FC44" s="8">
        <v>66.45</v>
      </c>
      <c r="FD44" s="8">
        <v>75.13</v>
      </c>
      <c r="FE44" s="8">
        <v>82.2</v>
      </c>
      <c r="FF44" s="8">
        <v>74.19</v>
      </c>
      <c r="FG44" s="8">
        <v>71.989999999999995</v>
      </c>
      <c r="FH44" s="8">
        <v>74.959999999999994</v>
      </c>
      <c r="FN44" s="8">
        <v>80.58</v>
      </c>
      <c r="FP44" s="8">
        <v>84.65</v>
      </c>
      <c r="FQ44" s="8">
        <v>60.55</v>
      </c>
      <c r="FR44" s="8">
        <v>60.55</v>
      </c>
      <c r="GH44" s="8">
        <v>76.25</v>
      </c>
      <c r="GI44" s="8">
        <v>76.25</v>
      </c>
      <c r="GL44" s="8">
        <v>80.510000000000005</v>
      </c>
      <c r="HB44" s="8">
        <v>85.63</v>
      </c>
      <c r="HC44" s="8">
        <v>82.47</v>
      </c>
      <c r="HD44" s="8">
        <v>86.84</v>
      </c>
      <c r="HE44" s="8">
        <v>85.35</v>
      </c>
      <c r="HU44" s="8">
        <v>65.39</v>
      </c>
      <c r="IK44" s="8">
        <v>86.79</v>
      </c>
      <c r="IL44" s="8">
        <v>77.319999999999993</v>
      </c>
      <c r="IM44" s="8">
        <v>67.489999999999995</v>
      </c>
      <c r="IQ44" s="8">
        <v>80.349999999999994</v>
      </c>
    </row>
    <row r="45" spans="1:251" x14ac:dyDescent="0.2">
      <c r="A45" s="9">
        <v>44013</v>
      </c>
      <c r="D45" s="8">
        <v>78.22</v>
      </c>
      <c r="E45" s="8">
        <v>78.05</v>
      </c>
      <c r="F45" s="8">
        <v>76.97</v>
      </c>
      <c r="G45" s="8">
        <v>78.400000000000006</v>
      </c>
      <c r="H45" s="8">
        <v>84.05</v>
      </c>
      <c r="I45" s="8">
        <v>85.13</v>
      </c>
      <c r="J45" s="8">
        <v>78.75</v>
      </c>
      <c r="K45" s="8">
        <v>86.27</v>
      </c>
      <c r="L45" s="8">
        <v>87.16</v>
      </c>
      <c r="M45" s="8">
        <v>87.11</v>
      </c>
      <c r="N45" s="8">
        <v>87.21</v>
      </c>
      <c r="O45" s="8">
        <v>85.68</v>
      </c>
      <c r="P45" s="8">
        <v>79.44</v>
      </c>
      <c r="Q45" s="8">
        <v>78.37</v>
      </c>
      <c r="R45" s="8">
        <v>81.53</v>
      </c>
      <c r="S45" s="8">
        <v>78.59</v>
      </c>
      <c r="T45" s="8">
        <v>87.49</v>
      </c>
      <c r="U45" s="8">
        <v>87.27</v>
      </c>
      <c r="V45" s="8">
        <v>87.54</v>
      </c>
      <c r="W45" s="8">
        <v>77.33</v>
      </c>
      <c r="X45" s="8">
        <v>68.08</v>
      </c>
      <c r="Y45" s="8">
        <v>84.65</v>
      </c>
      <c r="Z45" s="8">
        <v>83.18</v>
      </c>
      <c r="AA45" s="8">
        <v>67.95</v>
      </c>
      <c r="AB45" s="8">
        <v>75.73</v>
      </c>
      <c r="AC45" s="8">
        <v>81.99</v>
      </c>
      <c r="AD45" s="8">
        <v>81.489999999999995</v>
      </c>
      <c r="AE45" s="8">
        <v>73.709999999999994</v>
      </c>
      <c r="AF45" s="8">
        <v>83.58</v>
      </c>
      <c r="AL45" s="8">
        <v>82.33</v>
      </c>
      <c r="AN45" s="8">
        <v>81.239999999999995</v>
      </c>
      <c r="AO45" s="8">
        <v>62.78</v>
      </c>
      <c r="AP45" s="8">
        <v>62.78</v>
      </c>
      <c r="BF45" s="8">
        <v>74.87</v>
      </c>
      <c r="BG45" s="8">
        <v>74.87</v>
      </c>
      <c r="BJ45" s="8">
        <v>79.67</v>
      </c>
      <c r="BZ45" s="8">
        <v>86.39</v>
      </c>
      <c r="CA45" s="8">
        <v>81.650000000000006</v>
      </c>
      <c r="CB45" s="8">
        <v>87.3</v>
      </c>
      <c r="CC45" s="8">
        <v>86.83</v>
      </c>
      <c r="CS45" s="8">
        <v>68.42</v>
      </c>
      <c r="DI45" s="8">
        <v>94.16</v>
      </c>
      <c r="DJ45" s="8">
        <v>73.040000000000006</v>
      </c>
      <c r="DK45" s="8">
        <v>76.33</v>
      </c>
      <c r="DO45" s="8">
        <v>80.150000000000006</v>
      </c>
      <c r="DV45" s="8">
        <v>80.14</v>
      </c>
      <c r="DW45" s="8">
        <v>79.75</v>
      </c>
      <c r="EA45" s="8">
        <v>83.5</v>
      </c>
      <c r="EB45" s="8">
        <v>92.95</v>
      </c>
      <c r="EC45" s="8">
        <v>82.59</v>
      </c>
      <c r="EF45" s="8">
        <v>78.55</v>
      </c>
      <c r="EG45" s="8">
        <v>77.55</v>
      </c>
      <c r="EH45" s="8">
        <v>77.81</v>
      </c>
      <c r="EI45" s="8">
        <v>78.98</v>
      </c>
      <c r="EJ45" s="8">
        <v>84.61</v>
      </c>
      <c r="EK45" s="8">
        <v>85.7</v>
      </c>
      <c r="EL45" s="8">
        <v>80.3</v>
      </c>
      <c r="EM45" s="8">
        <v>86.6</v>
      </c>
      <c r="EN45" s="8">
        <v>87.14</v>
      </c>
      <c r="EO45" s="8">
        <v>87.52</v>
      </c>
      <c r="EP45" s="8">
        <v>88.23</v>
      </c>
      <c r="EQ45" s="8">
        <v>85.78</v>
      </c>
      <c r="ER45" s="8">
        <v>79.599999999999994</v>
      </c>
      <c r="ES45" s="8">
        <v>78.44</v>
      </c>
      <c r="ET45" s="8">
        <v>81.37</v>
      </c>
      <c r="EU45" s="8">
        <v>79.180000000000007</v>
      </c>
      <c r="EV45" s="8">
        <v>87.67</v>
      </c>
      <c r="EW45" s="8">
        <v>86.17</v>
      </c>
      <c r="EX45" s="8">
        <v>88.63</v>
      </c>
      <c r="EY45" s="8">
        <v>77.23</v>
      </c>
      <c r="EZ45" s="8">
        <v>68.12</v>
      </c>
      <c r="FA45" s="8">
        <v>84.36</v>
      </c>
      <c r="FB45" s="8">
        <v>82.71</v>
      </c>
      <c r="FC45" s="8">
        <v>67.95</v>
      </c>
      <c r="FD45" s="8">
        <v>76.040000000000006</v>
      </c>
      <c r="FE45" s="8">
        <v>82.38</v>
      </c>
      <c r="FF45" s="8">
        <v>75.55</v>
      </c>
      <c r="FG45" s="8">
        <v>74.099999999999994</v>
      </c>
      <c r="FH45" s="8">
        <v>76.06</v>
      </c>
      <c r="FN45" s="8">
        <v>81.19</v>
      </c>
      <c r="FP45" s="8">
        <v>82.98</v>
      </c>
      <c r="FQ45" s="8">
        <v>60.85</v>
      </c>
      <c r="FR45" s="8">
        <v>60.85</v>
      </c>
      <c r="GH45" s="8">
        <v>76.47</v>
      </c>
      <c r="GI45" s="8">
        <v>76.47</v>
      </c>
      <c r="GL45" s="8">
        <v>80.510000000000005</v>
      </c>
      <c r="HB45" s="8">
        <v>87.21</v>
      </c>
      <c r="HC45" s="8">
        <v>82.84</v>
      </c>
      <c r="HD45" s="8">
        <v>88.51</v>
      </c>
      <c r="HE45" s="8">
        <v>87.07</v>
      </c>
      <c r="HU45" s="8">
        <v>67.42</v>
      </c>
      <c r="IK45" s="8">
        <v>90.19</v>
      </c>
      <c r="IL45" s="8">
        <v>73.94</v>
      </c>
      <c r="IM45" s="8">
        <v>76</v>
      </c>
      <c r="IQ45" s="8">
        <v>80.41</v>
      </c>
    </row>
    <row r="46" spans="1:251" x14ac:dyDescent="0.2">
      <c r="A46" s="9">
        <v>44044</v>
      </c>
      <c r="D46" s="8">
        <v>78.849999999999994</v>
      </c>
      <c r="E46" s="8">
        <v>78.319999999999993</v>
      </c>
      <c r="F46" s="8">
        <v>77.900000000000006</v>
      </c>
      <c r="G46" s="8">
        <v>80.62</v>
      </c>
      <c r="H46" s="8">
        <v>83.51</v>
      </c>
      <c r="I46" s="8">
        <v>85.78</v>
      </c>
      <c r="J46" s="8">
        <v>79.67</v>
      </c>
      <c r="K46" s="8">
        <v>86.79</v>
      </c>
      <c r="L46" s="8">
        <v>87.66</v>
      </c>
      <c r="M46" s="8">
        <v>87.48</v>
      </c>
      <c r="N46" s="8">
        <v>88.13</v>
      </c>
      <c r="O46" s="8">
        <v>86.19</v>
      </c>
      <c r="P46" s="8">
        <v>79.31</v>
      </c>
      <c r="Q46" s="8">
        <v>78.37</v>
      </c>
      <c r="R46" s="8">
        <v>80.989999999999995</v>
      </c>
      <c r="S46" s="8">
        <v>78.69</v>
      </c>
      <c r="T46" s="8">
        <v>89.52</v>
      </c>
      <c r="U46" s="8">
        <v>89.64</v>
      </c>
      <c r="V46" s="8">
        <v>89.23</v>
      </c>
      <c r="W46" s="8">
        <v>77.19</v>
      </c>
      <c r="X46" s="8">
        <v>68.03</v>
      </c>
      <c r="Y46" s="8">
        <v>85.84</v>
      </c>
      <c r="Z46" s="8">
        <v>83.23</v>
      </c>
      <c r="AA46" s="8">
        <v>67.510000000000005</v>
      </c>
      <c r="AB46" s="8">
        <v>75.86</v>
      </c>
      <c r="AC46" s="8">
        <v>81.040000000000006</v>
      </c>
      <c r="AD46" s="8">
        <v>81.14</v>
      </c>
      <c r="AE46" s="8">
        <v>72.3</v>
      </c>
      <c r="AF46" s="8">
        <v>83.52</v>
      </c>
      <c r="AL46" s="8">
        <v>82.16</v>
      </c>
      <c r="AN46" s="8">
        <v>81.45</v>
      </c>
      <c r="AO46" s="8">
        <v>62.77</v>
      </c>
      <c r="AP46" s="8">
        <v>62.77</v>
      </c>
      <c r="BF46" s="8">
        <v>75.040000000000006</v>
      </c>
      <c r="BG46" s="8">
        <v>75.040000000000006</v>
      </c>
      <c r="BJ46" s="8">
        <v>79.67</v>
      </c>
      <c r="BZ46" s="8">
        <v>84.92</v>
      </c>
      <c r="CA46" s="8">
        <v>81.22</v>
      </c>
      <c r="CB46" s="8">
        <v>86.78</v>
      </c>
      <c r="CC46" s="8">
        <v>84.4</v>
      </c>
      <c r="CS46" s="8">
        <v>66.83</v>
      </c>
      <c r="DI46" s="8">
        <v>93.27</v>
      </c>
      <c r="DJ46" s="8">
        <v>72.94</v>
      </c>
      <c r="DK46" s="8">
        <v>75.17</v>
      </c>
      <c r="DO46" s="8">
        <v>80.349999999999994</v>
      </c>
      <c r="DV46" s="8">
        <v>80.14</v>
      </c>
      <c r="DW46" s="8">
        <v>79.75</v>
      </c>
      <c r="EA46" s="8">
        <v>83.5</v>
      </c>
      <c r="EB46" s="8">
        <v>92.94</v>
      </c>
      <c r="EC46" s="8">
        <v>82.59</v>
      </c>
      <c r="EF46" s="8">
        <v>79.22</v>
      </c>
      <c r="EG46" s="8">
        <v>77.45</v>
      </c>
      <c r="EH46" s="8">
        <v>79.16</v>
      </c>
      <c r="EI46" s="8">
        <v>81.2</v>
      </c>
      <c r="EJ46" s="8">
        <v>83.9</v>
      </c>
      <c r="EK46" s="8">
        <v>86.17</v>
      </c>
      <c r="EL46" s="8">
        <v>80.349999999999994</v>
      </c>
      <c r="EM46" s="8">
        <v>87.17</v>
      </c>
      <c r="EN46" s="8">
        <v>88.26</v>
      </c>
      <c r="EO46" s="8">
        <v>87.72</v>
      </c>
      <c r="EP46" s="8">
        <v>89.39</v>
      </c>
      <c r="EQ46" s="8">
        <v>85.94</v>
      </c>
      <c r="ER46" s="8">
        <v>79.47</v>
      </c>
      <c r="ES46" s="8">
        <v>78.59</v>
      </c>
      <c r="ET46" s="8">
        <v>80.760000000000005</v>
      </c>
      <c r="EU46" s="8">
        <v>79.16</v>
      </c>
      <c r="EV46" s="8">
        <v>88.46</v>
      </c>
      <c r="EW46" s="8">
        <v>86.74</v>
      </c>
      <c r="EX46" s="8">
        <v>89.61</v>
      </c>
      <c r="EY46" s="8">
        <v>77.040000000000006</v>
      </c>
      <c r="EZ46" s="8">
        <v>68.040000000000006</v>
      </c>
      <c r="FA46" s="8">
        <v>85.42</v>
      </c>
      <c r="FB46" s="8">
        <v>82.88</v>
      </c>
      <c r="FC46" s="8">
        <v>67.52</v>
      </c>
      <c r="FD46" s="8">
        <v>76.05</v>
      </c>
      <c r="FE46" s="8">
        <v>81.3</v>
      </c>
      <c r="FF46" s="8">
        <v>75.14</v>
      </c>
      <c r="FG46" s="8">
        <v>72.72</v>
      </c>
      <c r="FH46" s="8">
        <v>75.989999999999995</v>
      </c>
      <c r="FN46" s="8">
        <v>80.14</v>
      </c>
      <c r="FP46" s="8">
        <v>84.71</v>
      </c>
      <c r="FQ46" s="8">
        <v>60.72</v>
      </c>
      <c r="FR46" s="8">
        <v>60.72</v>
      </c>
      <c r="GH46" s="8">
        <v>76.489999999999995</v>
      </c>
      <c r="GI46" s="8">
        <v>76.489999999999995</v>
      </c>
      <c r="GL46" s="8">
        <v>80.510000000000005</v>
      </c>
      <c r="HB46" s="8">
        <v>85.82</v>
      </c>
      <c r="HC46" s="8">
        <v>82.48</v>
      </c>
      <c r="HD46" s="8">
        <v>87.93</v>
      </c>
      <c r="HE46" s="8">
        <v>84.86</v>
      </c>
      <c r="HU46" s="8">
        <v>67.45</v>
      </c>
      <c r="IK46" s="8">
        <v>90.01</v>
      </c>
      <c r="IL46" s="8">
        <v>73.91</v>
      </c>
      <c r="IM46" s="8">
        <v>75.739999999999995</v>
      </c>
      <c r="IQ46" s="8">
        <v>80.39</v>
      </c>
    </row>
    <row r="47" spans="1:251" x14ac:dyDescent="0.2">
      <c r="A47" s="9">
        <v>44075</v>
      </c>
      <c r="D47" s="8">
        <v>78.72</v>
      </c>
      <c r="E47" s="8">
        <v>78.23</v>
      </c>
      <c r="F47" s="8">
        <v>77.86</v>
      </c>
      <c r="G47" s="8">
        <v>80.34</v>
      </c>
      <c r="H47" s="8">
        <v>82.97</v>
      </c>
      <c r="I47" s="8">
        <v>85.37</v>
      </c>
      <c r="J47" s="8">
        <v>79.45</v>
      </c>
      <c r="K47" s="8">
        <v>87.17</v>
      </c>
      <c r="L47" s="8">
        <v>84.32</v>
      </c>
      <c r="M47" s="8">
        <v>87.24</v>
      </c>
      <c r="N47" s="8">
        <v>87.94</v>
      </c>
      <c r="O47" s="8">
        <v>86.46</v>
      </c>
      <c r="P47" s="8">
        <v>79.459999999999994</v>
      </c>
      <c r="Q47" s="8">
        <v>78.900000000000006</v>
      </c>
      <c r="R47" s="8">
        <v>80.69</v>
      </c>
      <c r="S47" s="8">
        <v>78.83</v>
      </c>
      <c r="T47" s="8">
        <v>85.9</v>
      </c>
      <c r="U47" s="8">
        <v>87.37</v>
      </c>
      <c r="V47" s="8">
        <v>84.34</v>
      </c>
      <c r="W47" s="8">
        <v>76.86</v>
      </c>
      <c r="X47" s="8">
        <v>67.95</v>
      </c>
      <c r="Y47" s="8">
        <v>85.91</v>
      </c>
      <c r="Z47" s="8">
        <v>83.42</v>
      </c>
      <c r="AA47" s="8">
        <v>66.540000000000006</v>
      </c>
      <c r="AB47" s="8">
        <v>75.209999999999994</v>
      </c>
      <c r="AC47" s="8">
        <v>81.12</v>
      </c>
      <c r="AD47" s="8">
        <v>80.39</v>
      </c>
      <c r="AE47" s="8">
        <v>73.81</v>
      </c>
      <c r="AF47" s="8">
        <v>82.15</v>
      </c>
      <c r="AL47" s="8">
        <v>83.28</v>
      </c>
      <c r="AN47" s="8">
        <v>81.540000000000006</v>
      </c>
      <c r="AO47" s="8">
        <v>67.540000000000006</v>
      </c>
      <c r="AP47" s="8">
        <v>67.540000000000006</v>
      </c>
      <c r="BF47" s="8">
        <v>75.08</v>
      </c>
      <c r="BG47" s="8">
        <v>75.08</v>
      </c>
      <c r="BJ47" s="8">
        <v>81.33</v>
      </c>
      <c r="BZ47" s="8">
        <v>84.53</v>
      </c>
      <c r="CA47" s="8">
        <v>80.459999999999994</v>
      </c>
      <c r="CB47" s="8">
        <v>86.75</v>
      </c>
      <c r="CC47" s="8">
        <v>83.82</v>
      </c>
      <c r="CS47" s="8">
        <v>66.62</v>
      </c>
      <c r="DI47" s="8">
        <v>85.49</v>
      </c>
      <c r="DJ47" s="8">
        <v>82.3</v>
      </c>
      <c r="DK47" s="8">
        <v>57.11</v>
      </c>
      <c r="DO47" s="8">
        <v>80.599999999999994</v>
      </c>
      <c r="DV47" s="8">
        <v>80.14</v>
      </c>
      <c r="DW47" s="8">
        <v>79.75</v>
      </c>
      <c r="EA47" s="8">
        <v>83.58</v>
      </c>
      <c r="EB47" s="8">
        <v>92.93</v>
      </c>
      <c r="EC47" s="8">
        <v>82.67</v>
      </c>
      <c r="EF47" s="8">
        <v>78.66</v>
      </c>
      <c r="EG47" s="8">
        <v>77.33</v>
      </c>
      <c r="EH47" s="8">
        <v>78.489999999999995</v>
      </c>
      <c r="EI47" s="8">
        <v>80.13</v>
      </c>
      <c r="EJ47" s="8">
        <v>82.83</v>
      </c>
      <c r="EK47" s="8">
        <v>85.63</v>
      </c>
      <c r="EL47" s="8">
        <v>80.540000000000006</v>
      </c>
      <c r="EM47" s="8">
        <v>87.34</v>
      </c>
      <c r="EN47" s="8">
        <v>84.33</v>
      </c>
      <c r="EO47" s="8">
        <v>87.21</v>
      </c>
      <c r="EP47" s="8">
        <v>88.99</v>
      </c>
      <c r="EQ47" s="8">
        <v>86.13</v>
      </c>
      <c r="ER47" s="8">
        <v>79.42</v>
      </c>
      <c r="ES47" s="8">
        <v>78.88</v>
      </c>
      <c r="ET47" s="8">
        <v>80.510000000000005</v>
      </c>
      <c r="EU47" s="8">
        <v>78.91</v>
      </c>
      <c r="EV47" s="8">
        <v>85.18</v>
      </c>
      <c r="EW47" s="8">
        <v>85.54</v>
      </c>
      <c r="EX47" s="8">
        <v>84.68</v>
      </c>
      <c r="EY47" s="8">
        <v>76.62</v>
      </c>
      <c r="EZ47" s="8">
        <v>68.010000000000005</v>
      </c>
      <c r="FA47" s="8">
        <v>85.53</v>
      </c>
      <c r="FB47" s="8">
        <v>82.95</v>
      </c>
      <c r="FC47" s="8">
        <v>66.44</v>
      </c>
      <c r="FD47" s="8">
        <v>75.5</v>
      </c>
      <c r="FE47" s="8">
        <v>80.98</v>
      </c>
      <c r="FF47" s="8">
        <v>74.37</v>
      </c>
      <c r="FG47" s="8">
        <v>73.680000000000007</v>
      </c>
      <c r="FH47" s="8">
        <v>74.62</v>
      </c>
      <c r="FN47" s="8">
        <v>81.64</v>
      </c>
      <c r="FP47" s="8">
        <v>83.24</v>
      </c>
      <c r="FQ47" s="8">
        <v>65.42</v>
      </c>
      <c r="FR47" s="8">
        <v>65.42</v>
      </c>
      <c r="GH47" s="8">
        <v>76.540000000000006</v>
      </c>
      <c r="GI47" s="8">
        <v>76.540000000000006</v>
      </c>
      <c r="GL47" s="8">
        <v>81.64</v>
      </c>
      <c r="HB47" s="8">
        <v>85.24</v>
      </c>
      <c r="HC47" s="8">
        <v>81.41</v>
      </c>
      <c r="HD47" s="8">
        <v>87.63</v>
      </c>
      <c r="HE47" s="8">
        <v>84.14</v>
      </c>
      <c r="HU47" s="8">
        <v>70.19</v>
      </c>
      <c r="IK47" s="8">
        <v>80.650000000000006</v>
      </c>
      <c r="IL47" s="8">
        <v>78.3</v>
      </c>
      <c r="IM47" s="8">
        <v>56.81</v>
      </c>
      <c r="IQ47" s="8">
        <v>80.62</v>
      </c>
    </row>
    <row r="48" spans="1:251" x14ac:dyDescent="0.2">
      <c r="A48" s="9">
        <v>44105</v>
      </c>
      <c r="D48" s="8">
        <v>79.010000000000005</v>
      </c>
      <c r="E48" s="8">
        <v>78.52</v>
      </c>
      <c r="F48" s="8">
        <v>78.319999999999993</v>
      </c>
      <c r="G48" s="8">
        <v>79.77</v>
      </c>
      <c r="H48" s="8">
        <v>83.25</v>
      </c>
      <c r="I48" s="8">
        <v>84.94</v>
      </c>
      <c r="J48" s="8">
        <v>80.010000000000005</v>
      </c>
      <c r="K48" s="8">
        <v>86.71</v>
      </c>
      <c r="L48" s="8">
        <v>82.58</v>
      </c>
      <c r="M48" s="8">
        <v>85.82</v>
      </c>
      <c r="N48" s="8">
        <v>87</v>
      </c>
      <c r="O48" s="8">
        <v>87.09</v>
      </c>
      <c r="P48" s="8">
        <v>79.03</v>
      </c>
      <c r="Q48" s="8">
        <v>78.33</v>
      </c>
      <c r="R48" s="8">
        <v>80.39</v>
      </c>
      <c r="S48" s="8">
        <v>78.45</v>
      </c>
      <c r="T48" s="8">
        <v>85.44</v>
      </c>
      <c r="U48" s="8">
        <v>88.95</v>
      </c>
      <c r="V48" s="8">
        <v>82.1</v>
      </c>
      <c r="W48" s="8">
        <v>77.510000000000005</v>
      </c>
      <c r="X48" s="8">
        <v>67.67</v>
      </c>
      <c r="Y48" s="8">
        <v>85.13</v>
      </c>
      <c r="Z48" s="8">
        <v>83.05</v>
      </c>
      <c r="AA48" s="8">
        <v>67.25</v>
      </c>
      <c r="AB48" s="8">
        <v>76.150000000000006</v>
      </c>
      <c r="AC48" s="8">
        <v>82.39</v>
      </c>
      <c r="AD48" s="8">
        <v>80.31</v>
      </c>
      <c r="AE48" s="8">
        <v>74.03</v>
      </c>
      <c r="AF48" s="8">
        <v>81.98</v>
      </c>
      <c r="AL48" s="8">
        <v>82.41</v>
      </c>
      <c r="AN48" s="8">
        <v>81.569999999999993</v>
      </c>
      <c r="AO48" s="8">
        <v>71.180000000000007</v>
      </c>
      <c r="AP48" s="8">
        <v>71.180000000000007</v>
      </c>
      <c r="BF48" s="8">
        <v>75.12</v>
      </c>
      <c r="BG48" s="8">
        <v>75.12</v>
      </c>
      <c r="BJ48" s="8">
        <v>81.33</v>
      </c>
      <c r="BZ48" s="8">
        <v>84.33</v>
      </c>
      <c r="CA48" s="8">
        <v>81.069999999999993</v>
      </c>
      <c r="CB48" s="8">
        <v>85.65</v>
      </c>
      <c r="CC48" s="8">
        <v>84.09</v>
      </c>
      <c r="CS48" s="8">
        <v>68.64</v>
      </c>
      <c r="DI48" s="8">
        <v>84.23</v>
      </c>
      <c r="DJ48" s="8">
        <v>80.64</v>
      </c>
      <c r="DK48" s="8">
        <v>65.650000000000006</v>
      </c>
      <c r="DO48" s="8">
        <v>80.010000000000005</v>
      </c>
      <c r="DV48" s="8">
        <v>80.14</v>
      </c>
      <c r="DW48" s="8">
        <v>79.75</v>
      </c>
      <c r="EA48" s="8">
        <v>83.64</v>
      </c>
      <c r="EB48" s="8">
        <v>93.58</v>
      </c>
      <c r="EC48" s="8">
        <v>82.67</v>
      </c>
      <c r="EF48" s="8">
        <v>79.150000000000006</v>
      </c>
      <c r="EG48" s="8">
        <v>77.92</v>
      </c>
      <c r="EH48" s="8">
        <v>79.180000000000007</v>
      </c>
      <c r="EI48" s="8">
        <v>79.2</v>
      </c>
      <c r="EJ48" s="8">
        <v>83.31</v>
      </c>
      <c r="EK48" s="8">
        <v>85.43</v>
      </c>
      <c r="EL48" s="8">
        <v>81.47</v>
      </c>
      <c r="EM48" s="8">
        <v>86.5</v>
      </c>
      <c r="EN48" s="8">
        <v>84.14</v>
      </c>
      <c r="EO48" s="8">
        <v>86.27</v>
      </c>
      <c r="EP48" s="8">
        <v>87.73</v>
      </c>
      <c r="EQ48" s="8">
        <v>86.61</v>
      </c>
      <c r="ER48" s="8">
        <v>79.23</v>
      </c>
      <c r="ES48" s="8">
        <v>78.540000000000006</v>
      </c>
      <c r="ET48" s="8">
        <v>80.33</v>
      </c>
      <c r="EU48" s="8">
        <v>78.900000000000006</v>
      </c>
      <c r="EV48" s="8">
        <v>84.21</v>
      </c>
      <c r="EW48" s="8">
        <v>86.96</v>
      </c>
      <c r="EX48" s="8">
        <v>82</v>
      </c>
      <c r="EY48" s="8">
        <v>77.22</v>
      </c>
      <c r="EZ48" s="8">
        <v>67.64</v>
      </c>
      <c r="FA48" s="8">
        <v>84.94</v>
      </c>
      <c r="FB48" s="8">
        <v>82.65</v>
      </c>
      <c r="FC48" s="8">
        <v>67.27</v>
      </c>
      <c r="FD48" s="8">
        <v>76.209999999999994</v>
      </c>
      <c r="FE48" s="8">
        <v>82.42</v>
      </c>
      <c r="FF48" s="8">
        <v>74.14</v>
      </c>
      <c r="FG48" s="8">
        <v>73.97</v>
      </c>
      <c r="FH48" s="8">
        <v>74.19</v>
      </c>
      <c r="FN48" s="8">
        <v>79.88</v>
      </c>
      <c r="FP48" s="8">
        <v>84.06</v>
      </c>
      <c r="FQ48" s="8">
        <v>68.84</v>
      </c>
      <c r="FR48" s="8">
        <v>68.84</v>
      </c>
      <c r="GH48" s="8">
        <v>76.25</v>
      </c>
      <c r="GI48" s="8">
        <v>76.25</v>
      </c>
      <c r="GL48" s="8">
        <v>81.64</v>
      </c>
      <c r="HB48" s="8">
        <v>84.95</v>
      </c>
      <c r="HC48" s="8">
        <v>81.72</v>
      </c>
      <c r="HD48" s="8">
        <v>86.36</v>
      </c>
      <c r="HE48" s="8">
        <v>84.48</v>
      </c>
      <c r="HU48" s="8">
        <v>67.040000000000006</v>
      </c>
      <c r="IK48" s="8">
        <v>76.709999999999994</v>
      </c>
      <c r="IL48" s="8">
        <v>74.05</v>
      </c>
      <c r="IM48" s="8">
        <v>64.510000000000005</v>
      </c>
      <c r="IQ48" s="8">
        <v>80.16</v>
      </c>
    </row>
    <row r="49" spans="1:251" x14ac:dyDescent="0.2">
      <c r="A49" s="9">
        <v>44136</v>
      </c>
      <c r="D49" s="8">
        <v>79.31</v>
      </c>
      <c r="E49" s="8">
        <v>78.849999999999994</v>
      </c>
      <c r="F49" s="8">
        <v>78.150000000000006</v>
      </c>
      <c r="G49" s="8">
        <v>83</v>
      </c>
      <c r="H49" s="8">
        <v>83.12</v>
      </c>
      <c r="I49" s="8">
        <v>85.49</v>
      </c>
      <c r="J49" s="8">
        <v>81.08</v>
      </c>
      <c r="K49" s="8">
        <v>87.27</v>
      </c>
      <c r="L49" s="8">
        <v>83.4</v>
      </c>
      <c r="M49" s="8">
        <v>86.41</v>
      </c>
      <c r="N49" s="8">
        <v>87.56</v>
      </c>
      <c r="O49" s="8">
        <v>86.86</v>
      </c>
      <c r="P49" s="8">
        <v>79.23</v>
      </c>
      <c r="Q49" s="8">
        <v>78.41</v>
      </c>
      <c r="R49" s="8">
        <v>80.930000000000007</v>
      </c>
      <c r="S49" s="8">
        <v>78.45</v>
      </c>
      <c r="T49" s="8">
        <v>86.82</v>
      </c>
      <c r="U49" s="8">
        <v>91.29</v>
      </c>
      <c r="V49" s="8">
        <v>82.62</v>
      </c>
      <c r="W49" s="8">
        <v>77.510000000000005</v>
      </c>
      <c r="X49" s="8">
        <v>67.02</v>
      </c>
      <c r="Y49" s="8">
        <v>84.94</v>
      </c>
      <c r="Z49" s="8">
        <v>83.47</v>
      </c>
      <c r="AA49" s="8">
        <v>67.53</v>
      </c>
      <c r="AB49" s="8">
        <v>75.83</v>
      </c>
      <c r="AC49" s="8">
        <v>82.85</v>
      </c>
      <c r="AD49" s="8">
        <v>80.52</v>
      </c>
      <c r="AE49" s="8">
        <v>72.069999999999993</v>
      </c>
      <c r="AF49" s="8">
        <v>82.83</v>
      </c>
      <c r="AL49" s="8">
        <v>82.51</v>
      </c>
      <c r="AN49" s="8">
        <v>81.06</v>
      </c>
      <c r="AO49" s="8">
        <v>71.569999999999993</v>
      </c>
      <c r="AP49" s="8">
        <v>71.569999999999993</v>
      </c>
      <c r="BF49" s="8">
        <v>74.87</v>
      </c>
      <c r="BG49" s="8">
        <v>74.87</v>
      </c>
      <c r="BJ49" s="8">
        <v>81.33</v>
      </c>
      <c r="BZ49" s="8">
        <v>83.97</v>
      </c>
      <c r="CA49" s="8">
        <v>82</v>
      </c>
      <c r="CB49" s="8">
        <v>85.28</v>
      </c>
      <c r="CC49" s="8">
        <v>83.46</v>
      </c>
      <c r="CS49" s="8">
        <v>68.349999999999994</v>
      </c>
      <c r="DI49" s="8">
        <v>82.4</v>
      </c>
      <c r="DJ49" s="8">
        <v>79.05</v>
      </c>
      <c r="DK49" s="8">
        <v>60.82</v>
      </c>
      <c r="DO49" s="8">
        <v>80.88</v>
      </c>
      <c r="DV49" s="8">
        <v>80.14</v>
      </c>
      <c r="DW49" s="8">
        <v>79.75</v>
      </c>
      <c r="EA49" s="8">
        <v>83.64</v>
      </c>
      <c r="EB49" s="8">
        <v>93.59</v>
      </c>
      <c r="EC49" s="8">
        <v>82.67</v>
      </c>
      <c r="EF49" s="8">
        <v>79.53</v>
      </c>
      <c r="EG49" s="8">
        <v>78.25</v>
      </c>
      <c r="EH49" s="8">
        <v>79.150000000000006</v>
      </c>
      <c r="EI49" s="8">
        <v>82.71</v>
      </c>
      <c r="EJ49" s="8">
        <v>83.04</v>
      </c>
      <c r="EK49" s="8">
        <v>85.57</v>
      </c>
      <c r="EL49" s="8">
        <v>82.43</v>
      </c>
      <c r="EM49" s="8">
        <v>86.97</v>
      </c>
      <c r="EN49" s="8">
        <v>83.54</v>
      </c>
      <c r="EO49" s="8">
        <v>86.17</v>
      </c>
      <c r="EP49" s="8">
        <v>88.25</v>
      </c>
      <c r="EQ49" s="8">
        <v>86.02</v>
      </c>
      <c r="ER49" s="8">
        <v>79.349999999999994</v>
      </c>
      <c r="ES49" s="8">
        <v>78.7</v>
      </c>
      <c r="ET49" s="8">
        <v>80.739999999999995</v>
      </c>
      <c r="EU49" s="8">
        <v>78.680000000000007</v>
      </c>
      <c r="EV49" s="8">
        <v>85.91</v>
      </c>
      <c r="EW49" s="8">
        <v>89.88</v>
      </c>
      <c r="EX49" s="8">
        <v>82.81</v>
      </c>
      <c r="EY49" s="8">
        <v>77.16</v>
      </c>
      <c r="EZ49" s="8">
        <v>67.25</v>
      </c>
      <c r="FA49" s="8">
        <v>84.42</v>
      </c>
      <c r="FB49" s="8">
        <v>83.09</v>
      </c>
      <c r="FC49" s="8">
        <v>67.48</v>
      </c>
      <c r="FD49" s="8">
        <v>75.83</v>
      </c>
      <c r="FE49" s="8">
        <v>82.8</v>
      </c>
      <c r="FF49" s="8">
        <v>73.72</v>
      </c>
      <c r="FG49" s="8">
        <v>72.11</v>
      </c>
      <c r="FH49" s="8">
        <v>74.31</v>
      </c>
      <c r="FN49" s="8">
        <v>81.13</v>
      </c>
      <c r="FP49" s="8">
        <v>83.23</v>
      </c>
      <c r="FQ49" s="8">
        <v>69.5</v>
      </c>
      <c r="FR49" s="8">
        <v>69.5</v>
      </c>
      <c r="GH49" s="8">
        <v>77.38</v>
      </c>
      <c r="GI49" s="8">
        <v>77.38</v>
      </c>
      <c r="GL49" s="8">
        <v>81.64</v>
      </c>
      <c r="HB49" s="8">
        <v>84.7</v>
      </c>
      <c r="HC49" s="8">
        <v>83.12</v>
      </c>
      <c r="HD49" s="8">
        <v>86.27</v>
      </c>
      <c r="HE49" s="8">
        <v>83.83</v>
      </c>
      <c r="HU49" s="8">
        <v>66.27</v>
      </c>
      <c r="IK49" s="8">
        <v>78.069999999999993</v>
      </c>
      <c r="IL49" s="8">
        <v>75.599999999999994</v>
      </c>
      <c r="IM49" s="8">
        <v>59.93</v>
      </c>
      <c r="IQ49" s="8">
        <v>80.92</v>
      </c>
    </row>
    <row r="50" spans="1:251" x14ac:dyDescent="0.2">
      <c r="A50" s="9">
        <v>44166</v>
      </c>
      <c r="D50" s="8">
        <v>79.459999999999994</v>
      </c>
      <c r="E50" s="8">
        <v>79.53</v>
      </c>
      <c r="F50" s="8">
        <v>77.63</v>
      </c>
      <c r="G50" s="8">
        <v>82.87</v>
      </c>
      <c r="H50" s="8">
        <v>84.26</v>
      </c>
      <c r="I50" s="8">
        <v>86.24</v>
      </c>
      <c r="J50" s="8">
        <v>82.65</v>
      </c>
      <c r="K50" s="8">
        <v>87.14</v>
      </c>
      <c r="L50" s="8">
        <v>85.63</v>
      </c>
      <c r="M50" s="8">
        <v>87.76</v>
      </c>
      <c r="N50" s="8">
        <v>87.56</v>
      </c>
      <c r="O50" s="8">
        <v>86.44</v>
      </c>
      <c r="P50" s="8">
        <v>80.290000000000006</v>
      </c>
      <c r="Q50" s="8">
        <v>80.2</v>
      </c>
      <c r="R50" s="8">
        <v>80.28</v>
      </c>
      <c r="S50" s="8">
        <v>80.31</v>
      </c>
      <c r="T50" s="8">
        <v>87.97</v>
      </c>
      <c r="U50" s="8">
        <v>94</v>
      </c>
      <c r="V50" s="8">
        <v>82.4</v>
      </c>
      <c r="W50" s="8">
        <v>78.14</v>
      </c>
      <c r="X50" s="8">
        <v>67.53</v>
      </c>
      <c r="Y50" s="8">
        <v>86.3</v>
      </c>
      <c r="Z50" s="8">
        <v>82.41</v>
      </c>
      <c r="AA50" s="8">
        <v>67.19</v>
      </c>
      <c r="AB50" s="8">
        <v>76.72</v>
      </c>
      <c r="AC50" s="8">
        <v>84.16</v>
      </c>
      <c r="AD50" s="8">
        <v>78.91</v>
      </c>
      <c r="AE50" s="8">
        <v>72.64</v>
      </c>
      <c r="AF50" s="8">
        <v>80.58</v>
      </c>
      <c r="AL50" s="8">
        <v>81.819999999999993</v>
      </c>
      <c r="AN50" s="8">
        <v>81.260000000000005</v>
      </c>
      <c r="AO50" s="8">
        <v>71.08</v>
      </c>
      <c r="AP50" s="8">
        <v>71.08</v>
      </c>
      <c r="BF50" s="8">
        <v>74.5</v>
      </c>
      <c r="BG50" s="8">
        <v>74.5</v>
      </c>
      <c r="BJ50" s="8">
        <v>81.33</v>
      </c>
      <c r="BZ50" s="8">
        <v>84.66</v>
      </c>
      <c r="CA50" s="8">
        <v>84.19</v>
      </c>
      <c r="CB50" s="8">
        <v>86.18</v>
      </c>
      <c r="CC50" s="8">
        <v>83.69</v>
      </c>
      <c r="CS50" s="8">
        <v>69.69</v>
      </c>
      <c r="DI50" s="8">
        <v>91.64</v>
      </c>
      <c r="DJ50" s="8">
        <v>87.1</v>
      </c>
      <c r="DK50" s="8">
        <v>84.46</v>
      </c>
      <c r="DO50" s="8">
        <v>81.25</v>
      </c>
      <c r="DV50" s="8">
        <v>80.14</v>
      </c>
      <c r="DW50" s="8">
        <v>79.75</v>
      </c>
      <c r="EA50" s="8">
        <v>83.82</v>
      </c>
      <c r="EB50" s="8">
        <v>93.6</v>
      </c>
      <c r="EC50" s="8">
        <v>82.88</v>
      </c>
      <c r="EF50" s="8">
        <v>79.37</v>
      </c>
      <c r="EG50" s="8">
        <v>78.760000000000005</v>
      </c>
      <c r="EH50" s="8">
        <v>78.16</v>
      </c>
      <c r="EI50" s="8">
        <v>82.3</v>
      </c>
      <c r="EJ50" s="8">
        <v>84.05</v>
      </c>
      <c r="EK50" s="8">
        <v>86.28</v>
      </c>
      <c r="EL50" s="8">
        <v>84.32</v>
      </c>
      <c r="EM50" s="8">
        <v>86.76</v>
      </c>
      <c r="EN50" s="8">
        <v>84.88</v>
      </c>
      <c r="EO50" s="8">
        <v>87.35</v>
      </c>
      <c r="EP50" s="8">
        <v>88.34</v>
      </c>
      <c r="EQ50" s="8">
        <v>85.49</v>
      </c>
      <c r="ER50" s="8">
        <v>80.12</v>
      </c>
      <c r="ES50" s="8">
        <v>79.849999999999994</v>
      </c>
      <c r="ET50" s="8">
        <v>80.09</v>
      </c>
      <c r="EU50" s="8">
        <v>80.41</v>
      </c>
      <c r="EV50" s="8">
        <v>87.37</v>
      </c>
      <c r="EW50" s="8">
        <v>92.47</v>
      </c>
      <c r="EX50" s="8">
        <v>83.44</v>
      </c>
      <c r="EY50" s="8">
        <v>77.58</v>
      </c>
      <c r="EZ50" s="8">
        <v>67.599999999999994</v>
      </c>
      <c r="FA50" s="8">
        <v>85.7</v>
      </c>
      <c r="FB50" s="8">
        <v>82.04</v>
      </c>
      <c r="FC50" s="8">
        <v>66.78</v>
      </c>
      <c r="FD50" s="8">
        <v>76.48</v>
      </c>
      <c r="FE50" s="8">
        <v>84.11</v>
      </c>
      <c r="FF50" s="8">
        <v>72.709999999999994</v>
      </c>
      <c r="FG50" s="8">
        <v>72.819999999999993</v>
      </c>
      <c r="FH50" s="8">
        <v>72.66</v>
      </c>
      <c r="FN50" s="8">
        <v>79.36</v>
      </c>
      <c r="FP50" s="8">
        <v>83.52</v>
      </c>
      <c r="FQ50" s="8">
        <v>69.14</v>
      </c>
      <c r="FR50" s="8">
        <v>69.14</v>
      </c>
      <c r="GH50" s="8">
        <v>77.55</v>
      </c>
      <c r="GI50" s="8">
        <v>77.55</v>
      </c>
      <c r="GL50" s="8">
        <v>81.64</v>
      </c>
      <c r="HB50" s="8">
        <v>85.06</v>
      </c>
      <c r="HC50" s="8">
        <v>84.5</v>
      </c>
      <c r="HD50" s="8">
        <v>87.3</v>
      </c>
      <c r="HE50" s="8">
        <v>83.53</v>
      </c>
      <c r="HU50" s="8">
        <v>73.47</v>
      </c>
      <c r="IK50" s="8">
        <v>87.63</v>
      </c>
      <c r="IL50" s="8">
        <v>84.05</v>
      </c>
      <c r="IM50" s="8">
        <v>87.2</v>
      </c>
      <c r="IQ50" s="8">
        <v>81.3</v>
      </c>
    </row>
    <row r="51" spans="1:251" x14ac:dyDescent="0.2">
      <c r="A51" s="9">
        <v>44197</v>
      </c>
      <c r="D51" s="8">
        <v>79.650000000000006</v>
      </c>
      <c r="E51" s="8">
        <v>79.150000000000006</v>
      </c>
      <c r="F51" s="8">
        <v>79.19</v>
      </c>
      <c r="G51" s="8">
        <v>81.790000000000006</v>
      </c>
      <c r="H51" s="8">
        <v>82.11</v>
      </c>
      <c r="I51" s="8">
        <v>86.25</v>
      </c>
      <c r="J51" s="8">
        <v>82.78</v>
      </c>
      <c r="K51" s="8">
        <v>87.22</v>
      </c>
      <c r="L51" s="8">
        <v>85.9</v>
      </c>
      <c r="M51" s="8">
        <v>87.46</v>
      </c>
      <c r="N51" s="8">
        <v>87.39</v>
      </c>
      <c r="O51" s="8">
        <v>86.51</v>
      </c>
      <c r="P51" s="8">
        <v>79.52</v>
      </c>
      <c r="Q51" s="8">
        <v>79.069999999999993</v>
      </c>
      <c r="R51" s="8">
        <v>80.39</v>
      </c>
      <c r="S51" s="8">
        <v>79.11</v>
      </c>
      <c r="T51" s="8">
        <v>85.73</v>
      </c>
      <c r="U51" s="8">
        <v>86.54</v>
      </c>
      <c r="V51" s="8">
        <v>84.75</v>
      </c>
      <c r="W51" s="8">
        <v>78.63</v>
      </c>
      <c r="X51" s="8">
        <v>67.599999999999994</v>
      </c>
      <c r="Y51" s="8">
        <v>84.69</v>
      </c>
      <c r="Z51" s="8">
        <v>84.19</v>
      </c>
      <c r="AA51" s="8">
        <v>68.36</v>
      </c>
      <c r="AB51" s="8">
        <v>77.8</v>
      </c>
      <c r="AC51" s="8">
        <v>83.33</v>
      </c>
      <c r="AD51" s="8">
        <v>80.17</v>
      </c>
      <c r="AE51" s="8">
        <v>73.569999999999993</v>
      </c>
      <c r="AF51" s="8">
        <v>81.94</v>
      </c>
      <c r="AL51" s="8">
        <v>82.44</v>
      </c>
      <c r="AN51" s="8">
        <v>80.86</v>
      </c>
      <c r="AO51" s="8">
        <v>70.78</v>
      </c>
      <c r="AP51" s="8">
        <v>70.78</v>
      </c>
      <c r="BF51" s="8">
        <v>74.319999999999993</v>
      </c>
      <c r="BG51" s="8">
        <v>74.319999999999993</v>
      </c>
      <c r="BJ51" s="8">
        <v>81.33</v>
      </c>
      <c r="BZ51" s="8">
        <v>84.25</v>
      </c>
      <c r="CA51" s="8">
        <v>81.45</v>
      </c>
      <c r="CB51" s="8">
        <v>86.53</v>
      </c>
      <c r="CC51" s="8">
        <v>83.23</v>
      </c>
      <c r="CS51" s="8">
        <v>72.11</v>
      </c>
      <c r="DI51" s="8">
        <v>91.35</v>
      </c>
      <c r="DJ51" s="8">
        <v>88.09</v>
      </c>
      <c r="DK51" s="8">
        <v>58.07</v>
      </c>
      <c r="DO51" s="8">
        <v>81.96</v>
      </c>
      <c r="DV51" s="8">
        <v>80.14</v>
      </c>
      <c r="DW51" s="8">
        <v>81.62</v>
      </c>
      <c r="EA51" s="8">
        <v>83.83</v>
      </c>
      <c r="EB51" s="8">
        <v>93.61</v>
      </c>
      <c r="EC51" s="8">
        <v>82.88</v>
      </c>
      <c r="EF51" s="8">
        <v>79.86</v>
      </c>
      <c r="EG51" s="8">
        <v>78.52</v>
      </c>
      <c r="EH51" s="8">
        <v>80.16</v>
      </c>
      <c r="EI51" s="8">
        <v>81.61</v>
      </c>
      <c r="EJ51" s="8">
        <v>82.12</v>
      </c>
      <c r="EK51" s="8">
        <v>86.62</v>
      </c>
      <c r="EL51" s="8">
        <v>84.93</v>
      </c>
      <c r="EM51" s="8">
        <v>86.66</v>
      </c>
      <c r="EN51" s="8">
        <v>85.74</v>
      </c>
      <c r="EO51" s="8">
        <v>87.63</v>
      </c>
      <c r="EP51" s="8">
        <v>88.44</v>
      </c>
      <c r="EQ51" s="8">
        <v>85.68</v>
      </c>
      <c r="ER51" s="8">
        <v>79.41</v>
      </c>
      <c r="ES51" s="8">
        <v>78.95</v>
      </c>
      <c r="ET51" s="8">
        <v>80.2</v>
      </c>
      <c r="EU51" s="8">
        <v>79.12</v>
      </c>
      <c r="EV51" s="8">
        <v>86.08</v>
      </c>
      <c r="EW51" s="8">
        <v>87.27</v>
      </c>
      <c r="EX51" s="8">
        <v>84.99</v>
      </c>
      <c r="EY51" s="8">
        <v>78.349999999999994</v>
      </c>
      <c r="EZ51" s="8">
        <v>67.819999999999993</v>
      </c>
      <c r="FA51" s="8">
        <v>84.22</v>
      </c>
      <c r="FB51" s="8">
        <v>83.84</v>
      </c>
      <c r="FC51" s="8">
        <v>68.11</v>
      </c>
      <c r="FD51" s="8">
        <v>77.86</v>
      </c>
      <c r="FE51" s="8">
        <v>83.48</v>
      </c>
      <c r="FF51" s="8">
        <v>73.98</v>
      </c>
      <c r="FG51" s="8">
        <v>73.84</v>
      </c>
      <c r="FH51" s="8">
        <v>74.02</v>
      </c>
      <c r="FN51" s="8">
        <v>80.81</v>
      </c>
      <c r="FP51" s="8">
        <v>83.87</v>
      </c>
      <c r="FQ51" s="8">
        <v>69.14</v>
      </c>
      <c r="FR51" s="8">
        <v>69.14</v>
      </c>
      <c r="GH51" s="8">
        <v>78.38</v>
      </c>
      <c r="GI51" s="8">
        <v>78.38</v>
      </c>
      <c r="GL51" s="8">
        <v>81.64</v>
      </c>
      <c r="HB51" s="8">
        <v>84.79</v>
      </c>
      <c r="HC51" s="8">
        <v>81.849999999999994</v>
      </c>
      <c r="HD51" s="8">
        <v>87.26</v>
      </c>
      <c r="HE51" s="8">
        <v>83.46</v>
      </c>
      <c r="HU51" s="8">
        <v>71.5</v>
      </c>
      <c r="IK51" s="8">
        <v>85.58</v>
      </c>
      <c r="IL51" s="8">
        <v>82.91</v>
      </c>
      <c r="IM51" s="8">
        <v>64.8</v>
      </c>
      <c r="IQ51" s="8">
        <v>82.08</v>
      </c>
    </row>
    <row r="52" spans="1:251" x14ac:dyDescent="0.2">
      <c r="A52" s="9">
        <v>44228</v>
      </c>
      <c r="D52" s="8">
        <v>79.099999999999994</v>
      </c>
      <c r="E52" s="8">
        <v>78.73</v>
      </c>
      <c r="F52" s="8">
        <v>79.19</v>
      </c>
      <c r="G52" s="8">
        <v>79.11</v>
      </c>
      <c r="H52" s="8">
        <v>80.56</v>
      </c>
      <c r="I52" s="8">
        <v>86.28</v>
      </c>
      <c r="J52" s="8">
        <v>83.77</v>
      </c>
      <c r="K52" s="8">
        <v>87.4</v>
      </c>
      <c r="L52" s="8">
        <v>86.42</v>
      </c>
      <c r="M52" s="8">
        <v>87.5</v>
      </c>
      <c r="N52" s="8">
        <v>86.52</v>
      </c>
      <c r="O52" s="8">
        <v>85.8</v>
      </c>
      <c r="P52" s="8">
        <v>78.81</v>
      </c>
      <c r="Q52" s="8">
        <v>78.36</v>
      </c>
      <c r="R52" s="8">
        <v>80.209999999999994</v>
      </c>
      <c r="S52" s="8">
        <v>77.900000000000006</v>
      </c>
      <c r="T52" s="8">
        <v>85.68</v>
      </c>
      <c r="U52" s="8">
        <v>89.81</v>
      </c>
      <c r="V52" s="8">
        <v>81.77</v>
      </c>
      <c r="W52" s="8">
        <v>77.63</v>
      </c>
      <c r="X52" s="8">
        <v>67.53</v>
      </c>
      <c r="Y52" s="8">
        <v>84.19</v>
      </c>
      <c r="Z52" s="8">
        <v>83.92</v>
      </c>
      <c r="AA52" s="8">
        <v>67.53</v>
      </c>
      <c r="AB52" s="8">
        <v>76.05</v>
      </c>
      <c r="AC52" s="8">
        <v>82.77</v>
      </c>
      <c r="AD52" s="8">
        <v>80.739999999999995</v>
      </c>
      <c r="AE52" s="8">
        <v>72.23</v>
      </c>
      <c r="AF52" s="8">
        <v>83.07</v>
      </c>
      <c r="AL52" s="8">
        <v>82.99</v>
      </c>
      <c r="AN52" s="8">
        <v>81.790000000000006</v>
      </c>
      <c r="AO52" s="8">
        <v>70.27</v>
      </c>
      <c r="AP52" s="8">
        <v>70.27</v>
      </c>
      <c r="BF52" s="8">
        <v>74.22</v>
      </c>
      <c r="BG52" s="8">
        <v>74.22</v>
      </c>
      <c r="BJ52" s="8">
        <v>81.33</v>
      </c>
      <c r="BZ52" s="8">
        <v>84.59</v>
      </c>
      <c r="CA52" s="8">
        <v>82.17</v>
      </c>
      <c r="CB52" s="8">
        <v>85.97</v>
      </c>
      <c r="CC52" s="8">
        <v>84.13</v>
      </c>
      <c r="CS52" s="8">
        <v>73.099999999999994</v>
      </c>
      <c r="DI52" s="8">
        <v>83.11</v>
      </c>
      <c r="DJ52" s="8">
        <v>79.510000000000005</v>
      </c>
      <c r="DK52" s="8">
        <v>65.86</v>
      </c>
      <c r="DO52" s="8">
        <v>80.95</v>
      </c>
      <c r="DV52" s="8">
        <v>81.73</v>
      </c>
      <c r="DW52" s="8">
        <v>78.62</v>
      </c>
      <c r="EA52" s="8">
        <v>83.8</v>
      </c>
      <c r="EB52" s="8">
        <v>93.31</v>
      </c>
      <c r="EC52" s="8">
        <v>82.88</v>
      </c>
      <c r="EF52" s="8">
        <v>79.510000000000005</v>
      </c>
      <c r="EG52" s="8">
        <v>78.17</v>
      </c>
      <c r="EH52" s="8">
        <v>80.47</v>
      </c>
      <c r="EI52" s="8">
        <v>79.39</v>
      </c>
      <c r="EJ52" s="8">
        <v>80.77</v>
      </c>
      <c r="EK52" s="8">
        <v>87.09</v>
      </c>
      <c r="EL52" s="8">
        <v>86.21</v>
      </c>
      <c r="EM52" s="8">
        <v>87.26</v>
      </c>
      <c r="EN52" s="8">
        <v>87.93</v>
      </c>
      <c r="EO52" s="8">
        <v>87.65</v>
      </c>
      <c r="EP52" s="8">
        <v>87.64</v>
      </c>
      <c r="EQ52" s="8">
        <v>85.39</v>
      </c>
      <c r="ER52" s="8">
        <v>78.95</v>
      </c>
      <c r="ES52" s="8">
        <v>78.599999999999994</v>
      </c>
      <c r="ET52" s="8">
        <v>80.13</v>
      </c>
      <c r="EU52" s="8">
        <v>78.13</v>
      </c>
      <c r="EV52" s="8">
        <v>84.48</v>
      </c>
      <c r="EW52" s="8">
        <v>87.56</v>
      </c>
      <c r="EX52" s="8">
        <v>82.01</v>
      </c>
      <c r="EY52" s="8">
        <v>77.33</v>
      </c>
      <c r="EZ52" s="8">
        <v>67.86</v>
      </c>
      <c r="FA52" s="8">
        <v>83.79</v>
      </c>
      <c r="FB52" s="8">
        <v>83.61</v>
      </c>
      <c r="FC52" s="8">
        <v>67.819999999999993</v>
      </c>
      <c r="FD52" s="8">
        <v>75.91</v>
      </c>
      <c r="FE52" s="8">
        <v>82.86</v>
      </c>
      <c r="FF52" s="8">
        <v>74.37</v>
      </c>
      <c r="FG52" s="8">
        <v>72.489999999999995</v>
      </c>
      <c r="FH52" s="8">
        <v>75.06</v>
      </c>
      <c r="FN52" s="8">
        <v>82.03</v>
      </c>
      <c r="FP52" s="8">
        <v>85.09</v>
      </c>
      <c r="FQ52" s="8">
        <v>68.680000000000007</v>
      </c>
      <c r="FR52" s="8">
        <v>68.680000000000007</v>
      </c>
      <c r="GH52" s="8">
        <v>77.5</v>
      </c>
      <c r="GI52" s="8">
        <v>77.5</v>
      </c>
      <c r="GL52" s="8">
        <v>81.64</v>
      </c>
      <c r="HB52" s="8">
        <v>85.24</v>
      </c>
      <c r="HC52" s="8">
        <v>82.4</v>
      </c>
      <c r="HD52" s="8">
        <v>86.81</v>
      </c>
      <c r="HE52" s="8">
        <v>84.57</v>
      </c>
      <c r="HU52" s="8">
        <v>72.33</v>
      </c>
      <c r="IK52" s="8">
        <v>77.650000000000006</v>
      </c>
      <c r="IL52" s="8">
        <v>74.790000000000006</v>
      </c>
      <c r="IM52" s="8">
        <v>69.599999999999994</v>
      </c>
      <c r="IQ52" s="8">
        <v>80.98</v>
      </c>
    </row>
    <row r="53" spans="1:251" x14ac:dyDescent="0.2">
      <c r="A53" s="9">
        <v>44256</v>
      </c>
      <c r="D53" s="8">
        <v>79.13</v>
      </c>
      <c r="E53" s="8">
        <v>78.69</v>
      </c>
      <c r="F53" s="8">
        <v>78.84</v>
      </c>
      <c r="G53" s="8">
        <v>80.13</v>
      </c>
      <c r="H53" s="8">
        <v>81.510000000000005</v>
      </c>
      <c r="I53" s="8">
        <v>86.51</v>
      </c>
      <c r="J53" s="8">
        <v>84.75</v>
      </c>
      <c r="K53" s="8">
        <v>86.29</v>
      </c>
      <c r="L53" s="8">
        <v>88.14</v>
      </c>
      <c r="M53" s="8">
        <v>87.29</v>
      </c>
      <c r="N53" s="8">
        <v>87.93</v>
      </c>
      <c r="O53" s="8">
        <v>84.62</v>
      </c>
      <c r="P53" s="8">
        <v>79.290000000000006</v>
      </c>
      <c r="Q53" s="8">
        <v>79.06</v>
      </c>
      <c r="R53" s="8">
        <v>80.17</v>
      </c>
      <c r="S53" s="8">
        <v>78.650000000000006</v>
      </c>
      <c r="T53" s="8">
        <v>83.77</v>
      </c>
      <c r="U53" s="8">
        <v>86.14</v>
      </c>
      <c r="V53" s="8">
        <v>81.42</v>
      </c>
      <c r="W53" s="8">
        <v>77.58</v>
      </c>
      <c r="X53" s="8">
        <v>67.150000000000006</v>
      </c>
      <c r="Y53" s="8">
        <v>85.4</v>
      </c>
      <c r="Z53" s="8">
        <v>83.75</v>
      </c>
      <c r="AA53" s="8">
        <v>68.53</v>
      </c>
      <c r="AB53" s="8">
        <v>76.33</v>
      </c>
      <c r="AC53" s="8">
        <v>81.55</v>
      </c>
      <c r="AD53" s="8">
        <v>80.39</v>
      </c>
      <c r="AE53" s="8">
        <v>71.91</v>
      </c>
      <c r="AF53" s="8">
        <v>82.71</v>
      </c>
      <c r="AL53" s="8">
        <v>84.17</v>
      </c>
      <c r="AN53" s="8">
        <v>82.95</v>
      </c>
      <c r="AO53" s="8">
        <v>70.150000000000006</v>
      </c>
      <c r="AP53" s="8">
        <v>70.150000000000006</v>
      </c>
      <c r="BF53" s="8">
        <v>74.16</v>
      </c>
      <c r="BG53" s="8">
        <v>74.16</v>
      </c>
      <c r="BJ53" s="8">
        <v>81.33</v>
      </c>
      <c r="BZ53" s="8">
        <v>84.79</v>
      </c>
      <c r="CA53" s="8">
        <v>80.86</v>
      </c>
      <c r="CB53" s="8">
        <v>85.81</v>
      </c>
      <c r="CC53" s="8">
        <v>84.9</v>
      </c>
      <c r="CS53" s="8">
        <v>79.22</v>
      </c>
      <c r="DI53" s="8">
        <v>81.42</v>
      </c>
      <c r="DJ53" s="8">
        <v>76.77</v>
      </c>
      <c r="DK53" s="8">
        <v>87.86</v>
      </c>
      <c r="DO53" s="8">
        <v>81.2</v>
      </c>
      <c r="DV53" s="8">
        <v>81.73</v>
      </c>
      <c r="DW53" s="8">
        <v>78.62</v>
      </c>
      <c r="EA53" s="8">
        <v>84.38</v>
      </c>
      <c r="EB53" s="8">
        <v>93.32</v>
      </c>
      <c r="EC53" s="8">
        <v>83.52</v>
      </c>
      <c r="EF53" s="8">
        <v>79.28</v>
      </c>
      <c r="EG53" s="8">
        <v>78</v>
      </c>
      <c r="EH53" s="8">
        <v>79.75</v>
      </c>
      <c r="EI53" s="8">
        <v>80.03</v>
      </c>
      <c r="EJ53" s="8">
        <v>81.47</v>
      </c>
      <c r="EK53" s="8">
        <v>86.76</v>
      </c>
      <c r="EL53" s="8">
        <v>86.78</v>
      </c>
      <c r="EM53" s="8">
        <v>86.51</v>
      </c>
      <c r="EN53" s="8">
        <v>87.67</v>
      </c>
      <c r="EO53" s="8">
        <v>86.7</v>
      </c>
      <c r="EP53" s="8">
        <v>88.54</v>
      </c>
      <c r="EQ53" s="8">
        <v>83.91</v>
      </c>
      <c r="ER53" s="8">
        <v>79.28</v>
      </c>
      <c r="ES53" s="8">
        <v>78.86</v>
      </c>
      <c r="ET53" s="8">
        <v>80.02</v>
      </c>
      <c r="EU53" s="8">
        <v>78.97</v>
      </c>
      <c r="EV53" s="8">
        <v>82.53</v>
      </c>
      <c r="EW53" s="8">
        <v>82.42</v>
      </c>
      <c r="EX53" s="8">
        <v>82.38</v>
      </c>
      <c r="EY53" s="8">
        <v>77.239999999999995</v>
      </c>
      <c r="EZ53" s="8">
        <v>67.180000000000007</v>
      </c>
      <c r="FA53" s="8">
        <v>84.85</v>
      </c>
      <c r="FB53" s="8">
        <v>83.36</v>
      </c>
      <c r="FC53" s="8">
        <v>68.63</v>
      </c>
      <c r="FD53" s="8">
        <v>76.209999999999994</v>
      </c>
      <c r="FE53" s="8">
        <v>81.5</v>
      </c>
      <c r="FF53" s="8">
        <v>73.959999999999994</v>
      </c>
      <c r="FG53" s="8">
        <v>72.11</v>
      </c>
      <c r="FH53" s="8">
        <v>74.63</v>
      </c>
      <c r="FN53" s="8">
        <v>82.72</v>
      </c>
      <c r="FP53" s="8">
        <v>85.25</v>
      </c>
      <c r="FQ53" s="8">
        <v>68.48</v>
      </c>
      <c r="FR53" s="8">
        <v>68.48</v>
      </c>
      <c r="GH53" s="8">
        <v>77.12</v>
      </c>
      <c r="GI53" s="8">
        <v>77.12</v>
      </c>
      <c r="GL53" s="8">
        <v>81.64</v>
      </c>
      <c r="HB53" s="8">
        <v>85.59</v>
      </c>
      <c r="HC53" s="8">
        <v>81.53</v>
      </c>
      <c r="HD53" s="8">
        <v>86.74</v>
      </c>
      <c r="HE53" s="8">
        <v>85.44</v>
      </c>
      <c r="HU53" s="8">
        <v>79.16</v>
      </c>
      <c r="IK53" s="8">
        <v>76.47</v>
      </c>
      <c r="IL53" s="8">
        <v>73.28</v>
      </c>
      <c r="IM53" s="8">
        <v>77.75</v>
      </c>
      <c r="IQ53" s="8">
        <v>81.260000000000005</v>
      </c>
    </row>
    <row r="54" spans="1:251" x14ac:dyDescent="0.2">
      <c r="A54" s="9">
        <v>44287</v>
      </c>
      <c r="D54" s="8">
        <v>79.239999999999995</v>
      </c>
      <c r="E54" s="8">
        <v>78.92</v>
      </c>
      <c r="F54" s="8">
        <v>78.78</v>
      </c>
      <c r="G54" s="8">
        <v>79.84</v>
      </c>
      <c r="H54" s="8">
        <v>82.23</v>
      </c>
      <c r="I54" s="8">
        <v>86.66</v>
      </c>
      <c r="J54" s="8">
        <v>86.52</v>
      </c>
      <c r="K54" s="8">
        <v>85.49</v>
      </c>
      <c r="L54" s="8">
        <v>86.78</v>
      </c>
      <c r="M54" s="8">
        <v>87.28</v>
      </c>
      <c r="N54" s="8">
        <v>88.49</v>
      </c>
      <c r="O54" s="8">
        <v>84.41</v>
      </c>
      <c r="P54" s="8">
        <v>79.25</v>
      </c>
      <c r="Q54" s="8">
        <v>78.790000000000006</v>
      </c>
      <c r="R54" s="8">
        <v>79.8</v>
      </c>
      <c r="S54" s="8">
        <v>79.150000000000006</v>
      </c>
      <c r="T54" s="8">
        <v>88.5</v>
      </c>
      <c r="U54" s="8">
        <v>93.02</v>
      </c>
      <c r="V54" s="8">
        <v>84.25</v>
      </c>
      <c r="W54" s="8">
        <v>77.599999999999994</v>
      </c>
      <c r="X54" s="8">
        <v>67.05</v>
      </c>
      <c r="Y54" s="8">
        <v>85.34</v>
      </c>
      <c r="Z54" s="8">
        <v>82.81</v>
      </c>
      <c r="AA54" s="8">
        <v>68.67</v>
      </c>
      <c r="AB54" s="8">
        <v>76.14</v>
      </c>
      <c r="AC54" s="8">
        <v>82.46</v>
      </c>
      <c r="AD54" s="8">
        <v>80.400000000000006</v>
      </c>
      <c r="AE54" s="8">
        <v>72.260000000000005</v>
      </c>
      <c r="AF54" s="8">
        <v>82.62</v>
      </c>
      <c r="AL54" s="8">
        <v>83.37</v>
      </c>
      <c r="AN54" s="8">
        <v>83.37</v>
      </c>
      <c r="AO54" s="8">
        <v>70.489999999999995</v>
      </c>
      <c r="AP54" s="8">
        <v>70.489999999999995</v>
      </c>
      <c r="BF54" s="8">
        <v>74.599999999999994</v>
      </c>
      <c r="BG54" s="8">
        <v>74.599999999999994</v>
      </c>
      <c r="BJ54" s="8">
        <v>81.33</v>
      </c>
      <c r="BZ54" s="8">
        <v>84.7</v>
      </c>
      <c r="CA54" s="8">
        <v>82.02</v>
      </c>
      <c r="CB54" s="8">
        <v>86.44</v>
      </c>
      <c r="CC54" s="8">
        <v>84.04</v>
      </c>
      <c r="CS54" s="8">
        <v>80.819999999999993</v>
      </c>
      <c r="DI54" s="8">
        <v>86.65</v>
      </c>
      <c r="DJ54" s="8">
        <v>82.63</v>
      </c>
      <c r="DK54" s="8">
        <v>74.23</v>
      </c>
      <c r="DO54" s="8">
        <v>80.91</v>
      </c>
      <c r="DV54" s="8">
        <v>81.73</v>
      </c>
      <c r="DW54" s="8">
        <v>78.62</v>
      </c>
      <c r="EA54" s="8">
        <v>84.38</v>
      </c>
      <c r="EB54" s="8">
        <v>93.34</v>
      </c>
      <c r="EC54" s="8">
        <v>83.52</v>
      </c>
      <c r="EF54" s="8">
        <v>79.44</v>
      </c>
      <c r="EG54" s="8">
        <v>78.349999999999994</v>
      </c>
      <c r="EH54" s="8">
        <v>79.61</v>
      </c>
      <c r="EI54" s="8">
        <v>79.739999999999995</v>
      </c>
      <c r="EJ54" s="8">
        <v>82.47</v>
      </c>
      <c r="EK54" s="8">
        <v>87.21</v>
      </c>
      <c r="EL54" s="8">
        <v>88.8</v>
      </c>
      <c r="EM54" s="8">
        <v>85.63</v>
      </c>
      <c r="EN54" s="8">
        <v>87.03</v>
      </c>
      <c r="EO54" s="8">
        <v>87.25</v>
      </c>
      <c r="EP54" s="8">
        <v>89.29</v>
      </c>
      <c r="EQ54" s="8">
        <v>83.75</v>
      </c>
      <c r="ER54" s="8">
        <v>79.25</v>
      </c>
      <c r="ES54" s="8">
        <v>78.83</v>
      </c>
      <c r="ET54" s="8">
        <v>79.63</v>
      </c>
      <c r="EU54" s="8">
        <v>79.3</v>
      </c>
      <c r="EV54" s="8">
        <v>85.96</v>
      </c>
      <c r="EW54" s="8">
        <v>88.51</v>
      </c>
      <c r="EX54" s="8">
        <v>83.89</v>
      </c>
      <c r="EY54" s="8">
        <v>77.260000000000005</v>
      </c>
      <c r="EZ54" s="8">
        <v>67.13</v>
      </c>
      <c r="FA54" s="8">
        <v>85.02</v>
      </c>
      <c r="FB54" s="8">
        <v>82.28</v>
      </c>
      <c r="FC54" s="8">
        <v>68.540000000000006</v>
      </c>
      <c r="FD54" s="8">
        <v>76.150000000000006</v>
      </c>
      <c r="FE54" s="8">
        <v>82.43</v>
      </c>
      <c r="FF54" s="8">
        <v>73.75</v>
      </c>
      <c r="FG54" s="8">
        <v>72.37</v>
      </c>
      <c r="FH54" s="8">
        <v>74.25</v>
      </c>
      <c r="FN54" s="8">
        <v>81.5</v>
      </c>
      <c r="FP54" s="8">
        <v>84.4</v>
      </c>
      <c r="FQ54" s="8">
        <v>68.8</v>
      </c>
      <c r="FR54" s="8">
        <v>68.8</v>
      </c>
      <c r="GH54" s="8">
        <v>75.22</v>
      </c>
      <c r="GI54" s="8">
        <v>75.22</v>
      </c>
      <c r="GL54" s="8">
        <v>81.64</v>
      </c>
      <c r="HB54" s="8">
        <v>85.21</v>
      </c>
      <c r="HC54" s="8">
        <v>82.16</v>
      </c>
      <c r="HD54" s="8">
        <v>87.34</v>
      </c>
      <c r="HE54" s="8">
        <v>84.15</v>
      </c>
      <c r="HU54" s="8">
        <v>80.58</v>
      </c>
      <c r="IK54" s="8">
        <v>80.67</v>
      </c>
      <c r="IL54" s="8">
        <v>77.61</v>
      </c>
      <c r="IM54" s="8">
        <v>74.56</v>
      </c>
      <c r="IQ54" s="8">
        <v>81.180000000000007</v>
      </c>
    </row>
    <row r="55" spans="1:251" x14ac:dyDescent="0.2">
      <c r="A55" s="9">
        <v>44317</v>
      </c>
      <c r="D55" s="8">
        <v>79.33</v>
      </c>
      <c r="E55" s="8">
        <v>78.739999999999995</v>
      </c>
      <c r="F55" s="8">
        <v>79.28</v>
      </c>
      <c r="G55" s="8">
        <v>80.25</v>
      </c>
      <c r="H55" s="8">
        <v>81.319999999999993</v>
      </c>
      <c r="I55" s="8">
        <v>86.95</v>
      </c>
      <c r="J55" s="8">
        <v>87.69</v>
      </c>
      <c r="K55" s="8">
        <v>86.01</v>
      </c>
      <c r="L55" s="8">
        <v>86.25</v>
      </c>
      <c r="M55" s="8">
        <v>86.74</v>
      </c>
      <c r="N55" s="8">
        <v>89.07</v>
      </c>
      <c r="O55" s="8">
        <v>84.61</v>
      </c>
      <c r="P55" s="8">
        <v>79.06</v>
      </c>
      <c r="Q55" s="8">
        <v>78.13</v>
      </c>
      <c r="R55" s="8">
        <v>80.599999999999994</v>
      </c>
      <c r="S55" s="8">
        <v>78.53</v>
      </c>
      <c r="T55" s="8">
        <v>92.14</v>
      </c>
      <c r="U55" s="8">
        <v>95.26</v>
      </c>
      <c r="V55" s="8">
        <v>89.12</v>
      </c>
      <c r="W55" s="8">
        <v>76.989999999999995</v>
      </c>
      <c r="X55" s="8">
        <v>66.98</v>
      </c>
      <c r="Y55" s="8">
        <v>85.24</v>
      </c>
      <c r="Z55" s="8">
        <v>83.04</v>
      </c>
      <c r="AA55" s="8">
        <v>68.290000000000006</v>
      </c>
      <c r="AB55" s="8">
        <v>75.39</v>
      </c>
      <c r="AC55" s="8">
        <v>81.260000000000005</v>
      </c>
      <c r="AD55" s="8">
        <v>80.88</v>
      </c>
      <c r="AE55" s="8">
        <v>72.06</v>
      </c>
      <c r="AF55" s="8">
        <v>83.29</v>
      </c>
      <c r="AL55" s="8">
        <v>83.97</v>
      </c>
      <c r="AN55" s="8">
        <v>83.93</v>
      </c>
      <c r="AO55" s="8">
        <v>71</v>
      </c>
      <c r="AP55" s="8">
        <v>71</v>
      </c>
      <c r="BF55" s="8">
        <v>74.489999999999995</v>
      </c>
      <c r="BG55" s="8">
        <v>74.489999999999995</v>
      </c>
      <c r="BJ55" s="8">
        <v>81.33</v>
      </c>
      <c r="BZ55" s="8">
        <v>84.42</v>
      </c>
      <c r="CA55" s="8">
        <v>82.14</v>
      </c>
      <c r="CB55" s="8">
        <v>85.68</v>
      </c>
      <c r="CC55" s="8">
        <v>84.02</v>
      </c>
      <c r="CS55" s="8">
        <v>79.56</v>
      </c>
      <c r="DI55" s="8">
        <v>79.98</v>
      </c>
      <c r="DJ55" s="8">
        <v>75.849999999999994</v>
      </c>
      <c r="DK55" s="8">
        <v>77.16</v>
      </c>
      <c r="DO55" s="8">
        <v>81.069999999999993</v>
      </c>
      <c r="DV55" s="8">
        <v>81.73</v>
      </c>
      <c r="DW55" s="8">
        <v>78.62</v>
      </c>
      <c r="EA55" s="8">
        <v>84.25</v>
      </c>
      <c r="EB55" s="8">
        <v>92.04</v>
      </c>
      <c r="EC55" s="8">
        <v>83.52</v>
      </c>
      <c r="EF55" s="8">
        <v>79.69</v>
      </c>
      <c r="EG55" s="8">
        <v>78.319999999999993</v>
      </c>
      <c r="EH55" s="8">
        <v>80.2</v>
      </c>
      <c r="EI55" s="8">
        <v>80.56</v>
      </c>
      <c r="EJ55" s="8">
        <v>81.98</v>
      </c>
      <c r="EK55" s="8">
        <v>87.69</v>
      </c>
      <c r="EL55" s="8">
        <v>90.04</v>
      </c>
      <c r="EM55" s="8">
        <v>86.28</v>
      </c>
      <c r="EN55" s="8">
        <v>86.93</v>
      </c>
      <c r="EO55" s="8">
        <v>87</v>
      </c>
      <c r="EP55" s="8">
        <v>89.73</v>
      </c>
      <c r="EQ55" s="8">
        <v>84.41</v>
      </c>
      <c r="ER55" s="8">
        <v>79.17</v>
      </c>
      <c r="ES55" s="8">
        <v>78.41</v>
      </c>
      <c r="ET55" s="8">
        <v>80.34</v>
      </c>
      <c r="EU55" s="8">
        <v>78.849999999999994</v>
      </c>
      <c r="EV55" s="8">
        <v>90.79</v>
      </c>
      <c r="EW55" s="8">
        <v>91.83</v>
      </c>
      <c r="EX55" s="8">
        <v>89.79</v>
      </c>
      <c r="EY55" s="8">
        <v>76.55</v>
      </c>
      <c r="EZ55" s="8">
        <v>67.16</v>
      </c>
      <c r="FA55" s="8">
        <v>84.88</v>
      </c>
      <c r="FB55" s="8">
        <v>82.34</v>
      </c>
      <c r="FC55" s="8">
        <v>68.2</v>
      </c>
      <c r="FD55" s="8">
        <v>75.14</v>
      </c>
      <c r="FE55" s="8">
        <v>81.239999999999995</v>
      </c>
      <c r="FF55" s="8">
        <v>74.650000000000006</v>
      </c>
      <c r="FG55" s="8">
        <v>72.3</v>
      </c>
      <c r="FH55" s="8">
        <v>75.52</v>
      </c>
      <c r="FN55" s="8">
        <v>81.7</v>
      </c>
      <c r="FP55" s="8">
        <v>85.15</v>
      </c>
      <c r="FQ55" s="8">
        <v>69.27</v>
      </c>
      <c r="FR55" s="8">
        <v>69.27</v>
      </c>
      <c r="GH55" s="8">
        <v>75.69</v>
      </c>
      <c r="GI55" s="8">
        <v>75.69</v>
      </c>
      <c r="GL55" s="8">
        <v>81.64</v>
      </c>
      <c r="HB55" s="8">
        <v>85.05</v>
      </c>
      <c r="HC55" s="8">
        <v>82.69</v>
      </c>
      <c r="HD55" s="8">
        <v>86.57</v>
      </c>
      <c r="HE55" s="8">
        <v>84.35</v>
      </c>
      <c r="HU55" s="8">
        <v>79.16</v>
      </c>
      <c r="IK55" s="8">
        <v>75.319999999999993</v>
      </c>
      <c r="IL55" s="8">
        <v>72.09</v>
      </c>
      <c r="IM55" s="8">
        <v>78.87</v>
      </c>
      <c r="IQ55" s="8">
        <v>81.08</v>
      </c>
    </row>
    <row r="56" spans="1:251" x14ac:dyDescent="0.2">
      <c r="A56" s="9">
        <v>44348</v>
      </c>
      <c r="D56" s="8">
        <v>79.069999999999993</v>
      </c>
      <c r="E56" s="8">
        <v>78.680000000000007</v>
      </c>
      <c r="F56" s="8">
        <v>78.69</v>
      </c>
      <c r="G56" s="8">
        <v>80.650000000000006</v>
      </c>
      <c r="H56" s="8">
        <v>81.28</v>
      </c>
      <c r="I56" s="8">
        <v>86.93</v>
      </c>
      <c r="J56" s="8">
        <v>87.95</v>
      </c>
      <c r="K56" s="8">
        <v>85.48</v>
      </c>
      <c r="L56" s="8">
        <v>86.27</v>
      </c>
      <c r="M56" s="8">
        <v>86.9</v>
      </c>
      <c r="N56" s="8">
        <v>88.48</v>
      </c>
      <c r="O56" s="8">
        <v>84.91</v>
      </c>
      <c r="P56" s="8">
        <v>79.489999999999995</v>
      </c>
      <c r="Q56" s="8">
        <v>79.17</v>
      </c>
      <c r="R56" s="8">
        <v>80.58</v>
      </c>
      <c r="S56" s="8">
        <v>78.739999999999995</v>
      </c>
      <c r="T56" s="8">
        <v>90.89</v>
      </c>
      <c r="U56" s="8">
        <v>90.85</v>
      </c>
      <c r="V56" s="8">
        <v>90.65</v>
      </c>
      <c r="W56" s="8">
        <v>77.45</v>
      </c>
      <c r="X56" s="8">
        <v>67.98</v>
      </c>
      <c r="Y56" s="8">
        <v>85.77</v>
      </c>
      <c r="Z56" s="8">
        <v>83.14</v>
      </c>
      <c r="AA56" s="8">
        <v>68.260000000000005</v>
      </c>
      <c r="AB56" s="8">
        <v>76.09</v>
      </c>
      <c r="AC56" s="8">
        <v>81.53</v>
      </c>
      <c r="AD56" s="8">
        <v>80.930000000000007</v>
      </c>
      <c r="AE56" s="8">
        <v>71.59</v>
      </c>
      <c r="AF56" s="8">
        <v>83.5</v>
      </c>
      <c r="AL56" s="8">
        <v>84.09</v>
      </c>
      <c r="AN56" s="8">
        <v>83.77</v>
      </c>
      <c r="AO56" s="8">
        <v>70.650000000000006</v>
      </c>
      <c r="AP56" s="8">
        <v>70.650000000000006</v>
      </c>
      <c r="BF56" s="8">
        <v>75.66</v>
      </c>
      <c r="BG56" s="8">
        <v>75.66</v>
      </c>
      <c r="BJ56" s="8">
        <v>81.33</v>
      </c>
      <c r="BZ56" s="8">
        <v>84.2</v>
      </c>
      <c r="CA56" s="8">
        <v>81.489999999999995</v>
      </c>
      <c r="CB56" s="8">
        <v>85.47</v>
      </c>
      <c r="CC56" s="8">
        <v>83.87</v>
      </c>
      <c r="CS56" s="8">
        <v>79.86</v>
      </c>
      <c r="DI56" s="8">
        <v>83.74</v>
      </c>
      <c r="DJ56" s="8">
        <v>79.45</v>
      </c>
      <c r="DK56" s="8">
        <v>80.25</v>
      </c>
      <c r="DO56" s="8">
        <v>81.239999999999995</v>
      </c>
      <c r="DV56" s="8">
        <v>81.73</v>
      </c>
      <c r="DW56" s="8">
        <v>78.62</v>
      </c>
      <c r="EA56" s="8">
        <v>84.41</v>
      </c>
      <c r="EB56" s="8">
        <v>92.06</v>
      </c>
      <c r="EC56" s="8">
        <v>83.7</v>
      </c>
      <c r="EF56" s="8">
        <v>79.260000000000005</v>
      </c>
      <c r="EG56" s="8">
        <v>78.06</v>
      </c>
      <c r="EH56" s="8">
        <v>79.52</v>
      </c>
      <c r="EI56" s="8">
        <v>80.739999999999995</v>
      </c>
      <c r="EJ56" s="8">
        <v>81.489999999999995</v>
      </c>
      <c r="EK56" s="8">
        <v>87.66</v>
      </c>
      <c r="EL56" s="8">
        <v>89.74</v>
      </c>
      <c r="EM56" s="8">
        <v>85.62</v>
      </c>
      <c r="EN56" s="8">
        <v>87.49</v>
      </c>
      <c r="EO56" s="8">
        <v>87.17</v>
      </c>
      <c r="EP56" s="8">
        <v>89.22</v>
      </c>
      <c r="EQ56" s="8">
        <v>84.88</v>
      </c>
      <c r="ER56" s="8">
        <v>79.430000000000007</v>
      </c>
      <c r="ES56" s="8">
        <v>79.06</v>
      </c>
      <c r="ET56" s="8">
        <v>80.38</v>
      </c>
      <c r="EU56" s="8">
        <v>78.849999999999994</v>
      </c>
      <c r="EV56" s="8">
        <v>89.75</v>
      </c>
      <c r="EW56" s="8">
        <v>88.15</v>
      </c>
      <c r="EX56" s="8">
        <v>90.65</v>
      </c>
      <c r="EY56" s="8">
        <v>76.95</v>
      </c>
      <c r="EZ56" s="8">
        <v>68.09</v>
      </c>
      <c r="FA56" s="8">
        <v>85.25</v>
      </c>
      <c r="FB56" s="8">
        <v>82.65</v>
      </c>
      <c r="FC56" s="8">
        <v>68.06</v>
      </c>
      <c r="FD56" s="8">
        <v>75.739999999999995</v>
      </c>
      <c r="FE56" s="8">
        <v>81.44</v>
      </c>
      <c r="FF56" s="8">
        <v>74.540000000000006</v>
      </c>
      <c r="FG56" s="8">
        <v>71.849999999999994</v>
      </c>
      <c r="FH56" s="8">
        <v>75.53</v>
      </c>
      <c r="FN56" s="8">
        <v>81.37</v>
      </c>
      <c r="FP56" s="8">
        <v>84.97</v>
      </c>
      <c r="FQ56" s="8">
        <v>68.94</v>
      </c>
      <c r="FR56" s="8">
        <v>68.94</v>
      </c>
      <c r="GH56" s="8">
        <v>76.61</v>
      </c>
      <c r="GI56" s="8">
        <v>76.61</v>
      </c>
      <c r="GL56" s="8">
        <v>81.64</v>
      </c>
      <c r="HB56" s="8">
        <v>84.49</v>
      </c>
      <c r="HC56" s="8">
        <v>81.98</v>
      </c>
      <c r="HD56" s="8">
        <v>86.16</v>
      </c>
      <c r="HE56" s="8">
        <v>83.7</v>
      </c>
      <c r="HU56" s="8">
        <v>76.36</v>
      </c>
      <c r="IK56" s="8">
        <v>78.45</v>
      </c>
      <c r="IL56" s="8">
        <v>75.25</v>
      </c>
      <c r="IM56" s="8">
        <v>77.930000000000007</v>
      </c>
      <c r="IQ56" s="8">
        <v>81.209999999999994</v>
      </c>
    </row>
    <row r="57" spans="1:251" x14ac:dyDescent="0.2">
      <c r="A57" s="9">
        <v>44378</v>
      </c>
      <c r="D57" s="8">
        <v>78.94</v>
      </c>
      <c r="E57" s="8">
        <v>78.7</v>
      </c>
      <c r="F57" s="8">
        <v>78.36</v>
      </c>
      <c r="G57" s="8">
        <v>80.260000000000005</v>
      </c>
      <c r="H57" s="8">
        <v>81.56</v>
      </c>
      <c r="I57" s="8">
        <v>87.4</v>
      </c>
      <c r="J57" s="8">
        <v>88.36</v>
      </c>
      <c r="K57" s="8">
        <v>85.35</v>
      </c>
      <c r="L57" s="8">
        <v>87.04</v>
      </c>
      <c r="M57" s="8">
        <v>87.19</v>
      </c>
      <c r="N57" s="8">
        <v>88.84</v>
      </c>
      <c r="O57" s="8">
        <v>85.83</v>
      </c>
      <c r="P57" s="8">
        <v>79.66</v>
      </c>
      <c r="Q57" s="8">
        <v>79.150000000000006</v>
      </c>
      <c r="R57" s="8">
        <v>80.59</v>
      </c>
      <c r="S57" s="8">
        <v>79.260000000000005</v>
      </c>
      <c r="T57" s="8">
        <v>89.29</v>
      </c>
      <c r="U57" s="8">
        <v>89.05</v>
      </c>
      <c r="V57" s="8">
        <v>89.23</v>
      </c>
      <c r="W57" s="8">
        <v>78.14</v>
      </c>
      <c r="X57" s="8">
        <v>68.209999999999994</v>
      </c>
      <c r="Y57" s="8">
        <v>85.1</v>
      </c>
      <c r="Z57" s="8">
        <v>84.24</v>
      </c>
      <c r="AA57" s="8">
        <v>70.17</v>
      </c>
      <c r="AB57" s="8">
        <v>76.3</v>
      </c>
      <c r="AC57" s="8">
        <v>82.82</v>
      </c>
      <c r="AD57" s="8">
        <v>81.48</v>
      </c>
      <c r="AE57" s="8">
        <v>72.23</v>
      </c>
      <c r="AF57" s="8">
        <v>84.03</v>
      </c>
      <c r="AL57" s="8">
        <v>82.89</v>
      </c>
      <c r="AN57" s="8">
        <v>82.77</v>
      </c>
      <c r="AO57" s="8">
        <v>70.3</v>
      </c>
      <c r="AP57" s="8">
        <v>70.3</v>
      </c>
      <c r="BF57" s="8">
        <v>76.12</v>
      </c>
      <c r="BG57" s="8">
        <v>76.12</v>
      </c>
      <c r="BJ57" s="8">
        <v>81.33</v>
      </c>
      <c r="BZ57" s="8">
        <v>85.23</v>
      </c>
      <c r="CA57" s="8">
        <v>82.55</v>
      </c>
      <c r="CB57" s="8">
        <v>86.27</v>
      </c>
      <c r="CC57" s="8">
        <v>85.06</v>
      </c>
      <c r="CS57" s="8">
        <v>85.56</v>
      </c>
      <c r="DI57" s="8">
        <v>82.85</v>
      </c>
      <c r="DJ57" s="8">
        <v>78.69</v>
      </c>
      <c r="DK57" s="8">
        <v>77.430000000000007</v>
      </c>
      <c r="DO57" s="8">
        <v>81.55</v>
      </c>
      <c r="DV57" s="8">
        <v>81.73</v>
      </c>
      <c r="DW57" s="8">
        <v>78.62</v>
      </c>
      <c r="EA57" s="8">
        <v>84.23</v>
      </c>
      <c r="EB57" s="8">
        <v>90.2</v>
      </c>
      <c r="EC57" s="8">
        <v>83.7</v>
      </c>
      <c r="EF57" s="8">
        <v>79.11</v>
      </c>
      <c r="EG57" s="8">
        <v>78.27</v>
      </c>
      <c r="EH57" s="8">
        <v>79.099999999999994</v>
      </c>
      <c r="EI57" s="8">
        <v>80.08</v>
      </c>
      <c r="EJ57" s="8">
        <v>81.650000000000006</v>
      </c>
      <c r="EK57" s="8">
        <v>87.58</v>
      </c>
      <c r="EL57" s="8">
        <v>90.02</v>
      </c>
      <c r="EM57" s="8">
        <v>85.09</v>
      </c>
      <c r="EN57" s="8">
        <v>87.32</v>
      </c>
      <c r="EO57" s="8">
        <v>86.93</v>
      </c>
      <c r="EP57" s="8">
        <v>89.18</v>
      </c>
      <c r="EQ57" s="8">
        <v>84.83</v>
      </c>
      <c r="ER57" s="8">
        <v>79.510000000000005</v>
      </c>
      <c r="ES57" s="8">
        <v>78.97</v>
      </c>
      <c r="ET57" s="8">
        <v>80.39</v>
      </c>
      <c r="EU57" s="8">
        <v>79.22</v>
      </c>
      <c r="EV57" s="8">
        <v>88.44</v>
      </c>
      <c r="EW57" s="8">
        <v>86.95</v>
      </c>
      <c r="EX57" s="8">
        <v>89.27</v>
      </c>
      <c r="EY57" s="8">
        <v>77.430000000000007</v>
      </c>
      <c r="EZ57" s="8">
        <v>67.98</v>
      </c>
      <c r="FA57" s="8">
        <v>84.35</v>
      </c>
      <c r="FB57" s="8">
        <v>83.45</v>
      </c>
      <c r="FC57" s="8">
        <v>69.709999999999994</v>
      </c>
      <c r="FD57" s="8">
        <v>75.75</v>
      </c>
      <c r="FE57" s="8">
        <v>82.59</v>
      </c>
      <c r="FF57" s="8">
        <v>74.900000000000006</v>
      </c>
      <c r="FG57" s="8">
        <v>72.150000000000006</v>
      </c>
      <c r="FH57" s="8">
        <v>75.92</v>
      </c>
      <c r="FN57" s="8">
        <v>82.03</v>
      </c>
      <c r="FP57" s="8">
        <v>85.12</v>
      </c>
      <c r="FQ57" s="8">
        <v>68.38</v>
      </c>
      <c r="FR57" s="8">
        <v>68.38</v>
      </c>
      <c r="GH57" s="8">
        <v>77.02</v>
      </c>
      <c r="GI57" s="8">
        <v>77.02</v>
      </c>
      <c r="GL57" s="8">
        <v>81.64</v>
      </c>
      <c r="HB57" s="8">
        <v>85.29</v>
      </c>
      <c r="HC57" s="8">
        <v>82.86</v>
      </c>
      <c r="HD57" s="8">
        <v>86.59</v>
      </c>
      <c r="HE57" s="8">
        <v>84.75</v>
      </c>
      <c r="HU57" s="8">
        <v>84.4</v>
      </c>
      <c r="IK57" s="8">
        <v>76.739999999999995</v>
      </c>
      <c r="IL57" s="8">
        <v>73.739999999999995</v>
      </c>
      <c r="IM57" s="8">
        <v>72.959999999999994</v>
      </c>
      <c r="IQ57" s="8">
        <v>81.5</v>
      </c>
    </row>
    <row r="58" spans="1:251" x14ac:dyDescent="0.2">
      <c r="A58" s="9">
        <v>44409</v>
      </c>
      <c r="D58" s="8">
        <v>79.2</v>
      </c>
      <c r="E58" s="8">
        <v>78.33</v>
      </c>
      <c r="F58" s="8">
        <v>78.88</v>
      </c>
      <c r="G58" s="8">
        <v>80.47</v>
      </c>
      <c r="H58" s="8">
        <v>82.94</v>
      </c>
      <c r="I58" s="8">
        <v>87.49</v>
      </c>
      <c r="J58" s="8">
        <v>87.88</v>
      </c>
      <c r="K58" s="8">
        <v>86.55</v>
      </c>
      <c r="L58" s="8">
        <v>86.76</v>
      </c>
      <c r="M58" s="8">
        <v>86.81</v>
      </c>
      <c r="N58" s="8">
        <v>89.86</v>
      </c>
      <c r="O58" s="8">
        <v>85.74</v>
      </c>
      <c r="P58" s="8">
        <v>79.63</v>
      </c>
      <c r="Q58" s="8">
        <v>79.12</v>
      </c>
      <c r="R58" s="8">
        <v>80.67</v>
      </c>
      <c r="S58" s="8">
        <v>79.14</v>
      </c>
      <c r="T58" s="8">
        <v>87.99</v>
      </c>
      <c r="U58" s="8">
        <v>86.11</v>
      </c>
      <c r="V58" s="8">
        <v>89.37</v>
      </c>
      <c r="W58" s="8">
        <v>78.3</v>
      </c>
      <c r="X58" s="8">
        <v>68.16</v>
      </c>
      <c r="Y58" s="8">
        <v>85.42</v>
      </c>
      <c r="Z58" s="8">
        <v>84.25</v>
      </c>
      <c r="AA58" s="8">
        <v>70.150000000000006</v>
      </c>
      <c r="AB58" s="8">
        <v>76.459999999999994</v>
      </c>
      <c r="AC58" s="8">
        <v>83.15</v>
      </c>
      <c r="AD58" s="8">
        <v>81.87</v>
      </c>
      <c r="AE58" s="8">
        <v>71.95</v>
      </c>
      <c r="AF58" s="8">
        <v>84.61</v>
      </c>
      <c r="AL58" s="8">
        <v>83.72</v>
      </c>
      <c r="AN58" s="8">
        <v>82.53</v>
      </c>
      <c r="AO58" s="8">
        <v>69.89</v>
      </c>
      <c r="AP58" s="8">
        <v>69.89</v>
      </c>
      <c r="BF58" s="8">
        <v>77.37</v>
      </c>
      <c r="BG58" s="8">
        <v>77.37</v>
      </c>
      <c r="BJ58" s="8">
        <v>81.33</v>
      </c>
      <c r="BZ58" s="8">
        <v>85.36</v>
      </c>
      <c r="CA58" s="8">
        <v>82.75</v>
      </c>
      <c r="CB58" s="8">
        <v>87.49</v>
      </c>
      <c r="CC58" s="8">
        <v>84.41</v>
      </c>
      <c r="CS58" s="8">
        <v>84.17</v>
      </c>
      <c r="DI58" s="8">
        <v>82.47</v>
      </c>
      <c r="DJ58" s="8">
        <v>78.69</v>
      </c>
      <c r="DK58" s="8">
        <v>69.7</v>
      </c>
      <c r="DO58" s="8">
        <v>81.09</v>
      </c>
      <c r="DV58" s="8">
        <v>81.73</v>
      </c>
      <c r="DW58" s="8">
        <v>78.62</v>
      </c>
      <c r="EA58" s="8">
        <v>84.23</v>
      </c>
      <c r="EB58" s="8">
        <v>90.25</v>
      </c>
      <c r="EC58" s="8">
        <v>83.7</v>
      </c>
      <c r="EF58" s="8">
        <v>79.62</v>
      </c>
      <c r="EG58" s="8">
        <v>78.12</v>
      </c>
      <c r="EH58" s="8">
        <v>79.92</v>
      </c>
      <c r="EI58" s="8">
        <v>80.459999999999994</v>
      </c>
      <c r="EJ58" s="8">
        <v>83.06</v>
      </c>
      <c r="EK58" s="8">
        <v>88.09</v>
      </c>
      <c r="EL58" s="8">
        <v>89.99</v>
      </c>
      <c r="EM58" s="8">
        <v>86.5</v>
      </c>
      <c r="EN58" s="8">
        <v>87.66</v>
      </c>
      <c r="EO58" s="8">
        <v>87.04</v>
      </c>
      <c r="EP58" s="8">
        <v>90.37</v>
      </c>
      <c r="EQ58" s="8">
        <v>85.38</v>
      </c>
      <c r="ER58" s="8">
        <v>79.45</v>
      </c>
      <c r="ES58" s="8">
        <v>78.92</v>
      </c>
      <c r="ET58" s="8">
        <v>80.38</v>
      </c>
      <c r="EU58" s="8">
        <v>79.099999999999994</v>
      </c>
      <c r="EV58" s="8">
        <v>86.39</v>
      </c>
      <c r="EW58" s="8">
        <v>81.63</v>
      </c>
      <c r="EX58" s="8">
        <v>89.58</v>
      </c>
      <c r="EY58" s="8">
        <v>77.739999999999995</v>
      </c>
      <c r="EZ58" s="8">
        <v>68.239999999999995</v>
      </c>
      <c r="FA58" s="8">
        <v>84.88</v>
      </c>
      <c r="FB58" s="8">
        <v>83.86</v>
      </c>
      <c r="FC58" s="8">
        <v>69.91</v>
      </c>
      <c r="FD58" s="8">
        <v>75.98</v>
      </c>
      <c r="FE58" s="8">
        <v>83</v>
      </c>
      <c r="FF58" s="8">
        <v>74.819999999999993</v>
      </c>
      <c r="FG58" s="8">
        <v>71.81</v>
      </c>
      <c r="FH58" s="8">
        <v>75.930000000000007</v>
      </c>
      <c r="FN58" s="8">
        <v>82.49</v>
      </c>
      <c r="FP58" s="8">
        <v>84.77</v>
      </c>
      <c r="FQ58" s="8">
        <v>68.09</v>
      </c>
      <c r="FR58" s="8">
        <v>68.09</v>
      </c>
      <c r="GH58" s="8">
        <v>78.41</v>
      </c>
      <c r="GI58" s="8">
        <v>78.41</v>
      </c>
      <c r="GL58" s="8">
        <v>81.64</v>
      </c>
      <c r="HB58" s="8">
        <v>85.81</v>
      </c>
      <c r="HC58" s="8">
        <v>83.17</v>
      </c>
      <c r="HD58" s="8">
        <v>87.85</v>
      </c>
      <c r="HE58" s="8">
        <v>84.77</v>
      </c>
      <c r="HU58" s="8">
        <v>83.67</v>
      </c>
      <c r="IK58" s="8">
        <v>76.5</v>
      </c>
      <c r="IL58" s="8">
        <v>73.739999999999995</v>
      </c>
      <c r="IM58" s="8">
        <v>66.92</v>
      </c>
      <c r="IQ58" s="8">
        <v>80.98</v>
      </c>
    </row>
    <row r="59" spans="1:251" x14ac:dyDescent="0.2">
      <c r="A59" s="9">
        <v>44440</v>
      </c>
      <c r="D59" s="8">
        <v>79.150000000000006</v>
      </c>
      <c r="E59" s="8">
        <v>78.83</v>
      </c>
      <c r="F59" s="8">
        <v>78.11</v>
      </c>
      <c r="G59" s="8">
        <v>81.7</v>
      </c>
      <c r="H59" s="8">
        <v>82.85</v>
      </c>
      <c r="I59" s="8">
        <v>87.33</v>
      </c>
      <c r="J59" s="8">
        <v>87.31</v>
      </c>
      <c r="K59" s="8">
        <v>86.97</v>
      </c>
      <c r="L59" s="8">
        <v>86.12</v>
      </c>
      <c r="M59" s="8">
        <v>87.3</v>
      </c>
      <c r="N59" s="8">
        <v>89.02</v>
      </c>
      <c r="O59" s="8">
        <v>85.92</v>
      </c>
      <c r="P59" s="8">
        <v>79.819999999999993</v>
      </c>
      <c r="Q59" s="8">
        <v>79.3</v>
      </c>
      <c r="R59" s="8">
        <v>80.930000000000007</v>
      </c>
      <c r="S59" s="8">
        <v>79.25</v>
      </c>
      <c r="T59" s="8">
        <v>82.9</v>
      </c>
      <c r="U59" s="8">
        <v>77.95</v>
      </c>
      <c r="V59" s="8">
        <v>86.99</v>
      </c>
      <c r="W59" s="8">
        <v>78.150000000000006</v>
      </c>
      <c r="X59" s="8">
        <v>68.010000000000005</v>
      </c>
      <c r="Y59" s="8">
        <v>86</v>
      </c>
      <c r="Z59" s="8">
        <v>84.05</v>
      </c>
      <c r="AA59" s="8">
        <v>70.19</v>
      </c>
      <c r="AB59" s="8">
        <v>76.17</v>
      </c>
      <c r="AC59" s="8">
        <v>83.02</v>
      </c>
      <c r="AD59" s="8">
        <v>80.97</v>
      </c>
      <c r="AE59" s="8">
        <v>73.2</v>
      </c>
      <c r="AF59" s="8">
        <v>83.07</v>
      </c>
      <c r="AL59" s="8">
        <v>83.03</v>
      </c>
      <c r="AN59" s="8">
        <v>82.34</v>
      </c>
      <c r="AO59" s="8">
        <v>70.22</v>
      </c>
      <c r="AP59" s="8">
        <v>70.22</v>
      </c>
      <c r="BF59" s="8">
        <v>78.03</v>
      </c>
      <c r="BG59" s="8">
        <v>78.03</v>
      </c>
      <c r="BJ59" s="8">
        <v>83.57</v>
      </c>
      <c r="BZ59" s="8">
        <v>86.23</v>
      </c>
      <c r="CA59" s="8">
        <v>82.3</v>
      </c>
      <c r="CB59" s="8">
        <v>87.75</v>
      </c>
      <c r="CC59" s="8">
        <v>85.99</v>
      </c>
      <c r="CS59" s="8">
        <v>87.16</v>
      </c>
      <c r="DI59" s="8">
        <v>86.2</v>
      </c>
      <c r="DJ59" s="8">
        <v>82.11</v>
      </c>
      <c r="DK59" s="8">
        <v>75.63</v>
      </c>
      <c r="DO59" s="8">
        <v>81.28</v>
      </c>
      <c r="DV59" s="8">
        <v>81.73</v>
      </c>
      <c r="DW59" s="8">
        <v>78.62</v>
      </c>
      <c r="EA59" s="8">
        <v>84.82</v>
      </c>
      <c r="EB59" s="8">
        <v>90.3</v>
      </c>
      <c r="EC59" s="8">
        <v>84.34</v>
      </c>
      <c r="EF59" s="8">
        <v>79.39</v>
      </c>
      <c r="EG59" s="8">
        <v>78.27</v>
      </c>
      <c r="EH59" s="8">
        <v>78.98</v>
      </c>
      <c r="EI59" s="8">
        <v>81.75</v>
      </c>
      <c r="EJ59" s="8">
        <v>83.16</v>
      </c>
      <c r="EK59" s="8">
        <v>87.94</v>
      </c>
      <c r="EL59" s="8">
        <v>89.3</v>
      </c>
      <c r="EM59" s="8">
        <v>87.12</v>
      </c>
      <c r="EN59" s="8">
        <v>86.53</v>
      </c>
      <c r="EO59" s="8">
        <v>87.45</v>
      </c>
      <c r="EP59" s="8">
        <v>89.55</v>
      </c>
      <c r="EQ59" s="8">
        <v>86.03</v>
      </c>
      <c r="ER59" s="8">
        <v>79.680000000000007</v>
      </c>
      <c r="ES59" s="8">
        <v>79.069999999999993</v>
      </c>
      <c r="ET59" s="8">
        <v>80.77</v>
      </c>
      <c r="EU59" s="8">
        <v>79.260000000000005</v>
      </c>
      <c r="EV59" s="8">
        <v>83.16</v>
      </c>
      <c r="EW59" s="8">
        <v>77.819999999999993</v>
      </c>
      <c r="EX59" s="8">
        <v>86.78</v>
      </c>
      <c r="EY59" s="8">
        <v>77.88</v>
      </c>
      <c r="EZ59" s="8">
        <v>67.88</v>
      </c>
      <c r="FA59" s="8">
        <v>85.57</v>
      </c>
      <c r="FB59" s="8">
        <v>83.9</v>
      </c>
      <c r="FC59" s="8">
        <v>70.16</v>
      </c>
      <c r="FD59" s="8">
        <v>76.28</v>
      </c>
      <c r="FE59" s="8">
        <v>82.86</v>
      </c>
      <c r="FF59" s="8">
        <v>74.7</v>
      </c>
      <c r="FG59" s="8">
        <v>73.12</v>
      </c>
      <c r="FH59" s="8">
        <v>75.28</v>
      </c>
      <c r="FN59" s="8">
        <v>81.709999999999994</v>
      </c>
      <c r="FP59" s="8">
        <v>85.01</v>
      </c>
      <c r="FQ59" s="8">
        <v>68.62</v>
      </c>
      <c r="FR59" s="8">
        <v>68.62</v>
      </c>
      <c r="GH59" s="8">
        <v>79.48</v>
      </c>
      <c r="GI59" s="8">
        <v>79.48</v>
      </c>
      <c r="GL59" s="8">
        <v>84.43</v>
      </c>
      <c r="HB59" s="8">
        <v>86.34</v>
      </c>
      <c r="HC59" s="8">
        <v>82.48</v>
      </c>
      <c r="HD59" s="8">
        <v>88.32</v>
      </c>
      <c r="HE59" s="8">
        <v>85.54</v>
      </c>
      <c r="HU59" s="8">
        <v>85.49</v>
      </c>
      <c r="IK59" s="8">
        <v>82.02</v>
      </c>
      <c r="IL59" s="8">
        <v>78.989999999999995</v>
      </c>
      <c r="IM59" s="8">
        <v>73.61</v>
      </c>
      <c r="IQ59" s="8">
        <v>81.17</v>
      </c>
    </row>
    <row r="60" spans="1:251" x14ac:dyDescent="0.2">
      <c r="A60" s="9">
        <v>44470</v>
      </c>
      <c r="D60" s="8">
        <v>79.290000000000006</v>
      </c>
      <c r="E60" s="8">
        <v>78.62</v>
      </c>
      <c r="F60" s="8">
        <v>78.91</v>
      </c>
      <c r="G60" s="8">
        <v>78.959999999999994</v>
      </c>
      <c r="H60" s="8">
        <v>83.7</v>
      </c>
      <c r="I60" s="8">
        <v>86.95</v>
      </c>
      <c r="J60" s="8">
        <v>87.25</v>
      </c>
      <c r="K60" s="8">
        <v>86.81</v>
      </c>
      <c r="L60" s="8">
        <v>85.78</v>
      </c>
      <c r="M60" s="8">
        <v>86.15</v>
      </c>
      <c r="N60" s="8">
        <v>88.67</v>
      </c>
      <c r="O60" s="8">
        <v>85.68</v>
      </c>
      <c r="P60" s="8">
        <v>79.790000000000006</v>
      </c>
      <c r="Q60" s="8">
        <v>78.680000000000007</v>
      </c>
      <c r="R60" s="8">
        <v>81.069999999999993</v>
      </c>
      <c r="S60" s="8">
        <v>79.78</v>
      </c>
      <c r="T60" s="8">
        <v>82.98</v>
      </c>
      <c r="U60" s="8">
        <v>79.16</v>
      </c>
      <c r="V60" s="8">
        <v>86.08</v>
      </c>
      <c r="W60" s="8">
        <v>78.5</v>
      </c>
      <c r="X60" s="8">
        <v>68.27</v>
      </c>
      <c r="Y60" s="8">
        <v>86.08</v>
      </c>
      <c r="Z60" s="8">
        <v>84.63</v>
      </c>
      <c r="AA60" s="8">
        <v>70.47</v>
      </c>
      <c r="AB60" s="8">
        <v>76.62</v>
      </c>
      <c r="AC60" s="8">
        <v>83.16</v>
      </c>
      <c r="AD60" s="8">
        <v>81.040000000000006</v>
      </c>
      <c r="AE60" s="8">
        <v>73.89</v>
      </c>
      <c r="AF60" s="8">
        <v>82.98</v>
      </c>
      <c r="AL60" s="8">
        <v>83.93</v>
      </c>
      <c r="AN60" s="8">
        <v>83.56</v>
      </c>
      <c r="AO60" s="8">
        <v>70.81</v>
      </c>
      <c r="AP60" s="8">
        <v>70.81</v>
      </c>
      <c r="BF60" s="8">
        <v>77.63</v>
      </c>
      <c r="BG60" s="8">
        <v>77.63</v>
      </c>
      <c r="BJ60" s="8">
        <v>83.57</v>
      </c>
      <c r="BM60" s="8">
        <v>72.41</v>
      </c>
      <c r="BN60" s="8">
        <v>71.13</v>
      </c>
      <c r="BZ60" s="8">
        <v>86.13</v>
      </c>
      <c r="CA60" s="8">
        <v>82.71</v>
      </c>
      <c r="CB60" s="8">
        <v>86.6</v>
      </c>
      <c r="CC60" s="8">
        <v>86.51</v>
      </c>
      <c r="CS60" s="8">
        <v>91.48</v>
      </c>
      <c r="DI60" s="8">
        <v>91.99</v>
      </c>
      <c r="DJ60" s="8">
        <v>87.45</v>
      </c>
      <c r="DK60" s="8">
        <v>84.5</v>
      </c>
      <c r="DO60" s="8">
        <v>80.12</v>
      </c>
      <c r="DV60" s="8">
        <v>81.73</v>
      </c>
      <c r="DW60" s="8">
        <v>78.62</v>
      </c>
      <c r="EA60" s="8">
        <v>84.82</v>
      </c>
      <c r="EB60" s="8">
        <v>90.35</v>
      </c>
      <c r="EC60" s="8">
        <v>84.34</v>
      </c>
      <c r="EF60" s="8">
        <v>79.77</v>
      </c>
      <c r="EG60" s="8">
        <v>78.430000000000007</v>
      </c>
      <c r="EH60" s="8">
        <v>79.98</v>
      </c>
      <c r="EI60" s="8">
        <v>79.099999999999994</v>
      </c>
      <c r="EJ60" s="8">
        <v>83.98</v>
      </c>
      <c r="EK60" s="8">
        <v>87.7</v>
      </c>
      <c r="EL60" s="8">
        <v>89.31</v>
      </c>
      <c r="EM60" s="8">
        <v>87.06</v>
      </c>
      <c r="EN60" s="8">
        <v>86.66</v>
      </c>
      <c r="EO60" s="8">
        <v>86.75</v>
      </c>
      <c r="EP60" s="8">
        <v>89.4</v>
      </c>
      <c r="EQ60" s="8">
        <v>85.55</v>
      </c>
      <c r="ER60" s="8">
        <v>79.78</v>
      </c>
      <c r="ES60" s="8">
        <v>78.77</v>
      </c>
      <c r="ET60" s="8">
        <v>81.010000000000005</v>
      </c>
      <c r="EU60" s="8">
        <v>79.77</v>
      </c>
      <c r="EV60" s="8">
        <v>84.36</v>
      </c>
      <c r="EW60" s="8">
        <v>80.97</v>
      </c>
      <c r="EX60" s="8">
        <v>86.54</v>
      </c>
      <c r="EY60" s="8">
        <v>78.28</v>
      </c>
      <c r="EZ60" s="8">
        <v>68.23</v>
      </c>
      <c r="FA60" s="8">
        <v>85.69</v>
      </c>
      <c r="FB60" s="8">
        <v>84.51</v>
      </c>
      <c r="FC60" s="8">
        <v>70.45</v>
      </c>
      <c r="FD60" s="8">
        <v>76.69</v>
      </c>
      <c r="FE60" s="8">
        <v>83.23</v>
      </c>
      <c r="FF60" s="8">
        <v>74.86</v>
      </c>
      <c r="FG60" s="8">
        <v>74.53</v>
      </c>
      <c r="FH60" s="8">
        <v>74.989999999999995</v>
      </c>
      <c r="FN60" s="8">
        <v>83.42</v>
      </c>
      <c r="FP60" s="8">
        <v>85.4</v>
      </c>
      <c r="FQ60" s="8">
        <v>69.27</v>
      </c>
      <c r="FR60" s="8">
        <v>69.27</v>
      </c>
      <c r="GH60" s="8">
        <v>79.650000000000006</v>
      </c>
      <c r="GI60" s="8">
        <v>79.650000000000006</v>
      </c>
      <c r="GL60" s="8">
        <v>84.43</v>
      </c>
      <c r="GO60" s="8">
        <v>100.83</v>
      </c>
      <c r="GP60" s="8">
        <v>60.92</v>
      </c>
      <c r="HB60" s="8">
        <v>86.48</v>
      </c>
      <c r="HC60" s="8">
        <v>83.35</v>
      </c>
      <c r="HD60" s="8">
        <v>87.41</v>
      </c>
      <c r="HE60" s="8">
        <v>86.34</v>
      </c>
      <c r="HU60" s="8">
        <v>89.73</v>
      </c>
      <c r="IK60" s="8">
        <v>81.47</v>
      </c>
      <c r="IL60" s="8">
        <v>78.099999999999994</v>
      </c>
      <c r="IM60" s="8">
        <v>82.32</v>
      </c>
      <c r="IQ60" s="8">
        <v>80.290000000000006</v>
      </c>
    </row>
    <row r="61" spans="1:251" x14ac:dyDescent="0.2">
      <c r="A61" s="9">
        <v>44501</v>
      </c>
      <c r="D61" s="8">
        <v>80.02</v>
      </c>
      <c r="E61" s="8">
        <v>79.09</v>
      </c>
      <c r="F61" s="8">
        <v>79.83</v>
      </c>
      <c r="G61" s="8">
        <v>80.83</v>
      </c>
      <c r="H61" s="8">
        <v>83.77</v>
      </c>
      <c r="I61" s="8">
        <v>87.48</v>
      </c>
      <c r="J61" s="8">
        <v>87.44</v>
      </c>
      <c r="K61" s="8">
        <v>88.47</v>
      </c>
      <c r="L61" s="8">
        <v>85.36</v>
      </c>
      <c r="M61" s="8">
        <v>85.97</v>
      </c>
      <c r="N61" s="8">
        <v>90.7</v>
      </c>
      <c r="O61" s="8">
        <v>85.87</v>
      </c>
      <c r="P61" s="8">
        <v>80.349999999999994</v>
      </c>
      <c r="Q61" s="8">
        <v>78.72</v>
      </c>
      <c r="R61" s="8">
        <v>82.46</v>
      </c>
      <c r="S61" s="8">
        <v>80.099999999999994</v>
      </c>
      <c r="T61" s="8">
        <v>85.86</v>
      </c>
      <c r="U61" s="8">
        <v>83.39</v>
      </c>
      <c r="V61" s="8">
        <v>87.74</v>
      </c>
      <c r="W61" s="8">
        <v>78.8</v>
      </c>
      <c r="X61" s="8">
        <v>67.16</v>
      </c>
      <c r="Y61" s="8">
        <v>85.76</v>
      </c>
      <c r="Z61" s="8">
        <v>85.02</v>
      </c>
      <c r="AA61" s="8">
        <v>71.239999999999995</v>
      </c>
      <c r="AB61" s="8">
        <v>76.55</v>
      </c>
      <c r="AC61" s="8">
        <v>84.47</v>
      </c>
      <c r="AD61" s="8">
        <v>80.58</v>
      </c>
      <c r="AE61" s="8">
        <v>72.739999999999995</v>
      </c>
      <c r="AF61" s="8">
        <v>82.71</v>
      </c>
      <c r="AL61" s="8">
        <v>83.67</v>
      </c>
      <c r="AN61" s="8">
        <v>83.66</v>
      </c>
      <c r="AO61" s="8">
        <v>71.55</v>
      </c>
      <c r="AP61" s="8">
        <v>71.55</v>
      </c>
      <c r="BF61" s="8">
        <v>78.790000000000006</v>
      </c>
      <c r="BG61" s="8">
        <v>78.790000000000006</v>
      </c>
      <c r="BJ61" s="8">
        <v>83.57</v>
      </c>
      <c r="BM61" s="8">
        <v>73.849999999999994</v>
      </c>
      <c r="BN61" s="8">
        <v>71.13</v>
      </c>
      <c r="BZ61" s="8">
        <v>86.65</v>
      </c>
      <c r="CA61" s="8">
        <v>83.35</v>
      </c>
      <c r="CB61" s="8">
        <v>86.94</v>
      </c>
      <c r="CC61" s="8">
        <v>87.13</v>
      </c>
      <c r="CS61" s="8">
        <v>88.65</v>
      </c>
      <c r="DI61" s="8">
        <v>86.35</v>
      </c>
      <c r="DJ61" s="8">
        <v>81.83</v>
      </c>
      <c r="DK61" s="8">
        <v>84.78</v>
      </c>
      <c r="DO61" s="8">
        <v>80.91</v>
      </c>
      <c r="DV61" s="8">
        <v>81.73</v>
      </c>
      <c r="DW61" s="8">
        <v>78.62</v>
      </c>
      <c r="EA61" s="8">
        <v>84.86</v>
      </c>
      <c r="EB61" s="8">
        <v>90.82</v>
      </c>
      <c r="EC61" s="8">
        <v>84.34</v>
      </c>
      <c r="EF61" s="8">
        <v>80.33</v>
      </c>
      <c r="EG61" s="8">
        <v>78.69</v>
      </c>
      <c r="EH61" s="8">
        <v>80.680000000000007</v>
      </c>
      <c r="EI61" s="8">
        <v>81.06</v>
      </c>
      <c r="EJ61" s="8">
        <v>84.03</v>
      </c>
      <c r="EK61" s="8">
        <v>87.86</v>
      </c>
      <c r="EL61" s="8">
        <v>89.21</v>
      </c>
      <c r="EM61" s="8">
        <v>87.69</v>
      </c>
      <c r="EN61" s="8">
        <v>86.51</v>
      </c>
      <c r="EO61" s="8">
        <v>86.38</v>
      </c>
      <c r="EP61" s="8">
        <v>90.28</v>
      </c>
      <c r="EQ61" s="8">
        <v>85.9</v>
      </c>
      <c r="ER61" s="8">
        <v>80.38</v>
      </c>
      <c r="ES61" s="8">
        <v>78.97</v>
      </c>
      <c r="ET61" s="8">
        <v>82.24</v>
      </c>
      <c r="EU61" s="8">
        <v>80.19</v>
      </c>
      <c r="EV61" s="8">
        <v>85.21</v>
      </c>
      <c r="EW61" s="8">
        <v>82.11</v>
      </c>
      <c r="EX61" s="8">
        <v>87.19</v>
      </c>
      <c r="EY61" s="8">
        <v>78.599999999999994</v>
      </c>
      <c r="EZ61" s="8">
        <v>67.28</v>
      </c>
      <c r="FA61" s="8">
        <v>85.29</v>
      </c>
      <c r="FB61" s="8">
        <v>84.81</v>
      </c>
      <c r="FC61" s="8">
        <v>71.23</v>
      </c>
      <c r="FD61" s="8">
        <v>76.7</v>
      </c>
      <c r="FE61" s="8">
        <v>84.6</v>
      </c>
      <c r="FF61" s="8">
        <v>74.56</v>
      </c>
      <c r="FG61" s="8">
        <v>72.89</v>
      </c>
      <c r="FH61" s="8">
        <v>75.180000000000007</v>
      </c>
      <c r="FN61" s="8">
        <v>83.12</v>
      </c>
      <c r="FP61" s="8">
        <v>85.35</v>
      </c>
      <c r="FQ61" s="8">
        <v>69.680000000000007</v>
      </c>
      <c r="FR61" s="8">
        <v>69.680000000000007</v>
      </c>
      <c r="GH61" s="8">
        <v>80.88</v>
      </c>
      <c r="GI61" s="8">
        <v>80.88</v>
      </c>
      <c r="GL61" s="8">
        <v>84.43</v>
      </c>
      <c r="GO61" s="8">
        <v>102.25</v>
      </c>
      <c r="GP61" s="8">
        <v>63.74</v>
      </c>
      <c r="HB61" s="8">
        <v>87.23</v>
      </c>
      <c r="HC61" s="8">
        <v>84.1</v>
      </c>
      <c r="HD61" s="8">
        <v>87.68</v>
      </c>
      <c r="HE61" s="8">
        <v>87.45</v>
      </c>
      <c r="HU61" s="8">
        <v>92.69</v>
      </c>
      <c r="IK61" s="8">
        <v>77.260000000000005</v>
      </c>
      <c r="IL61" s="8">
        <v>73.88</v>
      </c>
      <c r="IM61" s="8">
        <v>82.58</v>
      </c>
      <c r="IQ61" s="8">
        <v>81.02</v>
      </c>
    </row>
    <row r="62" spans="1:251" x14ac:dyDescent="0.2">
      <c r="A62" s="9">
        <v>44531</v>
      </c>
      <c r="D62" s="8">
        <v>80.66</v>
      </c>
      <c r="E62" s="8">
        <v>79.459999999999994</v>
      </c>
      <c r="F62" s="8">
        <v>80.349999999999994</v>
      </c>
      <c r="G62" s="8">
        <v>82.72</v>
      </c>
      <c r="H62" s="8">
        <v>84.86</v>
      </c>
      <c r="I62" s="8">
        <v>87.63</v>
      </c>
      <c r="J62" s="8">
        <v>88.68</v>
      </c>
      <c r="K62" s="8">
        <v>86.64</v>
      </c>
      <c r="L62" s="8">
        <v>86.28</v>
      </c>
      <c r="M62" s="8">
        <v>86.23</v>
      </c>
      <c r="N62" s="8">
        <v>89.64</v>
      </c>
      <c r="O62" s="8">
        <v>86.53</v>
      </c>
      <c r="P62" s="8">
        <v>82.62</v>
      </c>
      <c r="Q62" s="8">
        <v>82.65</v>
      </c>
      <c r="R62" s="8">
        <v>82.58</v>
      </c>
      <c r="S62" s="8">
        <v>82.59</v>
      </c>
      <c r="T62" s="8">
        <v>87.73</v>
      </c>
      <c r="U62" s="8">
        <v>84.35</v>
      </c>
      <c r="V62" s="8">
        <v>90.41</v>
      </c>
      <c r="W62" s="8">
        <v>79.31</v>
      </c>
      <c r="X62" s="8">
        <v>67.510000000000005</v>
      </c>
      <c r="Y62" s="8">
        <v>86.81</v>
      </c>
      <c r="Z62" s="8">
        <v>84.08</v>
      </c>
      <c r="AA62" s="8">
        <v>70.41</v>
      </c>
      <c r="AB62" s="8">
        <v>77.2</v>
      </c>
      <c r="AC62" s="8">
        <v>86.03</v>
      </c>
      <c r="AD62" s="8">
        <v>80.94</v>
      </c>
      <c r="AE62" s="8">
        <v>74.38</v>
      </c>
      <c r="AF62" s="8">
        <v>82.71</v>
      </c>
      <c r="AL62" s="8">
        <v>83.64</v>
      </c>
      <c r="AN62" s="8">
        <v>83.55</v>
      </c>
      <c r="AO62" s="8">
        <v>72.02</v>
      </c>
      <c r="AP62" s="8">
        <v>72.02</v>
      </c>
      <c r="BF62" s="8">
        <v>81.010000000000005</v>
      </c>
      <c r="BG62" s="8">
        <v>81.010000000000005</v>
      </c>
      <c r="BJ62" s="8">
        <v>83.57</v>
      </c>
      <c r="BM62" s="8">
        <v>74.599999999999994</v>
      </c>
      <c r="BN62" s="8">
        <v>72.83</v>
      </c>
      <c r="BZ62" s="8">
        <v>88.51</v>
      </c>
      <c r="CA62" s="8">
        <v>86.36</v>
      </c>
      <c r="CB62" s="8">
        <v>88.48</v>
      </c>
      <c r="CC62" s="8">
        <v>88.99</v>
      </c>
      <c r="CS62" s="8">
        <v>91.98</v>
      </c>
      <c r="DI62" s="8">
        <v>93.48</v>
      </c>
      <c r="DJ62" s="8">
        <v>88.91</v>
      </c>
      <c r="DK62" s="8">
        <v>84.97</v>
      </c>
      <c r="DO62" s="8">
        <v>83.13</v>
      </c>
      <c r="DV62" s="8">
        <v>81.73</v>
      </c>
      <c r="DW62" s="8">
        <v>78.62</v>
      </c>
      <c r="EA62" s="8">
        <v>85.57</v>
      </c>
      <c r="EB62" s="8">
        <v>90.96</v>
      </c>
      <c r="EC62" s="8">
        <v>85.1</v>
      </c>
      <c r="EF62" s="8">
        <v>80.87</v>
      </c>
      <c r="EG62" s="8">
        <v>79.09</v>
      </c>
      <c r="EH62" s="8">
        <v>80.97</v>
      </c>
      <c r="EI62" s="8">
        <v>82.45</v>
      </c>
      <c r="EJ62" s="8">
        <v>85.32</v>
      </c>
      <c r="EK62" s="8">
        <v>88.12</v>
      </c>
      <c r="EL62" s="8">
        <v>90.52</v>
      </c>
      <c r="EM62" s="8">
        <v>86.69</v>
      </c>
      <c r="EN62" s="8">
        <v>86.04</v>
      </c>
      <c r="EO62" s="8">
        <v>86.57</v>
      </c>
      <c r="EP62" s="8">
        <v>90.78</v>
      </c>
      <c r="EQ62" s="8">
        <v>86.2</v>
      </c>
      <c r="ER62" s="8">
        <v>82.55</v>
      </c>
      <c r="ES62" s="8">
        <v>82.57</v>
      </c>
      <c r="ET62" s="8">
        <v>82.4</v>
      </c>
      <c r="EU62" s="8">
        <v>82.65</v>
      </c>
      <c r="EV62" s="8">
        <v>87.31</v>
      </c>
      <c r="EW62" s="8">
        <v>83.67</v>
      </c>
      <c r="EX62" s="8">
        <v>89.68</v>
      </c>
      <c r="EY62" s="8">
        <v>78.989999999999995</v>
      </c>
      <c r="EZ62" s="8">
        <v>67.63</v>
      </c>
      <c r="FA62" s="8">
        <v>86.3</v>
      </c>
      <c r="FB62" s="8">
        <v>83.95</v>
      </c>
      <c r="FC62" s="8">
        <v>70.22</v>
      </c>
      <c r="FD62" s="8">
        <v>77.19</v>
      </c>
      <c r="FE62" s="8">
        <v>86.28</v>
      </c>
      <c r="FF62" s="8">
        <v>75.22</v>
      </c>
      <c r="FG62" s="8">
        <v>74.47</v>
      </c>
      <c r="FH62" s="8">
        <v>75.5</v>
      </c>
      <c r="FN62" s="8">
        <v>82.54</v>
      </c>
      <c r="FP62" s="8">
        <v>84.05</v>
      </c>
      <c r="FQ62" s="8">
        <v>70.11</v>
      </c>
      <c r="FR62" s="8">
        <v>70.11</v>
      </c>
      <c r="GH62" s="8">
        <v>81.88</v>
      </c>
      <c r="GI62" s="8">
        <v>81.88</v>
      </c>
      <c r="GL62" s="8">
        <v>84.43</v>
      </c>
      <c r="GO62" s="8">
        <v>101.84</v>
      </c>
      <c r="GP62" s="8">
        <v>65.819999999999993</v>
      </c>
      <c r="HB62" s="8">
        <v>88.71</v>
      </c>
      <c r="HC62" s="8">
        <v>86.42</v>
      </c>
      <c r="HD62" s="8">
        <v>89.05</v>
      </c>
      <c r="HE62" s="8">
        <v>88.88</v>
      </c>
      <c r="HU62" s="8">
        <v>84.7</v>
      </c>
      <c r="IK62" s="8">
        <v>87.35</v>
      </c>
      <c r="IL62" s="8">
        <v>83.96</v>
      </c>
      <c r="IM62" s="8">
        <v>82.8</v>
      </c>
      <c r="IQ62" s="8">
        <v>83.2</v>
      </c>
    </row>
    <row r="63" spans="1:251" x14ac:dyDescent="0.2">
      <c r="A63" s="9">
        <v>44562</v>
      </c>
      <c r="D63" s="8">
        <v>81.069999999999993</v>
      </c>
      <c r="E63" s="8">
        <v>79.459999999999994</v>
      </c>
      <c r="F63" s="8">
        <v>81.209999999999994</v>
      </c>
      <c r="G63" s="8">
        <v>82.58</v>
      </c>
      <c r="H63" s="8">
        <v>85.33</v>
      </c>
      <c r="I63" s="8">
        <v>90.54</v>
      </c>
      <c r="J63" s="8">
        <v>93.28</v>
      </c>
      <c r="K63" s="8">
        <v>89.1</v>
      </c>
      <c r="L63" s="8">
        <v>91.09</v>
      </c>
      <c r="M63" s="8">
        <v>88.43</v>
      </c>
      <c r="N63" s="8">
        <v>92.57</v>
      </c>
      <c r="O63" s="8">
        <v>87.32</v>
      </c>
      <c r="P63" s="8">
        <v>82.09</v>
      </c>
      <c r="Q63" s="8">
        <v>82.27</v>
      </c>
      <c r="R63" s="8">
        <v>81.92</v>
      </c>
      <c r="S63" s="8">
        <v>82.02</v>
      </c>
      <c r="T63" s="8">
        <v>89.34</v>
      </c>
      <c r="U63" s="8">
        <v>85.26</v>
      </c>
      <c r="V63" s="8">
        <v>92.65</v>
      </c>
      <c r="W63" s="8">
        <v>80.78</v>
      </c>
      <c r="X63" s="8">
        <v>67.95</v>
      </c>
      <c r="Y63" s="8">
        <v>86.35</v>
      </c>
      <c r="Z63" s="8">
        <v>86.37</v>
      </c>
      <c r="AA63" s="8">
        <v>72.739999999999995</v>
      </c>
      <c r="AB63" s="8">
        <v>79.28</v>
      </c>
      <c r="AC63" s="8">
        <v>86.4</v>
      </c>
      <c r="AD63" s="8">
        <v>83</v>
      </c>
      <c r="AE63" s="8">
        <v>77.27</v>
      </c>
      <c r="AF63" s="8">
        <v>84.52</v>
      </c>
      <c r="AL63" s="8">
        <v>83.58</v>
      </c>
      <c r="AN63" s="8">
        <v>83.8</v>
      </c>
      <c r="AO63" s="8">
        <v>72.23</v>
      </c>
      <c r="AP63" s="8">
        <v>72.23</v>
      </c>
      <c r="BF63" s="8">
        <v>81.36</v>
      </c>
      <c r="BG63" s="8">
        <v>81.36</v>
      </c>
      <c r="BJ63" s="8">
        <v>83.57</v>
      </c>
      <c r="BM63" s="8">
        <v>74.45</v>
      </c>
      <c r="BN63" s="8">
        <v>72.83</v>
      </c>
      <c r="BZ63" s="8">
        <v>89.77</v>
      </c>
      <c r="CA63" s="8">
        <v>85.91</v>
      </c>
      <c r="CB63" s="8">
        <v>89.74</v>
      </c>
      <c r="CC63" s="8">
        <v>90.6</v>
      </c>
      <c r="CS63" s="8">
        <v>92.59</v>
      </c>
      <c r="DI63" s="8">
        <v>96.25</v>
      </c>
      <c r="DJ63" s="8">
        <v>92.59</v>
      </c>
      <c r="DK63" s="8">
        <v>65.34</v>
      </c>
      <c r="DO63" s="8">
        <v>85.12</v>
      </c>
      <c r="DV63" s="8">
        <v>81.73</v>
      </c>
      <c r="DW63" s="8">
        <v>78.62</v>
      </c>
      <c r="EA63" s="8">
        <v>85.56</v>
      </c>
      <c r="EB63" s="8">
        <v>90.82</v>
      </c>
      <c r="EC63" s="8">
        <v>85.1</v>
      </c>
      <c r="EF63" s="8">
        <v>81.36</v>
      </c>
      <c r="EG63" s="8">
        <v>79.13</v>
      </c>
      <c r="EH63" s="8">
        <v>81.89</v>
      </c>
      <c r="EI63" s="8">
        <v>82.6</v>
      </c>
      <c r="EJ63" s="8">
        <v>85.76</v>
      </c>
      <c r="EK63" s="8">
        <v>91.13</v>
      </c>
      <c r="EL63" s="8">
        <v>95.26</v>
      </c>
      <c r="EM63" s="8">
        <v>89.14</v>
      </c>
      <c r="EN63" s="8">
        <v>91.41</v>
      </c>
      <c r="EO63" s="8">
        <v>88.86</v>
      </c>
      <c r="EP63" s="8">
        <v>93.01</v>
      </c>
      <c r="EQ63" s="8">
        <v>87.22</v>
      </c>
      <c r="ER63" s="8">
        <v>82.18</v>
      </c>
      <c r="ES63" s="8">
        <v>82.33</v>
      </c>
      <c r="ET63" s="8">
        <v>81.75</v>
      </c>
      <c r="EU63" s="8">
        <v>82.38</v>
      </c>
      <c r="EV63" s="8">
        <v>88.6</v>
      </c>
      <c r="EW63" s="8">
        <v>84.08</v>
      </c>
      <c r="EX63" s="8">
        <v>91.6</v>
      </c>
      <c r="EY63" s="8">
        <v>80.55</v>
      </c>
      <c r="EZ63" s="8">
        <v>68.2</v>
      </c>
      <c r="FA63" s="8">
        <v>85.98</v>
      </c>
      <c r="FB63" s="8">
        <v>86.31</v>
      </c>
      <c r="FC63" s="8">
        <v>72.459999999999994</v>
      </c>
      <c r="FD63" s="8">
        <v>79.23</v>
      </c>
      <c r="FE63" s="8">
        <v>86.76</v>
      </c>
      <c r="FF63" s="8">
        <v>76.87</v>
      </c>
      <c r="FG63" s="8">
        <v>77.09</v>
      </c>
      <c r="FH63" s="8">
        <v>76.790000000000006</v>
      </c>
      <c r="FN63" s="8">
        <v>83</v>
      </c>
      <c r="FP63" s="8">
        <v>85.05</v>
      </c>
      <c r="FQ63" s="8">
        <v>70.3</v>
      </c>
      <c r="FR63" s="8">
        <v>70.3</v>
      </c>
      <c r="GH63" s="8">
        <v>83.37</v>
      </c>
      <c r="GI63" s="8">
        <v>83.37</v>
      </c>
      <c r="GL63" s="8">
        <v>84.43</v>
      </c>
      <c r="GO63" s="8">
        <v>101.12</v>
      </c>
      <c r="GP63" s="8">
        <v>66.930000000000007</v>
      </c>
      <c r="HB63" s="8">
        <v>89.98</v>
      </c>
      <c r="HC63" s="8">
        <v>86.2</v>
      </c>
      <c r="HD63" s="8">
        <v>89.89</v>
      </c>
      <c r="HE63" s="8">
        <v>90.7</v>
      </c>
      <c r="HU63" s="8">
        <v>90.49</v>
      </c>
      <c r="IK63" s="8">
        <v>90.44</v>
      </c>
      <c r="IL63" s="8">
        <v>87.65</v>
      </c>
      <c r="IM63" s="8">
        <v>67.75</v>
      </c>
      <c r="IQ63" s="8">
        <v>85.09</v>
      </c>
    </row>
    <row r="64" spans="1:251" x14ac:dyDescent="0.2">
      <c r="A64" s="9">
        <v>44593</v>
      </c>
      <c r="D64" s="8">
        <v>80.58</v>
      </c>
      <c r="E64" s="8">
        <v>79.709999999999994</v>
      </c>
      <c r="F64" s="8">
        <v>80.47</v>
      </c>
      <c r="G64" s="8">
        <v>78.069999999999993</v>
      </c>
      <c r="H64" s="8">
        <v>86.14</v>
      </c>
      <c r="I64" s="8">
        <v>92.41</v>
      </c>
      <c r="J64" s="8">
        <v>94.6</v>
      </c>
      <c r="K64" s="8">
        <v>90.39</v>
      </c>
      <c r="L64" s="8">
        <v>93.82</v>
      </c>
      <c r="M64" s="8">
        <v>90.54</v>
      </c>
      <c r="N64" s="8">
        <v>94.45</v>
      </c>
      <c r="O64" s="8">
        <v>89.37</v>
      </c>
      <c r="P64" s="8">
        <v>81.819999999999993</v>
      </c>
      <c r="Q64" s="8">
        <v>81.95</v>
      </c>
      <c r="R64" s="8">
        <v>82.12</v>
      </c>
      <c r="S64" s="8">
        <v>81.31</v>
      </c>
      <c r="T64" s="8">
        <v>91.78</v>
      </c>
      <c r="U64" s="8">
        <v>89.45</v>
      </c>
      <c r="V64" s="8">
        <v>93.52</v>
      </c>
      <c r="W64" s="8">
        <v>80.56</v>
      </c>
      <c r="X64" s="8">
        <v>68.260000000000005</v>
      </c>
      <c r="Y64" s="8">
        <v>86.03</v>
      </c>
      <c r="Z64" s="8">
        <v>88.3</v>
      </c>
      <c r="AA64" s="8">
        <v>73.91</v>
      </c>
      <c r="AB64" s="8">
        <v>77.77</v>
      </c>
      <c r="AC64" s="8">
        <v>86.61</v>
      </c>
      <c r="AD64" s="8">
        <v>86.44</v>
      </c>
      <c r="AE64" s="8">
        <v>76.709999999999994</v>
      </c>
      <c r="AF64" s="8">
        <v>89.1</v>
      </c>
      <c r="AL64" s="8">
        <v>84.7</v>
      </c>
      <c r="AN64" s="8">
        <v>84.43</v>
      </c>
      <c r="AO64" s="8">
        <v>72.12</v>
      </c>
      <c r="AP64" s="8">
        <v>72.12</v>
      </c>
      <c r="BF64" s="8">
        <v>82.36</v>
      </c>
      <c r="BG64" s="8">
        <v>82.36</v>
      </c>
      <c r="BJ64" s="8">
        <v>83.57</v>
      </c>
      <c r="BM64" s="8">
        <v>74.45</v>
      </c>
      <c r="BN64" s="8">
        <v>72.83</v>
      </c>
      <c r="BZ64" s="8">
        <v>91.03</v>
      </c>
      <c r="CA64" s="8">
        <v>86.38</v>
      </c>
      <c r="CB64" s="8">
        <v>88.06</v>
      </c>
      <c r="CC64" s="8">
        <v>94.07</v>
      </c>
      <c r="CS64" s="8">
        <v>97.17</v>
      </c>
      <c r="DI64" s="8">
        <v>83.4</v>
      </c>
      <c r="DJ64" s="8">
        <v>80.03</v>
      </c>
      <c r="DK64" s="8">
        <v>60.66</v>
      </c>
      <c r="DO64" s="8">
        <v>84.48</v>
      </c>
      <c r="DV64" s="8">
        <v>84.28</v>
      </c>
      <c r="DW64" s="8">
        <v>82.83</v>
      </c>
      <c r="EA64" s="8">
        <v>85.56</v>
      </c>
      <c r="EB64" s="8">
        <v>90.87</v>
      </c>
      <c r="EC64" s="8">
        <v>85.1</v>
      </c>
      <c r="EF64" s="8">
        <v>81.05</v>
      </c>
      <c r="EG64" s="8">
        <v>79.48</v>
      </c>
      <c r="EH64" s="8">
        <v>81.36</v>
      </c>
      <c r="EI64" s="8">
        <v>78.7</v>
      </c>
      <c r="EJ64" s="8">
        <v>86.79</v>
      </c>
      <c r="EK64" s="8">
        <v>92.83</v>
      </c>
      <c r="EL64" s="8">
        <v>96.39</v>
      </c>
      <c r="EM64" s="8">
        <v>90.85</v>
      </c>
      <c r="EN64" s="8">
        <v>93.95</v>
      </c>
      <c r="EO64" s="8">
        <v>89.96</v>
      </c>
      <c r="EP64" s="8">
        <v>95.2</v>
      </c>
      <c r="EQ64" s="8">
        <v>89.19</v>
      </c>
      <c r="ER64" s="8">
        <v>81.92</v>
      </c>
      <c r="ES64" s="8">
        <v>82.03</v>
      </c>
      <c r="ET64" s="8">
        <v>82.02</v>
      </c>
      <c r="EU64" s="8">
        <v>81.61</v>
      </c>
      <c r="EV64" s="8">
        <v>91.58</v>
      </c>
      <c r="EW64" s="8">
        <v>88.16</v>
      </c>
      <c r="EX64" s="8">
        <v>93.76</v>
      </c>
      <c r="EY64" s="8">
        <v>80.3</v>
      </c>
      <c r="EZ64" s="8">
        <v>68.37</v>
      </c>
      <c r="FA64" s="8">
        <v>85.86</v>
      </c>
      <c r="FB64" s="8">
        <v>87.96</v>
      </c>
      <c r="FC64" s="8">
        <v>73.64</v>
      </c>
      <c r="FD64" s="8">
        <v>77.72</v>
      </c>
      <c r="FE64" s="8">
        <v>86.86</v>
      </c>
      <c r="FF64" s="8">
        <v>79.760000000000005</v>
      </c>
      <c r="FG64" s="8">
        <v>76.77</v>
      </c>
      <c r="FH64" s="8">
        <v>80.84</v>
      </c>
      <c r="FN64" s="8">
        <v>84.48</v>
      </c>
      <c r="FP64" s="8">
        <v>85.83</v>
      </c>
      <c r="FQ64" s="8">
        <v>70.28</v>
      </c>
      <c r="FR64" s="8">
        <v>70.28</v>
      </c>
      <c r="GH64" s="8">
        <v>84.23</v>
      </c>
      <c r="GI64" s="8">
        <v>84.23</v>
      </c>
      <c r="GL64" s="8">
        <v>84.43</v>
      </c>
      <c r="GO64" s="8">
        <v>100.26</v>
      </c>
      <c r="GP64" s="8">
        <v>69.27</v>
      </c>
      <c r="HB64" s="8">
        <v>91.14</v>
      </c>
      <c r="HC64" s="8">
        <v>86.63</v>
      </c>
      <c r="HD64" s="8">
        <v>88.54</v>
      </c>
      <c r="HE64" s="8">
        <v>93.83</v>
      </c>
      <c r="HU64" s="8">
        <v>97.05</v>
      </c>
      <c r="IK64" s="8">
        <v>78.59</v>
      </c>
      <c r="IL64" s="8">
        <v>76.010000000000005</v>
      </c>
      <c r="IM64" s="8">
        <v>62.74</v>
      </c>
      <c r="IQ64" s="8">
        <v>84.7</v>
      </c>
    </row>
    <row r="65" spans="1:251" x14ac:dyDescent="0.2">
      <c r="A65" s="9">
        <v>44621</v>
      </c>
      <c r="D65" s="8">
        <v>82.1</v>
      </c>
      <c r="E65" s="8">
        <v>81.61</v>
      </c>
      <c r="F65" s="8">
        <v>80.38</v>
      </c>
      <c r="G65" s="8">
        <v>86.66</v>
      </c>
      <c r="H65" s="8">
        <v>87.53</v>
      </c>
      <c r="I65" s="8">
        <v>91.19</v>
      </c>
      <c r="J65" s="8">
        <v>95.3</v>
      </c>
      <c r="K65" s="8">
        <v>89.09</v>
      </c>
      <c r="L65" s="8">
        <v>91.66</v>
      </c>
      <c r="M65" s="8">
        <v>90.84</v>
      </c>
      <c r="N65" s="8">
        <v>94.31</v>
      </c>
      <c r="O65" s="8">
        <v>84.75</v>
      </c>
      <c r="P65" s="8">
        <v>82.85</v>
      </c>
      <c r="Q65" s="8">
        <v>82.41</v>
      </c>
      <c r="R65" s="8">
        <v>83.94</v>
      </c>
      <c r="S65" s="8">
        <v>82.21</v>
      </c>
      <c r="T65" s="8">
        <v>93.11</v>
      </c>
      <c r="U65" s="8">
        <v>88.14</v>
      </c>
      <c r="V65" s="8">
        <v>97.18</v>
      </c>
      <c r="W65" s="8">
        <v>81.31</v>
      </c>
      <c r="X65" s="8">
        <v>68.66</v>
      </c>
      <c r="Y65" s="8">
        <v>87.44</v>
      </c>
      <c r="Z65" s="8">
        <v>88.63</v>
      </c>
      <c r="AA65" s="8">
        <v>75.39</v>
      </c>
      <c r="AB65" s="8">
        <v>79.27</v>
      </c>
      <c r="AC65" s="8">
        <v>85.83</v>
      </c>
      <c r="AD65" s="8">
        <v>86.28</v>
      </c>
      <c r="AE65" s="8">
        <v>79.989999999999995</v>
      </c>
      <c r="AF65" s="8">
        <v>87.96</v>
      </c>
      <c r="AL65" s="8">
        <v>85.18</v>
      </c>
      <c r="AN65" s="8">
        <v>84.37</v>
      </c>
      <c r="AO65" s="8">
        <v>72.849999999999994</v>
      </c>
      <c r="AP65" s="8">
        <v>72.849999999999994</v>
      </c>
      <c r="BF65" s="8">
        <v>84.39</v>
      </c>
      <c r="BG65" s="8">
        <v>84.39</v>
      </c>
      <c r="BJ65" s="8">
        <v>83.57</v>
      </c>
      <c r="BM65" s="8">
        <v>74.31</v>
      </c>
      <c r="BN65" s="8">
        <v>72.83</v>
      </c>
      <c r="BZ65" s="8">
        <v>92.28</v>
      </c>
      <c r="CA65" s="8">
        <v>88.03</v>
      </c>
      <c r="CB65" s="8">
        <v>89.53</v>
      </c>
      <c r="CC65" s="8">
        <v>95.1</v>
      </c>
      <c r="CS65" s="8">
        <v>108.54</v>
      </c>
      <c r="DI65" s="8">
        <v>84.57</v>
      </c>
      <c r="DJ65" s="8">
        <v>81.13</v>
      </c>
      <c r="DK65" s="8">
        <v>62.31</v>
      </c>
      <c r="DO65" s="8">
        <v>89.6</v>
      </c>
      <c r="DV65" s="8">
        <v>84.28</v>
      </c>
      <c r="DW65" s="8">
        <v>82.83</v>
      </c>
      <c r="EA65" s="8">
        <v>86.14</v>
      </c>
      <c r="EB65" s="8">
        <v>90.91</v>
      </c>
      <c r="EC65" s="8">
        <v>85.73</v>
      </c>
      <c r="EF65" s="8">
        <v>82.48</v>
      </c>
      <c r="EG65" s="8">
        <v>81.52</v>
      </c>
      <c r="EH65" s="8">
        <v>81.180000000000007</v>
      </c>
      <c r="EI65" s="8">
        <v>86.6</v>
      </c>
      <c r="EJ65" s="8">
        <v>87.83</v>
      </c>
      <c r="EK65" s="8">
        <v>91.83</v>
      </c>
      <c r="EL65" s="8">
        <v>97.46</v>
      </c>
      <c r="EM65" s="8">
        <v>89.15</v>
      </c>
      <c r="EN65" s="8">
        <v>92.42</v>
      </c>
      <c r="EO65" s="8">
        <v>90.63</v>
      </c>
      <c r="EP65" s="8">
        <v>94.48</v>
      </c>
      <c r="EQ65" s="8">
        <v>84.82</v>
      </c>
      <c r="ER65" s="8">
        <v>82.76</v>
      </c>
      <c r="ES65" s="8">
        <v>82.21</v>
      </c>
      <c r="ET65" s="8">
        <v>83.77</v>
      </c>
      <c r="EU65" s="8">
        <v>82.36</v>
      </c>
      <c r="EV65" s="8">
        <v>91.84</v>
      </c>
      <c r="EW65" s="8">
        <v>85.07</v>
      </c>
      <c r="EX65" s="8">
        <v>96.47</v>
      </c>
      <c r="EY65" s="8">
        <v>80.88</v>
      </c>
      <c r="EZ65" s="8">
        <v>68.739999999999995</v>
      </c>
      <c r="FA65" s="8">
        <v>87.15</v>
      </c>
      <c r="FB65" s="8">
        <v>87.93</v>
      </c>
      <c r="FC65" s="8">
        <v>74.849999999999994</v>
      </c>
      <c r="FD65" s="8">
        <v>79</v>
      </c>
      <c r="FE65" s="8">
        <v>85.9</v>
      </c>
      <c r="FF65" s="8">
        <v>80.040000000000006</v>
      </c>
      <c r="FG65" s="8">
        <v>80.09</v>
      </c>
      <c r="FH65" s="8">
        <v>80.02</v>
      </c>
      <c r="FN65" s="8">
        <v>84.11</v>
      </c>
      <c r="FP65" s="8">
        <v>85.08</v>
      </c>
      <c r="FQ65" s="8">
        <v>70.989999999999995</v>
      </c>
      <c r="FR65" s="8">
        <v>70.989999999999995</v>
      </c>
      <c r="GH65" s="8">
        <v>86.12</v>
      </c>
      <c r="GI65" s="8">
        <v>86.12</v>
      </c>
      <c r="GL65" s="8">
        <v>84.43</v>
      </c>
      <c r="GO65" s="8">
        <v>100.26</v>
      </c>
      <c r="GP65" s="8">
        <v>69.25</v>
      </c>
      <c r="HB65" s="8">
        <v>92.17</v>
      </c>
      <c r="HC65" s="8">
        <v>88.46</v>
      </c>
      <c r="HD65" s="8">
        <v>90.11</v>
      </c>
      <c r="HE65" s="8">
        <v>94.34</v>
      </c>
      <c r="HU65" s="8">
        <v>110.03</v>
      </c>
      <c r="IK65" s="8">
        <v>82.68</v>
      </c>
      <c r="IL65" s="8">
        <v>80.010000000000005</v>
      </c>
      <c r="IM65" s="8">
        <v>64.69</v>
      </c>
      <c r="IQ65" s="8">
        <v>89.5</v>
      </c>
    </row>
    <row r="66" spans="1:251" x14ac:dyDescent="0.2">
      <c r="A66" s="9">
        <v>44652</v>
      </c>
      <c r="D66" s="8">
        <v>83.26</v>
      </c>
      <c r="E66" s="8">
        <v>83.05</v>
      </c>
      <c r="F66" s="8">
        <v>81.430000000000007</v>
      </c>
      <c r="G66" s="8">
        <v>87.59</v>
      </c>
      <c r="H66" s="8">
        <v>88.37</v>
      </c>
      <c r="I66" s="8">
        <v>91.34</v>
      </c>
      <c r="J66" s="8">
        <v>95.18</v>
      </c>
      <c r="K66" s="8">
        <v>88.6</v>
      </c>
      <c r="L66" s="8">
        <v>91.58</v>
      </c>
      <c r="M66" s="8">
        <v>92.04</v>
      </c>
      <c r="N66" s="8">
        <v>93.99</v>
      </c>
      <c r="O66" s="8">
        <v>85.22</v>
      </c>
      <c r="P66" s="8">
        <v>83.62</v>
      </c>
      <c r="Q66" s="8">
        <v>83.01</v>
      </c>
      <c r="R66" s="8">
        <v>84.09</v>
      </c>
      <c r="S66" s="8">
        <v>83.82</v>
      </c>
      <c r="T66" s="8">
        <v>94.5</v>
      </c>
      <c r="U66" s="8">
        <v>88.48</v>
      </c>
      <c r="V66" s="8">
        <v>99.51</v>
      </c>
      <c r="W66" s="8">
        <v>82</v>
      </c>
      <c r="X66" s="8">
        <v>69.11</v>
      </c>
      <c r="Y66" s="8">
        <v>88.04</v>
      </c>
      <c r="Z66" s="8">
        <v>88.63</v>
      </c>
      <c r="AA66" s="8">
        <v>77.38</v>
      </c>
      <c r="AB66" s="8">
        <v>79.680000000000007</v>
      </c>
      <c r="AC66" s="8">
        <v>86.95</v>
      </c>
      <c r="AD66" s="8">
        <v>86.27</v>
      </c>
      <c r="AE66" s="8">
        <v>79.900000000000006</v>
      </c>
      <c r="AF66" s="8">
        <v>87.98</v>
      </c>
      <c r="AL66" s="8">
        <v>85.31</v>
      </c>
      <c r="AN66" s="8">
        <v>84.4</v>
      </c>
      <c r="AO66" s="8">
        <v>73.05</v>
      </c>
      <c r="AP66" s="8">
        <v>73.05</v>
      </c>
      <c r="BF66" s="8">
        <v>85.2</v>
      </c>
      <c r="BG66" s="8">
        <v>85.2</v>
      </c>
      <c r="BJ66" s="8">
        <v>83.57</v>
      </c>
      <c r="BM66" s="8">
        <v>73.010000000000005</v>
      </c>
      <c r="BN66" s="8">
        <v>72.31</v>
      </c>
      <c r="BZ66" s="8">
        <v>93.18</v>
      </c>
      <c r="CA66" s="8">
        <v>90.39</v>
      </c>
      <c r="CB66" s="8">
        <v>91.13</v>
      </c>
      <c r="CC66" s="8">
        <v>95.2</v>
      </c>
      <c r="CS66" s="8">
        <v>93.59</v>
      </c>
      <c r="DI66" s="8">
        <v>91.33</v>
      </c>
      <c r="DJ66" s="8">
        <v>87.48</v>
      </c>
      <c r="DK66" s="8">
        <v>70.08</v>
      </c>
      <c r="DO66" s="8">
        <v>91.5</v>
      </c>
      <c r="DV66" s="8">
        <v>84.28</v>
      </c>
      <c r="DW66" s="8">
        <v>82.83</v>
      </c>
      <c r="EA66" s="8">
        <v>86</v>
      </c>
      <c r="EB66" s="8">
        <v>89.23</v>
      </c>
      <c r="EC66" s="8">
        <v>85.73</v>
      </c>
      <c r="EF66" s="8">
        <v>83.5</v>
      </c>
      <c r="EG66" s="8">
        <v>82.88</v>
      </c>
      <c r="EH66" s="8">
        <v>82.04</v>
      </c>
      <c r="EI66" s="8">
        <v>87.54</v>
      </c>
      <c r="EJ66" s="8">
        <v>88.44</v>
      </c>
      <c r="EK66" s="8">
        <v>91.92</v>
      </c>
      <c r="EL66" s="8">
        <v>97.65</v>
      </c>
      <c r="EM66" s="8">
        <v>89.02</v>
      </c>
      <c r="EN66" s="8">
        <v>92.05</v>
      </c>
      <c r="EO66" s="8">
        <v>91.02</v>
      </c>
      <c r="EP66" s="8">
        <v>94.63</v>
      </c>
      <c r="EQ66" s="8">
        <v>84.9</v>
      </c>
      <c r="ER66" s="8">
        <v>83.55</v>
      </c>
      <c r="ES66" s="8">
        <v>82.88</v>
      </c>
      <c r="ET66" s="8">
        <v>83.8</v>
      </c>
      <c r="EU66" s="8">
        <v>84.13</v>
      </c>
      <c r="EV66" s="8">
        <v>92.79</v>
      </c>
      <c r="EW66" s="8">
        <v>84.97</v>
      </c>
      <c r="EX66" s="8">
        <v>98.18</v>
      </c>
      <c r="EY66" s="8">
        <v>81.61</v>
      </c>
      <c r="EZ66" s="8">
        <v>69.209999999999994</v>
      </c>
      <c r="FA66" s="8">
        <v>87.58</v>
      </c>
      <c r="FB66" s="8">
        <v>87.89</v>
      </c>
      <c r="FC66" s="8">
        <v>76.97</v>
      </c>
      <c r="FD66" s="8">
        <v>79.510000000000005</v>
      </c>
      <c r="FE66" s="8">
        <v>86.98</v>
      </c>
      <c r="FF66" s="8">
        <v>80.27</v>
      </c>
      <c r="FG66" s="8">
        <v>80.08</v>
      </c>
      <c r="FH66" s="8">
        <v>80.34</v>
      </c>
      <c r="FN66" s="8">
        <v>83.95</v>
      </c>
      <c r="FP66" s="8">
        <v>85.81</v>
      </c>
      <c r="FQ66" s="8">
        <v>71.2</v>
      </c>
      <c r="FR66" s="8">
        <v>71.2</v>
      </c>
      <c r="GH66" s="8">
        <v>89.29</v>
      </c>
      <c r="GI66" s="8">
        <v>89.29</v>
      </c>
      <c r="GL66" s="8">
        <v>84.43</v>
      </c>
      <c r="GO66" s="8">
        <v>100.39</v>
      </c>
      <c r="GP66" s="8">
        <v>69.25</v>
      </c>
      <c r="HB66" s="8">
        <v>93.2</v>
      </c>
      <c r="HC66" s="8">
        <v>89.95</v>
      </c>
      <c r="HD66" s="8">
        <v>91.66</v>
      </c>
      <c r="HE66" s="8">
        <v>94.92</v>
      </c>
      <c r="HU66" s="8">
        <v>94.59</v>
      </c>
      <c r="IK66" s="8">
        <v>85.5</v>
      </c>
      <c r="IL66" s="8">
        <v>82.47</v>
      </c>
      <c r="IM66" s="8">
        <v>73.680000000000007</v>
      </c>
      <c r="IQ66" s="8">
        <v>91.3</v>
      </c>
    </row>
    <row r="67" spans="1:251" x14ac:dyDescent="0.2">
      <c r="A67" s="9">
        <v>44682</v>
      </c>
      <c r="D67" s="8">
        <v>83.6</v>
      </c>
      <c r="E67" s="8">
        <v>83.78</v>
      </c>
      <c r="F67" s="8">
        <v>81.67</v>
      </c>
      <c r="G67" s="8">
        <v>85.41</v>
      </c>
      <c r="H67" s="8">
        <v>89.59</v>
      </c>
      <c r="I67" s="8">
        <v>92.24</v>
      </c>
      <c r="J67" s="8">
        <v>95.78</v>
      </c>
      <c r="K67" s="8">
        <v>89.44</v>
      </c>
      <c r="L67" s="8">
        <v>92.86</v>
      </c>
      <c r="M67" s="8">
        <v>92.12</v>
      </c>
      <c r="N67" s="8">
        <v>94.88</v>
      </c>
      <c r="O67" s="8">
        <v>86.91</v>
      </c>
      <c r="P67" s="8">
        <v>83.09</v>
      </c>
      <c r="Q67" s="8">
        <v>81.78</v>
      </c>
      <c r="R67" s="8">
        <v>84.38</v>
      </c>
      <c r="S67" s="8">
        <v>83.28</v>
      </c>
      <c r="T67" s="8">
        <v>95.98</v>
      </c>
      <c r="U67" s="8">
        <v>90.39</v>
      </c>
      <c r="V67" s="8">
        <v>100.6</v>
      </c>
      <c r="W67" s="8">
        <v>81.87</v>
      </c>
      <c r="X67" s="8">
        <v>69.41</v>
      </c>
      <c r="Y67" s="8">
        <v>87.35</v>
      </c>
      <c r="Z67" s="8">
        <v>89.52</v>
      </c>
      <c r="AA67" s="8">
        <v>77.650000000000006</v>
      </c>
      <c r="AB67" s="8">
        <v>78.849999999999994</v>
      </c>
      <c r="AC67" s="8">
        <v>87.37</v>
      </c>
      <c r="AD67" s="8">
        <v>86.74</v>
      </c>
      <c r="AE67" s="8">
        <v>78.91</v>
      </c>
      <c r="AF67" s="8">
        <v>88.86</v>
      </c>
      <c r="AL67" s="8">
        <v>85.52</v>
      </c>
      <c r="AN67" s="8">
        <v>84.75</v>
      </c>
      <c r="AO67" s="8">
        <v>73.08</v>
      </c>
      <c r="AP67" s="8">
        <v>73.08</v>
      </c>
      <c r="BF67" s="8">
        <v>86.09</v>
      </c>
      <c r="BG67" s="8">
        <v>86.09</v>
      </c>
      <c r="BJ67" s="8">
        <v>83.57</v>
      </c>
      <c r="BM67" s="8">
        <v>73.44</v>
      </c>
      <c r="BN67" s="8">
        <v>70.989999999999995</v>
      </c>
      <c r="BZ67" s="8">
        <v>93.66</v>
      </c>
      <c r="CA67" s="8">
        <v>91.43</v>
      </c>
      <c r="CB67" s="8">
        <v>91.85</v>
      </c>
      <c r="CC67" s="8">
        <v>95.4</v>
      </c>
      <c r="CS67" s="8">
        <v>105.02</v>
      </c>
      <c r="DI67" s="8">
        <v>85.23</v>
      </c>
      <c r="DJ67" s="8">
        <v>81.14</v>
      </c>
      <c r="DK67" s="8">
        <v>75.930000000000007</v>
      </c>
      <c r="DO67" s="8">
        <v>90.35</v>
      </c>
      <c r="DV67" s="8">
        <v>84.28</v>
      </c>
      <c r="DW67" s="8">
        <v>82.83</v>
      </c>
      <c r="EA67" s="8">
        <v>86.01</v>
      </c>
      <c r="EB67" s="8">
        <v>89.3</v>
      </c>
      <c r="EC67" s="8">
        <v>85.73</v>
      </c>
      <c r="EF67" s="8">
        <v>84</v>
      </c>
      <c r="EG67" s="8">
        <v>83.63</v>
      </c>
      <c r="EH67" s="8">
        <v>82.46</v>
      </c>
      <c r="EI67" s="8">
        <v>85.85</v>
      </c>
      <c r="EJ67" s="8">
        <v>89.99</v>
      </c>
      <c r="EK67" s="8">
        <v>92.87</v>
      </c>
      <c r="EL67" s="8">
        <v>97.85</v>
      </c>
      <c r="EM67" s="8">
        <v>90.24</v>
      </c>
      <c r="EN67" s="8">
        <v>93.44</v>
      </c>
      <c r="EO67" s="8">
        <v>92.02</v>
      </c>
      <c r="EP67" s="8">
        <v>95.21</v>
      </c>
      <c r="EQ67" s="8">
        <v>86.42</v>
      </c>
      <c r="ER67" s="8">
        <v>83.1</v>
      </c>
      <c r="ES67" s="8">
        <v>81.96</v>
      </c>
      <c r="ET67" s="8">
        <v>84.23</v>
      </c>
      <c r="EU67" s="8">
        <v>83.35</v>
      </c>
      <c r="EV67" s="8">
        <v>95.6</v>
      </c>
      <c r="EW67" s="8">
        <v>89.24</v>
      </c>
      <c r="EX67" s="8">
        <v>99.92</v>
      </c>
      <c r="EY67" s="8">
        <v>81.5</v>
      </c>
      <c r="EZ67" s="8">
        <v>69.64</v>
      </c>
      <c r="FA67" s="8">
        <v>86.89</v>
      </c>
      <c r="FB67" s="8">
        <v>88.65</v>
      </c>
      <c r="FC67" s="8">
        <v>77.52</v>
      </c>
      <c r="FD67" s="8">
        <v>78.459999999999994</v>
      </c>
      <c r="FE67" s="8">
        <v>87.86</v>
      </c>
      <c r="FF67" s="8">
        <v>80.37</v>
      </c>
      <c r="FG67" s="8">
        <v>78.959999999999994</v>
      </c>
      <c r="FH67" s="8">
        <v>80.89</v>
      </c>
      <c r="FN67" s="8">
        <v>84.26</v>
      </c>
      <c r="FP67" s="8">
        <v>86.29</v>
      </c>
      <c r="FQ67" s="8">
        <v>71.14</v>
      </c>
      <c r="FR67" s="8">
        <v>71.14</v>
      </c>
      <c r="GH67" s="8">
        <v>90.08</v>
      </c>
      <c r="GI67" s="8">
        <v>90.08</v>
      </c>
      <c r="GL67" s="8">
        <v>84.43</v>
      </c>
      <c r="GO67" s="8">
        <v>100.01</v>
      </c>
      <c r="GP67" s="8">
        <v>66.209999999999994</v>
      </c>
      <c r="HB67" s="8">
        <v>94.08</v>
      </c>
      <c r="HC67" s="8">
        <v>91.32</v>
      </c>
      <c r="HD67" s="8">
        <v>92.26</v>
      </c>
      <c r="HE67" s="8">
        <v>95.91</v>
      </c>
      <c r="HU67" s="8">
        <v>104.56</v>
      </c>
      <c r="IK67" s="8">
        <v>79.709999999999994</v>
      </c>
      <c r="IL67" s="8">
        <v>76.53</v>
      </c>
      <c r="IM67" s="8">
        <v>77.38</v>
      </c>
      <c r="IQ67" s="8">
        <v>90.23</v>
      </c>
    </row>
    <row r="68" spans="1:251" x14ac:dyDescent="0.2">
      <c r="A68" s="9">
        <v>44713</v>
      </c>
      <c r="D68" s="8">
        <v>84.76</v>
      </c>
      <c r="E68" s="8">
        <v>84.6</v>
      </c>
      <c r="F68" s="8">
        <v>82.99</v>
      </c>
      <c r="G68" s="8">
        <v>88.09</v>
      </c>
      <c r="H68" s="8">
        <v>90.2</v>
      </c>
      <c r="I68" s="8">
        <v>92.32</v>
      </c>
      <c r="J68" s="8">
        <v>94.91</v>
      </c>
      <c r="K68" s="8">
        <v>88.66</v>
      </c>
      <c r="L68" s="8">
        <v>92.73</v>
      </c>
      <c r="M68" s="8">
        <v>91.09</v>
      </c>
      <c r="N68" s="8">
        <v>96.47</v>
      </c>
      <c r="O68" s="8">
        <v>88.4</v>
      </c>
      <c r="P68" s="8">
        <v>83.75</v>
      </c>
      <c r="Q68" s="8">
        <v>83.64</v>
      </c>
      <c r="R68" s="8">
        <v>84.02</v>
      </c>
      <c r="S68" s="8">
        <v>83.56</v>
      </c>
      <c r="T68" s="8">
        <v>98.62</v>
      </c>
      <c r="U68" s="8">
        <v>91.2</v>
      </c>
      <c r="V68" s="8">
        <v>104.85</v>
      </c>
      <c r="W68" s="8">
        <v>83.04</v>
      </c>
      <c r="X68" s="8">
        <v>72.72</v>
      </c>
      <c r="Y68" s="8">
        <v>89.01</v>
      </c>
      <c r="Z68" s="8">
        <v>90.17</v>
      </c>
      <c r="AA68" s="8">
        <v>79.510000000000005</v>
      </c>
      <c r="AB68" s="8">
        <v>80.34</v>
      </c>
      <c r="AC68" s="8">
        <v>87.14</v>
      </c>
      <c r="AD68" s="8">
        <v>87.11</v>
      </c>
      <c r="AE68" s="8">
        <v>78.78</v>
      </c>
      <c r="AF68" s="8">
        <v>89.37</v>
      </c>
      <c r="AL68" s="8">
        <v>85.52</v>
      </c>
      <c r="AN68" s="8">
        <v>84.46</v>
      </c>
      <c r="AO68" s="8">
        <v>73.14</v>
      </c>
      <c r="AP68" s="8">
        <v>73.14</v>
      </c>
      <c r="BF68" s="8">
        <v>87.84</v>
      </c>
      <c r="BG68" s="8">
        <v>87.84</v>
      </c>
      <c r="BJ68" s="8">
        <v>83.57</v>
      </c>
      <c r="BM68" s="8">
        <v>77.73</v>
      </c>
      <c r="BN68" s="8">
        <v>72.95</v>
      </c>
      <c r="BZ68" s="8">
        <v>93.83</v>
      </c>
      <c r="CA68" s="8">
        <v>90.79</v>
      </c>
      <c r="CB68" s="8">
        <v>91.54</v>
      </c>
      <c r="CC68" s="8">
        <v>96.07</v>
      </c>
      <c r="CS68" s="8">
        <v>111.35</v>
      </c>
      <c r="DI68" s="8">
        <v>89.64</v>
      </c>
      <c r="DJ68" s="8">
        <v>85.22</v>
      </c>
      <c r="DK68" s="8">
        <v>82.4</v>
      </c>
      <c r="DO68" s="8">
        <v>92.08</v>
      </c>
      <c r="DV68" s="8">
        <v>84.28</v>
      </c>
      <c r="DW68" s="8">
        <v>82.83</v>
      </c>
      <c r="EA68" s="8">
        <v>87.36</v>
      </c>
      <c r="EB68" s="8">
        <v>89.81</v>
      </c>
      <c r="EC68" s="8">
        <v>87.15</v>
      </c>
      <c r="EF68" s="8">
        <v>84.94</v>
      </c>
      <c r="EG68" s="8">
        <v>84.27</v>
      </c>
      <c r="EH68" s="8">
        <v>83.76</v>
      </c>
      <c r="EI68" s="8">
        <v>87.63</v>
      </c>
      <c r="EJ68" s="8">
        <v>89.96</v>
      </c>
      <c r="EK68" s="8">
        <v>92.96</v>
      </c>
      <c r="EL68" s="8">
        <v>97.33</v>
      </c>
      <c r="EM68" s="8">
        <v>88.79</v>
      </c>
      <c r="EN68" s="8">
        <v>93.27</v>
      </c>
      <c r="EO68" s="8">
        <v>91.4</v>
      </c>
      <c r="EP68" s="8">
        <v>96.63</v>
      </c>
      <c r="EQ68" s="8">
        <v>88.01</v>
      </c>
      <c r="ER68" s="8">
        <v>83.66</v>
      </c>
      <c r="ES68" s="8">
        <v>83.38</v>
      </c>
      <c r="ET68" s="8">
        <v>83.94</v>
      </c>
      <c r="EU68" s="8">
        <v>83.69</v>
      </c>
      <c r="EV68" s="8">
        <v>98.93</v>
      </c>
      <c r="EW68" s="8">
        <v>90.65</v>
      </c>
      <c r="EX68" s="8">
        <v>104.64</v>
      </c>
      <c r="EY68" s="8">
        <v>82.64</v>
      </c>
      <c r="EZ68" s="8">
        <v>73.430000000000007</v>
      </c>
      <c r="FA68" s="8">
        <v>88.62</v>
      </c>
      <c r="FB68" s="8">
        <v>89.53</v>
      </c>
      <c r="FC68" s="8">
        <v>79.180000000000007</v>
      </c>
      <c r="FD68" s="8">
        <v>79.849999999999994</v>
      </c>
      <c r="FE68" s="8">
        <v>87.3</v>
      </c>
      <c r="FF68" s="8">
        <v>80.540000000000006</v>
      </c>
      <c r="FG68" s="8">
        <v>78.67</v>
      </c>
      <c r="FH68" s="8">
        <v>81.22</v>
      </c>
      <c r="FN68" s="8">
        <v>84.49</v>
      </c>
      <c r="FP68" s="8">
        <v>85.49</v>
      </c>
      <c r="FQ68" s="8">
        <v>71.19</v>
      </c>
      <c r="FR68" s="8">
        <v>71.19</v>
      </c>
      <c r="GH68" s="8">
        <v>91.85</v>
      </c>
      <c r="GI68" s="8">
        <v>91.85</v>
      </c>
      <c r="GL68" s="8">
        <v>84.43</v>
      </c>
      <c r="GO68" s="8">
        <v>99.57</v>
      </c>
      <c r="GP68" s="8">
        <v>69.38</v>
      </c>
      <c r="HB68" s="8">
        <v>94.1</v>
      </c>
      <c r="HC68" s="8">
        <v>90.86</v>
      </c>
      <c r="HD68" s="8">
        <v>92.17</v>
      </c>
      <c r="HE68" s="8">
        <v>96.1</v>
      </c>
      <c r="HU68" s="8">
        <v>112.53</v>
      </c>
      <c r="IK68" s="8">
        <v>86.36</v>
      </c>
      <c r="IL68" s="8">
        <v>82.91</v>
      </c>
      <c r="IM68" s="8">
        <v>84.22</v>
      </c>
      <c r="IQ68" s="8">
        <v>91.93</v>
      </c>
    </row>
    <row r="69" spans="1:251" x14ac:dyDescent="0.2">
      <c r="A69" s="9">
        <v>44743</v>
      </c>
      <c r="D69" s="8">
        <v>85.72</v>
      </c>
      <c r="E69" s="8">
        <v>84.98</v>
      </c>
      <c r="F69" s="8">
        <v>83.97</v>
      </c>
      <c r="G69" s="8">
        <v>88.95</v>
      </c>
      <c r="H69" s="8">
        <v>93.13</v>
      </c>
      <c r="I69" s="8">
        <v>93.22</v>
      </c>
      <c r="J69" s="8">
        <v>95.63</v>
      </c>
      <c r="K69" s="8">
        <v>88.88</v>
      </c>
      <c r="L69" s="8">
        <v>92.26</v>
      </c>
      <c r="M69" s="8">
        <v>92.81</v>
      </c>
      <c r="N69" s="8">
        <v>96.78</v>
      </c>
      <c r="O69" s="8">
        <v>90.56</v>
      </c>
      <c r="P69" s="8">
        <v>87.06</v>
      </c>
      <c r="Q69" s="8">
        <v>88.77</v>
      </c>
      <c r="R69" s="8">
        <v>86.23</v>
      </c>
      <c r="S69" s="8">
        <v>85.81</v>
      </c>
      <c r="T69" s="8">
        <v>102.91</v>
      </c>
      <c r="U69" s="8">
        <v>98.94</v>
      </c>
      <c r="V69" s="8">
        <v>106.08</v>
      </c>
      <c r="W69" s="8">
        <v>84.54</v>
      </c>
      <c r="X69" s="8">
        <v>74.010000000000005</v>
      </c>
      <c r="Y69" s="8">
        <v>90.83</v>
      </c>
      <c r="Z69" s="8">
        <v>91.59</v>
      </c>
      <c r="AA69" s="8">
        <v>82.84</v>
      </c>
      <c r="AB69" s="8">
        <v>81.150000000000006</v>
      </c>
      <c r="AC69" s="8">
        <v>89.17</v>
      </c>
      <c r="AD69" s="8">
        <v>88.03</v>
      </c>
      <c r="AE69" s="8">
        <v>79.540000000000006</v>
      </c>
      <c r="AF69" s="8">
        <v>90.34</v>
      </c>
      <c r="AL69" s="8">
        <v>85.91</v>
      </c>
      <c r="AN69" s="8">
        <v>84.51</v>
      </c>
      <c r="AO69" s="8">
        <v>73.25</v>
      </c>
      <c r="AP69" s="8">
        <v>73.25</v>
      </c>
      <c r="BD69" s="8">
        <v>82.63</v>
      </c>
      <c r="BE69" s="8">
        <v>82.63</v>
      </c>
      <c r="BF69" s="8">
        <v>88.69</v>
      </c>
      <c r="BG69" s="8">
        <v>88.69</v>
      </c>
      <c r="BJ69" s="8">
        <v>83.57</v>
      </c>
      <c r="BM69" s="8">
        <v>92.38</v>
      </c>
      <c r="BN69" s="8">
        <v>81.87</v>
      </c>
      <c r="BZ69" s="8">
        <v>94.85</v>
      </c>
      <c r="CA69" s="8">
        <v>91.3</v>
      </c>
      <c r="CB69" s="8">
        <v>92.3</v>
      </c>
      <c r="CC69" s="8">
        <v>97.38</v>
      </c>
      <c r="CS69" s="8">
        <v>104.64</v>
      </c>
      <c r="CZ69" s="8">
        <v>80.95</v>
      </c>
      <c r="DI69" s="8">
        <v>91.17</v>
      </c>
      <c r="DJ69" s="8">
        <v>86.62</v>
      </c>
      <c r="DK69" s="8">
        <v>84.91</v>
      </c>
      <c r="DO69" s="8">
        <v>92.43</v>
      </c>
      <c r="DV69" s="8">
        <v>84.28</v>
      </c>
      <c r="DW69" s="8">
        <v>82.83</v>
      </c>
      <c r="EA69" s="8">
        <v>87.37</v>
      </c>
      <c r="EB69" s="8">
        <v>89.9</v>
      </c>
      <c r="EC69" s="8">
        <v>87.15</v>
      </c>
      <c r="EF69" s="8">
        <v>85.74</v>
      </c>
      <c r="EG69" s="8">
        <v>84.66</v>
      </c>
      <c r="EH69" s="8">
        <v>84.29</v>
      </c>
      <c r="EI69" s="8">
        <v>88.55</v>
      </c>
      <c r="EJ69" s="8">
        <v>92.92</v>
      </c>
      <c r="EK69" s="8">
        <v>93.82</v>
      </c>
      <c r="EL69" s="8">
        <v>97.77</v>
      </c>
      <c r="EM69" s="8">
        <v>89.02</v>
      </c>
      <c r="EN69" s="8">
        <v>93.27</v>
      </c>
      <c r="EO69" s="8">
        <v>92.79</v>
      </c>
      <c r="EP69" s="8">
        <v>97.16</v>
      </c>
      <c r="EQ69" s="8">
        <v>90.06</v>
      </c>
      <c r="ER69" s="8">
        <v>87.03</v>
      </c>
      <c r="ES69" s="8">
        <v>88.5</v>
      </c>
      <c r="ET69" s="8">
        <v>86.18</v>
      </c>
      <c r="EU69" s="8">
        <v>85.91</v>
      </c>
      <c r="EV69" s="8">
        <v>102.19</v>
      </c>
      <c r="EW69" s="8">
        <v>96.53</v>
      </c>
      <c r="EX69" s="8">
        <v>105.98</v>
      </c>
      <c r="EY69" s="8">
        <v>84.1</v>
      </c>
      <c r="EZ69" s="8">
        <v>74.2</v>
      </c>
      <c r="FA69" s="8">
        <v>90.32</v>
      </c>
      <c r="FB69" s="8">
        <v>91.04</v>
      </c>
      <c r="FC69" s="8">
        <v>82.44</v>
      </c>
      <c r="FD69" s="8">
        <v>80.63</v>
      </c>
      <c r="FE69" s="8">
        <v>89.31</v>
      </c>
      <c r="FF69" s="8">
        <v>81.209999999999994</v>
      </c>
      <c r="FG69" s="8">
        <v>79.459999999999994</v>
      </c>
      <c r="FH69" s="8">
        <v>81.849999999999994</v>
      </c>
      <c r="FN69" s="8">
        <v>84.63</v>
      </c>
      <c r="FP69" s="8">
        <v>85.41</v>
      </c>
      <c r="FQ69" s="8">
        <v>71.37</v>
      </c>
      <c r="FR69" s="8">
        <v>71.37</v>
      </c>
      <c r="GF69" s="8">
        <v>85.02</v>
      </c>
      <c r="GG69" s="8">
        <v>85.02</v>
      </c>
      <c r="GH69" s="8">
        <v>93.4</v>
      </c>
      <c r="GI69" s="8">
        <v>93.4</v>
      </c>
      <c r="GL69" s="8">
        <v>84.43</v>
      </c>
      <c r="GO69" s="8">
        <v>107.05</v>
      </c>
      <c r="GP69" s="8">
        <v>76.67</v>
      </c>
      <c r="HB69" s="8">
        <v>95.39</v>
      </c>
      <c r="HC69" s="8">
        <v>91.8</v>
      </c>
      <c r="HD69" s="8">
        <v>92.79</v>
      </c>
      <c r="HE69" s="8">
        <v>97.94</v>
      </c>
      <c r="HU69" s="8">
        <v>114.13</v>
      </c>
      <c r="IB69" s="8">
        <v>80.95</v>
      </c>
      <c r="IK69" s="8">
        <v>88.31</v>
      </c>
      <c r="IL69" s="8">
        <v>84.73</v>
      </c>
      <c r="IM69" s="8">
        <v>87.29</v>
      </c>
      <c r="IQ69" s="8">
        <v>92.26</v>
      </c>
    </row>
    <row r="70" spans="1:251" x14ac:dyDescent="0.2">
      <c r="A70" s="9">
        <v>44774</v>
      </c>
      <c r="D70" s="8">
        <v>86.8</v>
      </c>
      <c r="E70" s="8">
        <v>85.35</v>
      </c>
      <c r="F70" s="8">
        <v>85.27</v>
      </c>
      <c r="G70" s="8">
        <v>92.07</v>
      </c>
      <c r="H70" s="8">
        <v>94.24</v>
      </c>
      <c r="I70" s="8">
        <v>93.65</v>
      </c>
      <c r="J70" s="8">
        <v>95.88</v>
      </c>
      <c r="K70" s="8">
        <v>89.07</v>
      </c>
      <c r="L70" s="8">
        <v>91.33</v>
      </c>
      <c r="M70" s="8">
        <v>94.85</v>
      </c>
      <c r="N70" s="8">
        <v>97.5</v>
      </c>
      <c r="O70" s="8">
        <v>90.6</v>
      </c>
      <c r="P70" s="8">
        <v>89.1</v>
      </c>
      <c r="Q70" s="8">
        <v>92.52</v>
      </c>
      <c r="R70" s="8">
        <v>87.73</v>
      </c>
      <c r="S70" s="8">
        <v>86.36</v>
      </c>
      <c r="T70" s="8">
        <v>104.51</v>
      </c>
      <c r="U70" s="8">
        <v>100.79</v>
      </c>
      <c r="V70" s="8">
        <v>107.43</v>
      </c>
      <c r="W70" s="8">
        <v>85.85</v>
      </c>
      <c r="X70" s="8">
        <v>74.75</v>
      </c>
      <c r="Y70" s="8">
        <v>92.55</v>
      </c>
      <c r="Z70" s="8">
        <v>91.76</v>
      </c>
      <c r="AA70" s="8">
        <v>84.46</v>
      </c>
      <c r="AB70" s="8">
        <v>82.38</v>
      </c>
      <c r="AC70" s="8">
        <v>91.16</v>
      </c>
      <c r="AD70" s="8">
        <v>89.01</v>
      </c>
      <c r="AE70" s="8">
        <v>80.260000000000005</v>
      </c>
      <c r="AF70" s="8">
        <v>91.39</v>
      </c>
      <c r="AL70" s="8">
        <v>88.82</v>
      </c>
      <c r="AN70" s="8">
        <v>86.49</v>
      </c>
      <c r="AO70" s="8">
        <v>73.5</v>
      </c>
      <c r="AP70" s="8">
        <v>73.5</v>
      </c>
      <c r="BD70" s="8">
        <v>83.02</v>
      </c>
      <c r="BE70" s="8">
        <v>83.02</v>
      </c>
      <c r="BF70" s="8">
        <v>89.72</v>
      </c>
      <c r="BG70" s="8">
        <v>89.72</v>
      </c>
      <c r="BJ70" s="8">
        <v>83.57</v>
      </c>
      <c r="BM70" s="8">
        <v>93.08</v>
      </c>
      <c r="BN70" s="8">
        <v>81.87</v>
      </c>
      <c r="BZ70" s="8">
        <v>95.44</v>
      </c>
      <c r="CA70" s="8">
        <v>91.98</v>
      </c>
      <c r="CB70" s="8">
        <v>94.15</v>
      </c>
      <c r="CC70" s="8">
        <v>97.08</v>
      </c>
      <c r="CS70" s="8">
        <v>95.89</v>
      </c>
      <c r="CZ70" s="8">
        <v>81.150000000000006</v>
      </c>
      <c r="DI70" s="8">
        <v>86.7</v>
      </c>
      <c r="DJ70" s="8">
        <v>82.11</v>
      </c>
      <c r="DK70" s="8">
        <v>86.13</v>
      </c>
      <c r="DO70" s="8">
        <v>92.64</v>
      </c>
      <c r="DV70" s="8">
        <v>84.28</v>
      </c>
      <c r="DW70" s="8">
        <v>82.87</v>
      </c>
      <c r="EA70" s="8">
        <v>87.27</v>
      </c>
      <c r="EB70" s="8">
        <v>88.73</v>
      </c>
      <c r="EC70" s="8">
        <v>87.15</v>
      </c>
      <c r="EF70" s="8">
        <v>87.08</v>
      </c>
      <c r="EG70" s="8">
        <v>85.07</v>
      </c>
      <c r="EH70" s="8">
        <v>86.04</v>
      </c>
      <c r="EI70" s="8">
        <v>91.71</v>
      </c>
      <c r="EJ70" s="8">
        <v>94.3</v>
      </c>
      <c r="EK70" s="8">
        <v>94.28</v>
      </c>
      <c r="EL70" s="8">
        <v>97.78</v>
      </c>
      <c r="EM70" s="8">
        <v>89.35</v>
      </c>
      <c r="EN70" s="8">
        <v>92.47</v>
      </c>
      <c r="EO70" s="8">
        <v>95.15</v>
      </c>
      <c r="EP70" s="8">
        <v>97.63</v>
      </c>
      <c r="EQ70" s="8">
        <v>90.08</v>
      </c>
      <c r="ER70" s="8">
        <v>89.19</v>
      </c>
      <c r="ES70" s="8">
        <v>92.56</v>
      </c>
      <c r="ET70" s="8">
        <v>87.59</v>
      </c>
      <c r="EU70" s="8">
        <v>86.28</v>
      </c>
      <c r="EV70" s="8">
        <v>104.17</v>
      </c>
      <c r="EW70" s="8">
        <v>99.43</v>
      </c>
      <c r="EX70" s="8">
        <v>107.28</v>
      </c>
      <c r="EY70" s="8">
        <v>85.35</v>
      </c>
      <c r="EZ70" s="8">
        <v>74.8</v>
      </c>
      <c r="FA70" s="8">
        <v>92.02</v>
      </c>
      <c r="FB70" s="8">
        <v>91.31</v>
      </c>
      <c r="FC70" s="8">
        <v>84.26</v>
      </c>
      <c r="FD70" s="8">
        <v>81.8</v>
      </c>
      <c r="FE70" s="8">
        <v>91.17</v>
      </c>
      <c r="FF70" s="8">
        <v>82.64</v>
      </c>
      <c r="FG70" s="8">
        <v>80.3</v>
      </c>
      <c r="FH70" s="8">
        <v>83.49</v>
      </c>
      <c r="FN70" s="8">
        <v>88.71</v>
      </c>
      <c r="FP70" s="8">
        <v>86.94</v>
      </c>
      <c r="FQ70" s="8">
        <v>71.5</v>
      </c>
      <c r="FR70" s="8">
        <v>71.5</v>
      </c>
      <c r="GF70" s="8">
        <v>85.4</v>
      </c>
      <c r="GG70" s="8">
        <v>85.4</v>
      </c>
      <c r="GH70" s="8">
        <v>94.32</v>
      </c>
      <c r="GI70" s="8">
        <v>94.32</v>
      </c>
      <c r="GL70" s="8">
        <v>84.43</v>
      </c>
      <c r="GO70" s="8">
        <v>108.12</v>
      </c>
      <c r="GP70" s="8">
        <v>78.28</v>
      </c>
      <c r="HB70" s="8">
        <v>96.13</v>
      </c>
      <c r="HC70" s="8">
        <v>92.38</v>
      </c>
      <c r="HD70" s="8">
        <v>94.56</v>
      </c>
      <c r="HE70" s="8">
        <v>97.94</v>
      </c>
      <c r="HU70" s="8">
        <v>95.65</v>
      </c>
      <c r="IB70" s="8">
        <v>81.150000000000006</v>
      </c>
      <c r="IK70" s="8">
        <v>83.51</v>
      </c>
      <c r="IL70" s="8">
        <v>79.819999999999993</v>
      </c>
      <c r="IM70" s="8">
        <v>90.11</v>
      </c>
      <c r="IQ70" s="8">
        <v>92.62</v>
      </c>
    </row>
    <row r="71" spans="1:251" x14ac:dyDescent="0.2">
      <c r="A71" s="9">
        <v>44805</v>
      </c>
      <c r="D71" s="8">
        <v>88.61</v>
      </c>
      <c r="E71" s="8">
        <v>89.22</v>
      </c>
      <c r="F71" s="8">
        <v>86.33</v>
      </c>
      <c r="G71" s="8">
        <v>92.42</v>
      </c>
      <c r="H71" s="8">
        <v>93.17</v>
      </c>
      <c r="I71" s="8">
        <v>93.84</v>
      </c>
      <c r="J71" s="8">
        <v>95.99</v>
      </c>
      <c r="K71" s="8">
        <v>89.07</v>
      </c>
      <c r="L71" s="8">
        <v>90.24</v>
      </c>
      <c r="M71" s="8">
        <v>95.95</v>
      </c>
      <c r="N71" s="8">
        <v>97.64</v>
      </c>
      <c r="O71" s="8">
        <v>91.11</v>
      </c>
      <c r="P71" s="8">
        <v>90.3</v>
      </c>
      <c r="Q71" s="8">
        <v>92.88</v>
      </c>
      <c r="R71" s="8">
        <v>89.53</v>
      </c>
      <c r="S71" s="8">
        <v>87.96</v>
      </c>
      <c r="T71" s="8">
        <v>97.57</v>
      </c>
      <c r="U71" s="8">
        <v>93.31</v>
      </c>
      <c r="V71" s="8">
        <v>101</v>
      </c>
      <c r="W71" s="8">
        <v>86.23</v>
      </c>
      <c r="X71" s="8">
        <v>74.959999999999994</v>
      </c>
      <c r="Y71" s="8">
        <v>92.22</v>
      </c>
      <c r="Z71" s="8">
        <v>92</v>
      </c>
      <c r="AA71" s="8">
        <v>84.05</v>
      </c>
      <c r="AB71" s="8">
        <v>83.33</v>
      </c>
      <c r="AC71" s="8">
        <v>91.15</v>
      </c>
      <c r="AD71" s="8">
        <v>89.05</v>
      </c>
      <c r="AE71" s="8">
        <v>82.35</v>
      </c>
      <c r="AF71" s="8">
        <v>90.84</v>
      </c>
      <c r="AL71" s="8">
        <v>89.16</v>
      </c>
      <c r="AN71" s="8">
        <v>86.67</v>
      </c>
      <c r="AO71" s="8">
        <v>74.319999999999993</v>
      </c>
      <c r="AP71" s="8">
        <v>74.319999999999993</v>
      </c>
      <c r="BD71" s="8">
        <v>83.43</v>
      </c>
      <c r="BE71" s="8">
        <v>83.43</v>
      </c>
      <c r="BF71" s="8">
        <v>90.71</v>
      </c>
      <c r="BG71" s="8">
        <v>90.71</v>
      </c>
      <c r="BJ71" s="8">
        <v>85.84</v>
      </c>
      <c r="BM71" s="8">
        <v>92.4</v>
      </c>
      <c r="BN71" s="8">
        <v>82.63</v>
      </c>
      <c r="BZ71" s="8">
        <v>96.31</v>
      </c>
      <c r="CA71" s="8">
        <v>93.07</v>
      </c>
      <c r="CB71" s="8">
        <v>94.53</v>
      </c>
      <c r="CC71" s="8">
        <v>98.23</v>
      </c>
      <c r="CS71" s="8">
        <v>93.35</v>
      </c>
      <c r="CZ71" s="8">
        <v>81.84</v>
      </c>
      <c r="DI71" s="8">
        <v>90.17</v>
      </c>
      <c r="DJ71" s="8">
        <v>85.14</v>
      </c>
      <c r="DK71" s="8">
        <v>95.31</v>
      </c>
      <c r="DO71" s="8">
        <v>94.38</v>
      </c>
      <c r="DV71" s="8">
        <v>84.28</v>
      </c>
      <c r="DW71" s="8">
        <v>82.87</v>
      </c>
      <c r="EA71" s="8">
        <v>87.68</v>
      </c>
      <c r="EB71" s="8">
        <v>88.82</v>
      </c>
      <c r="EC71" s="8">
        <v>87.59</v>
      </c>
      <c r="EF71" s="8">
        <v>88.53</v>
      </c>
      <c r="EG71" s="8">
        <v>88.78</v>
      </c>
      <c r="EH71" s="8">
        <v>86.57</v>
      </c>
      <c r="EI71" s="8">
        <v>92.25</v>
      </c>
      <c r="EJ71" s="8">
        <v>92.98</v>
      </c>
      <c r="EK71" s="8">
        <v>94.44</v>
      </c>
      <c r="EL71" s="8">
        <v>97.75</v>
      </c>
      <c r="EM71" s="8">
        <v>89.63</v>
      </c>
      <c r="EN71" s="8">
        <v>90.91</v>
      </c>
      <c r="EO71" s="8">
        <v>96.15</v>
      </c>
      <c r="EP71" s="8">
        <v>97.52</v>
      </c>
      <c r="EQ71" s="8">
        <v>90.94</v>
      </c>
      <c r="ER71" s="8">
        <v>90.36</v>
      </c>
      <c r="ES71" s="8">
        <v>92.99</v>
      </c>
      <c r="ET71" s="8">
        <v>89.38</v>
      </c>
      <c r="EU71" s="8">
        <v>87.78</v>
      </c>
      <c r="EV71" s="8">
        <v>96.95</v>
      </c>
      <c r="EW71" s="8">
        <v>91.9</v>
      </c>
      <c r="EX71" s="8">
        <v>100.31</v>
      </c>
      <c r="EY71" s="8">
        <v>85.84</v>
      </c>
      <c r="EZ71" s="8">
        <v>75.08</v>
      </c>
      <c r="FA71" s="8">
        <v>91.68</v>
      </c>
      <c r="FB71" s="8">
        <v>91.87</v>
      </c>
      <c r="FC71" s="8">
        <v>83.65</v>
      </c>
      <c r="FD71" s="8">
        <v>82.97</v>
      </c>
      <c r="FE71" s="8">
        <v>91.11</v>
      </c>
      <c r="FF71" s="8">
        <v>82.88</v>
      </c>
      <c r="FG71" s="8">
        <v>82.01</v>
      </c>
      <c r="FH71" s="8">
        <v>83.21</v>
      </c>
      <c r="FN71" s="8">
        <v>88.84</v>
      </c>
      <c r="FP71" s="8">
        <v>86.92</v>
      </c>
      <c r="FQ71" s="8">
        <v>72.3</v>
      </c>
      <c r="FR71" s="8">
        <v>72.3</v>
      </c>
      <c r="GF71" s="8">
        <v>85.67</v>
      </c>
      <c r="GG71" s="8">
        <v>85.67</v>
      </c>
      <c r="GH71" s="8">
        <v>94.91</v>
      </c>
      <c r="GI71" s="8">
        <v>94.91</v>
      </c>
      <c r="GL71" s="8">
        <v>87.49</v>
      </c>
      <c r="GO71" s="8">
        <v>108.12</v>
      </c>
      <c r="GP71" s="8">
        <v>78.28</v>
      </c>
      <c r="HB71" s="8">
        <v>96.63</v>
      </c>
      <c r="HC71" s="8">
        <v>93.09</v>
      </c>
      <c r="HD71" s="8">
        <v>94.91</v>
      </c>
      <c r="HE71" s="8">
        <v>98.53</v>
      </c>
      <c r="HU71" s="8">
        <v>94.33</v>
      </c>
      <c r="IB71" s="8">
        <v>81.84</v>
      </c>
      <c r="IK71" s="8">
        <v>93.88</v>
      </c>
      <c r="IL71" s="8">
        <v>89.9</v>
      </c>
      <c r="IM71" s="8">
        <v>97.27</v>
      </c>
      <c r="IQ71" s="8">
        <v>94.13</v>
      </c>
    </row>
    <row r="72" spans="1:251" x14ac:dyDescent="0.2">
      <c r="A72" s="9">
        <v>44835</v>
      </c>
      <c r="D72" s="8">
        <v>88.91</v>
      </c>
      <c r="E72" s="8">
        <v>88.88</v>
      </c>
      <c r="F72" s="8">
        <v>87.61</v>
      </c>
      <c r="G72" s="8">
        <v>89.52</v>
      </c>
      <c r="H72" s="8">
        <v>93.92</v>
      </c>
      <c r="I72" s="8">
        <v>93.94</v>
      </c>
      <c r="J72" s="8">
        <v>95.85</v>
      </c>
      <c r="K72" s="8">
        <v>89.96</v>
      </c>
      <c r="L72" s="8">
        <v>89.22</v>
      </c>
      <c r="M72" s="8">
        <v>95.24</v>
      </c>
      <c r="N72" s="8">
        <v>97.26</v>
      </c>
      <c r="O72" s="8">
        <v>92.76</v>
      </c>
      <c r="P72" s="8">
        <v>90.95</v>
      </c>
      <c r="Q72" s="8">
        <v>92.17</v>
      </c>
      <c r="R72" s="8">
        <v>91.01</v>
      </c>
      <c r="S72" s="8">
        <v>89.41</v>
      </c>
      <c r="T72" s="8">
        <v>90.82</v>
      </c>
      <c r="U72" s="8">
        <v>89.88</v>
      </c>
      <c r="V72" s="8">
        <v>91.55</v>
      </c>
      <c r="W72" s="8">
        <v>87.05</v>
      </c>
      <c r="X72" s="8">
        <v>75.06</v>
      </c>
      <c r="Y72" s="8">
        <v>92.23</v>
      </c>
      <c r="Z72" s="8">
        <v>92.96</v>
      </c>
      <c r="AA72" s="8">
        <v>83.96</v>
      </c>
      <c r="AB72" s="8">
        <v>83.64</v>
      </c>
      <c r="AC72" s="8">
        <v>93.73</v>
      </c>
      <c r="AD72" s="8">
        <v>89.84</v>
      </c>
      <c r="AE72" s="8">
        <v>82.18</v>
      </c>
      <c r="AF72" s="8">
        <v>91.91</v>
      </c>
      <c r="AL72" s="8">
        <v>89.29</v>
      </c>
      <c r="AN72" s="8">
        <v>87.16</v>
      </c>
      <c r="AO72" s="8">
        <v>74.8</v>
      </c>
      <c r="AP72" s="8">
        <v>74.8</v>
      </c>
      <c r="BD72" s="8">
        <v>83.87</v>
      </c>
      <c r="BE72" s="8">
        <v>83.87</v>
      </c>
      <c r="BF72" s="8">
        <v>90.92</v>
      </c>
      <c r="BG72" s="8">
        <v>90.92</v>
      </c>
      <c r="BJ72" s="8">
        <v>85.84</v>
      </c>
      <c r="BM72" s="8">
        <v>93.29</v>
      </c>
      <c r="BN72" s="8">
        <v>82.85</v>
      </c>
      <c r="BZ72" s="8">
        <v>96.13</v>
      </c>
      <c r="CA72" s="8">
        <v>93.16</v>
      </c>
      <c r="CB72" s="8">
        <v>93.73</v>
      </c>
      <c r="CC72" s="8">
        <v>98.45</v>
      </c>
      <c r="CS72" s="8">
        <v>98.86</v>
      </c>
      <c r="CZ72" s="8">
        <v>81.819999999999993</v>
      </c>
      <c r="DI72" s="8">
        <v>83.51</v>
      </c>
      <c r="DJ72" s="8">
        <v>82.23</v>
      </c>
      <c r="DK72" s="8">
        <v>83.59</v>
      </c>
      <c r="DO72" s="8">
        <v>95.18</v>
      </c>
      <c r="DV72" s="8">
        <v>84.28</v>
      </c>
      <c r="DW72" s="8">
        <v>82.87</v>
      </c>
      <c r="EA72" s="8">
        <v>87.7</v>
      </c>
      <c r="EB72" s="8">
        <v>89</v>
      </c>
      <c r="EC72" s="8">
        <v>87.59</v>
      </c>
      <c r="EF72" s="8">
        <v>89.2</v>
      </c>
      <c r="EG72" s="8">
        <v>88.6</v>
      </c>
      <c r="EH72" s="8">
        <v>88.48</v>
      </c>
      <c r="EI72" s="8">
        <v>89.53</v>
      </c>
      <c r="EJ72" s="8">
        <v>93.82</v>
      </c>
      <c r="EK72" s="8">
        <v>94.48</v>
      </c>
      <c r="EL72" s="8">
        <v>97.58</v>
      </c>
      <c r="EM72" s="8">
        <v>90.41</v>
      </c>
      <c r="EN72" s="8">
        <v>89.74</v>
      </c>
      <c r="EO72" s="8">
        <v>95.4</v>
      </c>
      <c r="EP72" s="8">
        <v>97.72</v>
      </c>
      <c r="EQ72" s="8">
        <v>92.38</v>
      </c>
      <c r="ER72" s="8">
        <v>91.23</v>
      </c>
      <c r="ES72" s="8">
        <v>92.81</v>
      </c>
      <c r="ET72" s="8">
        <v>90.78</v>
      </c>
      <c r="EU72" s="8">
        <v>89.51</v>
      </c>
      <c r="EV72" s="8">
        <v>91.42</v>
      </c>
      <c r="EW72" s="8">
        <v>90.64</v>
      </c>
      <c r="EX72" s="8">
        <v>91.97</v>
      </c>
      <c r="EY72" s="8">
        <v>86.67</v>
      </c>
      <c r="EZ72" s="8">
        <v>75.3</v>
      </c>
      <c r="FA72" s="8">
        <v>91.71</v>
      </c>
      <c r="FB72" s="8">
        <v>92.74</v>
      </c>
      <c r="FC72" s="8">
        <v>83.62</v>
      </c>
      <c r="FD72" s="8">
        <v>83.42</v>
      </c>
      <c r="FE72" s="8">
        <v>93.71</v>
      </c>
      <c r="FF72" s="8">
        <v>83.33</v>
      </c>
      <c r="FG72" s="8">
        <v>82.04</v>
      </c>
      <c r="FH72" s="8">
        <v>83.81</v>
      </c>
      <c r="FN72" s="8">
        <v>88.75</v>
      </c>
      <c r="FP72" s="8">
        <v>87.73</v>
      </c>
      <c r="FQ72" s="8">
        <v>72.77</v>
      </c>
      <c r="FR72" s="8">
        <v>72.77</v>
      </c>
      <c r="GF72" s="8">
        <v>85.98</v>
      </c>
      <c r="GG72" s="8">
        <v>85.98</v>
      </c>
      <c r="GH72" s="8">
        <v>95.33</v>
      </c>
      <c r="GI72" s="8">
        <v>95.33</v>
      </c>
      <c r="GL72" s="8">
        <v>87.49</v>
      </c>
      <c r="GO72" s="8">
        <v>107.7</v>
      </c>
      <c r="GP72" s="8">
        <v>74.36</v>
      </c>
      <c r="HB72" s="8">
        <v>96.36</v>
      </c>
      <c r="HC72" s="8">
        <v>93.17</v>
      </c>
      <c r="HD72" s="8">
        <v>94.23</v>
      </c>
      <c r="HE72" s="8">
        <v>98.53</v>
      </c>
      <c r="HU72" s="8">
        <v>101.18</v>
      </c>
      <c r="IB72" s="8">
        <v>81.819999999999993</v>
      </c>
      <c r="IK72" s="8">
        <v>89.42</v>
      </c>
      <c r="IL72" s="8">
        <v>90.27</v>
      </c>
      <c r="IM72" s="8">
        <v>86.04</v>
      </c>
      <c r="IQ72" s="8">
        <v>95.37</v>
      </c>
    </row>
    <row r="73" spans="1:251" x14ac:dyDescent="0.2">
      <c r="A73" s="9">
        <v>44866</v>
      </c>
      <c r="D73" s="8">
        <v>89.79</v>
      </c>
      <c r="E73" s="8">
        <v>89.25</v>
      </c>
      <c r="F73" s="8">
        <v>88.09</v>
      </c>
      <c r="G73" s="8">
        <v>93.94</v>
      </c>
      <c r="H73" s="8">
        <v>95.67</v>
      </c>
      <c r="I73" s="8">
        <v>94.55</v>
      </c>
      <c r="J73" s="8">
        <v>95.72</v>
      </c>
      <c r="K73" s="8">
        <v>91.03</v>
      </c>
      <c r="L73" s="8">
        <v>89.19</v>
      </c>
      <c r="M73" s="8">
        <v>95.54</v>
      </c>
      <c r="N73" s="8">
        <v>98.82</v>
      </c>
      <c r="O73" s="8">
        <v>93.79</v>
      </c>
      <c r="P73" s="8">
        <v>92.55</v>
      </c>
      <c r="Q73" s="8">
        <v>94.03</v>
      </c>
      <c r="R73" s="8">
        <v>93.84</v>
      </c>
      <c r="S73" s="8">
        <v>89.48</v>
      </c>
      <c r="T73" s="8">
        <v>93.86</v>
      </c>
      <c r="U73" s="8">
        <v>95.64</v>
      </c>
      <c r="V73" s="8">
        <v>92.38</v>
      </c>
      <c r="W73" s="8">
        <v>87.39</v>
      </c>
      <c r="X73" s="8">
        <v>75.14</v>
      </c>
      <c r="Y73" s="8">
        <v>92.29</v>
      </c>
      <c r="Z73" s="8">
        <v>93.21</v>
      </c>
      <c r="AA73" s="8">
        <v>85.73</v>
      </c>
      <c r="AB73" s="8">
        <v>83.61</v>
      </c>
      <c r="AC73" s="8">
        <v>94.33</v>
      </c>
      <c r="AD73" s="8">
        <v>89.27</v>
      </c>
      <c r="AE73" s="8">
        <v>82.78</v>
      </c>
      <c r="AF73" s="8">
        <v>91.01</v>
      </c>
      <c r="AL73" s="8">
        <v>89.53</v>
      </c>
      <c r="AN73" s="8">
        <v>87.17</v>
      </c>
      <c r="AO73" s="8">
        <v>74.83</v>
      </c>
      <c r="AP73" s="8">
        <v>74.83</v>
      </c>
      <c r="BD73" s="8">
        <v>84.23</v>
      </c>
      <c r="BE73" s="8">
        <v>84.23</v>
      </c>
      <c r="BF73" s="8">
        <v>90.98</v>
      </c>
      <c r="BG73" s="8">
        <v>90.98</v>
      </c>
      <c r="BJ73" s="8">
        <v>85.84</v>
      </c>
      <c r="BM73" s="8">
        <v>93.72</v>
      </c>
      <c r="BN73" s="8">
        <v>82.53</v>
      </c>
      <c r="BZ73" s="8">
        <v>98.37</v>
      </c>
      <c r="CA73" s="8">
        <v>98.79</v>
      </c>
      <c r="CB73" s="8">
        <v>94.65</v>
      </c>
      <c r="CC73" s="8">
        <v>100.92</v>
      </c>
      <c r="CS73" s="8">
        <v>105.97</v>
      </c>
      <c r="CZ73" s="8">
        <v>81.73</v>
      </c>
      <c r="DI73" s="8">
        <v>90.54</v>
      </c>
      <c r="DJ73" s="8">
        <v>93.11</v>
      </c>
      <c r="DK73" s="8">
        <v>85.17</v>
      </c>
      <c r="DO73" s="8">
        <v>97.77</v>
      </c>
      <c r="DV73" s="8">
        <v>84.28</v>
      </c>
      <c r="DW73" s="8">
        <v>82.87</v>
      </c>
      <c r="EA73" s="8">
        <v>87.8</v>
      </c>
      <c r="EB73" s="8">
        <v>90.24</v>
      </c>
      <c r="EC73" s="8">
        <v>87.59</v>
      </c>
      <c r="EF73" s="8">
        <v>89.82</v>
      </c>
      <c r="EG73" s="8">
        <v>88.81</v>
      </c>
      <c r="EH73" s="8">
        <v>88.47</v>
      </c>
      <c r="EI73" s="8">
        <v>93.83</v>
      </c>
      <c r="EJ73" s="8">
        <v>95.51</v>
      </c>
      <c r="EK73" s="8">
        <v>95.14</v>
      </c>
      <c r="EL73" s="8">
        <v>97.68</v>
      </c>
      <c r="EM73" s="8">
        <v>91.81</v>
      </c>
      <c r="EN73" s="8">
        <v>90.53</v>
      </c>
      <c r="EO73" s="8">
        <v>95.7</v>
      </c>
      <c r="EP73" s="8">
        <v>98.66</v>
      </c>
      <c r="EQ73" s="8">
        <v>93.28</v>
      </c>
      <c r="ER73" s="8">
        <v>92.7</v>
      </c>
      <c r="ES73" s="8">
        <v>94.33</v>
      </c>
      <c r="ET73" s="8">
        <v>93.5</v>
      </c>
      <c r="EU73" s="8">
        <v>89.61</v>
      </c>
      <c r="EV73" s="8">
        <v>93.41</v>
      </c>
      <c r="EW73" s="8">
        <v>94.33</v>
      </c>
      <c r="EX73" s="8">
        <v>92.84</v>
      </c>
      <c r="EY73" s="8">
        <v>87.1</v>
      </c>
      <c r="EZ73" s="8">
        <v>75.53</v>
      </c>
      <c r="FA73" s="8">
        <v>92.01</v>
      </c>
      <c r="FB73" s="8">
        <v>92.8</v>
      </c>
      <c r="FC73" s="8">
        <v>85.75</v>
      </c>
      <c r="FD73" s="8">
        <v>83.35</v>
      </c>
      <c r="FE73" s="8">
        <v>94.61</v>
      </c>
      <c r="FF73" s="8">
        <v>83.12</v>
      </c>
      <c r="FG73" s="8">
        <v>82.77</v>
      </c>
      <c r="FH73" s="8">
        <v>83.26</v>
      </c>
      <c r="FN73" s="8">
        <v>90.48</v>
      </c>
      <c r="FP73" s="8">
        <v>87.7</v>
      </c>
      <c r="FQ73" s="8">
        <v>72.790000000000006</v>
      </c>
      <c r="FR73" s="8">
        <v>72.790000000000006</v>
      </c>
      <c r="GF73" s="8">
        <v>85.95</v>
      </c>
      <c r="GG73" s="8">
        <v>85.95</v>
      </c>
      <c r="GH73" s="8">
        <v>94.81</v>
      </c>
      <c r="GI73" s="8">
        <v>94.81</v>
      </c>
      <c r="GL73" s="8">
        <v>87.49</v>
      </c>
      <c r="GO73" s="8">
        <v>107.7</v>
      </c>
      <c r="GP73" s="8">
        <v>77.790000000000006</v>
      </c>
      <c r="HB73" s="8">
        <v>98.29</v>
      </c>
      <c r="HC73" s="8">
        <v>98.98</v>
      </c>
      <c r="HD73" s="8">
        <v>94.83</v>
      </c>
      <c r="HE73" s="8">
        <v>100.84</v>
      </c>
      <c r="HU73" s="8">
        <v>107.7</v>
      </c>
      <c r="IB73" s="8">
        <v>81.73</v>
      </c>
      <c r="IK73" s="8">
        <v>91.84</v>
      </c>
      <c r="IL73" s="8">
        <v>92.17</v>
      </c>
      <c r="IM73" s="8">
        <v>89.14</v>
      </c>
      <c r="IQ73" s="8">
        <v>97.86</v>
      </c>
    </row>
    <row r="74" spans="1:251" x14ac:dyDescent="0.2">
      <c r="A74" s="9">
        <v>44896</v>
      </c>
      <c r="D74" s="8">
        <v>91.33</v>
      </c>
      <c r="E74" s="8">
        <v>90.21</v>
      </c>
      <c r="F74" s="8">
        <v>89.73</v>
      </c>
      <c r="G74" s="8">
        <v>97.76</v>
      </c>
      <c r="H74" s="8">
        <v>97.2</v>
      </c>
      <c r="I74" s="8">
        <v>94.98</v>
      </c>
      <c r="J74" s="8">
        <v>95.9</v>
      </c>
      <c r="K74" s="8">
        <v>92.26</v>
      </c>
      <c r="L74" s="8">
        <v>87.66</v>
      </c>
      <c r="M74" s="8">
        <v>95.99</v>
      </c>
      <c r="N74" s="8">
        <v>99.79</v>
      </c>
      <c r="O74" s="8">
        <v>94.83</v>
      </c>
      <c r="P74" s="8">
        <v>94.44</v>
      </c>
      <c r="Q74" s="8">
        <v>95.8</v>
      </c>
      <c r="R74" s="8">
        <v>95.63</v>
      </c>
      <c r="S74" s="8">
        <v>91.63</v>
      </c>
      <c r="T74" s="8">
        <v>96.83</v>
      </c>
      <c r="U74" s="8">
        <v>98.35</v>
      </c>
      <c r="V74" s="8">
        <v>95.57</v>
      </c>
      <c r="W74" s="8">
        <v>88.68</v>
      </c>
      <c r="X74" s="8">
        <v>75.25</v>
      </c>
      <c r="Y74" s="8">
        <v>93.47</v>
      </c>
      <c r="Z74" s="8">
        <v>92.12</v>
      </c>
      <c r="AA74" s="8">
        <v>86.83</v>
      </c>
      <c r="AB74" s="8">
        <v>85.47</v>
      </c>
      <c r="AC74" s="8">
        <v>96.41</v>
      </c>
      <c r="AD74" s="8">
        <v>88.49</v>
      </c>
      <c r="AE74" s="8">
        <v>83.46</v>
      </c>
      <c r="AF74" s="8">
        <v>89.82</v>
      </c>
      <c r="AL74" s="8">
        <v>89.61</v>
      </c>
      <c r="AN74" s="8">
        <v>87.26</v>
      </c>
      <c r="AO74" s="8">
        <v>74.819999999999993</v>
      </c>
      <c r="AP74" s="8">
        <v>74.819999999999993</v>
      </c>
      <c r="BD74" s="8">
        <v>84.67</v>
      </c>
      <c r="BE74" s="8">
        <v>84.67</v>
      </c>
      <c r="BF74" s="8">
        <v>91.8</v>
      </c>
      <c r="BG74" s="8">
        <v>91.8</v>
      </c>
      <c r="BJ74" s="8">
        <v>85.84</v>
      </c>
      <c r="BM74" s="8">
        <v>93.72</v>
      </c>
      <c r="BN74" s="8">
        <v>85.4</v>
      </c>
      <c r="BZ74" s="8">
        <v>99.2</v>
      </c>
      <c r="CA74" s="8">
        <v>99.63</v>
      </c>
      <c r="CB74" s="8">
        <v>97.05</v>
      </c>
      <c r="CC74" s="8">
        <v>100.64</v>
      </c>
      <c r="CS74" s="8">
        <v>97.39</v>
      </c>
      <c r="CZ74" s="8">
        <v>81.41</v>
      </c>
      <c r="DI74" s="8">
        <v>115.21</v>
      </c>
      <c r="DJ74" s="8">
        <v>111.54</v>
      </c>
      <c r="DK74" s="8">
        <v>117.94</v>
      </c>
      <c r="DO74" s="8">
        <v>99.33</v>
      </c>
      <c r="DV74" s="8">
        <v>84.28</v>
      </c>
      <c r="DW74" s="8">
        <v>82.87</v>
      </c>
      <c r="EA74" s="8">
        <v>89.81</v>
      </c>
      <c r="EB74" s="8">
        <v>89.12</v>
      </c>
      <c r="EC74" s="8">
        <v>89.87</v>
      </c>
      <c r="EF74" s="8">
        <v>91.22</v>
      </c>
      <c r="EG74" s="8">
        <v>89.87</v>
      </c>
      <c r="EH74" s="8">
        <v>89.78</v>
      </c>
      <c r="EI74" s="8">
        <v>97.52</v>
      </c>
      <c r="EJ74" s="8">
        <v>96.8</v>
      </c>
      <c r="EK74" s="8">
        <v>95.83</v>
      </c>
      <c r="EL74" s="8">
        <v>97.88</v>
      </c>
      <c r="EM74" s="8">
        <v>92.81</v>
      </c>
      <c r="EN74" s="8">
        <v>90.68</v>
      </c>
      <c r="EO74" s="8">
        <v>96.24</v>
      </c>
      <c r="EP74" s="8">
        <v>100.21</v>
      </c>
      <c r="EQ74" s="8">
        <v>94.19</v>
      </c>
      <c r="ER74" s="8">
        <v>94.53</v>
      </c>
      <c r="ES74" s="8">
        <v>95.82</v>
      </c>
      <c r="ET74" s="8">
        <v>95.18</v>
      </c>
      <c r="EU74" s="8">
        <v>92.07</v>
      </c>
      <c r="EV74" s="8">
        <v>96.01</v>
      </c>
      <c r="EW74" s="8">
        <v>97.66</v>
      </c>
      <c r="EX74" s="8">
        <v>94.97</v>
      </c>
      <c r="EY74" s="8">
        <v>88.42</v>
      </c>
      <c r="EZ74" s="8">
        <v>75.53</v>
      </c>
      <c r="FA74" s="8">
        <v>93.11</v>
      </c>
      <c r="FB74" s="8">
        <v>92.08</v>
      </c>
      <c r="FC74" s="8">
        <v>86.66</v>
      </c>
      <c r="FD74" s="8">
        <v>85.43</v>
      </c>
      <c r="FE74" s="8">
        <v>96.51</v>
      </c>
      <c r="FF74" s="8">
        <v>82.55</v>
      </c>
      <c r="FG74" s="8">
        <v>83.67</v>
      </c>
      <c r="FH74" s="8">
        <v>82.16</v>
      </c>
      <c r="FN74" s="8">
        <v>88.76</v>
      </c>
      <c r="FP74" s="8">
        <v>87.28</v>
      </c>
      <c r="FQ74" s="8">
        <v>72.760000000000005</v>
      </c>
      <c r="FR74" s="8">
        <v>72.760000000000005</v>
      </c>
      <c r="GF74" s="8">
        <v>86.29</v>
      </c>
      <c r="GG74" s="8">
        <v>86.29</v>
      </c>
      <c r="GH74" s="8">
        <v>95.86</v>
      </c>
      <c r="GI74" s="8">
        <v>95.86</v>
      </c>
      <c r="GL74" s="8">
        <v>87.49</v>
      </c>
      <c r="GO74" s="8">
        <v>107.55</v>
      </c>
      <c r="GP74" s="8">
        <v>81.72</v>
      </c>
      <c r="HB74" s="8">
        <v>99.4</v>
      </c>
      <c r="HC74" s="8">
        <v>99.59</v>
      </c>
      <c r="HD74" s="8">
        <v>97.59</v>
      </c>
      <c r="HE74" s="8">
        <v>100.74</v>
      </c>
      <c r="HU74" s="8">
        <v>97.81</v>
      </c>
      <c r="IB74" s="8">
        <v>81.41</v>
      </c>
      <c r="IK74" s="8">
        <v>117.08</v>
      </c>
      <c r="IL74" s="8">
        <v>110.43</v>
      </c>
      <c r="IM74" s="8">
        <v>123.69</v>
      </c>
      <c r="IQ74" s="8">
        <v>99.3</v>
      </c>
    </row>
    <row r="75" spans="1:251" x14ac:dyDescent="0.2">
      <c r="A75" s="9">
        <v>44927</v>
      </c>
      <c r="D75" s="8">
        <v>91.27</v>
      </c>
      <c r="E75" s="8">
        <v>91.21</v>
      </c>
      <c r="F75" s="8">
        <v>89.43</v>
      </c>
      <c r="G75" s="8">
        <v>95.32</v>
      </c>
      <c r="H75" s="8">
        <v>96.22</v>
      </c>
      <c r="I75" s="8">
        <v>95.31</v>
      </c>
      <c r="J75" s="8">
        <v>95.69</v>
      </c>
      <c r="K75" s="8">
        <v>92.2</v>
      </c>
      <c r="L75" s="8">
        <v>90.67</v>
      </c>
      <c r="M75" s="8">
        <v>96.1</v>
      </c>
      <c r="N75" s="8">
        <v>99.9</v>
      </c>
      <c r="O75" s="8">
        <v>94.53</v>
      </c>
      <c r="P75" s="8">
        <v>93.87</v>
      </c>
      <c r="Q75" s="8">
        <v>94.62</v>
      </c>
      <c r="R75" s="8">
        <v>95.98</v>
      </c>
      <c r="S75" s="8">
        <v>90.89</v>
      </c>
      <c r="T75" s="8">
        <v>93.3</v>
      </c>
      <c r="U75" s="8">
        <v>92.81</v>
      </c>
      <c r="V75" s="8">
        <v>93.67</v>
      </c>
      <c r="W75" s="8">
        <v>89.71</v>
      </c>
      <c r="X75" s="8">
        <v>75.41</v>
      </c>
      <c r="Y75" s="8">
        <v>93.02</v>
      </c>
      <c r="Z75" s="8">
        <v>94.16</v>
      </c>
      <c r="AA75" s="8">
        <v>87.32</v>
      </c>
      <c r="AB75" s="8">
        <v>87.15</v>
      </c>
      <c r="AC75" s="8">
        <v>96.53</v>
      </c>
      <c r="AD75" s="8">
        <v>91.06</v>
      </c>
      <c r="AE75" s="8">
        <v>84.63</v>
      </c>
      <c r="AF75" s="8">
        <v>92.78</v>
      </c>
      <c r="AL75" s="8">
        <v>89.56</v>
      </c>
      <c r="AN75" s="8">
        <v>87.35</v>
      </c>
      <c r="AO75" s="8">
        <v>74.900000000000006</v>
      </c>
      <c r="AP75" s="8">
        <v>74.900000000000006</v>
      </c>
      <c r="BD75" s="8">
        <v>85.19</v>
      </c>
      <c r="BE75" s="8">
        <v>85.19</v>
      </c>
      <c r="BF75" s="8">
        <v>93.87</v>
      </c>
      <c r="BG75" s="8">
        <v>93.87</v>
      </c>
      <c r="BJ75" s="8">
        <v>85.84</v>
      </c>
      <c r="BM75" s="8">
        <v>93.54</v>
      </c>
      <c r="BN75" s="8">
        <v>85.4</v>
      </c>
      <c r="BZ75" s="8">
        <v>98.51</v>
      </c>
      <c r="CA75" s="8">
        <v>97.76</v>
      </c>
      <c r="CB75" s="8">
        <v>95.87</v>
      </c>
      <c r="CC75" s="8">
        <v>100.54</v>
      </c>
      <c r="CS75" s="8">
        <v>97.13</v>
      </c>
      <c r="CZ75" s="8">
        <v>81.819999999999993</v>
      </c>
      <c r="DI75" s="8">
        <v>109.41</v>
      </c>
      <c r="DJ75" s="8">
        <v>115.92</v>
      </c>
      <c r="DK75" s="8">
        <v>98.21</v>
      </c>
      <c r="DO75" s="8">
        <v>99.84</v>
      </c>
      <c r="DV75" s="8">
        <v>84.28</v>
      </c>
      <c r="DW75" s="8">
        <v>82.87</v>
      </c>
      <c r="EA75" s="8">
        <v>89.82</v>
      </c>
      <c r="EB75" s="8">
        <v>89.24</v>
      </c>
      <c r="EC75" s="8">
        <v>89.87</v>
      </c>
      <c r="EF75" s="8">
        <v>91.37</v>
      </c>
      <c r="EG75" s="8">
        <v>90.99</v>
      </c>
      <c r="EH75" s="8">
        <v>89.9</v>
      </c>
      <c r="EI75" s="8">
        <v>94.93</v>
      </c>
      <c r="EJ75" s="8">
        <v>95.98</v>
      </c>
      <c r="EK75" s="8">
        <v>95.88</v>
      </c>
      <c r="EL75" s="8">
        <v>97.47</v>
      </c>
      <c r="EM75" s="8">
        <v>92.84</v>
      </c>
      <c r="EN75" s="8">
        <v>91.08</v>
      </c>
      <c r="EO75" s="8">
        <v>96.19</v>
      </c>
      <c r="EP75" s="8">
        <v>100.3</v>
      </c>
      <c r="EQ75" s="8">
        <v>94.6</v>
      </c>
      <c r="ER75" s="8">
        <v>94.03</v>
      </c>
      <c r="ES75" s="8">
        <v>94.83</v>
      </c>
      <c r="ET75" s="8">
        <v>95.59</v>
      </c>
      <c r="EU75" s="8">
        <v>91.28</v>
      </c>
      <c r="EV75" s="8">
        <v>93.53</v>
      </c>
      <c r="EW75" s="8">
        <v>93.5</v>
      </c>
      <c r="EX75" s="8">
        <v>93.6</v>
      </c>
      <c r="EY75" s="8">
        <v>89.3</v>
      </c>
      <c r="EZ75" s="8">
        <v>75.62</v>
      </c>
      <c r="FA75" s="8">
        <v>92.79</v>
      </c>
      <c r="FB75" s="8">
        <v>93.97</v>
      </c>
      <c r="FC75" s="8">
        <v>87.38</v>
      </c>
      <c r="FD75" s="8">
        <v>86.66</v>
      </c>
      <c r="FE75" s="8">
        <v>96.58</v>
      </c>
      <c r="FF75" s="8">
        <v>84.86</v>
      </c>
      <c r="FG75" s="8">
        <v>84.72</v>
      </c>
      <c r="FH75" s="8">
        <v>84.92</v>
      </c>
      <c r="FN75" s="8">
        <v>89.55</v>
      </c>
      <c r="FP75" s="8">
        <v>88.14</v>
      </c>
      <c r="FQ75" s="8">
        <v>72.88</v>
      </c>
      <c r="FR75" s="8">
        <v>72.88</v>
      </c>
      <c r="GF75" s="8">
        <v>86.73</v>
      </c>
      <c r="GG75" s="8">
        <v>86.73</v>
      </c>
      <c r="GH75" s="8">
        <v>94.69</v>
      </c>
      <c r="GI75" s="8">
        <v>94.69</v>
      </c>
      <c r="GL75" s="8">
        <v>87.49</v>
      </c>
      <c r="GO75" s="8">
        <v>107.55</v>
      </c>
      <c r="GP75" s="8">
        <v>93.55</v>
      </c>
      <c r="HB75" s="8">
        <v>98.62</v>
      </c>
      <c r="HC75" s="8">
        <v>98.2</v>
      </c>
      <c r="HD75" s="8">
        <v>96.26</v>
      </c>
      <c r="HE75" s="8">
        <v>100.49</v>
      </c>
      <c r="HU75" s="8">
        <v>100.03</v>
      </c>
      <c r="IB75" s="8">
        <v>81.819999999999993</v>
      </c>
      <c r="IK75" s="8">
        <v>109.56</v>
      </c>
      <c r="IL75" s="8">
        <v>113.47</v>
      </c>
      <c r="IM75" s="8">
        <v>101.33</v>
      </c>
      <c r="IQ75" s="8">
        <v>99.81</v>
      </c>
    </row>
    <row r="76" spans="1:251" x14ac:dyDescent="0.2">
      <c r="A76" s="9">
        <v>44958</v>
      </c>
      <c r="D76" s="8">
        <v>91.23</v>
      </c>
      <c r="E76" s="8">
        <v>91.08</v>
      </c>
      <c r="F76" s="8">
        <v>89.91</v>
      </c>
      <c r="G76" s="8">
        <v>90.43</v>
      </c>
      <c r="H76" s="8">
        <v>97.65</v>
      </c>
      <c r="I76" s="8">
        <v>95.36</v>
      </c>
      <c r="J76" s="8">
        <v>95.34</v>
      </c>
      <c r="K76" s="8">
        <v>93.09</v>
      </c>
      <c r="L76" s="8">
        <v>90.32</v>
      </c>
      <c r="M76" s="8">
        <v>96.12</v>
      </c>
      <c r="N76" s="8">
        <v>100.12</v>
      </c>
      <c r="O76" s="8">
        <v>94.65</v>
      </c>
      <c r="P76" s="8">
        <v>93.71</v>
      </c>
      <c r="Q76" s="8">
        <v>94.86</v>
      </c>
      <c r="R76" s="8">
        <v>96.3</v>
      </c>
      <c r="S76" s="8">
        <v>89.78</v>
      </c>
      <c r="T76" s="8">
        <v>96.76</v>
      </c>
      <c r="U76" s="8">
        <v>99.6</v>
      </c>
      <c r="V76" s="8">
        <v>94.42</v>
      </c>
      <c r="W76" s="8">
        <v>90.59</v>
      </c>
      <c r="X76" s="8">
        <v>77.819999999999993</v>
      </c>
      <c r="Y76" s="8">
        <v>92.41</v>
      </c>
      <c r="Z76" s="8">
        <v>96.39</v>
      </c>
      <c r="AA76" s="8">
        <v>88.32</v>
      </c>
      <c r="AB76" s="8">
        <v>87.63</v>
      </c>
      <c r="AC76" s="8">
        <v>97.24</v>
      </c>
      <c r="AD76" s="8">
        <v>92.28</v>
      </c>
      <c r="AE76" s="8">
        <v>85.46</v>
      </c>
      <c r="AF76" s="8">
        <v>94.11</v>
      </c>
      <c r="AL76" s="8">
        <v>92.23</v>
      </c>
      <c r="AN76" s="8">
        <v>89.02</v>
      </c>
      <c r="AO76" s="8">
        <v>75.03</v>
      </c>
      <c r="AP76" s="8">
        <v>75.03</v>
      </c>
      <c r="BD76" s="8">
        <v>85.78</v>
      </c>
      <c r="BE76" s="8">
        <v>85.78</v>
      </c>
      <c r="BF76" s="8">
        <v>93.97</v>
      </c>
      <c r="BG76" s="8">
        <v>93.97</v>
      </c>
      <c r="BJ76" s="8">
        <v>85.84</v>
      </c>
      <c r="BM76" s="8">
        <v>93.54</v>
      </c>
      <c r="BN76" s="8">
        <v>88.12</v>
      </c>
      <c r="BZ76" s="8">
        <v>99.91</v>
      </c>
      <c r="CA76" s="8">
        <v>98.4</v>
      </c>
      <c r="CB76" s="8">
        <v>97.57</v>
      </c>
      <c r="CC76" s="8">
        <v>101.88</v>
      </c>
      <c r="CS76" s="8">
        <v>104.25</v>
      </c>
      <c r="CZ76" s="8">
        <v>81.400000000000006</v>
      </c>
      <c r="DI76" s="8">
        <v>92.09</v>
      </c>
      <c r="DJ76" s="8">
        <v>98.53</v>
      </c>
      <c r="DK76" s="8">
        <v>81.33</v>
      </c>
      <c r="DO76" s="8">
        <v>99.25</v>
      </c>
      <c r="DV76" s="8">
        <v>87.96</v>
      </c>
      <c r="DW76" s="8">
        <v>89.61</v>
      </c>
      <c r="EA76" s="8">
        <v>89.82</v>
      </c>
      <c r="EB76" s="8">
        <v>89.35</v>
      </c>
      <c r="EC76" s="8">
        <v>89.87</v>
      </c>
      <c r="EF76" s="8">
        <v>91.28</v>
      </c>
      <c r="EG76" s="8">
        <v>90.91</v>
      </c>
      <c r="EH76" s="8">
        <v>90.24</v>
      </c>
      <c r="EI76" s="8">
        <v>90.51</v>
      </c>
      <c r="EJ76" s="8">
        <v>97.03</v>
      </c>
      <c r="EK76" s="8">
        <v>96.14</v>
      </c>
      <c r="EL76" s="8">
        <v>97.48</v>
      </c>
      <c r="EM76" s="8">
        <v>93.61</v>
      </c>
      <c r="EN76" s="8">
        <v>91.97</v>
      </c>
      <c r="EO76" s="8">
        <v>96.51</v>
      </c>
      <c r="EP76" s="8">
        <v>100.59</v>
      </c>
      <c r="EQ76" s="8">
        <v>94.29</v>
      </c>
      <c r="ER76" s="8">
        <v>93.81</v>
      </c>
      <c r="ES76" s="8">
        <v>94.92</v>
      </c>
      <c r="ET76" s="8">
        <v>96.02</v>
      </c>
      <c r="EU76" s="8">
        <v>89.94</v>
      </c>
      <c r="EV76" s="8">
        <v>96.49</v>
      </c>
      <c r="EW76" s="8">
        <v>97.59</v>
      </c>
      <c r="EX76" s="8">
        <v>95.81</v>
      </c>
      <c r="EY76" s="8">
        <v>90.34</v>
      </c>
      <c r="EZ76" s="8">
        <v>77.989999999999995</v>
      </c>
      <c r="FA76" s="8">
        <v>92.47</v>
      </c>
      <c r="FB76" s="8">
        <v>96.15</v>
      </c>
      <c r="FC76" s="8">
        <v>88.21</v>
      </c>
      <c r="FD76" s="8">
        <v>87.55</v>
      </c>
      <c r="FE76" s="8">
        <v>97.2</v>
      </c>
      <c r="FF76" s="8">
        <v>85.93</v>
      </c>
      <c r="FG76" s="8">
        <v>85.34</v>
      </c>
      <c r="FH76" s="8">
        <v>86.15</v>
      </c>
      <c r="FN76" s="8">
        <v>92.38</v>
      </c>
      <c r="FP76" s="8">
        <v>89.73</v>
      </c>
      <c r="FQ76" s="8">
        <v>73.010000000000005</v>
      </c>
      <c r="FR76" s="8">
        <v>73.010000000000005</v>
      </c>
      <c r="GF76" s="8">
        <v>87.3</v>
      </c>
      <c r="GG76" s="8">
        <v>87.3</v>
      </c>
      <c r="GH76" s="8">
        <v>94.77</v>
      </c>
      <c r="GI76" s="8">
        <v>94.77</v>
      </c>
      <c r="GL76" s="8">
        <v>87.49</v>
      </c>
      <c r="GO76" s="8">
        <v>107.55</v>
      </c>
      <c r="GP76" s="8">
        <v>93.58</v>
      </c>
      <c r="HB76" s="8">
        <v>100.01</v>
      </c>
      <c r="HC76" s="8">
        <v>98.46</v>
      </c>
      <c r="HD76" s="8">
        <v>97.98</v>
      </c>
      <c r="HE76" s="8">
        <v>101.81</v>
      </c>
      <c r="HU76" s="8">
        <v>103.94</v>
      </c>
      <c r="IB76" s="8">
        <v>81.400000000000006</v>
      </c>
      <c r="IK76" s="8">
        <v>92.03</v>
      </c>
      <c r="IL76" s="8">
        <v>95.21</v>
      </c>
      <c r="IM76" s="8">
        <v>85.26</v>
      </c>
      <c r="IQ76" s="8">
        <v>99.27</v>
      </c>
    </row>
    <row r="77" spans="1:251" x14ac:dyDescent="0.2">
      <c r="A77" s="9">
        <v>44986</v>
      </c>
      <c r="D77" s="8">
        <v>91.42</v>
      </c>
      <c r="E77" s="8">
        <v>90.91</v>
      </c>
      <c r="F77" s="8">
        <v>89.54</v>
      </c>
      <c r="G77" s="8">
        <v>94.56</v>
      </c>
      <c r="H77" s="8">
        <v>98.45</v>
      </c>
      <c r="I77" s="8">
        <v>95.25</v>
      </c>
      <c r="J77" s="8">
        <v>95.03</v>
      </c>
      <c r="K77" s="8">
        <v>93.31</v>
      </c>
      <c r="L77" s="8">
        <v>89.29</v>
      </c>
      <c r="M77" s="8">
        <v>97.06</v>
      </c>
      <c r="N77" s="8">
        <v>100.42</v>
      </c>
      <c r="O77" s="8">
        <v>93.9</v>
      </c>
      <c r="P77" s="8">
        <v>95.59</v>
      </c>
      <c r="Q77" s="8">
        <v>96.3</v>
      </c>
      <c r="R77" s="8">
        <v>97.23</v>
      </c>
      <c r="S77" s="8">
        <v>93.12</v>
      </c>
      <c r="T77" s="8">
        <v>97.55</v>
      </c>
      <c r="U77" s="8">
        <v>99.69</v>
      </c>
      <c r="V77" s="8">
        <v>95.78</v>
      </c>
      <c r="W77" s="8">
        <v>91.2</v>
      </c>
      <c r="X77" s="8">
        <v>78.209999999999994</v>
      </c>
      <c r="Y77" s="8">
        <v>93.94</v>
      </c>
      <c r="Z77" s="8">
        <v>95.87</v>
      </c>
      <c r="AA77" s="8">
        <v>88.69</v>
      </c>
      <c r="AB77" s="8">
        <v>88.69</v>
      </c>
      <c r="AC77" s="8">
        <v>97.58</v>
      </c>
      <c r="AD77" s="8">
        <v>92.95</v>
      </c>
      <c r="AE77" s="8">
        <v>84.25</v>
      </c>
      <c r="AF77" s="8">
        <v>95.3</v>
      </c>
      <c r="AL77" s="8">
        <v>93.04</v>
      </c>
      <c r="AN77" s="8">
        <v>89.7</v>
      </c>
      <c r="AO77" s="8">
        <v>75.569999999999993</v>
      </c>
      <c r="AP77" s="8">
        <v>75.569999999999993</v>
      </c>
      <c r="BD77" s="8">
        <v>86.21</v>
      </c>
      <c r="BE77" s="8">
        <v>86.21</v>
      </c>
      <c r="BF77" s="8">
        <v>93.87</v>
      </c>
      <c r="BG77" s="8">
        <v>93.87</v>
      </c>
      <c r="BJ77" s="8">
        <v>85.84</v>
      </c>
      <c r="BM77" s="8">
        <v>93.54</v>
      </c>
      <c r="BN77" s="8">
        <v>88.12</v>
      </c>
      <c r="BZ77" s="8">
        <v>100.28</v>
      </c>
      <c r="CA77" s="8">
        <v>98.92</v>
      </c>
      <c r="CB77" s="8">
        <v>97.92</v>
      </c>
      <c r="CC77" s="8">
        <v>102.23</v>
      </c>
      <c r="CS77" s="8">
        <v>100.77</v>
      </c>
      <c r="CZ77" s="8">
        <v>85.88</v>
      </c>
      <c r="DI77" s="8">
        <v>93.78</v>
      </c>
      <c r="DJ77" s="8">
        <v>98.96</v>
      </c>
      <c r="DK77" s="8">
        <v>84.74</v>
      </c>
      <c r="DO77" s="8">
        <v>100.18</v>
      </c>
      <c r="DV77" s="8">
        <v>87.96</v>
      </c>
      <c r="DW77" s="8">
        <v>89.61</v>
      </c>
      <c r="EA77" s="8">
        <v>91.11</v>
      </c>
      <c r="EB77" s="8">
        <v>90.73</v>
      </c>
      <c r="EC77" s="8">
        <v>91.15</v>
      </c>
      <c r="EF77" s="8">
        <v>91.63</v>
      </c>
      <c r="EG77" s="8">
        <v>90.83</v>
      </c>
      <c r="EH77" s="8">
        <v>89.99</v>
      </c>
      <c r="EI77" s="8">
        <v>94.67</v>
      </c>
      <c r="EJ77" s="8">
        <v>98.39</v>
      </c>
      <c r="EK77" s="8">
        <v>95.86</v>
      </c>
      <c r="EL77" s="8">
        <v>97.03</v>
      </c>
      <c r="EM77" s="8">
        <v>93.59</v>
      </c>
      <c r="EN77" s="8">
        <v>90.82</v>
      </c>
      <c r="EO77" s="8">
        <v>97.25</v>
      </c>
      <c r="EP77" s="8">
        <v>100.56</v>
      </c>
      <c r="EQ77" s="8">
        <v>93.37</v>
      </c>
      <c r="ER77" s="8">
        <v>95.52</v>
      </c>
      <c r="ES77" s="8">
        <v>96.06</v>
      </c>
      <c r="ET77" s="8">
        <v>97.03</v>
      </c>
      <c r="EU77" s="8">
        <v>93.16</v>
      </c>
      <c r="EV77" s="8">
        <v>97.16</v>
      </c>
      <c r="EW77" s="8">
        <v>97.56</v>
      </c>
      <c r="EX77" s="8">
        <v>96.95</v>
      </c>
      <c r="EY77" s="8">
        <v>90.81</v>
      </c>
      <c r="EZ77" s="8">
        <v>78.38</v>
      </c>
      <c r="FA77" s="8">
        <v>93.95</v>
      </c>
      <c r="FB77" s="8">
        <v>95.66</v>
      </c>
      <c r="FC77" s="8">
        <v>88.74</v>
      </c>
      <c r="FD77" s="8">
        <v>88.25</v>
      </c>
      <c r="FE77" s="8">
        <v>97.54</v>
      </c>
      <c r="FF77" s="8">
        <v>86.59</v>
      </c>
      <c r="FG77" s="8">
        <v>84.31</v>
      </c>
      <c r="FH77" s="8">
        <v>87.43</v>
      </c>
      <c r="FN77" s="8">
        <v>93.88</v>
      </c>
      <c r="FP77" s="8">
        <v>89.8</v>
      </c>
      <c r="FQ77" s="8">
        <v>73.64</v>
      </c>
      <c r="FR77" s="8">
        <v>73.64</v>
      </c>
      <c r="GF77" s="8">
        <v>87.46</v>
      </c>
      <c r="GG77" s="8">
        <v>87.46</v>
      </c>
      <c r="GH77" s="8">
        <v>95.12</v>
      </c>
      <c r="GI77" s="8">
        <v>95.12</v>
      </c>
      <c r="GL77" s="8">
        <v>87.49</v>
      </c>
      <c r="GO77" s="8">
        <v>106.9</v>
      </c>
      <c r="GP77" s="8">
        <v>94.11</v>
      </c>
      <c r="HB77" s="8">
        <v>100.31</v>
      </c>
      <c r="HC77" s="8">
        <v>98.98</v>
      </c>
      <c r="HD77" s="8">
        <v>98.21</v>
      </c>
      <c r="HE77" s="8">
        <v>102.14</v>
      </c>
      <c r="HU77" s="8">
        <v>100.15</v>
      </c>
      <c r="IB77" s="8">
        <v>85.88</v>
      </c>
      <c r="IK77" s="8">
        <v>93.79</v>
      </c>
      <c r="IL77" s="8">
        <v>97.85</v>
      </c>
      <c r="IM77" s="8">
        <v>85.73</v>
      </c>
      <c r="IQ77" s="8">
        <v>100.14</v>
      </c>
    </row>
    <row r="78" spans="1:251" x14ac:dyDescent="0.2">
      <c r="A78" s="9">
        <v>45017</v>
      </c>
      <c r="D78" s="8">
        <v>93.11</v>
      </c>
      <c r="E78" s="8">
        <v>93.68</v>
      </c>
      <c r="F78" s="8">
        <v>91.47</v>
      </c>
      <c r="G78" s="8">
        <v>91.92</v>
      </c>
      <c r="H78" s="8">
        <v>98.65</v>
      </c>
      <c r="I78" s="8">
        <v>95.64</v>
      </c>
      <c r="J78" s="8">
        <v>94.79</v>
      </c>
      <c r="K78" s="8">
        <v>92.48</v>
      </c>
      <c r="L78" s="8">
        <v>91.16</v>
      </c>
      <c r="M78" s="8">
        <v>98.37</v>
      </c>
      <c r="N78" s="8">
        <v>99.7</v>
      </c>
      <c r="O78" s="8">
        <v>94.82</v>
      </c>
      <c r="P78" s="8">
        <v>95.78</v>
      </c>
      <c r="Q78" s="8">
        <v>95.13</v>
      </c>
      <c r="R78" s="8">
        <v>97.06</v>
      </c>
      <c r="S78" s="8">
        <v>95.28</v>
      </c>
      <c r="T78" s="8">
        <v>96.97</v>
      </c>
      <c r="U78" s="8">
        <v>95.89</v>
      </c>
      <c r="V78" s="8">
        <v>97.81</v>
      </c>
      <c r="W78" s="8">
        <v>91.51</v>
      </c>
      <c r="X78" s="8">
        <v>78.13</v>
      </c>
      <c r="Y78" s="8">
        <v>92.68</v>
      </c>
      <c r="Z78" s="8">
        <v>96.49</v>
      </c>
      <c r="AA78" s="8">
        <v>89.08</v>
      </c>
      <c r="AB78" s="8">
        <v>88.66</v>
      </c>
      <c r="AC78" s="8">
        <v>98.87</v>
      </c>
      <c r="AD78" s="8">
        <v>95.03</v>
      </c>
      <c r="AE78" s="8">
        <v>84.98</v>
      </c>
      <c r="AF78" s="8">
        <v>97.76</v>
      </c>
      <c r="AL78" s="8">
        <v>93.77</v>
      </c>
      <c r="AN78" s="8">
        <v>90.04</v>
      </c>
      <c r="AO78" s="8">
        <v>76.11</v>
      </c>
      <c r="AP78" s="8">
        <v>76.11</v>
      </c>
      <c r="BD78" s="8">
        <v>86.97</v>
      </c>
      <c r="BE78" s="8">
        <v>86.97</v>
      </c>
      <c r="BF78" s="8">
        <v>94.23</v>
      </c>
      <c r="BG78" s="8">
        <v>94.23</v>
      </c>
      <c r="BJ78" s="8">
        <v>85.84</v>
      </c>
      <c r="BM78" s="8">
        <v>92.6</v>
      </c>
      <c r="BN78" s="8">
        <v>88.12</v>
      </c>
      <c r="BZ78" s="8">
        <v>100.31</v>
      </c>
      <c r="CA78" s="8">
        <v>98.9</v>
      </c>
      <c r="CB78" s="8">
        <v>97.92</v>
      </c>
      <c r="CC78" s="8">
        <v>102.3</v>
      </c>
      <c r="CS78" s="8">
        <v>103.29</v>
      </c>
      <c r="CZ78" s="8">
        <v>85.15</v>
      </c>
      <c r="DI78" s="8">
        <v>100.9</v>
      </c>
      <c r="DJ78" s="8">
        <v>107.24</v>
      </c>
      <c r="DK78" s="8">
        <v>90.12</v>
      </c>
      <c r="DO78" s="8">
        <v>99.09</v>
      </c>
      <c r="DV78" s="8">
        <v>87.96</v>
      </c>
      <c r="DW78" s="8">
        <v>89.61</v>
      </c>
      <c r="EA78" s="8">
        <v>91.12</v>
      </c>
      <c r="EB78" s="8">
        <v>90.84</v>
      </c>
      <c r="EC78" s="8">
        <v>91.15</v>
      </c>
      <c r="EF78" s="8">
        <v>93.2</v>
      </c>
      <c r="EG78" s="8">
        <v>93.54</v>
      </c>
      <c r="EH78" s="8">
        <v>91.75</v>
      </c>
      <c r="EI78" s="8">
        <v>92.03</v>
      </c>
      <c r="EJ78" s="8">
        <v>98.66</v>
      </c>
      <c r="EK78" s="8">
        <v>96.2</v>
      </c>
      <c r="EL78" s="8">
        <v>96.67</v>
      </c>
      <c r="EM78" s="8">
        <v>93.01</v>
      </c>
      <c r="EN78" s="8">
        <v>91.37</v>
      </c>
      <c r="EO78" s="8">
        <v>97.75</v>
      </c>
      <c r="EP78" s="8">
        <v>101.26</v>
      </c>
      <c r="EQ78" s="8">
        <v>94.51</v>
      </c>
      <c r="ER78" s="8">
        <v>95.77</v>
      </c>
      <c r="ES78" s="8">
        <v>95.26</v>
      </c>
      <c r="ET78" s="8">
        <v>96.7</v>
      </c>
      <c r="EU78" s="8">
        <v>95.44</v>
      </c>
      <c r="EV78" s="8">
        <v>96.79</v>
      </c>
      <c r="EW78" s="8">
        <v>94.2</v>
      </c>
      <c r="EX78" s="8">
        <v>98.54</v>
      </c>
      <c r="EY78" s="8">
        <v>91.17</v>
      </c>
      <c r="EZ78" s="8">
        <v>78.45</v>
      </c>
      <c r="FA78" s="8">
        <v>92.7</v>
      </c>
      <c r="FB78" s="8">
        <v>96.13</v>
      </c>
      <c r="FC78" s="8">
        <v>89</v>
      </c>
      <c r="FD78" s="8">
        <v>88.46</v>
      </c>
      <c r="FE78" s="8">
        <v>98.76</v>
      </c>
      <c r="FF78" s="8">
        <v>88.14</v>
      </c>
      <c r="FG78" s="8">
        <v>84.79</v>
      </c>
      <c r="FH78" s="8">
        <v>89.35</v>
      </c>
      <c r="FN78" s="8">
        <v>93.94</v>
      </c>
      <c r="FP78" s="8">
        <v>90.56</v>
      </c>
      <c r="FQ78" s="8">
        <v>74.14</v>
      </c>
      <c r="FR78" s="8">
        <v>74.14</v>
      </c>
      <c r="GF78" s="8">
        <v>88.02</v>
      </c>
      <c r="GG78" s="8">
        <v>88.02</v>
      </c>
      <c r="GH78" s="8">
        <v>95.65</v>
      </c>
      <c r="GI78" s="8">
        <v>95.65</v>
      </c>
      <c r="GL78" s="8">
        <v>87.49</v>
      </c>
      <c r="GO78" s="8">
        <v>104.41</v>
      </c>
      <c r="GP78" s="8">
        <v>94.11</v>
      </c>
      <c r="HB78" s="8">
        <v>100.1</v>
      </c>
      <c r="HC78" s="8">
        <v>98.79</v>
      </c>
      <c r="HD78" s="8">
        <v>98.12</v>
      </c>
      <c r="HE78" s="8">
        <v>101.82</v>
      </c>
      <c r="HU78" s="8">
        <v>103.99</v>
      </c>
      <c r="IB78" s="8">
        <v>85.15</v>
      </c>
      <c r="IK78" s="8">
        <v>99.46</v>
      </c>
      <c r="IL78" s="8">
        <v>101.46</v>
      </c>
      <c r="IM78" s="8">
        <v>94.2</v>
      </c>
      <c r="IQ78" s="8">
        <v>99.39</v>
      </c>
    </row>
    <row r="79" spans="1:251" x14ac:dyDescent="0.2">
      <c r="A79" s="9">
        <v>45047</v>
      </c>
      <c r="D79" s="8">
        <v>94.73</v>
      </c>
      <c r="E79" s="8">
        <v>97.37</v>
      </c>
      <c r="F79" s="8">
        <v>91.47</v>
      </c>
      <c r="G79" s="8">
        <v>95.64</v>
      </c>
      <c r="H79" s="8">
        <v>98.28</v>
      </c>
      <c r="I79" s="8">
        <v>96.04</v>
      </c>
      <c r="J79" s="8">
        <v>94.19</v>
      </c>
      <c r="K79" s="8">
        <v>92.54</v>
      </c>
      <c r="L79" s="8">
        <v>91.34</v>
      </c>
      <c r="M79" s="8">
        <v>99.31</v>
      </c>
      <c r="N79" s="8">
        <v>100.51</v>
      </c>
      <c r="O79" s="8">
        <v>95.89</v>
      </c>
      <c r="P79" s="8">
        <v>95.59</v>
      </c>
      <c r="Q79" s="8">
        <v>94.99</v>
      </c>
      <c r="R79" s="8">
        <v>97.2</v>
      </c>
      <c r="S79" s="8">
        <v>94.71</v>
      </c>
      <c r="T79" s="8">
        <v>97.96</v>
      </c>
      <c r="U79" s="8">
        <v>95.43</v>
      </c>
      <c r="V79" s="8">
        <v>99.99</v>
      </c>
      <c r="W79" s="8">
        <v>91.3</v>
      </c>
      <c r="X79" s="8">
        <v>78.650000000000006</v>
      </c>
      <c r="Y79" s="8">
        <v>92.61</v>
      </c>
      <c r="Z79" s="8">
        <v>96.6</v>
      </c>
      <c r="AA79" s="8">
        <v>89.06</v>
      </c>
      <c r="AB79" s="8">
        <v>88.41</v>
      </c>
      <c r="AC79" s="8">
        <v>98.18</v>
      </c>
      <c r="AD79" s="8">
        <v>94.51</v>
      </c>
      <c r="AE79" s="8">
        <v>84.14</v>
      </c>
      <c r="AF79" s="8">
        <v>97.33</v>
      </c>
      <c r="AL79" s="8">
        <v>93.34</v>
      </c>
      <c r="AN79" s="8">
        <v>90.29</v>
      </c>
      <c r="AO79" s="8">
        <v>75.89</v>
      </c>
      <c r="AP79" s="8">
        <v>75.89</v>
      </c>
      <c r="BD79" s="8">
        <v>87.87</v>
      </c>
      <c r="BE79" s="8">
        <v>87.87</v>
      </c>
      <c r="BF79" s="8">
        <v>94.92</v>
      </c>
      <c r="BG79" s="8">
        <v>94.92</v>
      </c>
      <c r="BJ79" s="8">
        <v>85.84</v>
      </c>
      <c r="BM79" s="8">
        <v>91.61</v>
      </c>
      <c r="BN79" s="8">
        <v>88.12</v>
      </c>
      <c r="BZ79" s="8">
        <v>100.69</v>
      </c>
      <c r="CA79" s="8">
        <v>99.54</v>
      </c>
      <c r="CB79" s="8">
        <v>98.08</v>
      </c>
      <c r="CC79" s="8">
        <v>102.78</v>
      </c>
      <c r="CS79" s="8">
        <v>93.85</v>
      </c>
      <c r="CZ79" s="8">
        <v>86.33</v>
      </c>
      <c r="DI79" s="8">
        <v>88.29</v>
      </c>
      <c r="DJ79" s="8">
        <v>88.11</v>
      </c>
      <c r="DK79" s="8">
        <v>86.77</v>
      </c>
      <c r="DO79" s="8">
        <v>98.76</v>
      </c>
      <c r="DV79" s="8">
        <v>87.96</v>
      </c>
      <c r="DW79" s="8">
        <v>89.61</v>
      </c>
      <c r="EA79" s="8">
        <v>91.13</v>
      </c>
      <c r="EB79" s="8">
        <v>90.94</v>
      </c>
      <c r="EC79" s="8">
        <v>91.15</v>
      </c>
      <c r="EF79" s="8">
        <v>94.74</v>
      </c>
      <c r="EG79" s="8">
        <v>96.81</v>
      </c>
      <c r="EH79" s="8">
        <v>92.05</v>
      </c>
      <c r="EI79" s="8">
        <v>95.47</v>
      </c>
      <c r="EJ79" s="8">
        <v>98.41</v>
      </c>
      <c r="EK79" s="8">
        <v>96.74</v>
      </c>
      <c r="EL79" s="8">
        <v>95.96</v>
      </c>
      <c r="EM79" s="8">
        <v>93.18</v>
      </c>
      <c r="EN79" s="8">
        <v>91.73</v>
      </c>
      <c r="EO79" s="8">
        <v>99.48</v>
      </c>
      <c r="EP79" s="8">
        <v>101.37</v>
      </c>
      <c r="EQ79" s="8">
        <v>95.93</v>
      </c>
      <c r="ER79" s="8">
        <v>95.58</v>
      </c>
      <c r="ES79" s="8">
        <v>94.87</v>
      </c>
      <c r="ET79" s="8">
        <v>96.99</v>
      </c>
      <c r="EU79" s="8">
        <v>95.03</v>
      </c>
      <c r="EV79" s="8">
        <v>98.44</v>
      </c>
      <c r="EW79" s="8">
        <v>95.33</v>
      </c>
      <c r="EX79" s="8">
        <v>100.53</v>
      </c>
      <c r="EY79" s="8">
        <v>90.87</v>
      </c>
      <c r="EZ79" s="8">
        <v>79.09</v>
      </c>
      <c r="FA79" s="8">
        <v>93</v>
      </c>
      <c r="FB79" s="8">
        <v>96.18</v>
      </c>
      <c r="FC79" s="8">
        <v>89.36</v>
      </c>
      <c r="FD79" s="8">
        <v>87.97</v>
      </c>
      <c r="FE79" s="8">
        <v>97.73</v>
      </c>
      <c r="FF79" s="8">
        <v>88.25</v>
      </c>
      <c r="FG79" s="8">
        <v>83.9</v>
      </c>
      <c r="FH79" s="8">
        <v>89.83</v>
      </c>
      <c r="FN79" s="8">
        <v>93.77</v>
      </c>
      <c r="FP79" s="8">
        <v>91.19</v>
      </c>
      <c r="FQ79" s="8">
        <v>74.05</v>
      </c>
      <c r="FR79" s="8">
        <v>74.05</v>
      </c>
      <c r="GF79" s="8">
        <v>88.65</v>
      </c>
      <c r="GG79" s="8">
        <v>88.65</v>
      </c>
      <c r="GH79" s="8">
        <v>96.2</v>
      </c>
      <c r="GI79" s="8">
        <v>96.2</v>
      </c>
      <c r="GL79" s="8">
        <v>87.49</v>
      </c>
      <c r="GO79" s="8">
        <v>102.83</v>
      </c>
      <c r="GP79" s="8">
        <v>90.58</v>
      </c>
      <c r="HB79" s="8">
        <v>100.64</v>
      </c>
      <c r="HC79" s="8">
        <v>99.4</v>
      </c>
      <c r="HD79" s="8">
        <v>98.52</v>
      </c>
      <c r="HE79" s="8">
        <v>102.47</v>
      </c>
      <c r="HU79" s="8">
        <v>96.97</v>
      </c>
      <c r="IB79" s="8">
        <v>86.33</v>
      </c>
      <c r="IK79" s="8">
        <v>88.13</v>
      </c>
      <c r="IL79" s="8">
        <v>86.25</v>
      </c>
      <c r="IM79" s="8">
        <v>88.66</v>
      </c>
      <c r="IQ79" s="8">
        <v>98.56</v>
      </c>
    </row>
    <row r="80" spans="1:251" x14ac:dyDescent="0.2">
      <c r="A80" s="9">
        <v>45078</v>
      </c>
      <c r="D80" s="8">
        <v>94.31</v>
      </c>
      <c r="E80" s="8">
        <v>97.42</v>
      </c>
      <c r="F80" s="8">
        <v>90.64</v>
      </c>
      <c r="G80" s="8">
        <v>95.14</v>
      </c>
      <c r="H80" s="8">
        <v>97.92</v>
      </c>
      <c r="I80" s="8">
        <v>94.99</v>
      </c>
      <c r="J80" s="8">
        <v>92.93</v>
      </c>
      <c r="K80" s="8">
        <v>91.84</v>
      </c>
      <c r="L80" s="8">
        <v>89.41</v>
      </c>
      <c r="M80" s="8">
        <v>98.31</v>
      </c>
      <c r="N80" s="8">
        <v>100.08</v>
      </c>
      <c r="O80" s="8">
        <v>94.86</v>
      </c>
      <c r="P80" s="8">
        <v>96.22</v>
      </c>
      <c r="Q80" s="8">
        <v>95.25</v>
      </c>
      <c r="R80" s="8">
        <v>98.35</v>
      </c>
      <c r="S80" s="8">
        <v>95.29</v>
      </c>
      <c r="T80" s="8">
        <v>99.32</v>
      </c>
      <c r="U80" s="8">
        <v>101.38</v>
      </c>
      <c r="V80" s="8">
        <v>97.63</v>
      </c>
      <c r="W80" s="8">
        <v>91.72</v>
      </c>
      <c r="X80" s="8">
        <v>79.760000000000005</v>
      </c>
      <c r="Y80" s="8">
        <v>93.77</v>
      </c>
      <c r="Z80" s="8">
        <v>96.53</v>
      </c>
      <c r="AA80" s="8">
        <v>89.15</v>
      </c>
      <c r="AB80" s="8">
        <v>89.06</v>
      </c>
      <c r="AC80" s="8">
        <v>98.19</v>
      </c>
      <c r="AD80" s="8">
        <v>92.74</v>
      </c>
      <c r="AE80" s="8">
        <v>83.99</v>
      </c>
      <c r="AF80" s="8">
        <v>95.1</v>
      </c>
      <c r="AL80" s="8">
        <v>93.81</v>
      </c>
      <c r="AN80" s="8">
        <v>90.53</v>
      </c>
      <c r="AO80" s="8">
        <v>75.72</v>
      </c>
      <c r="AP80" s="8">
        <v>75.72</v>
      </c>
      <c r="BD80" s="8">
        <v>88.78</v>
      </c>
      <c r="BE80" s="8">
        <v>88.78</v>
      </c>
      <c r="BF80" s="8">
        <v>95.19</v>
      </c>
      <c r="BG80" s="8">
        <v>95.19</v>
      </c>
      <c r="BJ80" s="8">
        <v>85.84</v>
      </c>
      <c r="BM80" s="8">
        <v>92.51</v>
      </c>
      <c r="BN80" s="8">
        <v>88.12</v>
      </c>
      <c r="BZ80" s="8">
        <v>100.37</v>
      </c>
      <c r="CA80" s="8">
        <v>99.04</v>
      </c>
      <c r="CB80" s="8">
        <v>98.02</v>
      </c>
      <c r="CC80" s="8">
        <v>102.31</v>
      </c>
      <c r="CS80" s="8">
        <v>99.61</v>
      </c>
      <c r="CZ80" s="8">
        <v>86.04</v>
      </c>
      <c r="DI80" s="8">
        <v>98.14</v>
      </c>
      <c r="DJ80" s="8">
        <v>94.73</v>
      </c>
      <c r="DK80" s="8">
        <v>100.88</v>
      </c>
      <c r="DO80" s="8">
        <v>102.04</v>
      </c>
      <c r="DV80" s="8">
        <v>87.96</v>
      </c>
      <c r="DW80" s="8">
        <v>89.61</v>
      </c>
      <c r="EA80" s="8">
        <v>93.58</v>
      </c>
      <c r="EB80" s="8">
        <v>91.31</v>
      </c>
      <c r="EC80" s="8">
        <v>93.79</v>
      </c>
      <c r="EF80" s="8">
        <v>94.16</v>
      </c>
      <c r="EG80" s="8">
        <v>96.9</v>
      </c>
      <c r="EH80" s="8">
        <v>90.92</v>
      </c>
      <c r="EI80" s="8">
        <v>95.06</v>
      </c>
      <c r="EJ80" s="8">
        <v>97.69</v>
      </c>
      <c r="EK80" s="8">
        <v>95.71</v>
      </c>
      <c r="EL80" s="8">
        <v>94.93</v>
      </c>
      <c r="EM80" s="8">
        <v>92.29</v>
      </c>
      <c r="EN80" s="8">
        <v>90.32</v>
      </c>
      <c r="EO80" s="8">
        <v>98.8</v>
      </c>
      <c r="EP80" s="8">
        <v>100.31</v>
      </c>
      <c r="EQ80" s="8">
        <v>94.78</v>
      </c>
      <c r="ER80" s="8">
        <v>96.29</v>
      </c>
      <c r="ES80" s="8">
        <v>95.27</v>
      </c>
      <c r="ET80" s="8">
        <v>98.31</v>
      </c>
      <c r="EU80" s="8">
        <v>95.51</v>
      </c>
      <c r="EV80" s="8">
        <v>98.87</v>
      </c>
      <c r="EW80" s="8">
        <v>100.14</v>
      </c>
      <c r="EX80" s="8">
        <v>98.09</v>
      </c>
      <c r="EY80" s="8">
        <v>91.17</v>
      </c>
      <c r="EZ80" s="8">
        <v>79.849999999999994</v>
      </c>
      <c r="FA80" s="8">
        <v>93.97</v>
      </c>
      <c r="FB80" s="8">
        <v>96.29</v>
      </c>
      <c r="FC80" s="8">
        <v>88.94</v>
      </c>
      <c r="FD80" s="8">
        <v>88.46</v>
      </c>
      <c r="FE80" s="8">
        <v>97.86</v>
      </c>
      <c r="FF80" s="8">
        <v>86.51</v>
      </c>
      <c r="FG80" s="8">
        <v>83.55</v>
      </c>
      <c r="FH80" s="8">
        <v>87.58</v>
      </c>
      <c r="FN80" s="8">
        <v>93.24</v>
      </c>
      <c r="FP80" s="8">
        <v>90.56</v>
      </c>
      <c r="FQ80" s="8">
        <v>73.900000000000006</v>
      </c>
      <c r="FR80" s="8">
        <v>73.900000000000006</v>
      </c>
      <c r="GF80" s="8">
        <v>89.33</v>
      </c>
      <c r="GG80" s="8">
        <v>89.33</v>
      </c>
      <c r="GH80" s="8">
        <v>96.34</v>
      </c>
      <c r="GI80" s="8">
        <v>96.34</v>
      </c>
      <c r="GL80" s="8">
        <v>87.49</v>
      </c>
      <c r="GO80" s="8">
        <v>98.31</v>
      </c>
      <c r="GP80" s="8">
        <v>89.47</v>
      </c>
      <c r="HB80" s="8">
        <v>100.31</v>
      </c>
      <c r="HC80" s="8">
        <v>98.97</v>
      </c>
      <c r="HD80" s="8">
        <v>98.48</v>
      </c>
      <c r="HE80" s="8">
        <v>101.94</v>
      </c>
      <c r="HU80" s="8">
        <v>101.88</v>
      </c>
      <c r="IB80" s="8">
        <v>86.04</v>
      </c>
      <c r="IK80" s="8">
        <v>98.71</v>
      </c>
      <c r="IL80" s="8">
        <v>92.4</v>
      </c>
      <c r="IM80" s="8">
        <v>105.28</v>
      </c>
      <c r="IQ80" s="8">
        <v>101.92</v>
      </c>
    </row>
    <row r="81" spans="1:251" x14ac:dyDescent="0.2">
      <c r="A81" s="9">
        <v>45108</v>
      </c>
      <c r="D81" s="8">
        <v>94.35</v>
      </c>
      <c r="E81" s="8">
        <v>97.47</v>
      </c>
      <c r="F81" s="8">
        <v>90.8</v>
      </c>
      <c r="G81" s="8">
        <v>94.48</v>
      </c>
      <c r="H81" s="8">
        <v>97.95</v>
      </c>
      <c r="I81" s="8">
        <v>95.56</v>
      </c>
      <c r="J81" s="8">
        <v>92.58</v>
      </c>
      <c r="K81" s="8">
        <v>92.52</v>
      </c>
      <c r="L81" s="8">
        <v>88.47</v>
      </c>
      <c r="M81" s="8">
        <v>99.29</v>
      </c>
      <c r="N81" s="8">
        <v>100.85</v>
      </c>
      <c r="O81" s="8">
        <v>96.83</v>
      </c>
      <c r="P81" s="8">
        <v>98.17</v>
      </c>
      <c r="Q81" s="8">
        <v>96.6</v>
      </c>
      <c r="R81" s="8">
        <v>102.09</v>
      </c>
      <c r="S81" s="8">
        <v>96.2</v>
      </c>
      <c r="T81" s="8">
        <v>96.46</v>
      </c>
      <c r="U81" s="8">
        <v>99.45</v>
      </c>
      <c r="V81" s="8">
        <v>94.04</v>
      </c>
      <c r="W81" s="8">
        <v>91.51</v>
      </c>
      <c r="X81" s="8">
        <v>79.95</v>
      </c>
      <c r="Y81" s="8">
        <v>94.5</v>
      </c>
      <c r="Z81" s="8">
        <v>96.8</v>
      </c>
      <c r="AA81" s="8">
        <v>90.66</v>
      </c>
      <c r="AB81" s="8">
        <v>88.21</v>
      </c>
      <c r="AC81" s="8">
        <v>97.77</v>
      </c>
      <c r="AD81" s="8">
        <v>93.59</v>
      </c>
      <c r="AE81" s="8">
        <v>84.35</v>
      </c>
      <c r="AF81" s="8">
        <v>96.09</v>
      </c>
      <c r="AL81" s="8">
        <v>93.84</v>
      </c>
      <c r="AN81" s="8">
        <v>90.15</v>
      </c>
      <c r="AO81" s="8">
        <v>75.78</v>
      </c>
      <c r="AP81" s="8">
        <v>75.78</v>
      </c>
      <c r="BD81" s="8">
        <v>89.57</v>
      </c>
      <c r="BE81" s="8">
        <v>89.57</v>
      </c>
      <c r="BF81" s="8">
        <v>95.87</v>
      </c>
      <c r="BG81" s="8">
        <v>95.87</v>
      </c>
      <c r="BJ81" s="8">
        <v>85.84</v>
      </c>
      <c r="BM81" s="8">
        <v>102.62</v>
      </c>
      <c r="BN81" s="8">
        <v>91.47</v>
      </c>
      <c r="BZ81" s="8">
        <v>100.6</v>
      </c>
      <c r="CA81" s="8">
        <v>99.94</v>
      </c>
      <c r="CB81" s="8">
        <v>98.01</v>
      </c>
      <c r="CC81" s="8">
        <v>102.58</v>
      </c>
      <c r="CS81" s="8">
        <v>100.73</v>
      </c>
      <c r="CZ81" s="8">
        <v>90.95</v>
      </c>
      <c r="DI81" s="8">
        <v>95.68</v>
      </c>
      <c r="DJ81" s="8">
        <v>96.67</v>
      </c>
      <c r="DK81" s="8">
        <v>94.46</v>
      </c>
      <c r="DO81" s="8">
        <v>101.97</v>
      </c>
      <c r="DV81" s="8">
        <v>87.96</v>
      </c>
      <c r="DW81" s="8">
        <v>89.61</v>
      </c>
      <c r="EA81" s="8">
        <v>93.59</v>
      </c>
      <c r="EB81" s="8">
        <v>91.4</v>
      </c>
      <c r="EC81" s="8">
        <v>93.79</v>
      </c>
      <c r="EF81" s="8">
        <v>94.23</v>
      </c>
      <c r="EG81" s="8">
        <v>96.97</v>
      </c>
      <c r="EH81" s="8">
        <v>91.01</v>
      </c>
      <c r="EI81" s="8">
        <v>94.36</v>
      </c>
      <c r="EJ81" s="8">
        <v>98.17</v>
      </c>
      <c r="EK81" s="8">
        <v>96.44</v>
      </c>
      <c r="EL81" s="8">
        <v>95.22</v>
      </c>
      <c r="EM81" s="8">
        <v>93.02</v>
      </c>
      <c r="EN81" s="8">
        <v>89.22</v>
      </c>
      <c r="EO81" s="8">
        <v>99.82</v>
      </c>
      <c r="EP81" s="8">
        <v>101.52</v>
      </c>
      <c r="EQ81" s="8">
        <v>96.72</v>
      </c>
      <c r="ER81" s="8">
        <v>98.01</v>
      </c>
      <c r="ES81" s="8">
        <v>96.27</v>
      </c>
      <c r="ET81" s="8">
        <v>102.01</v>
      </c>
      <c r="EU81" s="8">
        <v>96.14</v>
      </c>
      <c r="EV81" s="8">
        <v>95.7</v>
      </c>
      <c r="EW81" s="8">
        <v>98.87</v>
      </c>
      <c r="EX81" s="8">
        <v>93.73</v>
      </c>
      <c r="EY81" s="8">
        <v>90.99</v>
      </c>
      <c r="EZ81" s="8">
        <v>79.959999999999994</v>
      </c>
      <c r="FA81" s="8">
        <v>94.42</v>
      </c>
      <c r="FB81" s="8">
        <v>96.2</v>
      </c>
      <c r="FC81" s="8">
        <v>90.55</v>
      </c>
      <c r="FD81" s="8">
        <v>87.79</v>
      </c>
      <c r="FE81" s="8">
        <v>97.32</v>
      </c>
      <c r="FF81" s="8">
        <v>87.43</v>
      </c>
      <c r="FG81" s="8">
        <v>84.21</v>
      </c>
      <c r="FH81" s="8">
        <v>88.59</v>
      </c>
      <c r="FN81" s="8">
        <v>93.95</v>
      </c>
      <c r="FP81" s="8">
        <v>90.62</v>
      </c>
      <c r="FQ81" s="8">
        <v>73.849999999999994</v>
      </c>
      <c r="FR81" s="8">
        <v>73.849999999999994</v>
      </c>
      <c r="GF81" s="8">
        <v>89.98</v>
      </c>
      <c r="GG81" s="8">
        <v>89.98</v>
      </c>
      <c r="GH81" s="8">
        <v>96.86</v>
      </c>
      <c r="GI81" s="8">
        <v>96.86</v>
      </c>
      <c r="GL81" s="8">
        <v>87.49</v>
      </c>
      <c r="GO81" s="8">
        <v>124.19</v>
      </c>
      <c r="GP81" s="8">
        <v>89.61</v>
      </c>
      <c r="HB81" s="8">
        <v>100.49</v>
      </c>
      <c r="HC81" s="8">
        <v>100.04</v>
      </c>
      <c r="HD81" s="8">
        <v>98.53</v>
      </c>
      <c r="HE81" s="8">
        <v>102.06</v>
      </c>
      <c r="HU81" s="8">
        <v>100.23</v>
      </c>
      <c r="IB81" s="8">
        <v>90.95</v>
      </c>
      <c r="IK81" s="8">
        <v>94.71</v>
      </c>
      <c r="IL81" s="8">
        <v>92.63</v>
      </c>
      <c r="IM81" s="8">
        <v>96.68</v>
      </c>
      <c r="IQ81" s="8">
        <v>101.86</v>
      </c>
    </row>
    <row r="82" spans="1:251" x14ac:dyDescent="0.2">
      <c r="A82" s="9">
        <v>45139</v>
      </c>
      <c r="D82" s="8">
        <v>95.87</v>
      </c>
      <c r="E82" s="8">
        <v>97.56</v>
      </c>
      <c r="F82" s="8">
        <v>93.83</v>
      </c>
      <c r="G82" s="8">
        <v>96.03</v>
      </c>
      <c r="H82" s="8">
        <v>98.37</v>
      </c>
      <c r="I82" s="8">
        <v>96.1</v>
      </c>
      <c r="J82" s="8">
        <v>93.02</v>
      </c>
      <c r="K82" s="8">
        <v>92.99</v>
      </c>
      <c r="L82" s="8">
        <v>87.91</v>
      </c>
      <c r="M82" s="8">
        <v>99.94</v>
      </c>
      <c r="N82" s="8">
        <v>101.67</v>
      </c>
      <c r="O82" s="8">
        <v>97.99</v>
      </c>
      <c r="P82" s="8">
        <v>98.21</v>
      </c>
      <c r="Q82" s="8">
        <v>97.06</v>
      </c>
      <c r="R82" s="8">
        <v>101</v>
      </c>
      <c r="S82" s="8">
        <v>96.83</v>
      </c>
      <c r="T82" s="8">
        <v>94.18</v>
      </c>
      <c r="U82" s="8">
        <v>95.59</v>
      </c>
      <c r="V82" s="8">
        <v>92.99</v>
      </c>
      <c r="W82" s="8">
        <v>91.6</v>
      </c>
      <c r="X82" s="8">
        <v>79.92</v>
      </c>
      <c r="Y82" s="8">
        <v>95.69</v>
      </c>
      <c r="Z82" s="8">
        <v>97.54</v>
      </c>
      <c r="AA82" s="8">
        <v>92.34</v>
      </c>
      <c r="AB82" s="8">
        <v>87.53</v>
      </c>
      <c r="AC82" s="8">
        <v>97.95</v>
      </c>
      <c r="AD82" s="8">
        <v>93.32</v>
      </c>
      <c r="AE82" s="8">
        <v>84.3</v>
      </c>
      <c r="AF82" s="8">
        <v>95.77</v>
      </c>
      <c r="AL82" s="8">
        <v>94.72</v>
      </c>
      <c r="AN82" s="8">
        <v>92.07</v>
      </c>
      <c r="AO82" s="8">
        <v>76.14</v>
      </c>
      <c r="AP82" s="8">
        <v>76.14</v>
      </c>
      <c r="BD82" s="8">
        <v>90.28</v>
      </c>
      <c r="BE82" s="8">
        <v>90.28</v>
      </c>
      <c r="BF82" s="8">
        <v>96.13</v>
      </c>
      <c r="BG82" s="8">
        <v>96.13</v>
      </c>
      <c r="BJ82" s="8">
        <v>85.84</v>
      </c>
      <c r="BM82" s="8">
        <v>103.38</v>
      </c>
      <c r="BN82" s="8">
        <v>92.37</v>
      </c>
      <c r="BZ82" s="8">
        <v>100.75</v>
      </c>
      <c r="CA82" s="8">
        <v>99.39</v>
      </c>
      <c r="CB82" s="8">
        <v>98.51</v>
      </c>
      <c r="CC82" s="8">
        <v>102.62</v>
      </c>
      <c r="CS82" s="8">
        <v>109.47</v>
      </c>
      <c r="CZ82" s="8">
        <v>93.58</v>
      </c>
      <c r="DI82" s="8">
        <v>92.2</v>
      </c>
      <c r="DJ82" s="8">
        <v>91.72</v>
      </c>
      <c r="DK82" s="8">
        <v>92.32</v>
      </c>
      <c r="DO82" s="8">
        <v>100.34</v>
      </c>
      <c r="DV82" s="8">
        <v>87.96</v>
      </c>
      <c r="DW82" s="8">
        <v>90.78</v>
      </c>
      <c r="EA82" s="8">
        <v>93.67</v>
      </c>
      <c r="EB82" s="8">
        <v>92.39</v>
      </c>
      <c r="EC82" s="8">
        <v>93.79</v>
      </c>
      <c r="EF82" s="8">
        <v>96</v>
      </c>
      <c r="EG82" s="8">
        <v>97.18</v>
      </c>
      <c r="EH82" s="8">
        <v>94.41</v>
      </c>
      <c r="EI82" s="8">
        <v>95.85</v>
      </c>
      <c r="EJ82" s="8">
        <v>98.82</v>
      </c>
      <c r="EK82" s="8">
        <v>96.93</v>
      </c>
      <c r="EL82" s="8">
        <v>95.71</v>
      </c>
      <c r="EM82" s="8">
        <v>93.61</v>
      </c>
      <c r="EN82" s="8">
        <v>87.88</v>
      </c>
      <c r="EO82" s="8">
        <v>100.45</v>
      </c>
      <c r="EP82" s="8">
        <v>102.58</v>
      </c>
      <c r="EQ82" s="8">
        <v>97.87</v>
      </c>
      <c r="ER82" s="8">
        <v>98.12</v>
      </c>
      <c r="ES82" s="8">
        <v>96.65</v>
      </c>
      <c r="ET82" s="8">
        <v>101.17</v>
      </c>
      <c r="EU82" s="8">
        <v>96.89</v>
      </c>
      <c r="EV82" s="8">
        <v>94.86</v>
      </c>
      <c r="EW82" s="8">
        <v>96.1</v>
      </c>
      <c r="EX82" s="8">
        <v>94.09</v>
      </c>
      <c r="EY82" s="8">
        <v>91.23</v>
      </c>
      <c r="EZ82" s="8">
        <v>80.040000000000006</v>
      </c>
      <c r="FA82" s="8">
        <v>95.66</v>
      </c>
      <c r="FB82" s="8">
        <v>97.19</v>
      </c>
      <c r="FC82" s="8">
        <v>92.5</v>
      </c>
      <c r="FD82" s="8">
        <v>87.24</v>
      </c>
      <c r="FE82" s="8">
        <v>97.52</v>
      </c>
      <c r="FF82" s="8">
        <v>87.3</v>
      </c>
      <c r="FG82" s="8">
        <v>84.33</v>
      </c>
      <c r="FH82" s="8">
        <v>88.37</v>
      </c>
      <c r="FN82" s="8">
        <v>95.2</v>
      </c>
      <c r="FP82" s="8">
        <v>93.45</v>
      </c>
      <c r="FQ82" s="8">
        <v>74.13</v>
      </c>
      <c r="FR82" s="8">
        <v>74.13</v>
      </c>
      <c r="GF82" s="8">
        <v>90.58</v>
      </c>
      <c r="GG82" s="8">
        <v>90.58</v>
      </c>
      <c r="GH82" s="8">
        <v>96.04</v>
      </c>
      <c r="GI82" s="8">
        <v>96.04</v>
      </c>
      <c r="GL82" s="8">
        <v>87.49</v>
      </c>
      <c r="GO82" s="8">
        <v>116.15</v>
      </c>
      <c r="GP82" s="8">
        <v>89.8</v>
      </c>
      <c r="HB82" s="8">
        <v>100.48</v>
      </c>
      <c r="HC82" s="8">
        <v>99.43</v>
      </c>
      <c r="HD82" s="8">
        <v>98.73</v>
      </c>
      <c r="HE82" s="8">
        <v>101.99</v>
      </c>
      <c r="HU82" s="8">
        <v>109.28</v>
      </c>
      <c r="IB82" s="8">
        <v>93.58</v>
      </c>
      <c r="IK82" s="8">
        <v>90.49</v>
      </c>
      <c r="IL82" s="8">
        <v>87.27</v>
      </c>
      <c r="IM82" s="8">
        <v>93.72</v>
      </c>
      <c r="IQ82" s="8">
        <v>100.4</v>
      </c>
    </row>
    <row r="83" spans="1:251" x14ac:dyDescent="0.2">
      <c r="A83" s="9">
        <v>45170</v>
      </c>
      <c r="D83" s="8">
        <v>96.4</v>
      </c>
      <c r="E83" s="8">
        <v>97.77</v>
      </c>
      <c r="F83" s="8">
        <v>94.32</v>
      </c>
      <c r="G83" s="8">
        <v>98.12</v>
      </c>
      <c r="H83" s="8">
        <v>99.12</v>
      </c>
      <c r="I83" s="8">
        <v>95.63</v>
      </c>
      <c r="J83" s="8">
        <v>91.62</v>
      </c>
      <c r="K83" s="8">
        <v>93.69</v>
      </c>
      <c r="L83" s="8">
        <v>82.93</v>
      </c>
      <c r="M83" s="8">
        <v>99.7</v>
      </c>
      <c r="N83" s="8">
        <v>100.66</v>
      </c>
      <c r="O83" s="8">
        <v>100.97</v>
      </c>
      <c r="P83" s="8">
        <v>97.7</v>
      </c>
      <c r="Q83" s="8">
        <v>95.98</v>
      </c>
      <c r="R83" s="8">
        <v>101.35</v>
      </c>
      <c r="S83" s="8">
        <v>96.16</v>
      </c>
      <c r="T83" s="8">
        <v>91.19</v>
      </c>
      <c r="U83" s="8">
        <v>92.04</v>
      </c>
      <c r="V83" s="8">
        <v>90.44</v>
      </c>
      <c r="W83" s="8">
        <v>92.03</v>
      </c>
      <c r="X83" s="8">
        <v>81.459999999999994</v>
      </c>
      <c r="Y83" s="8">
        <v>95.35</v>
      </c>
      <c r="Z83" s="8">
        <v>97.38</v>
      </c>
      <c r="AA83" s="8">
        <v>91.39</v>
      </c>
      <c r="AB83" s="8">
        <v>88.69</v>
      </c>
      <c r="AC83" s="8">
        <v>97.86</v>
      </c>
      <c r="AD83" s="8">
        <v>93.04</v>
      </c>
      <c r="AE83" s="8">
        <v>85.35</v>
      </c>
      <c r="AF83" s="8">
        <v>95.12</v>
      </c>
      <c r="AL83" s="8">
        <v>96.4</v>
      </c>
      <c r="AN83" s="8">
        <v>93.55</v>
      </c>
      <c r="AO83" s="8">
        <v>79.81</v>
      </c>
      <c r="AP83" s="8">
        <v>79.81</v>
      </c>
      <c r="BD83" s="8">
        <v>90.62</v>
      </c>
      <c r="BE83" s="8">
        <v>90.62</v>
      </c>
      <c r="BF83" s="8">
        <v>96.99</v>
      </c>
      <c r="BG83" s="8">
        <v>96.99</v>
      </c>
      <c r="BJ83" s="8">
        <v>89.65</v>
      </c>
      <c r="BM83" s="8">
        <v>103.24</v>
      </c>
      <c r="BN83" s="8">
        <v>91.75</v>
      </c>
      <c r="BZ83" s="8">
        <v>100.43</v>
      </c>
      <c r="CA83" s="8">
        <v>100.41</v>
      </c>
      <c r="CB83" s="8">
        <v>98.97</v>
      </c>
      <c r="CC83" s="8">
        <v>101.47</v>
      </c>
      <c r="CS83" s="8">
        <v>112.89</v>
      </c>
      <c r="CZ83" s="8">
        <v>94.06</v>
      </c>
      <c r="DI83" s="8">
        <v>95.57</v>
      </c>
      <c r="DJ83" s="8">
        <v>95.43</v>
      </c>
      <c r="DK83" s="8">
        <v>95.36</v>
      </c>
      <c r="DO83" s="8">
        <v>100.19</v>
      </c>
      <c r="DV83" s="8">
        <v>87.96</v>
      </c>
      <c r="DW83" s="8">
        <v>90.78</v>
      </c>
      <c r="EA83" s="8">
        <v>93.4</v>
      </c>
      <c r="EB83" s="8">
        <v>94.34</v>
      </c>
      <c r="EC83" s="8">
        <v>93.32</v>
      </c>
      <c r="EF83" s="8">
        <v>96.44</v>
      </c>
      <c r="EG83" s="8">
        <v>97.44</v>
      </c>
      <c r="EH83" s="8">
        <v>94.66</v>
      </c>
      <c r="EI83" s="8">
        <v>98.09</v>
      </c>
      <c r="EJ83" s="8">
        <v>99.35</v>
      </c>
      <c r="EK83" s="8">
        <v>96.5</v>
      </c>
      <c r="EL83" s="8">
        <v>94.38</v>
      </c>
      <c r="EM83" s="8">
        <v>94.01</v>
      </c>
      <c r="EN83" s="8">
        <v>83.7</v>
      </c>
      <c r="EO83" s="8">
        <v>100.37</v>
      </c>
      <c r="EP83" s="8">
        <v>101.75</v>
      </c>
      <c r="EQ83" s="8">
        <v>100.67</v>
      </c>
      <c r="ER83" s="8">
        <v>97.66</v>
      </c>
      <c r="ES83" s="8">
        <v>95.88</v>
      </c>
      <c r="ET83" s="8">
        <v>101.34</v>
      </c>
      <c r="EU83" s="8">
        <v>96.17</v>
      </c>
      <c r="EV83" s="8">
        <v>91.93</v>
      </c>
      <c r="EW83" s="8">
        <v>91.77</v>
      </c>
      <c r="EX83" s="8">
        <v>92.05</v>
      </c>
      <c r="EY83" s="8">
        <v>91.7</v>
      </c>
      <c r="EZ83" s="8">
        <v>82.02</v>
      </c>
      <c r="FA83" s="8">
        <v>95.47</v>
      </c>
      <c r="FB83" s="8">
        <v>97.12</v>
      </c>
      <c r="FC83" s="8">
        <v>91.48</v>
      </c>
      <c r="FD83" s="8">
        <v>88.33</v>
      </c>
      <c r="FE83" s="8">
        <v>97.55</v>
      </c>
      <c r="FF83" s="8">
        <v>87.25</v>
      </c>
      <c r="FG83" s="8">
        <v>85.34</v>
      </c>
      <c r="FH83" s="8">
        <v>87.95</v>
      </c>
      <c r="FN83" s="8">
        <v>95.6</v>
      </c>
      <c r="FP83" s="8">
        <v>93.79</v>
      </c>
      <c r="FQ83" s="8">
        <v>77.27</v>
      </c>
      <c r="FR83" s="8">
        <v>77.27</v>
      </c>
      <c r="GF83" s="8">
        <v>90.69</v>
      </c>
      <c r="GG83" s="8">
        <v>90.69</v>
      </c>
      <c r="GH83" s="8">
        <v>96.35</v>
      </c>
      <c r="GI83" s="8">
        <v>96.35</v>
      </c>
      <c r="GL83" s="8">
        <v>90.08</v>
      </c>
      <c r="GO83" s="8">
        <v>117.82</v>
      </c>
      <c r="GP83" s="8">
        <v>90.58</v>
      </c>
      <c r="HB83" s="8">
        <v>100.29</v>
      </c>
      <c r="HC83" s="8">
        <v>100.49</v>
      </c>
      <c r="HD83" s="8">
        <v>99.24</v>
      </c>
      <c r="HE83" s="8">
        <v>101.06</v>
      </c>
      <c r="HU83" s="8">
        <v>112.61</v>
      </c>
      <c r="IB83" s="8">
        <v>94.06</v>
      </c>
      <c r="IK83" s="8">
        <v>94.81</v>
      </c>
      <c r="IL83" s="8">
        <v>91.67</v>
      </c>
      <c r="IM83" s="8">
        <v>97.94</v>
      </c>
      <c r="IQ83" s="8">
        <v>100.28</v>
      </c>
    </row>
    <row r="84" spans="1:251" x14ac:dyDescent="0.2">
      <c r="A84" s="9">
        <v>45200</v>
      </c>
      <c r="D84" s="8">
        <v>96.48</v>
      </c>
      <c r="E84" s="8">
        <v>97.73</v>
      </c>
      <c r="F84" s="8">
        <v>94.74</v>
      </c>
      <c r="G84" s="8">
        <v>98.06</v>
      </c>
      <c r="H84" s="8">
        <v>98.39</v>
      </c>
      <c r="I84" s="8">
        <v>95.67</v>
      </c>
      <c r="J84" s="8">
        <v>91.62</v>
      </c>
      <c r="K84" s="8">
        <v>95.71</v>
      </c>
      <c r="L84" s="8">
        <v>80.98</v>
      </c>
      <c r="M84" s="8">
        <v>98.73</v>
      </c>
      <c r="N84" s="8">
        <v>101.75</v>
      </c>
      <c r="O84" s="8">
        <v>101.2</v>
      </c>
      <c r="P84" s="8">
        <v>98.48</v>
      </c>
      <c r="Q84" s="8">
        <v>98.08</v>
      </c>
      <c r="R84" s="8">
        <v>100.89</v>
      </c>
      <c r="S84" s="8">
        <v>96.56</v>
      </c>
      <c r="T84" s="8">
        <v>91.61</v>
      </c>
      <c r="U84" s="8">
        <v>95.38</v>
      </c>
      <c r="V84" s="8">
        <v>88.59</v>
      </c>
      <c r="W84" s="8">
        <v>92.26</v>
      </c>
      <c r="X84" s="8">
        <v>83.14</v>
      </c>
      <c r="Y84" s="8">
        <v>96.38</v>
      </c>
      <c r="Z84" s="8">
        <v>97.76</v>
      </c>
      <c r="AA84" s="8">
        <v>92</v>
      </c>
      <c r="AB84" s="8">
        <v>88.15</v>
      </c>
      <c r="AC84" s="8">
        <v>98.64</v>
      </c>
      <c r="AD84" s="8">
        <v>92.49</v>
      </c>
      <c r="AE84" s="8">
        <v>84.97</v>
      </c>
      <c r="AF84" s="8">
        <v>94.51</v>
      </c>
      <c r="AL84" s="8">
        <v>95.35</v>
      </c>
      <c r="AN84" s="8">
        <v>93.52</v>
      </c>
      <c r="AO84" s="8">
        <v>82.37</v>
      </c>
      <c r="AP84" s="8">
        <v>82.37</v>
      </c>
      <c r="BD84" s="8">
        <v>90.64</v>
      </c>
      <c r="BE84" s="8">
        <v>90.64</v>
      </c>
      <c r="BF84" s="8">
        <v>96.6</v>
      </c>
      <c r="BG84" s="8">
        <v>96.6</v>
      </c>
      <c r="BJ84" s="8">
        <v>89.65</v>
      </c>
      <c r="BM84" s="8">
        <v>100.46</v>
      </c>
      <c r="BN84" s="8">
        <v>91.75</v>
      </c>
      <c r="BZ84" s="8">
        <v>98.8</v>
      </c>
      <c r="CA84" s="8">
        <v>100.78</v>
      </c>
      <c r="CB84" s="8">
        <v>96.43</v>
      </c>
      <c r="CC84" s="8">
        <v>100.07</v>
      </c>
      <c r="CS84" s="8">
        <v>106.26</v>
      </c>
      <c r="CZ84" s="8">
        <v>94.42</v>
      </c>
      <c r="DI84" s="8">
        <v>88.92</v>
      </c>
      <c r="DJ84" s="8">
        <v>93.44</v>
      </c>
      <c r="DK84" s="8">
        <v>84.54</v>
      </c>
      <c r="DO84" s="8">
        <v>99</v>
      </c>
      <c r="DV84" s="8">
        <v>87.96</v>
      </c>
      <c r="DW84" s="8">
        <v>90.78</v>
      </c>
      <c r="EA84" s="8">
        <v>93.4</v>
      </c>
      <c r="EB84" s="8">
        <v>94.42</v>
      </c>
      <c r="EC84" s="8">
        <v>93.32</v>
      </c>
      <c r="EF84" s="8">
        <v>96.74</v>
      </c>
      <c r="EG84" s="8">
        <v>97.5</v>
      </c>
      <c r="EH84" s="8">
        <v>95.49</v>
      </c>
      <c r="EI84" s="8">
        <v>98.06</v>
      </c>
      <c r="EJ84" s="8">
        <v>98.67</v>
      </c>
      <c r="EK84" s="8">
        <v>96.43</v>
      </c>
      <c r="EL84" s="8">
        <v>94.07</v>
      </c>
      <c r="EM84" s="8">
        <v>95.75</v>
      </c>
      <c r="EN84" s="8">
        <v>81.64</v>
      </c>
      <c r="EO84" s="8">
        <v>99.86</v>
      </c>
      <c r="EP84" s="8">
        <v>102.75</v>
      </c>
      <c r="EQ84" s="8">
        <v>100.83</v>
      </c>
      <c r="ER84" s="8">
        <v>98.4</v>
      </c>
      <c r="ES84" s="8">
        <v>97.8</v>
      </c>
      <c r="ET84" s="8">
        <v>100.93</v>
      </c>
      <c r="EU84" s="8">
        <v>96.5</v>
      </c>
      <c r="EV84" s="8">
        <v>91.47</v>
      </c>
      <c r="EW84" s="8">
        <v>94.45</v>
      </c>
      <c r="EX84" s="8">
        <v>89.62</v>
      </c>
      <c r="EY84" s="8">
        <v>92.06</v>
      </c>
      <c r="EZ84" s="8">
        <v>83.46</v>
      </c>
      <c r="FA84" s="8">
        <v>96.44</v>
      </c>
      <c r="FB84" s="8">
        <v>97.52</v>
      </c>
      <c r="FC84" s="8">
        <v>91.86</v>
      </c>
      <c r="FD84" s="8">
        <v>88.09</v>
      </c>
      <c r="FE84" s="8">
        <v>98.66</v>
      </c>
      <c r="FF84" s="8">
        <v>86.93</v>
      </c>
      <c r="FG84" s="8">
        <v>84.92</v>
      </c>
      <c r="FH84" s="8">
        <v>87.67</v>
      </c>
      <c r="FN84" s="8">
        <v>96.05</v>
      </c>
      <c r="FP84" s="8">
        <v>93.92</v>
      </c>
      <c r="FQ84" s="8">
        <v>80.13</v>
      </c>
      <c r="FR84" s="8">
        <v>80.13</v>
      </c>
      <c r="GF84" s="8">
        <v>90.43</v>
      </c>
      <c r="GG84" s="8">
        <v>90.43</v>
      </c>
      <c r="GH84" s="8">
        <v>96.68</v>
      </c>
      <c r="GI84" s="8">
        <v>96.68</v>
      </c>
      <c r="GL84" s="8">
        <v>90.08</v>
      </c>
      <c r="GO84" s="8">
        <v>115.88</v>
      </c>
      <c r="GP84" s="8">
        <v>86.46</v>
      </c>
      <c r="HB84" s="8">
        <v>98.74</v>
      </c>
      <c r="HC84" s="8">
        <v>100.77</v>
      </c>
      <c r="HD84" s="8">
        <v>96.71</v>
      </c>
      <c r="HE84" s="8">
        <v>99.96</v>
      </c>
      <c r="HU84" s="8">
        <v>109.04</v>
      </c>
      <c r="IB84" s="8">
        <v>94.42</v>
      </c>
      <c r="IK84" s="8">
        <v>87.73</v>
      </c>
      <c r="IL84" s="8">
        <v>89.15</v>
      </c>
      <c r="IM84" s="8">
        <v>85.9</v>
      </c>
      <c r="IQ84" s="8">
        <v>99</v>
      </c>
    </row>
    <row r="85" spans="1:251" x14ac:dyDescent="0.2">
      <c r="A85" s="9">
        <v>45231</v>
      </c>
      <c r="D85" s="8">
        <v>97.2</v>
      </c>
      <c r="E85" s="8">
        <v>98.07</v>
      </c>
      <c r="F85" s="8">
        <v>95.29</v>
      </c>
      <c r="G85" s="8">
        <v>101.9</v>
      </c>
      <c r="H85" s="8">
        <v>99</v>
      </c>
      <c r="I85" s="8">
        <v>94.92</v>
      </c>
      <c r="J85" s="8">
        <v>91.23</v>
      </c>
      <c r="K85" s="8">
        <v>96.29</v>
      </c>
      <c r="L85" s="8">
        <v>76.510000000000005</v>
      </c>
      <c r="M85" s="8">
        <v>98.2</v>
      </c>
      <c r="N85" s="8">
        <v>101.44</v>
      </c>
      <c r="O85" s="8">
        <v>101.18</v>
      </c>
      <c r="P85" s="8">
        <v>98.17</v>
      </c>
      <c r="Q85" s="8">
        <v>97.36</v>
      </c>
      <c r="R85" s="8">
        <v>101</v>
      </c>
      <c r="S85" s="8">
        <v>96.34</v>
      </c>
      <c r="T85" s="8">
        <v>93.92</v>
      </c>
      <c r="U85" s="8">
        <v>96.81</v>
      </c>
      <c r="V85" s="8">
        <v>91.58</v>
      </c>
      <c r="W85" s="8">
        <v>93.15</v>
      </c>
      <c r="X85" s="8">
        <v>83.13</v>
      </c>
      <c r="Y85" s="8">
        <v>96.58</v>
      </c>
      <c r="Z85" s="8">
        <v>96.79</v>
      </c>
      <c r="AA85" s="8">
        <v>93.71</v>
      </c>
      <c r="AB85" s="8">
        <v>89.52</v>
      </c>
      <c r="AC85" s="8">
        <v>99.81</v>
      </c>
      <c r="AD85" s="8">
        <v>92.41</v>
      </c>
      <c r="AE85" s="8">
        <v>84.91</v>
      </c>
      <c r="AF85" s="8">
        <v>94.44</v>
      </c>
      <c r="AL85" s="8">
        <v>93.53</v>
      </c>
      <c r="AN85" s="8">
        <v>93.66</v>
      </c>
      <c r="AO85" s="8">
        <v>82.46</v>
      </c>
      <c r="AP85" s="8">
        <v>82.46</v>
      </c>
      <c r="BD85" s="8">
        <v>91.3</v>
      </c>
      <c r="BE85" s="8">
        <v>91.3</v>
      </c>
      <c r="BF85" s="8">
        <v>97.38</v>
      </c>
      <c r="BG85" s="8">
        <v>97.38</v>
      </c>
      <c r="BJ85" s="8">
        <v>89.65</v>
      </c>
      <c r="BM85" s="8">
        <v>100.09</v>
      </c>
      <c r="BN85" s="8">
        <v>91.75</v>
      </c>
      <c r="BZ85" s="8">
        <v>98.98</v>
      </c>
      <c r="CA85" s="8">
        <v>100.52</v>
      </c>
      <c r="CB85" s="8">
        <v>96.96</v>
      </c>
      <c r="CC85" s="8">
        <v>100.09</v>
      </c>
      <c r="CS85" s="8">
        <v>108.64</v>
      </c>
      <c r="CZ85" s="8">
        <v>95</v>
      </c>
      <c r="DI85" s="8">
        <v>91.27</v>
      </c>
      <c r="DJ85" s="8">
        <v>95.26</v>
      </c>
      <c r="DK85" s="8">
        <v>87.36</v>
      </c>
      <c r="DO85" s="8">
        <v>99.85</v>
      </c>
      <c r="DV85" s="8">
        <v>87.96</v>
      </c>
      <c r="DW85" s="8">
        <v>90.78</v>
      </c>
      <c r="EA85" s="8">
        <v>93.44</v>
      </c>
      <c r="EB85" s="8">
        <v>94.81</v>
      </c>
      <c r="EC85" s="8">
        <v>93.32</v>
      </c>
      <c r="EF85" s="8">
        <v>97.19</v>
      </c>
      <c r="EG85" s="8">
        <v>97.62</v>
      </c>
      <c r="EH85" s="8">
        <v>95.57</v>
      </c>
      <c r="EI85" s="8">
        <v>101.92</v>
      </c>
      <c r="EJ85" s="8">
        <v>99.26</v>
      </c>
      <c r="EK85" s="8">
        <v>95.33</v>
      </c>
      <c r="EL85" s="8">
        <v>93.65</v>
      </c>
      <c r="EM85" s="8">
        <v>97.17</v>
      </c>
      <c r="EN85" s="8">
        <v>75.67</v>
      </c>
      <c r="EO85" s="8">
        <v>98.6</v>
      </c>
      <c r="EP85" s="8">
        <v>102.27</v>
      </c>
      <c r="EQ85" s="8">
        <v>100.65</v>
      </c>
      <c r="ER85" s="8">
        <v>98.6</v>
      </c>
      <c r="ES85" s="8">
        <v>98.27</v>
      </c>
      <c r="ET85" s="8">
        <v>100.98</v>
      </c>
      <c r="EU85" s="8">
        <v>96.51</v>
      </c>
      <c r="EV85" s="8">
        <v>93.41</v>
      </c>
      <c r="EW85" s="8">
        <v>95.27</v>
      </c>
      <c r="EX85" s="8">
        <v>92.25</v>
      </c>
      <c r="EY85" s="8">
        <v>92.83</v>
      </c>
      <c r="EZ85" s="8">
        <v>83.43</v>
      </c>
      <c r="FA85" s="8">
        <v>96.4</v>
      </c>
      <c r="FB85" s="8">
        <v>96.73</v>
      </c>
      <c r="FC85" s="8">
        <v>93.65</v>
      </c>
      <c r="FD85" s="8">
        <v>89.24</v>
      </c>
      <c r="FE85" s="8">
        <v>99.64</v>
      </c>
      <c r="FF85" s="8">
        <v>91.5</v>
      </c>
      <c r="FG85" s="8">
        <v>84.94</v>
      </c>
      <c r="FH85" s="8">
        <v>93.86</v>
      </c>
      <c r="FN85" s="8">
        <v>94.2</v>
      </c>
      <c r="FP85" s="8">
        <v>95.18</v>
      </c>
      <c r="FQ85" s="8">
        <v>80.099999999999994</v>
      </c>
      <c r="FR85" s="8">
        <v>80.099999999999994</v>
      </c>
      <c r="GF85" s="8">
        <v>91.01</v>
      </c>
      <c r="GG85" s="8">
        <v>91.01</v>
      </c>
      <c r="GH85" s="8">
        <v>97.24</v>
      </c>
      <c r="GI85" s="8">
        <v>97.24</v>
      </c>
      <c r="GL85" s="8">
        <v>90.08</v>
      </c>
      <c r="GO85" s="8">
        <v>118.35</v>
      </c>
      <c r="GP85" s="8">
        <v>90.09</v>
      </c>
      <c r="HB85" s="8">
        <v>98.82</v>
      </c>
      <c r="HC85" s="8">
        <v>100.47</v>
      </c>
      <c r="HD85" s="8">
        <v>97.03</v>
      </c>
      <c r="HE85" s="8">
        <v>99.91</v>
      </c>
      <c r="HU85" s="8">
        <v>110.02</v>
      </c>
      <c r="IB85" s="8">
        <v>95</v>
      </c>
      <c r="IK85" s="8">
        <v>90.46</v>
      </c>
      <c r="IL85" s="8">
        <v>92.07</v>
      </c>
      <c r="IM85" s="8">
        <v>88.4</v>
      </c>
      <c r="IQ85" s="8">
        <v>99.83</v>
      </c>
    </row>
    <row r="86" spans="1:251" x14ac:dyDescent="0.2">
      <c r="A86" s="9">
        <v>45261</v>
      </c>
      <c r="D86" s="8">
        <v>98.44</v>
      </c>
      <c r="E86" s="8">
        <v>98.53</v>
      </c>
      <c r="F86" s="8">
        <v>96.42</v>
      </c>
      <c r="G86" s="8">
        <v>105.25</v>
      </c>
      <c r="H86" s="8">
        <v>101.69</v>
      </c>
      <c r="I86" s="8">
        <v>93.4</v>
      </c>
      <c r="J86" s="8">
        <v>90.71</v>
      </c>
      <c r="K86" s="8">
        <v>96.12</v>
      </c>
      <c r="L86" s="8">
        <v>70.53</v>
      </c>
      <c r="M86" s="8">
        <v>98.06</v>
      </c>
      <c r="N86" s="8">
        <v>97.99</v>
      </c>
      <c r="O86" s="8">
        <v>101.05</v>
      </c>
      <c r="P86" s="8">
        <v>99.39</v>
      </c>
      <c r="Q86" s="8">
        <v>98.49</v>
      </c>
      <c r="R86" s="8">
        <v>101.11</v>
      </c>
      <c r="S86" s="8">
        <v>98.76</v>
      </c>
      <c r="T86" s="8">
        <v>93.71</v>
      </c>
      <c r="U86" s="8">
        <v>94.12</v>
      </c>
      <c r="V86" s="8">
        <v>93.3</v>
      </c>
      <c r="W86" s="8">
        <v>94.68</v>
      </c>
      <c r="X86" s="8">
        <v>83.18</v>
      </c>
      <c r="Y86" s="8">
        <v>97.5</v>
      </c>
      <c r="Z86" s="8">
        <v>97.42</v>
      </c>
      <c r="AA86" s="8">
        <v>93.08</v>
      </c>
      <c r="AB86" s="8">
        <v>92.19</v>
      </c>
      <c r="AC86" s="8">
        <v>101.27</v>
      </c>
      <c r="AD86" s="8">
        <v>93.09</v>
      </c>
      <c r="AE86" s="8">
        <v>87.2</v>
      </c>
      <c r="AF86" s="8">
        <v>94.67</v>
      </c>
      <c r="AL86" s="8">
        <v>93.82</v>
      </c>
      <c r="AN86" s="8">
        <v>93.46</v>
      </c>
      <c r="AO86" s="8">
        <v>82.65</v>
      </c>
      <c r="AP86" s="8">
        <v>82.65</v>
      </c>
      <c r="BD86" s="8">
        <v>92.01</v>
      </c>
      <c r="BE86" s="8">
        <v>92.01</v>
      </c>
      <c r="BF86" s="8">
        <v>97.92</v>
      </c>
      <c r="BG86" s="8">
        <v>97.92</v>
      </c>
      <c r="BJ86" s="8">
        <v>89.65</v>
      </c>
      <c r="BM86" s="8">
        <v>98.71</v>
      </c>
      <c r="BN86" s="8">
        <v>91.47</v>
      </c>
      <c r="BZ86" s="8">
        <v>100.63</v>
      </c>
      <c r="CA86" s="8">
        <v>102.06</v>
      </c>
      <c r="CB86" s="8">
        <v>99.83</v>
      </c>
      <c r="CC86" s="8">
        <v>100.9</v>
      </c>
      <c r="CS86" s="8">
        <v>104.84</v>
      </c>
      <c r="CZ86" s="8">
        <v>95.39</v>
      </c>
      <c r="DI86" s="8">
        <v>105.5</v>
      </c>
      <c r="DJ86" s="8">
        <v>103.89</v>
      </c>
      <c r="DK86" s="8">
        <v>106.59</v>
      </c>
      <c r="DO86" s="8">
        <v>101.66</v>
      </c>
      <c r="DV86" s="8">
        <v>87.96</v>
      </c>
      <c r="DW86" s="8">
        <v>90.78</v>
      </c>
      <c r="EA86" s="8">
        <v>94.47</v>
      </c>
      <c r="EB86" s="8">
        <v>95.61</v>
      </c>
      <c r="EC86" s="8">
        <v>94.38</v>
      </c>
      <c r="EF86" s="8">
        <v>98.32</v>
      </c>
      <c r="EG86" s="8">
        <v>98.09</v>
      </c>
      <c r="EH86" s="8">
        <v>96.56</v>
      </c>
      <c r="EI86" s="8">
        <v>104.65</v>
      </c>
      <c r="EJ86" s="8">
        <v>101.71</v>
      </c>
      <c r="EK86" s="8">
        <v>93.99</v>
      </c>
      <c r="EL86" s="8">
        <v>93.1</v>
      </c>
      <c r="EM86" s="8">
        <v>96.61</v>
      </c>
      <c r="EN86" s="8">
        <v>70.989999999999995</v>
      </c>
      <c r="EO86" s="8">
        <v>98.14</v>
      </c>
      <c r="EP86" s="8">
        <v>99.45</v>
      </c>
      <c r="EQ86" s="8">
        <v>100.67</v>
      </c>
      <c r="ER86" s="8">
        <v>99.59</v>
      </c>
      <c r="ES86" s="8">
        <v>98.73</v>
      </c>
      <c r="ET86" s="8">
        <v>101.16</v>
      </c>
      <c r="EU86" s="8">
        <v>99.06</v>
      </c>
      <c r="EV86" s="8">
        <v>93.2</v>
      </c>
      <c r="EW86" s="8">
        <v>92.63</v>
      </c>
      <c r="EX86" s="8">
        <v>93.56</v>
      </c>
      <c r="EY86" s="8">
        <v>94.31</v>
      </c>
      <c r="EZ86" s="8">
        <v>83.55</v>
      </c>
      <c r="FA86" s="8">
        <v>97.42</v>
      </c>
      <c r="FB86" s="8">
        <v>97.31</v>
      </c>
      <c r="FC86" s="8">
        <v>92.53</v>
      </c>
      <c r="FD86" s="8">
        <v>91.93</v>
      </c>
      <c r="FE86" s="8">
        <v>101.24</v>
      </c>
      <c r="FF86" s="8">
        <v>92.35</v>
      </c>
      <c r="FG86" s="8">
        <v>87.17</v>
      </c>
      <c r="FH86" s="8">
        <v>94.22</v>
      </c>
      <c r="FN86" s="8">
        <v>94.33</v>
      </c>
      <c r="FP86" s="8">
        <v>94.94</v>
      </c>
      <c r="FQ86" s="8">
        <v>80.23</v>
      </c>
      <c r="FR86" s="8">
        <v>80.23</v>
      </c>
      <c r="GF86" s="8">
        <v>91.61</v>
      </c>
      <c r="GG86" s="8">
        <v>91.61</v>
      </c>
      <c r="GH86" s="8">
        <v>98.18</v>
      </c>
      <c r="GI86" s="8">
        <v>98.18</v>
      </c>
      <c r="GL86" s="8">
        <v>90.08</v>
      </c>
      <c r="GO86" s="8">
        <v>116.71</v>
      </c>
      <c r="GP86" s="8">
        <v>89.49</v>
      </c>
      <c r="HB86" s="8">
        <v>100.9</v>
      </c>
      <c r="HC86" s="8">
        <v>101.87</v>
      </c>
      <c r="HD86" s="8">
        <v>100.28</v>
      </c>
      <c r="HE86" s="8">
        <v>101.21</v>
      </c>
      <c r="HU86" s="8">
        <v>102.86</v>
      </c>
      <c r="IB86" s="8">
        <v>95.39</v>
      </c>
      <c r="IK86" s="8">
        <v>104.27</v>
      </c>
      <c r="IL86" s="8">
        <v>99.9</v>
      </c>
      <c r="IM86" s="8">
        <v>108.71</v>
      </c>
      <c r="IQ86" s="8">
        <v>101.62</v>
      </c>
    </row>
    <row r="87" spans="1:251" x14ac:dyDescent="0.2">
      <c r="A87" s="9">
        <v>45292</v>
      </c>
      <c r="D87" s="8">
        <v>98.25</v>
      </c>
      <c r="E87" s="8">
        <v>98.65</v>
      </c>
      <c r="F87" s="8">
        <v>96.71</v>
      </c>
      <c r="G87" s="8">
        <v>101.27</v>
      </c>
      <c r="H87" s="8">
        <v>100.91</v>
      </c>
      <c r="I87" s="8">
        <v>93.39</v>
      </c>
      <c r="J87" s="8">
        <v>90.41</v>
      </c>
      <c r="K87" s="8">
        <v>97.03</v>
      </c>
      <c r="L87" s="8">
        <v>71.209999999999994</v>
      </c>
      <c r="M87" s="8">
        <v>98.56</v>
      </c>
      <c r="N87" s="8">
        <v>97.13</v>
      </c>
      <c r="O87" s="8">
        <v>100.48</v>
      </c>
      <c r="P87" s="8">
        <v>98.5</v>
      </c>
      <c r="Q87" s="8">
        <v>97.62</v>
      </c>
      <c r="R87" s="8">
        <v>101.45</v>
      </c>
      <c r="S87" s="8">
        <v>96.58</v>
      </c>
      <c r="T87" s="8">
        <v>94.28</v>
      </c>
      <c r="U87" s="8">
        <v>91.46</v>
      </c>
      <c r="V87" s="8">
        <v>96.52</v>
      </c>
      <c r="W87" s="8">
        <v>95.77</v>
      </c>
      <c r="X87" s="8">
        <v>82.67</v>
      </c>
      <c r="Y87" s="8">
        <v>97.08</v>
      </c>
      <c r="Z87" s="8">
        <v>98.67</v>
      </c>
      <c r="AA87" s="8">
        <v>95.17</v>
      </c>
      <c r="AB87" s="8">
        <v>94.26</v>
      </c>
      <c r="AC87" s="8">
        <v>100.71</v>
      </c>
      <c r="AD87" s="8">
        <v>94.66</v>
      </c>
      <c r="AE87" s="8">
        <v>85.73</v>
      </c>
      <c r="AF87" s="8">
        <v>97.08</v>
      </c>
      <c r="AL87" s="8">
        <v>94.18</v>
      </c>
      <c r="AN87" s="8">
        <v>93.78</v>
      </c>
      <c r="AO87" s="8">
        <v>82.71</v>
      </c>
      <c r="AP87" s="8">
        <v>82.71</v>
      </c>
      <c r="BD87" s="8">
        <v>92.63</v>
      </c>
      <c r="BE87" s="8">
        <v>92.63</v>
      </c>
      <c r="BF87" s="8">
        <v>97.53</v>
      </c>
      <c r="BG87" s="8">
        <v>97.53</v>
      </c>
      <c r="BJ87" s="8">
        <v>89.65</v>
      </c>
      <c r="BM87" s="8">
        <v>100.37</v>
      </c>
      <c r="BN87" s="8">
        <v>89.34</v>
      </c>
      <c r="BZ87" s="8">
        <v>100.17</v>
      </c>
      <c r="CA87" s="8">
        <v>99.77</v>
      </c>
      <c r="CB87" s="8">
        <v>99.6</v>
      </c>
      <c r="CC87" s="8">
        <v>100.64</v>
      </c>
      <c r="CS87" s="8">
        <v>101.46</v>
      </c>
      <c r="CZ87" s="8">
        <v>95.02</v>
      </c>
      <c r="DI87" s="8">
        <v>101.59</v>
      </c>
      <c r="DJ87" s="8">
        <v>106.08</v>
      </c>
      <c r="DK87" s="8">
        <v>95.95</v>
      </c>
      <c r="DO87" s="8">
        <v>102.5</v>
      </c>
      <c r="DV87" s="8">
        <v>87.96</v>
      </c>
      <c r="DW87" s="8">
        <v>90.78</v>
      </c>
      <c r="EA87" s="8">
        <v>94.49</v>
      </c>
      <c r="EB87" s="8">
        <v>95.81</v>
      </c>
      <c r="EC87" s="8">
        <v>94.38</v>
      </c>
      <c r="EF87" s="8">
        <v>98.15</v>
      </c>
      <c r="EG87" s="8">
        <v>98.22</v>
      </c>
      <c r="EH87" s="8">
        <v>96.94</v>
      </c>
      <c r="EI87" s="8">
        <v>100.73</v>
      </c>
      <c r="EJ87" s="8">
        <v>100.86</v>
      </c>
      <c r="EK87" s="8">
        <v>93.91</v>
      </c>
      <c r="EL87" s="8">
        <v>92.86</v>
      </c>
      <c r="EM87" s="8">
        <v>97.12</v>
      </c>
      <c r="EN87" s="8">
        <v>71.39</v>
      </c>
      <c r="EO87" s="8">
        <v>98.51</v>
      </c>
      <c r="EP87" s="8">
        <v>98.61</v>
      </c>
      <c r="EQ87" s="8">
        <v>100.16</v>
      </c>
      <c r="ER87" s="8">
        <v>98.81</v>
      </c>
      <c r="ES87" s="8">
        <v>97.98</v>
      </c>
      <c r="ET87" s="8">
        <v>101.53</v>
      </c>
      <c r="EU87" s="8">
        <v>96.98</v>
      </c>
      <c r="EV87" s="8">
        <v>94.41</v>
      </c>
      <c r="EW87" s="8">
        <v>90.39</v>
      </c>
      <c r="EX87" s="8">
        <v>97.09</v>
      </c>
      <c r="EY87" s="8">
        <v>95.53</v>
      </c>
      <c r="EZ87" s="8">
        <v>83.38</v>
      </c>
      <c r="FA87" s="8">
        <v>96.85</v>
      </c>
      <c r="FB87" s="8">
        <v>98.58</v>
      </c>
      <c r="FC87" s="8">
        <v>95.11</v>
      </c>
      <c r="FD87" s="8">
        <v>93.94</v>
      </c>
      <c r="FE87" s="8">
        <v>100.75</v>
      </c>
      <c r="FF87" s="8">
        <v>93.85</v>
      </c>
      <c r="FG87" s="8">
        <v>85.74</v>
      </c>
      <c r="FH87" s="8">
        <v>96.81</v>
      </c>
      <c r="FN87" s="8">
        <v>94.29</v>
      </c>
      <c r="FP87" s="8">
        <v>95.32</v>
      </c>
      <c r="FQ87" s="8">
        <v>80.27</v>
      </c>
      <c r="FR87" s="8">
        <v>80.27</v>
      </c>
      <c r="GF87" s="8">
        <v>92.25</v>
      </c>
      <c r="GG87" s="8">
        <v>92.25</v>
      </c>
      <c r="GH87" s="8">
        <v>98.68</v>
      </c>
      <c r="GI87" s="8">
        <v>98.68</v>
      </c>
      <c r="GL87" s="8">
        <v>90.08</v>
      </c>
      <c r="GO87" s="8">
        <v>116.89</v>
      </c>
      <c r="GP87" s="8">
        <v>87.23</v>
      </c>
      <c r="HB87" s="8">
        <v>100.42</v>
      </c>
      <c r="HC87" s="8">
        <v>99.69</v>
      </c>
      <c r="HD87" s="8">
        <v>99.88</v>
      </c>
      <c r="HE87" s="8">
        <v>100.95</v>
      </c>
      <c r="HU87" s="8">
        <v>101.74</v>
      </c>
      <c r="IB87" s="8">
        <v>95.02</v>
      </c>
      <c r="IK87" s="8">
        <v>100.24</v>
      </c>
      <c r="IL87" s="8">
        <v>103.19</v>
      </c>
      <c r="IM87" s="8">
        <v>95.81</v>
      </c>
      <c r="IQ87" s="8">
        <v>102.42</v>
      </c>
    </row>
    <row r="88" spans="1:251" x14ac:dyDescent="0.2">
      <c r="A88" s="9">
        <v>45323</v>
      </c>
      <c r="D88" s="8">
        <v>97.6</v>
      </c>
      <c r="E88" s="8">
        <v>98.97</v>
      </c>
      <c r="F88" s="8">
        <v>95.91</v>
      </c>
      <c r="G88" s="8">
        <v>97.8</v>
      </c>
      <c r="H88" s="8">
        <v>99.25</v>
      </c>
      <c r="I88" s="8">
        <v>93.83</v>
      </c>
      <c r="J88" s="8">
        <v>89.18</v>
      </c>
      <c r="K88" s="8">
        <v>96.57</v>
      </c>
      <c r="L88" s="8">
        <v>75.91</v>
      </c>
      <c r="M88" s="8">
        <v>98.6</v>
      </c>
      <c r="N88" s="8">
        <v>99.01</v>
      </c>
      <c r="O88" s="8">
        <v>99.63</v>
      </c>
      <c r="P88" s="8">
        <v>97.75</v>
      </c>
      <c r="Q88" s="8">
        <v>97.14</v>
      </c>
      <c r="R88" s="8">
        <v>100.75</v>
      </c>
      <c r="S88" s="8">
        <v>95.48</v>
      </c>
      <c r="T88" s="8">
        <v>95.88</v>
      </c>
      <c r="U88" s="8">
        <v>92.24</v>
      </c>
      <c r="V88" s="8">
        <v>98.79</v>
      </c>
      <c r="W88" s="8">
        <v>94.85</v>
      </c>
      <c r="X88" s="8">
        <v>82.99</v>
      </c>
      <c r="Y88" s="8">
        <v>96.43</v>
      </c>
      <c r="Z88" s="8">
        <v>99.16</v>
      </c>
      <c r="AA88" s="8">
        <v>95.58</v>
      </c>
      <c r="AB88" s="8">
        <v>92.12</v>
      </c>
      <c r="AC88" s="8">
        <v>100.3</v>
      </c>
      <c r="AD88" s="8">
        <v>95.36</v>
      </c>
      <c r="AE88" s="8">
        <v>85.7</v>
      </c>
      <c r="AF88" s="8">
        <v>97.98</v>
      </c>
      <c r="AL88" s="8">
        <v>95.11</v>
      </c>
      <c r="AN88" s="8">
        <v>94.55</v>
      </c>
      <c r="AO88" s="8">
        <v>82.83</v>
      </c>
      <c r="AP88" s="8">
        <v>82.83</v>
      </c>
      <c r="BD88" s="8">
        <v>93.27</v>
      </c>
      <c r="BE88" s="8">
        <v>93.27</v>
      </c>
      <c r="BF88" s="8">
        <v>97.44</v>
      </c>
      <c r="BG88" s="8">
        <v>97.44</v>
      </c>
      <c r="BJ88" s="8">
        <v>89.65</v>
      </c>
      <c r="BM88" s="8">
        <v>99.85</v>
      </c>
      <c r="BN88" s="8">
        <v>89.34</v>
      </c>
      <c r="BZ88" s="8">
        <v>99.67</v>
      </c>
      <c r="CA88" s="8">
        <v>100.2</v>
      </c>
      <c r="CB88" s="8">
        <v>98.09</v>
      </c>
      <c r="CC88" s="8">
        <v>100.67</v>
      </c>
      <c r="CS88" s="8">
        <v>107.35</v>
      </c>
      <c r="CZ88" s="8">
        <v>96.22</v>
      </c>
      <c r="DI88" s="8">
        <v>90.36</v>
      </c>
      <c r="DJ88" s="8">
        <v>93.5</v>
      </c>
      <c r="DK88" s="8">
        <v>86.29</v>
      </c>
      <c r="DO88" s="8">
        <v>101.14</v>
      </c>
      <c r="DV88" s="8">
        <v>93.97</v>
      </c>
      <c r="DW88" s="8">
        <v>96.16</v>
      </c>
      <c r="EA88" s="8">
        <v>94.5</v>
      </c>
      <c r="EB88" s="8">
        <v>95.9</v>
      </c>
      <c r="EC88" s="8">
        <v>94.38</v>
      </c>
      <c r="EF88" s="8">
        <v>97.58</v>
      </c>
      <c r="EG88" s="8">
        <v>98.59</v>
      </c>
      <c r="EH88" s="8">
        <v>96.13</v>
      </c>
      <c r="EI88" s="8">
        <v>98.09</v>
      </c>
      <c r="EJ88" s="8">
        <v>99.43</v>
      </c>
      <c r="EK88" s="8">
        <v>94.31</v>
      </c>
      <c r="EL88" s="8">
        <v>91.7</v>
      </c>
      <c r="EM88" s="8">
        <v>96.76</v>
      </c>
      <c r="EN88" s="8">
        <v>75.66</v>
      </c>
      <c r="EO88" s="8">
        <v>98.68</v>
      </c>
      <c r="EP88" s="8">
        <v>100.02</v>
      </c>
      <c r="EQ88" s="8">
        <v>99.35</v>
      </c>
      <c r="ER88" s="8">
        <v>98.01</v>
      </c>
      <c r="ES88" s="8">
        <v>97.48</v>
      </c>
      <c r="ET88" s="8">
        <v>100.75</v>
      </c>
      <c r="EU88" s="8">
        <v>95.74</v>
      </c>
      <c r="EV88" s="8">
        <v>95.91</v>
      </c>
      <c r="EW88" s="8">
        <v>90.92</v>
      </c>
      <c r="EX88" s="8">
        <v>99.24</v>
      </c>
      <c r="EY88" s="8">
        <v>94.72</v>
      </c>
      <c r="EZ88" s="8">
        <v>83.54</v>
      </c>
      <c r="FA88" s="8">
        <v>96.53</v>
      </c>
      <c r="FB88" s="8">
        <v>99.01</v>
      </c>
      <c r="FC88" s="8">
        <v>95.39</v>
      </c>
      <c r="FD88" s="8">
        <v>91.99</v>
      </c>
      <c r="FE88" s="8">
        <v>100.46</v>
      </c>
      <c r="FF88" s="8">
        <v>94.16</v>
      </c>
      <c r="FG88" s="8">
        <v>85.7</v>
      </c>
      <c r="FH88" s="8">
        <v>97.26</v>
      </c>
      <c r="FN88" s="8">
        <v>95.3</v>
      </c>
      <c r="FP88" s="8">
        <v>95.88</v>
      </c>
      <c r="FQ88" s="8">
        <v>80.400000000000006</v>
      </c>
      <c r="FR88" s="8">
        <v>80.400000000000006</v>
      </c>
      <c r="GF88" s="8">
        <v>92.94</v>
      </c>
      <c r="GG88" s="8">
        <v>92.94</v>
      </c>
      <c r="GH88" s="8">
        <v>98.82</v>
      </c>
      <c r="GI88" s="8">
        <v>98.82</v>
      </c>
      <c r="GL88" s="8">
        <v>90.08</v>
      </c>
      <c r="GO88" s="8">
        <v>115.82</v>
      </c>
      <c r="GP88" s="8">
        <v>87.23</v>
      </c>
      <c r="HB88" s="8">
        <v>99.96</v>
      </c>
      <c r="HC88" s="8">
        <v>100.03</v>
      </c>
      <c r="HD88" s="8">
        <v>98.46</v>
      </c>
      <c r="HE88" s="8">
        <v>101.1</v>
      </c>
      <c r="HU88" s="8">
        <v>108.12</v>
      </c>
      <c r="IB88" s="8">
        <v>96.22</v>
      </c>
      <c r="IK88" s="8">
        <v>90.07</v>
      </c>
      <c r="IL88" s="8">
        <v>91.83</v>
      </c>
      <c r="IM88" s="8">
        <v>87.18</v>
      </c>
      <c r="IQ88" s="8">
        <v>101.15</v>
      </c>
    </row>
    <row r="89" spans="1:251" x14ac:dyDescent="0.2">
      <c r="A89" s="9">
        <v>45352</v>
      </c>
      <c r="D89" s="8">
        <v>98.3</v>
      </c>
      <c r="E89" s="8">
        <v>98.73</v>
      </c>
      <c r="F89" s="8">
        <v>97.13</v>
      </c>
      <c r="G89" s="8">
        <v>99.26</v>
      </c>
      <c r="H89" s="8">
        <v>100.58</v>
      </c>
      <c r="I89" s="8">
        <v>94.64</v>
      </c>
      <c r="J89" s="8">
        <v>89.26</v>
      </c>
      <c r="K89" s="8">
        <v>96.73</v>
      </c>
      <c r="L89" s="8">
        <v>79.48</v>
      </c>
      <c r="M89" s="8">
        <v>99.01</v>
      </c>
      <c r="N89" s="8">
        <v>101.42</v>
      </c>
      <c r="O89" s="8">
        <v>98.86</v>
      </c>
      <c r="P89" s="8">
        <v>98.36</v>
      </c>
      <c r="Q89" s="8">
        <v>98.08</v>
      </c>
      <c r="R89" s="8">
        <v>100.49</v>
      </c>
      <c r="S89" s="8">
        <v>96.55</v>
      </c>
      <c r="T89" s="8">
        <v>96.21</v>
      </c>
      <c r="U89" s="8">
        <v>92.1</v>
      </c>
      <c r="V89" s="8">
        <v>99.52</v>
      </c>
      <c r="W89" s="8">
        <v>94.6</v>
      </c>
      <c r="X89" s="8">
        <v>83.62</v>
      </c>
      <c r="Y89" s="8">
        <v>97.08</v>
      </c>
      <c r="Z89" s="8">
        <v>98.24</v>
      </c>
      <c r="AA89" s="8">
        <v>94.83</v>
      </c>
      <c r="AB89" s="8">
        <v>92.14</v>
      </c>
      <c r="AC89" s="8">
        <v>99.67</v>
      </c>
      <c r="AD89" s="8">
        <v>96.38</v>
      </c>
      <c r="AE89" s="8">
        <v>87.09</v>
      </c>
      <c r="AF89" s="8">
        <v>98.89</v>
      </c>
      <c r="AL89" s="8">
        <v>96.79</v>
      </c>
      <c r="AN89" s="8">
        <v>95.35</v>
      </c>
      <c r="AO89" s="8">
        <v>84.63</v>
      </c>
      <c r="AP89" s="8">
        <v>84.63</v>
      </c>
      <c r="BD89" s="8">
        <v>93.81</v>
      </c>
      <c r="BE89" s="8">
        <v>93.81</v>
      </c>
      <c r="BF89" s="8">
        <v>97.5</v>
      </c>
      <c r="BG89" s="8">
        <v>97.5</v>
      </c>
      <c r="BJ89" s="8">
        <v>89.65</v>
      </c>
      <c r="BM89" s="8">
        <v>99.16</v>
      </c>
      <c r="BN89" s="8">
        <v>87.59</v>
      </c>
      <c r="BZ89" s="8">
        <v>100.44</v>
      </c>
      <c r="CA89" s="8">
        <v>100.76</v>
      </c>
      <c r="CB89" s="8">
        <v>99.49</v>
      </c>
      <c r="CC89" s="8">
        <v>101.03</v>
      </c>
      <c r="CS89" s="8">
        <v>109.4</v>
      </c>
      <c r="CZ89" s="8">
        <v>96.21</v>
      </c>
      <c r="DI89" s="8">
        <v>89.72</v>
      </c>
      <c r="DJ89" s="8">
        <v>95.66</v>
      </c>
      <c r="DK89" s="8">
        <v>82.56</v>
      </c>
      <c r="DO89" s="8">
        <v>102.01</v>
      </c>
      <c r="DV89" s="8">
        <v>93.97</v>
      </c>
      <c r="DW89" s="8">
        <v>96.16</v>
      </c>
      <c r="EA89" s="8">
        <v>95.81</v>
      </c>
      <c r="EB89" s="8">
        <v>96.22</v>
      </c>
      <c r="EC89" s="8">
        <v>95.78</v>
      </c>
      <c r="EF89" s="8">
        <v>98.27</v>
      </c>
      <c r="EG89" s="8">
        <v>98.43</v>
      </c>
      <c r="EH89" s="8">
        <v>97.43</v>
      </c>
      <c r="EI89" s="8">
        <v>98.93</v>
      </c>
      <c r="EJ89" s="8">
        <v>100.44</v>
      </c>
      <c r="EK89" s="8">
        <v>95.14</v>
      </c>
      <c r="EL89" s="8">
        <v>92.14</v>
      </c>
      <c r="EM89" s="8">
        <v>97.35</v>
      </c>
      <c r="EN89" s="8">
        <v>78.78</v>
      </c>
      <c r="EO89" s="8">
        <v>99.04</v>
      </c>
      <c r="EP89" s="8">
        <v>102.01</v>
      </c>
      <c r="EQ89" s="8">
        <v>98.68</v>
      </c>
      <c r="ER89" s="8">
        <v>98.6</v>
      </c>
      <c r="ES89" s="8">
        <v>98.45</v>
      </c>
      <c r="ET89" s="8">
        <v>100.58</v>
      </c>
      <c r="EU89" s="8">
        <v>96.67</v>
      </c>
      <c r="EV89" s="8">
        <v>95.85</v>
      </c>
      <c r="EW89" s="8">
        <v>90.34</v>
      </c>
      <c r="EX89" s="8">
        <v>99.53</v>
      </c>
      <c r="EY89" s="8">
        <v>94.43</v>
      </c>
      <c r="EZ89" s="8">
        <v>83.88</v>
      </c>
      <c r="FA89" s="8">
        <v>97.04</v>
      </c>
      <c r="FB89" s="8">
        <v>98.25</v>
      </c>
      <c r="FC89" s="8">
        <v>94.53</v>
      </c>
      <c r="FD89" s="8">
        <v>92.03</v>
      </c>
      <c r="FE89" s="8">
        <v>99.7</v>
      </c>
      <c r="FF89" s="8">
        <v>95.45</v>
      </c>
      <c r="FG89" s="8">
        <v>86.94</v>
      </c>
      <c r="FH89" s="8">
        <v>98.56</v>
      </c>
      <c r="FN89" s="8">
        <v>97.32</v>
      </c>
      <c r="FP89" s="8">
        <v>95.67</v>
      </c>
      <c r="FQ89" s="8">
        <v>82.34</v>
      </c>
      <c r="FR89" s="8">
        <v>82.34</v>
      </c>
      <c r="GF89" s="8">
        <v>93.4</v>
      </c>
      <c r="GG89" s="8">
        <v>93.4</v>
      </c>
      <c r="GH89" s="8">
        <v>99.3</v>
      </c>
      <c r="GI89" s="8">
        <v>99.3</v>
      </c>
      <c r="GL89" s="8">
        <v>90.08</v>
      </c>
      <c r="GO89" s="8">
        <v>115.82</v>
      </c>
      <c r="GP89" s="8">
        <v>87.15</v>
      </c>
      <c r="HB89" s="8">
        <v>100.79</v>
      </c>
      <c r="HC89" s="8">
        <v>100.72</v>
      </c>
      <c r="HD89" s="8">
        <v>99.84</v>
      </c>
      <c r="HE89" s="8">
        <v>101.53</v>
      </c>
      <c r="HU89" s="8">
        <v>108.6</v>
      </c>
      <c r="IB89" s="8">
        <v>96.21</v>
      </c>
      <c r="IK89" s="8">
        <v>89.59</v>
      </c>
      <c r="IL89" s="8">
        <v>94.51</v>
      </c>
      <c r="IM89" s="8">
        <v>82.84</v>
      </c>
      <c r="IQ89" s="8">
        <v>101.77</v>
      </c>
    </row>
    <row r="90" spans="1:251" x14ac:dyDescent="0.2">
      <c r="A90" s="9">
        <v>45383</v>
      </c>
      <c r="B90" s="8">
        <v>96.69</v>
      </c>
      <c r="C90" s="8">
        <v>96.23</v>
      </c>
      <c r="D90" s="8">
        <v>97.73</v>
      </c>
      <c r="E90" s="8">
        <v>98.95</v>
      </c>
      <c r="F90" s="8">
        <v>95.96</v>
      </c>
      <c r="G90" s="8">
        <v>99.2</v>
      </c>
      <c r="H90" s="8">
        <v>99.41</v>
      </c>
      <c r="I90" s="8">
        <v>95.68</v>
      </c>
      <c r="J90" s="8">
        <v>91.98</v>
      </c>
      <c r="K90" s="8">
        <v>97.28</v>
      </c>
      <c r="L90" s="8">
        <v>79.91</v>
      </c>
      <c r="M90" s="8">
        <v>99.31</v>
      </c>
      <c r="N90" s="8">
        <v>100.65</v>
      </c>
      <c r="O90" s="8">
        <v>101.07</v>
      </c>
      <c r="P90" s="8">
        <v>98.36</v>
      </c>
      <c r="Q90" s="8">
        <v>97.56</v>
      </c>
      <c r="R90" s="8">
        <v>100.56</v>
      </c>
      <c r="S90" s="8">
        <v>97.11</v>
      </c>
      <c r="T90" s="8">
        <v>99.68</v>
      </c>
      <c r="U90" s="8">
        <v>98.03</v>
      </c>
      <c r="V90" s="8">
        <v>100.96</v>
      </c>
      <c r="W90" s="8">
        <v>95.24</v>
      </c>
      <c r="X90" s="8">
        <v>83.65</v>
      </c>
      <c r="Y90" s="8">
        <v>96.15</v>
      </c>
      <c r="Z90" s="8">
        <v>98.85</v>
      </c>
      <c r="AA90" s="8">
        <v>99.34</v>
      </c>
      <c r="AB90" s="8">
        <v>93.16</v>
      </c>
      <c r="AC90" s="8">
        <v>98.33</v>
      </c>
      <c r="AD90" s="8">
        <v>95.83</v>
      </c>
      <c r="AE90" s="8">
        <v>85.48</v>
      </c>
      <c r="AF90" s="8">
        <v>98.65</v>
      </c>
      <c r="AG90" s="8">
        <v>95.27</v>
      </c>
      <c r="AH90" s="8">
        <v>95.93</v>
      </c>
      <c r="AI90" s="8">
        <v>94.33</v>
      </c>
      <c r="AJ90" s="8">
        <v>93.63</v>
      </c>
      <c r="AK90" s="8">
        <v>97.08</v>
      </c>
      <c r="AL90" s="8">
        <v>95.45</v>
      </c>
      <c r="AM90" s="8">
        <v>99.59</v>
      </c>
      <c r="AN90" s="8">
        <v>95.43</v>
      </c>
      <c r="AO90" s="8">
        <v>85.61</v>
      </c>
      <c r="AP90" s="8">
        <v>85.61</v>
      </c>
      <c r="AQ90" s="8">
        <v>99.06</v>
      </c>
      <c r="AR90" s="8">
        <v>103.07</v>
      </c>
      <c r="AS90" s="8">
        <v>107.31</v>
      </c>
      <c r="AT90" s="8">
        <v>102.29</v>
      </c>
      <c r="AU90" s="8">
        <v>99.89</v>
      </c>
      <c r="AV90" s="8">
        <v>101.93</v>
      </c>
      <c r="AW90" s="8">
        <v>103.58</v>
      </c>
      <c r="AX90" s="8">
        <v>101.53</v>
      </c>
      <c r="AY90" s="8">
        <v>102.17</v>
      </c>
      <c r="AZ90" s="8">
        <v>89.24</v>
      </c>
      <c r="BA90" s="8">
        <v>88.85</v>
      </c>
      <c r="BB90" s="8">
        <v>93.39</v>
      </c>
      <c r="BC90" s="8">
        <v>95.86</v>
      </c>
      <c r="BD90" s="8">
        <v>94.38</v>
      </c>
      <c r="BE90" s="8">
        <v>94.38</v>
      </c>
      <c r="BF90" s="8">
        <v>97.94</v>
      </c>
      <c r="BG90" s="8">
        <v>97.94</v>
      </c>
      <c r="BH90" s="8">
        <v>93.94</v>
      </c>
      <c r="BI90" s="8">
        <v>96.25</v>
      </c>
      <c r="BJ90" s="8">
        <v>89.65</v>
      </c>
      <c r="BK90" s="8">
        <v>96.26</v>
      </c>
      <c r="BL90" s="8">
        <v>100.1</v>
      </c>
      <c r="BM90" s="8">
        <v>97.31</v>
      </c>
      <c r="BN90" s="8">
        <v>87.59</v>
      </c>
      <c r="BO90" s="8">
        <v>97.32</v>
      </c>
      <c r="BP90" s="8">
        <v>98.41</v>
      </c>
      <c r="BQ90" s="8">
        <v>98.8</v>
      </c>
      <c r="BR90" s="8">
        <v>96.89</v>
      </c>
      <c r="BS90" s="8">
        <v>101.97</v>
      </c>
      <c r="BT90" s="8">
        <v>101.97</v>
      </c>
      <c r="BU90" s="8">
        <v>102.07</v>
      </c>
      <c r="BV90" s="8">
        <v>101.48</v>
      </c>
      <c r="BW90" s="8">
        <v>103.66</v>
      </c>
      <c r="BX90" s="8">
        <v>101.3</v>
      </c>
      <c r="BY90" s="8">
        <v>102.45</v>
      </c>
      <c r="BZ90" s="8">
        <v>100.55</v>
      </c>
      <c r="CA90" s="8">
        <v>99.81</v>
      </c>
      <c r="CB90" s="8">
        <v>98.82</v>
      </c>
      <c r="CC90" s="8">
        <v>101.93</v>
      </c>
      <c r="CD90" s="8">
        <v>92.19</v>
      </c>
      <c r="CE90" s="8">
        <v>84.36</v>
      </c>
      <c r="CF90" s="8">
        <v>96.17</v>
      </c>
      <c r="CG90" s="8">
        <v>98.77</v>
      </c>
      <c r="CH90" s="8">
        <v>95.81</v>
      </c>
      <c r="CI90" s="8">
        <v>101.86</v>
      </c>
      <c r="CJ90" s="8">
        <v>102.66</v>
      </c>
      <c r="CK90" s="8">
        <v>96.27</v>
      </c>
      <c r="CL90" s="8">
        <v>94.79</v>
      </c>
      <c r="CM90" s="8">
        <v>94.62</v>
      </c>
      <c r="CN90" s="8">
        <v>96.31</v>
      </c>
      <c r="CO90" s="8">
        <v>102.63</v>
      </c>
      <c r="CP90" s="8">
        <v>103.01</v>
      </c>
      <c r="CQ90" s="8">
        <v>101.81</v>
      </c>
      <c r="CR90" s="8">
        <v>98.73</v>
      </c>
      <c r="CS90" s="8">
        <v>113.66</v>
      </c>
      <c r="CT90" s="8">
        <v>95.58</v>
      </c>
      <c r="CU90" s="8">
        <v>94.21</v>
      </c>
      <c r="CV90" s="8">
        <v>94.59</v>
      </c>
      <c r="CW90" s="8">
        <v>94.59</v>
      </c>
      <c r="CX90" s="8">
        <v>98.52</v>
      </c>
      <c r="CY90" s="8">
        <v>98.52</v>
      </c>
      <c r="CZ90" s="8">
        <v>96.77</v>
      </c>
      <c r="DA90" s="8">
        <v>98.61</v>
      </c>
      <c r="DB90" s="8">
        <v>95.87</v>
      </c>
      <c r="DC90" s="8">
        <v>94.28</v>
      </c>
      <c r="DD90" s="8">
        <v>101.56</v>
      </c>
      <c r="DE90" s="8">
        <v>86.39</v>
      </c>
      <c r="DF90" s="8">
        <v>95.41</v>
      </c>
      <c r="DG90" s="8">
        <v>99.89</v>
      </c>
      <c r="DH90" s="8">
        <v>93.88</v>
      </c>
      <c r="DI90" s="8">
        <v>96.36</v>
      </c>
      <c r="DJ90" s="8">
        <v>97.87</v>
      </c>
      <c r="DK90" s="8">
        <v>94.04</v>
      </c>
      <c r="DL90" s="8">
        <v>95.52</v>
      </c>
      <c r="DM90" s="8">
        <v>98.09</v>
      </c>
      <c r="DN90" s="8">
        <v>95.41</v>
      </c>
      <c r="DO90" s="8">
        <v>100.79</v>
      </c>
      <c r="DP90" s="8">
        <v>92.56</v>
      </c>
      <c r="DQ90" s="8">
        <v>92.41</v>
      </c>
      <c r="DR90" s="8">
        <v>97.15</v>
      </c>
      <c r="DS90" s="8">
        <v>94.3</v>
      </c>
      <c r="DT90" s="8">
        <v>94.3</v>
      </c>
      <c r="DU90" s="8">
        <v>92.07</v>
      </c>
      <c r="DV90" s="8">
        <v>93.97</v>
      </c>
      <c r="DW90" s="8">
        <v>96.16</v>
      </c>
      <c r="DX90" s="8">
        <v>95.52</v>
      </c>
      <c r="DY90" s="8">
        <v>94.27</v>
      </c>
      <c r="DZ90" s="8">
        <v>94.27</v>
      </c>
      <c r="EA90" s="8">
        <v>95.84</v>
      </c>
      <c r="EB90" s="8">
        <v>96.53</v>
      </c>
      <c r="EC90" s="8">
        <v>95.78</v>
      </c>
      <c r="ED90" s="8">
        <v>96.51</v>
      </c>
      <c r="EE90" s="8">
        <v>96.22</v>
      </c>
      <c r="EF90" s="8">
        <v>97.61</v>
      </c>
      <c r="EG90" s="8">
        <v>98.6</v>
      </c>
      <c r="EH90" s="8">
        <v>96.12</v>
      </c>
      <c r="EI90" s="8">
        <v>98.66</v>
      </c>
      <c r="EJ90" s="8">
        <v>99.38</v>
      </c>
      <c r="EK90" s="8">
        <v>95.78</v>
      </c>
      <c r="EL90" s="8">
        <v>92.24</v>
      </c>
      <c r="EM90" s="8">
        <v>97.37</v>
      </c>
      <c r="EN90" s="8">
        <v>80.33</v>
      </c>
      <c r="EO90" s="8">
        <v>99.49</v>
      </c>
      <c r="EP90" s="8">
        <v>101.11</v>
      </c>
      <c r="EQ90" s="8">
        <v>101.13</v>
      </c>
      <c r="ER90" s="8">
        <v>98.54</v>
      </c>
      <c r="ES90" s="8">
        <v>98</v>
      </c>
      <c r="ET90" s="8">
        <v>100.48</v>
      </c>
      <c r="EU90" s="8">
        <v>97.17</v>
      </c>
      <c r="EV90" s="8">
        <v>99.36</v>
      </c>
      <c r="EW90" s="8">
        <v>96.48</v>
      </c>
      <c r="EX90" s="8">
        <v>101.27</v>
      </c>
      <c r="EY90" s="8">
        <v>95.13</v>
      </c>
      <c r="EZ90" s="8">
        <v>83.83</v>
      </c>
      <c r="FA90" s="8">
        <v>95.97</v>
      </c>
      <c r="FB90" s="8">
        <v>98.58</v>
      </c>
      <c r="FC90" s="8">
        <v>99.19</v>
      </c>
      <c r="FD90" s="8">
        <v>92.97</v>
      </c>
      <c r="FE90" s="8">
        <v>98.4</v>
      </c>
      <c r="FF90" s="8">
        <v>94.86</v>
      </c>
      <c r="FG90" s="8">
        <v>85.43</v>
      </c>
      <c r="FH90" s="8">
        <v>98.32</v>
      </c>
      <c r="FI90" s="8">
        <v>95.4</v>
      </c>
      <c r="FJ90" s="8">
        <v>95.36</v>
      </c>
      <c r="FK90" s="8">
        <v>95.46</v>
      </c>
      <c r="FL90" s="8">
        <v>91.64</v>
      </c>
      <c r="FM90" s="8">
        <v>95.63</v>
      </c>
      <c r="FN90" s="8">
        <v>95.17</v>
      </c>
      <c r="FO90" s="8">
        <v>96.32</v>
      </c>
      <c r="FP90" s="8">
        <v>95.32</v>
      </c>
      <c r="FQ90" s="8">
        <v>83.69</v>
      </c>
      <c r="FR90" s="8">
        <v>83.69</v>
      </c>
      <c r="FS90" s="8">
        <v>97.29</v>
      </c>
      <c r="FT90" s="8">
        <v>101.35</v>
      </c>
      <c r="FU90" s="8">
        <v>105.48</v>
      </c>
      <c r="FV90" s="8">
        <v>99.99</v>
      </c>
      <c r="FW90" s="8">
        <v>98.14</v>
      </c>
      <c r="FX90" s="8">
        <v>98.26</v>
      </c>
      <c r="FY90" s="8">
        <v>103.91</v>
      </c>
      <c r="FZ90" s="8">
        <v>93.72</v>
      </c>
      <c r="GA90" s="8">
        <v>104.82</v>
      </c>
      <c r="GB90" s="8">
        <v>87.22</v>
      </c>
      <c r="GC90" s="8">
        <v>86.28</v>
      </c>
      <c r="GD90" s="8">
        <v>97.33</v>
      </c>
      <c r="GE90" s="8">
        <v>96.37</v>
      </c>
      <c r="GF90" s="8">
        <v>93.9</v>
      </c>
      <c r="GG90" s="8">
        <v>93.9</v>
      </c>
      <c r="GH90" s="8">
        <v>98.78</v>
      </c>
      <c r="GI90" s="8">
        <v>98.78</v>
      </c>
      <c r="GJ90" s="8">
        <v>93.56</v>
      </c>
      <c r="GK90" s="8">
        <v>96.5</v>
      </c>
      <c r="GL90" s="8">
        <v>90.08</v>
      </c>
      <c r="GM90" s="8">
        <v>97.66</v>
      </c>
      <c r="GN90" s="8">
        <v>94.03</v>
      </c>
      <c r="GO90" s="8">
        <v>112.06</v>
      </c>
      <c r="GP90" s="8">
        <v>86.16</v>
      </c>
      <c r="GQ90" s="8">
        <v>97.97</v>
      </c>
      <c r="GR90" s="8">
        <v>98.4</v>
      </c>
      <c r="GS90" s="8">
        <v>97.99</v>
      </c>
      <c r="GT90" s="8">
        <v>100.5</v>
      </c>
      <c r="GU90" s="8">
        <v>100.45</v>
      </c>
      <c r="GV90" s="8">
        <v>100.45</v>
      </c>
      <c r="GW90" s="8">
        <v>99.83</v>
      </c>
      <c r="GX90" s="8">
        <v>100.93</v>
      </c>
      <c r="GY90" s="8">
        <v>100.64</v>
      </c>
      <c r="GZ90" s="8">
        <v>99.4</v>
      </c>
      <c r="HA90" s="8">
        <v>98.44</v>
      </c>
      <c r="HB90" s="8">
        <v>100.55</v>
      </c>
      <c r="HC90" s="8">
        <v>99.61</v>
      </c>
      <c r="HD90" s="8">
        <v>98.56</v>
      </c>
      <c r="HE90" s="8">
        <v>102.23</v>
      </c>
      <c r="HF90" s="8">
        <v>94.05</v>
      </c>
      <c r="HG90" s="8">
        <v>85.78</v>
      </c>
      <c r="HH90" s="8">
        <v>95.61</v>
      </c>
      <c r="HI90" s="8">
        <v>99.31</v>
      </c>
      <c r="HJ90" s="8">
        <v>96.71</v>
      </c>
      <c r="HK90" s="8">
        <v>101.26</v>
      </c>
      <c r="HL90" s="8">
        <v>102.1</v>
      </c>
      <c r="HM90" s="8">
        <v>96.56</v>
      </c>
      <c r="HN90" s="8">
        <v>95.73</v>
      </c>
      <c r="HO90" s="8">
        <v>95.72</v>
      </c>
      <c r="HP90" s="8">
        <v>96.03</v>
      </c>
      <c r="HQ90" s="8">
        <v>102</v>
      </c>
      <c r="HR90" s="8">
        <v>102.19</v>
      </c>
      <c r="HS90" s="8">
        <v>100.96</v>
      </c>
      <c r="HT90" s="8">
        <v>101.79</v>
      </c>
      <c r="HU90" s="8">
        <v>110.61</v>
      </c>
      <c r="HV90" s="8">
        <v>95.88</v>
      </c>
      <c r="HW90" s="8">
        <v>95.37</v>
      </c>
      <c r="HX90" s="8">
        <v>96.33</v>
      </c>
      <c r="HY90" s="8">
        <v>96.33</v>
      </c>
      <c r="HZ90" s="8">
        <v>98.54</v>
      </c>
      <c r="IA90" s="8">
        <v>98.54</v>
      </c>
      <c r="IB90" s="8">
        <v>96.77</v>
      </c>
      <c r="IC90" s="8">
        <v>98.61</v>
      </c>
      <c r="ID90" s="8">
        <v>95.05</v>
      </c>
      <c r="IE90" s="8">
        <v>95.98</v>
      </c>
      <c r="IF90" s="8">
        <v>105.41</v>
      </c>
      <c r="IG90" s="8">
        <v>86.35</v>
      </c>
      <c r="IH90" s="8">
        <v>97.09</v>
      </c>
      <c r="II90" s="8">
        <v>102.87</v>
      </c>
      <c r="IJ90" s="8">
        <v>94.66</v>
      </c>
      <c r="IK90" s="8">
        <v>92.1</v>
      </c>
      <c r="IL90" s="8">
        <v>93.31</v>
      </c>
      <c r="IM90" s="8">
        <v>89.85</v>
      </c>
      <c r="IN90" s="8">
        <v>98.75</v>
      </c>
      <c r="IO90" s="8">
        <v>96.64</v>
      </c>
      <c r="IP90" s="8">
        <v>98.91</v>
      </c>
      <c r="IQ90" s="8">
        <v>100.65</v>
      </c>
    </row>
    <row r="91" spans="1:251" x14ac:dyDescent="0.2">
      <c r="A91" s="9">
        <v>45413</v>
      </c>
      <c r="B91" s="8">
        <v>96.09</v>
      </c>
      <c r="C91" s="8">
        <v>96.61</v>
      </c>
      <c r="D91" s="8">
        <v>97.84</v>
      </c>
      <c r="E91" s="8">
        <v>98.74</v>
      </c>
      <c r="F91" s="8">
        <v>96.24</v>
      </c>
      <c r="G91" s="8">
        <v>98.45</v>
      </c>
      <c r="H91" s="8">
        <v>100.4</v>
      </c>
      <c r="I91" s="8">
        <v>96.06</v>
      </c>
      <c r="J91" s="8">
        <v>92.61</v>
      </c>
      <c r="K91" s="8">
        <v>97.4</v>
      </c>
      <c r="L91" s="8">
        <v>81.25</v>
      </c>
      <c r="M91" s="8">
        <v>100</v>
      </c>
      <c r="N91" s="8">
        <v>100.29</v>
      </c>
      <c r="O91" s="8">
        <v>101.03</v>
      </c>
      <c r="P91" s="8">
        <v>97.88</v>
      </c>
      <c r="Q91" s="8">
        <v>97.05</v>
      </c>
      <c r="R91" s="8">
        <v>100.12</v>
      </c>
      <c r="S91" s="8">
        <v>96.63</v>
      </c>
      <c r="T91" s="8">
        <v>101.95</v>
      </c>
      <c r="U91" s="8">
        <v>101.01</v>
      </c>
      <c r="V91" s="8">
        <v>102.63</v>
      </c>
      <c r="W91" s="8">
        <v>94.98</v>
      </c>
      <c r="X91" s="8">
        <v>83.99</v>
      </c>
      <c r="Y91" s="8">
        <v>95.95</v>
      </c>
      <c r="Z91" s="8">
        <v>98.21</v>
      </c>
      <c r="AA91" s="8">
        <v>100.06</v>
      </c>
      <c r="AB91" s="8">
        <v>92.46</v>
      </c>
      <c r="AC91" s="8">
        <v>98.46</v>
      </c>
      <c r="AD91" s="8">
        <v>96.7</v>
      </c>
      <c r="AE91" s="8">
        <v>85.33</v>
      </c>
      <c r="AF91" s="8">
        <v>99.79</v>
      </c>
      <c r="AG91" s="8">
        <v>95.41</v>
      </c>
      <c r="AH91" s="8">
        <v>96.04</v>
      </c>
      <c r="AI91" s="8">
        <v>94.52</v>
      </c>
      <c r="AJ91" s="8">
        <v>93.4</v>
      </c>
      <c r="AK91" s="8">
        <v>96.61</v>
      </c>
      <c r="AL91" s="8">
        <v>97.6</v>
      </c>
      <c r="AM91" s="8">
        <v>97.68</v>
      </c>
      <c r="AN91" s="8">
        <v>95.25</v>
      </c>
      <c r="AO91" s="8">
        <v>85.87</v>
      </c>
      <c r="AP91" s="8">
        <v>85.87</v>
      </c>
      <c r="AQ91" s="8">
        <v>95.57</v>
      </c>
      <c r="AR91" s="8">
        <v>97.92</v>
      </c>
      <c r="AS91" s="8">
        <v>102.5</v>
      </c>
      <c r="AT91" s="8">
        <v>96.63</v>
      </c>
      <c r="AU91" s="8">
        <v>96.2</v>
      </c>
      <c r="AV91" s="8">
        <v>94.46</v>
      </c>
      <c r="AW91" s="8">
        <v>100.74</v>
      </c>
      <c r="AX91" s="8">
        <v>92.37</v>
      </c>
      <c r="AY91" s="8">
        <v>96.06</v>
      </c>
      <c r="AZ91" s="8">
        <v>91.18</v>
      </c>
      <c r="BA91" s="8">
        <v>90.92</v>
      </c>
      <c r="BB91" s="8">
        <v>93.86</v>
      </c>
      <c r="BC91" s="8">
        <v>96.11</v>
      </c>
      <c r="BD91" s="8">
        <v>95.12</v>
      </c>
      <c r="BE91" s="8">
        <v>95.12</v>
      </c>
      <c r="BF91" s="8">
        <v>97.99</v>
      </c>
      <c r="BG91" s="8">
        <v>97.99</v>
      </c>
      <c r="BH91" s="8">
        <v>94.26</v>
      </c>
      <c r="BI91" s="8">
        <v>96.75</v>
      </c>
      <c r="BJ91" s="8">
        <v>89.65</v>
      </c>
      <c r="BK91" s="8">
        <v>95.94</v>
      </c>
      <c r="BL91" s="8">
        <v>100.1</v>
      </c>
      <c r="BM91" s="8">
        <v>96.86</v>
      </c>
      <c r="BN91" s="8">
        <v>87.59</v>
      </c>
      <c r="BO91" s="8">
        <v>96.94</v>
      </c>
      <c r="BP91" s="8">
        <v>97.54</v>
      </c>
      <c r="BQ91" s="8">
        <v>98.09</v>
      </c>
      <c r="BR91" s="8">
        <v>95.43</v>
      </c>
      <c r="BS91" s="8">
        <v>100.51</v>
      </c>
      <c r="BT91" s="8">
        <v>100.51</v>
      </c>
      <c r="BU91" s="8">
        <v>101.57</v>
      </c>
      <c r="BV91" s="8">
        <v>100.29</v>
      </c>
      <c r="BW91" s="8">
        <v>104.56</v>
      </c>
      <c r="BX91" s="8">
        <v>100.25</v>
      </c>
      <c r="BY91" s="8">
        <v>102.35</v>
      </c>
      <c r="BZ91" s="8">
        <v>100.28</v>
      </c>
      <c r="CA91" s="8">
        <v>99.26</v>
      </c>
      <c r="CB91" s="8">
        <v>98.92</v>
      </c>
      <c r="CC91" s="8">
        <v>101.45</v>
      </c>
      <c r="CD91" s="8">
        <v>92.16</v>
      </c>
      <c r="CE91" s="8">
        <v>84.24</v>
      </c>
      <c r="CF91" s="8">
        <v>96.98</v>
      </c>
      <c r="CG91" s="8">
        <v>97.24</v>
      </c>
      <c r="CH91" s="8">
        <v>96.07</v>
      </c>
      <c r="CI91" s="8">
        <v>102.43</v>
      </c>
      <c r="CJ91" s="8">
        <v>103.2</v>
      </c>
      <c r="CK91" s="8">
        <v>97.02</v>
      </c>
      <c r="CL91" s="8">
        <v>95.01</v>
      </c>
      <c r="CM91" s="8">
        <v>94.86</v>
      </c>
      <c r="CN91" s="8">
        <v>96.31</v>
      </c>
      <c r="CO91" s="8">
        <v>99.46</v>
      </c>
      <c r="CP91" s="8">
        <v>99.69</v>
      </c>
      <c r="CQ91" s="8">
        <v>100.28</v>
      </c>
      <c r="CR91" s="8">
        <v>98.35</v>
      </c>
      <c r="CS91" s="8">
        <v>103.92</v>
      </c>
      <c r="CT91" s="8">
        <v>96.1</v>
      </c>
      <c r="CU91" s="8">
        <v>94.21</v>
      </c>
      <c r="CV91" s="8">
        <v>94.56</v>
      </c>
      <c r="CW91" s="8">
        <v>94.56</v>
      </c>
      <c r="CX91" s="8">
        <v>97.86</v>
      </c>
      <c r="CY91" s="8">
        <v>97.86</v>
      </c>
      <c r="CZ91" s="8">
        <v>94.61</v>
      </c>
      <c r="DA91" s="8">
        <v>98.06</v>
      </c>
      <c r="DB91" s="8">
        <v>93.85</v>
      </c>
      <c r="DC91" s="8">
        <v>95.35</v>
      </c>
      <c r="DD91" s="8">
        <v>101.42</v>
      </c>
      <c r="DE91" s="8">
        <v>88.81</v>
      </c>
      <c r="DF91" s="8">
        <v>95.32</v>
      </c>
      <c r="DG91" s="8">
        <v>99.89</v>
      </c>
      <c r="DH91" s="8">
        <v>93.76</v>
      </c>
      <c r="DI91" s="8">
        <v>91.98</v>
      </c>
      <c r="DJ91" s="8">
        <v>90</v>
      </c>
      <c r="DK91" s="8">
        <v>93.56</v>
      </c>
      <c r="DL91" s="8">
        <v>95.72</v>
      </c>
      <c r="DM91" s="8">
        <v>97.72</v>
      </c>
      <c r="DN91" s="8">
        <v>97.43</v>
      </c>
      <c r="DO91" s="8">
        <v>100.22</v>
      </c>
      <c r="DP91" s="8">
        <v>92.7</v>
      </c>
      <c r="DQ91" s="8">
        <v>92.43</v>
      </c>
      <c r="DR91" s="8">
        <v>96.87</v>
      </c>
      <c r="DS91" s="8">
        <v>94.34</v>
      </c>
      <c r="DT91" s="8">
        <v>94.34</v>
      </c>
      <c r="DU91" s="8">
        <v>92.24</v>
      </c>
      <c r="DV91" s="8">
        <v>93.97</v>
      </c>
      <c r="DW91" s="8">
        <v>96.16</v>
      </c>
      <c r="DX91" s="8">
        <v>95.71</v>
      </c>
      <c r="DY91" s="8">
        <v>95.17</v>
      </c>
      <c r="DZ91" s="8">
        <v>95.17</v>
      </c>
      <c r="EA91" s="8">
        <v>95.84</v>
      </c>
      <c r="EB91" s="8">
        <v>96.59</v>
      </c>
      <c r="EC91" s="8">
        <v>95.78</v>
      </c>
      <c r="ED91" s="8">
        <v>96.51</v>
      </c>
      <c r="EE91" s="8">
        <v>96.73</v>
      </c>
      <c r="EF91" s="8">
        <v>97.87</v>
      </c>
      <c r="EG91" s="8">
        <v>98.49</v>
      </c>
      <c r="EH91" s="8">
        <v>96.63</v>
      </c>
      <c r="EI91" s="8">
        <v>98.4</v>
      </c>
      <c r="EJ91" s="8">
        <v>100.15</v>
      </c>
      <c r="EK91" s="8">
        <v>95.85</v>
      </c>
      <c r="EL91" s="8">
        <v>92.23</v>
      </c>
      <c r="EM91" s="8">
        <v>97.3</v>
      </c>
      <c r="EN91" s="8">
        <v>80.98</v>
      </c>
      <c r="EO91" s="8">
        <v>100.03</v>
      </c>
      <c r="EP91" s="8">
        <v>100.92</v>
      </c>
      <c r="EQ91" s="8">
        <v>100.62</v>
      </c>
      <c r="ER91" s="8">
        <v>98.22</v>
      </c>
      <c r="ES91" s="8">
        <v>97.66</v>
      </c>
      <c r="ET91" s="8">
        <v>100.25</v>
      </c>
      <c r="EU91" s="8">
        <v>96.76</v>
      </c>
      <c r="EV91" s="8">
        <v>102.17</v>
      </c>
      <c r="EW91" s="8">
        <v>98.99</v>
      </c>
      <c r="EX91" s="8">
        <v>104.29</v>
      </c>
      <c r="EY91" s="8">
        <v>94.84</v>
      </c>
      <c r="EZ91" s="8">
        <v>84.22</v>
      </c>
      <c r="FA91" s="8">
        <v>95.87</v>
      </c>
      <c r="FB91" s="8">
        <v>97.97</v>
      </c>
      <c r="FC91" s="8">
        <v>99.97</v>
      </c>
      <c r="FD91" s="8">
        <v>92.35</v>
      </c>
      <c r="FE91" s="8">
        <v>98.15</v>
      </c>
      <c r="FF91" s="8">
        <v>95.74</v>
      </c>
      <c r="FG91" s="8">
        <v>85.28</v>
      </c>
      <c r="FH91" s="8">
        <v>99.59</v>
      </c>
      <c r="FI91" s="8">
        <v>95.77</v>
      </c>
      <c r="FJ91" s="8">
        <v>95.81</v>
      </c>
      <c r="FK91" s="8">
        <v>95.72</v>
      </c>
      <c r="FL91" s="8">
        <v>92.09</v>
      </c>
      <c r="FM91" s="8">
        <v>96.23</v>
      </c>
      <c r="FN91" s="8">
        <v>96.39</v>
      </c>
      <c r="FO91" s="8">
        <v>96.74</v>
      </c>
      <c r="FP91" s="8">
        <v>95.74</v>
      </c>
      <c r="FQ91" s="8">
        <v>83.88</v>
      </c>
      <c r="FR91" s="8">
        <v>83.88</v>
      </c>
      <c r="FS91" s="8">
        <v>95.34</v>
      </c>
      <c r="FT91" s="8">
        <v>97.97</v>
      </c>
      <c r="FU91" s="8">
        <v>101.11</v>
      </c>
      <c r="FV91" s="8">
        <v>96.35</v>
      </c>
      <c r="FW91" s="8">
        <v>97.29</v>
      </c>
      <c r="FX91" s="8">
        <v>95.3</v>
      </c>
      <c r="FY91" s="8">
        <v>98.77</v>
      </c>
      <c r="FZ91" s="8">
        <v>91.81</v>
      </c>
      <c r="GA91" s="8">
        <v>102.76</v>
      </c>
      <c r="GB91" s="8">
        <v>89.24</v>
      </c>
      <c r="GC91" s="8">
        <v>88.5</v>
      </c>
      <c r="GD91" s="8">
        <v>96.93</v>
      </c>
      <c r="GE91" s="8">
        <v>97.12</v>
      </c>
      <c r="GF91" s="8">
        <v>94.56</v>
      </c>
      <c r="GG91" s="8">
        <v>94.56</v>
      </c>
      <c r="GH91" s="8">
        <v>99.6</v>
      </c>
      <c r="GI91" s="8">
        <v>99.6</v>
      </c>
      <c r="GJ91" s="8">
        <v>93.89</v>
      </c>
      <c r="GK91" s="8">
        <v>97.1</v>
      </c>
      <c r="GL91" s="8">
        <v>90.08</v>
      </c>
      <c r="GM91" s="8">
        <v>98.74</v>
      </c>
      <c r="GN91" s="8">
        <v>94.03</v>
      </c>
      <c r="GO91" s="8">
        <v>119.37</v>
      </c>
      <c r="GP91" s="8">
        <v>82.14</v>
      </c>
      <c r="GQ91" s="8">
        <v>98.13</v>
      </c>
      <c r="GR91" s="8">
        <v>99.87</v>
      </c>
      <c r="GS91" s="8">
        <v>99.78</v>
      </c>
      <c r="GT91" s="8">
        <v>100.36</v>
      </c>
      <c r="GU91" s="8">
        <v>98.91</v>
      </c>
      <c r="GV91" s="8">
        <v>98.91</v>
      </c>
      <c r="GW91" s="8">
        <v>99.92</v>
      </c>
      <c r="GX91" s="8">
        <v>101.01</v>
      </c>
      <c r="GY91" s="8">
        <v>103.39</v>
      </c>
      <c r="GZ91" s="8">
        <v>97.54</v>
      </c>
      <c r="HA91" s="8">
        <v>97.95</v>
      </c>
      <c r="HB91" s="8">
        <v>100.35</v>
      </c>
      <c r="HC91" s="8">
        <v>98.69</v>
      </c>
      <c r="HD91" s="8">
        <v>99.05</v>
      </c>
      <c r="HE91" s="8">
        <v>101.61</v>
      </c>
      <c r="HF91" s="8">
        <v>94.09</v>
      </c>
      <c r="HG91" s="8">
        <v>85.62</v>
      </c>
      <c r="HH91" s="8">
        <v>95.8</v>
      </c>
      <c r="HI91" s="8">
        <v>99.31</v>
      </c>
      <c r="HJ91" s="8">
        <v>96.58</v>
      </c>
      <c r="HK91" s="8">
        <v>100.86</v>
      </c>
      <c r="HL91" s="8">
        <v>101.59</v>
      </c>
      <c r="HM91" s="8">
        <v>96.71</v>
      </c>
      <c r="HN91" s="8">
        <v>95.66</v>
      </c>
      <c r="HO91" s="8">
        <v>95.62</v>
      </c>
      <c r="HP91" s="8">
        <v>96.16</v>
      </c>
      <c r="HQ91" s="8">
        <v>100.88</v>
      </c>
      <c r="HR91" s="8">
        <v>101.03</v>
      </c>
      <c r="HS91" s="8">
        <v>101.85</v>
      </c>
      <c r="HT91" s="8">
        <v>100.47</v>
      </c>
      <c r="HU91" s="8">
        <v>106.08</v>
      </c>
      <c r="HV91" s="8">
        <v>96.08</v>
      </c>
      <c r="HW91" s="8">
        <v>95.37</v>
      </c>
      <c r="HX91" s="8">
        <v>96.33</v>
      </c>
      <c r="HY91" s="8">
        <v>96.33</v>
      </c>
      <c r="HZ91" s="8">
        <v>97.89</v>
      </c>
      <c r="IA91" s="8">
        <v>97.89</v>
      </c>
      <c r="IB91" s="8">
        <v>94.61</v>
      </c>
      <c r="IC91" s="8">
        <v>98.06</v>
      </c>
      <c r="ID91" s="8">
        <v>94.35</v>
      </c>
      <c r="IE91" s="8">
        <v>97.83</v>
      </c>
      <c r="IF91" s="8">
        <v>106.54</v>
      </c>
      <c r="IG91" s="8">
        <v>88.97</v>
      </c>
      <c r="IH91" s="8">
        <v>96.73</v>
      </c>
      <c r="II91" s="8">
        <v>102.87</v>
      </c>
      <c r="IJ91" s="8">
        <v>94.15</v>
      </c>
      <c r="IK91" s="8">
        <v>89.97</v>
      </c>
      <c r="IL91" s="8">
        <v>86.51</v>
      </c>
      <c r="IM91" s="8">
        <v>93.43</v>
      </c>
      <c r="IN91" s="8">
        <v>98.94</v>
      </c>
      <c r="IO91" s="8">
        <v>99.29</v>
      </c>
      <c r="IP91" s="8">
        <v>97.87</v>
      </c>
      <c r="IQ91" s="8">
        <v>99.92</v>
      </c>
    </row>
    <row r="92" spans="1:251" x14ac:dyDescent="0.2">
      <c r="A92" s="9">
        <v>45444</v>
      </c>
      <c r="B92" s="8">
        <v>96.73</v>
      </c>
      <c r="C92" s="8">
        <v>96.8</v>
      </c>
      <c r="D92" s="8">
        <v>97.32</v>
      </c>
      <c r="E92" s="8">
        <v>98.84</v>
      </c>
      <c r="F92" s="8">
        <v>95.45</v>
      </c>
      <c r="G92" s="8">
        <v>97.2</v>
      </c>
      <c r="H92" s="8">
        <v>99.33</v>
      </c>
      <c r="I92" s="8">
        <v>95.4</v>
      </c>
      <c r="J92" s="8">
        <v>91.82</v>
      </c>
      <c r="K92" s="8">
        <v>95.97</v>
      </c>
      <c r="L92" s="8">
        <v>82.08</v>
      </c>
      <c r="M92" s="8">
        <v>99.11</v>
      </c>
      <c r="N92" s="8">
        <v>99.94</v>
      </c>
      <c r="O92" s="8">
        <v>99.97</v>
      </c>
      <c r="P92" s="8">
        <v>97.98</v>
      </c>
      <c r="Q92" s="8">
        <v>97.51</v>
      </c>
      <c r="R92" s="8">
        <v>99.75</v>
      </c>
      <c r="S92" s="8">
        <v>96.77</v>
      </c>
      <c r="T92" s="8">
        <v>102.65</v>
      </c>
      <c r="U92" s="8">
        <v>104.89</v>
      </c>
      <c r="V92" s="8">
        <v>100.73</v>
      </c>
      <c r="W92" s="8">
        <v>95.02</v>
      </c>
      <c r="X92" s="8">
        <v>84.22</v>
      </c>
      <c r="Y92" s="8">
        <v>96.62</v>
      </c>
      <c r="Z92" s="8">
        <v>98.4</v>
      </c>
      <c r="AA92" s="8">
        <v>100.93</v>
      </c>
      <c r="AB92" s="8">
        <v>92.25</v>
      </c>
      <c r="AC92" s="8">
        <v>98.34</v>
      </c>
      <c r="AD92" s="8">
        <v>96.89</v>
      </c>
      <c r="AE92" s="8">
        <v>84.64</v>
      </c>
      <c r="AF92" s="8">
        <v>100.23</v>
      </c>
      <c r="AG92" s="8">
        <v>95.86</v>
      </c>
      <c r="AH92" s="8">
        <v>96.04</v>
      </c>
      <c r="AI92" s="8">
        <v>95.6</v>
      </c>
      <c r="AJ92" s="8">
        <v>94.13</v>
      </c>
      <c r="AK92" s="8">
        <v>97.62</v>
      </c>
      <c r="AL92" s="8">
        <v>97.04</v>
      </c>
      <c r="AM92" s="8">
        <v>100.11</v>
      </c>
      <c r="AN92" s="8">
        <v>95.57</v>
      </c>
      <c r="AO92" s="8">
        <v>86.03</v>
      </c>
      <c r="AP92" s="8">
        <v>86.03</v>
      </c>
      <c r="AQ92" s="8">
        <v>94.15</v>
      </c>
      <c r="AR92" s="8">
        <v>96.84</v>
      </c>
      <c r="AS92" s="8">
        <v>100.06</v>
      </c>
      <c r="AT92" s="8">
        <v>95.63</v>
      </c>
      <c r="AU92" s="8">
        <v>96.77</v>
      </c>
      <c r="AV92" s="8">
        <v>98.59</v>
      </c>
      <c r="AW92" s="8">
        <v>101.62</v>
      </c>
      <c r="AX92" s="8">
        <v>97.18</v>
      </c>
      <c r="AY92" s="8">
        <v>101.36</v>
      </c>
      <c r="AZ92" s="8">
        <v>86.39</v>
      </c>
      <c r="BA92" s="8">
        <v>85.73</v>
      </c>
      <c r="BB92" s="8">
        <v>93.86</v>
      </c>
      <c r="BC92" s="8">
        <v>96.46</v>
      </c>
      <c r="BD92" s="8">
        <v>95.68</v>
      </c>
      <c r="BE92" s="8">
        <v>95.68</v>
      </c>
      <c r="BF92" s="8">
        <v>98.39</v>
      </c>
      <c r="BG92" s="8">
        <v>98.39</v>
      </c>
      <c r="BH92" s="8">
        <v>94.32</v>
      </c>
      <c r="BI92" s="8">
        <v>96.84</v>
      </c>
      <c r="BJ92" s="8">
        <v>89.65</v>
      </c>
      <c r="BK92" s="8">
        <v>96.09</v>
      </c>
      <c r="BL92" s="8">
        <v>100.1</v>
      </c>
      <c r="BM92" s="8">
        <v>97.07</v>
      </c>
      <c r="BN92" s="8">
        <v>87.59</v>
      </c>
      <c r="BO92" s="8">
        <v>96</v>
      </c>
      <c r="BP92" s="8">
        <v>96.03</v>
      </c>
      <c r="BQ92" s="8">
        <v>95.68</v>
      </c>
      <c r="BR92" s="8">
        <v>97.32</v>
      </c>
      <c r="BS92" s="8">
        <v>94.5</v>
      </c>
      <c r="BT92" s="8">
        <v>94.5</v>
      </c>
      <c r="BU92" s="8">
        <v>99.5</v>
      </c>
      <c r="BV92" s="8">
        <v>99.4</v>
      </c>
      <c r="BW92" s="8">
        <v>101.01</v>
      </c>
      <c r="BX92" s="8">
        <v>95.35</v>
      </c>
      <c r="BY92" s="8">
        <v>102.48</v>
      </c>
      <c r="BZ92" s="8">
        <v>100.11</v>
      </c>
      <c r="CA92" s="8">
        <v>98.98</v>
      </c>
      <c r="CB92" s="8">
        <v>98.86</v>
      </c>
      <c r="CC92" s="8">
        <v>101.22</v>
      </c>
      <c r="CD92" s="8">
        <v>92.15</v>
      </c>
      <c r="CE92" s="8">
        <v>84.94</v>
      </c>
      <c r="CF92" s="8">
        <v>96.45</v>
      </c>
      <c r="CG92" s="8">
        <v>96.92</v>
      </c>
      <c r="CH92" s="8">
        <v>96.1</v>
      </c>
      <c r="CI92" s="8">
        <v>101.73</v>
      </c>
      <c r="CJ92" s="8">
        <v>102.41</v>
      </c>
      <c r="CK92" s="8">
        <v>97.02</v>
      </c>
      <c r="CL92" s="8">
        <v>95.16</v>
      </c>
      <c r="CM92" s="8">
        <v>95.03</v>
      </c>
      <c r="CN92" s="8">
        <v>96.31</v>
      </c>
      <c r="CO92" s="8">
        <v>100.73</v>
      </c>
      <c r="CP92" s="8">
        <v>101.03</v>
      </c>
      <c r="CQ92" s="8">
        <v>99.89</v>
      </c>
      <c r="CR92" s="8">
        <v>99</v>
      </c>
      <c r="CS92" s="8">
        <v>108.98</v>
      </c>
      <c r="CT92" s="8">
        <v>95.68</v>
      </c>
      <c r="CU92" s="8">
        <v>94.21</v>
      </c>
      <c r="CV92" s="8">
        <v>94.53</v>
      </c>
      <c r="CW92" s="8">
        <v>94.53</v>
      </c>
      <c r="CX92" s="8">
        <v>97.2</v>
      </c>
      <c r="CY92" s="8">
        <v>97.2</v>
      </c>
      <c r="CZ92" s="8">
        <v>92.38</v>
      </c>
      <c r="DA92" s="8">
        <v>97.51</v>
      </c>
      <c r="DB92" s="8">
        <v>97.27</v>
      </c>
      <c r="DC92" s="8">
        <v>95.14</v>
      </c>
      <c r="DD92" s="8">
        <v>100.27</v>
      </c>
      <c r="DE92" s="8">
        <v>89.63</v>
      </c>
      <c r="DF92" s="8">
        <v>96.16</v>
      </c>
      <c r="DG92" s="8">
        <v>101.15</v>
      </c>
      <c r="DH92" s="8">
        <v>94.46</v>
      </c>
      <c r="DI92" s="8">
        <v>98.64</v>
      </c>
      <c r="DJ92" s="8">
        <v>96.9</v>
      </c>
      <c r="DK92" s="8">
        <v>99.9</v>
      </c>
      <c r="DL92" s="8">
        <v>95.76</v>
      </c>
      <c r="DM92" s="8">
        <v>96.44</v>
      </c>
      <c r="DN92" s="8">
        <v>95.9</v>
      </c>
      <c r="DO92" s="8">
        <v>102.45</v>
      </c>
      <c r="DP92" s="8">
        <v>93.19</v>
      </c>
      <c r="DQ92" s="8">
        <v>92.66</v>
      </c>
      <c r="DR92" s="8">
        <v>97.42</v>
      </c>
      <c r="DS92" s="8">
        <v>94.37</v>
      </c>
      <c r="DT92" s="8">
        <v>94.37</v>
      </c>
      <c r="DU92" s="8">
        <v>92.38</v>
      </c>
      <c r="DV92" s="8">
        <v>93.97</v>
      </c>
      <c r="DW92" s="8">
        <v>96.16</v>
      </c>
      <c r="DX92" s="8">
        <v>96.88</v>
      </c>
      <c r="DY92" s="8">
        <v>95.9</v>
      </c>
      <c r="DZ92" s="8">
        <v>95.9</v>
      </c>
      <c r="EA92" s="8">
        <v>97.13</v>
      </c>
      <c r="EB92" s="8">
        <v>96.92</v>
      </c>
      <c r="EC92" s="8">
        <v>97.15</v>
      </c>
      <c r="ED92" s="8">
        <v>96.81</v>
      </c>
      <c r="EE92" s="8">
        <v>96.32</v>
      </c>
      <c r="EF92" s="8">
        <v>97.47</v>
      </c>
      <c r="EG92" s="8">
        <v>98.57</v>
      </c>
      <c r="EH92" s="8">
        <v>96.02</v>
      </c>
      <c r="EI92" s="8">
        <v>97.25</v>
      </c>
      <c r="EJ92" s="8">
        <v>99.48</v>
      </c>
      <c r="EK92" s="8">
        <v>95.34</v>
      </c>
      <c r="EL92" s="8">
        <v>91.56</v>
      </c>
      <c r="EM92" s="8">
        <v>96.25</v>
      </c>
      <c r="EN92" s="8">
        <v>82.3</v>
      </c>
      <c r="EO92" s="8">
        <v>98.97</v>
      </c>
      <c r="EP92" s="8">
        <v>100.46</v>
      </c>
      <c r="EQ92" s="8">
        <v>99.87</v>
      </c>
      <c r="ER92" s="8">
        <v>98.19</v>
      </c>
      <c r="ES92" s="8">
        <v>97.85</v>
      </c>
      <c r="ET92" s="8">
        <v>99.81</v>
      </c>
      <c r="EU92" s="8">
        <v>96.9</v>
      </c>
      <c r="EV92" s="8">
        <v>102.03</v>
      </c>
      <c r="EW92" s="8">
        <v>103.06</v>
      </c>
      <c r="EX92" s="8">
        <v>101.32</v>
      </c>
      <c r="EY92" s="8">
        <v>94.88</v>
      </c>
      <c r="EZ92" s="8">
        <v>84.56</v>
      </c>
      <c r="FA92" s="8">
        <v>96.4</v>
      </c>
      <c r="FB92" s="8">
        <v>98.23</v>
      </c>
      <c r="FC92" s="8">
        <v>100.82</v>
      </c>
      <c r="FD92" s="8">
        <v>91.91</v>
      </c>
      <c r="FE92" s="8">
        <v>98.33</v>
      </c>
      <c r="FF92" s="8">
        <v>95.74</v>
      </c>
      <c r="FG92" s="8">
        <v>84.53</v>
      </c>
      <c r="FH92" s="8">
        <v>99.88</v>
      </c>
      <c r="FI92" s="8">
        <v>95.06</v>
      </c>
      <c r="FJ92" s="8">
        <v>96.21</v>
      </c>
      <c r="FK92" s="8">
        <v>93.58</v>
      </c>
      <c r="FL92" s="8">
        <v>91.59</v>
      </c>
      <c r="FM92" s="8">
        <v>95.29</v>
      </c>
      <c r="FN92" s="8">
        <v>94.56</v>
      </c>
      <c r="FO92" s="8">
        <v>95.39</v>
      </c>
      <c r="FP92" s="8">
        <v>95.58</v>
      </c>
      <c r="FQ92" s="8">
        <v>84.14</v>
      </c>
      <c r="FR92" s="8">
        <v>84.14</v>
      </c>
      <c r="FS92" s="8">
        <v>93.68</v>
      </c>
      <c r="FT92" s="8">
        <v>96.27</v>
      </c>
      <c r="FU92" s="8">
        <v>99.15</v>
      </c>
      <c r="FV92" s="8">
        <v>94.22</v>
      </c>
      <c r="FW92" s="8">
        <v>97.33</v>
      </c>
      <c r="FX92" s="8">
        <v>95.01</v>
      </c>
      <c r="FY92" s="8">
        <v>96.07</v>
      </c>
      <c r="FZ92" s="8">
        <v>92.71</v>
      </c>
      <c r="GA92" s="8">
        <v>103.27</v>
      </c>
      <c r="GB92" s="8">
        <v>86.89</v>
      </c>
      <c r="GC92" s="8">
        <v>85.95</v>
      </c>
      <c r="GD92" s="8">
        <v>96.93</v>
      </c>
      <c r="GE92" s="8">
        <v>97.78</v>
      </c>
      <c r="GF92" s="8">
        <v>95.17</v>
      </c>
      <c r="GG92" s="8">
        <v>95.17</v>
      </c>
      <c r="GH92" s="8">
        <v>100.06</v>
      </c>
      <c r="GI92" s="8">
        <v>100.06</v>
      </c>
      <c r="GJ92" s="8">
        <v>93.77</v>
      </c>
      <c r="GK92" s="8">
        <v>96.9</v>
      </c>
      <c r="GL92" s="8">
        <v>90.08</v>
      </c>
      <c r="GM92" s="8">
        <v>100.42</v>
      </c>
      <c r="GN92" s="8">
        <v>94.03</v>
      </c>
      <c r="GO92" s="8">
        <v>119.02</v>
      </c>
      <c r="GP92" s="8">
        <v>86.29</v>
      </c>
      <c r="GQ92" s="8">
        <v>96.55</v>
      </c>
      <c r="GR92" s="8">
        <v>94.39</v>
      </c>
      <c r="GS92" s="8">
        <v>93.36</v>
      </c>
      <c r="GT92" s="8">
        <v>99.63</v>
      </c>
      <c r="GU92" s="8">
        <v>92.46</v>
      </c>
      <c r="GV92" s="8">
        <v>92.46</v>
      </c>
      <c r="GW92" s="8">
        <v>98.27</v>
      </c>
      <c r="GX92" s="8">
        <v>99.93</v>
      </c>
      <c r="GY92" s="8">
        <v>102.45</v>
      </c>
      <c r="GZ92" s="8">
        <v>93.24</v>
      </c>
      <c r="HA92" s="8">
        <v>97.91</v>
      </c>
      <c r="HB92" s="8">
        <v>100.19</v>
      </c>
      <c r="HC92" s="8">
        <v>98.42</v>
      </c>
      <c r="HD92" s="8">
        <v>98.98</v>
      </c>
      <c r="HE92" s="8">
        <v>101.41</v>
      </c>
      <c r="HF92" s="8">
        <v>94.52</v>
      </c>
      <c r="HG92" s="8">
        <v>85.95</v>
      </c>
      <c r="HH92" s="8">
        <v>96.56</v>
      </c>
      <c r="HI92" s="8">
        <v>99.31</v>
      </c>
      <c r="HJ92" s="8">
        <v>96.4</v>
      </c>
      <c r="HK92" s="8">
        <v>100.22</v>
      </c>
      <c r="HL92" s="8">
        <v>100.84</v>
      </c>
      <c r="HM92" s="8">
        <v>96.71</v>
      </c>
      <c r="HN92" s="8">
        <v>95.57</v>
      </c>
      <c r="HO92" s="8">
        <v>95.51</v>
      </c>
      <c r="HP92" s="8">
        <v>96.33</v>
      </c>
      <c r="HQ92" s="8">
        <v>101.27</v>
      </c>
      <c r="HR92" s="8">
        <v>101.44</v>
      </c>
      <c r="HS92" s="8">
        <v>101.52</v>
      </c>
      <c r="HT92" s="8">
        <v>101.03</v>
      </c>
      <c r="HU92" s="8">
        <v>107.63</v>
      </c>
      <c r="HV92" s="8">
        <v>96.04</v>
      </c>
      <c r="HW92" s="8">
        <v>95.37</v>
      </c>
      <c r="HX92" s="8">
        <v>96.33</v>
      </c>
      <c r="HY92" s="8">
        <v>96.33</v>
      </c>
      <c r="HZ92" s="8">
        <v>97.25</v>
      </c>
      <c r="IA92" s="8">
        <v>97.25</v>
      </c>
      <c r="IB92" s="8">
        <v>92.38</v>
      </c>
      <c r="IC92" s="8">
        <v>97.52</v>
      </c>
      <c r="ID92" s="8">
        <v>97.58</v>
      </c>
      <c r="IE92" s="8">
        <v>95.94</v>
      </c>
      <c r="IF92" s="8">
        <v>102.13</v>
      </c>
      <c r="IG92" s="8">
        <v>89.74</v>
      </c>
      <c r="IH92" s="8">
        <v>97.03</v>
      </c>
      <c r="II92" s="8">
        <v>103.03</v>
      </c>
      <c r="IJ92" s="8">
        <v>94.52</v>
      </c>
      <c r="IK92" s="8">
        <v>96.68</v>
      </c>
      <c r="IL92" s="8">
        <v>93.68</v>
      </c>
      <c r="IM92" s="8">
        <v>99.52</v>
      </c>
      <c r="IN92" s="8">
        <v>99.7</v>
      </c>
      <c r="IO92" s="8">
        <v>97.03</v>
      </c>
      <c r="IP92" s="8">
        <v>97.24</v>
      </c>
      <c r="IQ92" s="8">
        <v>102.32</v>
      </c>
    </row>
    <row r="93" spans="1:251" x14ac:dyDescent="0.2">
      <c r="A93" s="9">
        <v>45474</v>
      </c>
      <c r="B93" s="8">
        <v>97.25</v>
      </c>
      <c r="C93" s="8">
        <v>97.31</v>
      </c>
      <c r="D93" s="8">
        <v>98.33</v>
      </c>
      <c r="E93" s="8">
        <v>99.11</v>
      </c>
      <c r="F93" s="8">
        <v>97.24</v>
      </c>
      <c r="G93" s="8">
        <v>97.13</v>
      </c>
      <c r="H93" s="8">
        <v>100.49</v>
      </c>
      <c r="I93" s="8">
        <v>96.39</v>
      </c>
      <c r="J93" s="8">
        <v>92.13</v>
      </c>
      <c r="K93" s="8">
        <v>96.2</v>
      </c>
      <c r="L93" s="8">
        <v>85.65</v>
      </c>
      <c r="M93" s="8">
        <v>100.79</v>
      </c>
      <c r="N93" s="8">
        <v>100.15</v>
      </c>
      <c r="O93" s="8">
        <v>100.44</v>
      </c>
      <c r="P93" s="8">
        <v>97.83</v>
      </c>
      <c r="Q93" s="8">
        <v>96.79</v>
      </c>
      <c r="R93" s="8">
        <v>100.18</v>
      </c>
      <c r="S93" s="8">
        <v>96.72</v>
      </c>
      <c r="T93" s="8">
        <v>103.67</v>
      </c>
      <c r="U93" s="8">
        <v>109.39</v>
      </c>
      <c r="V93" s="8">
        <v>98.87</v>
      </c>
      <c r="W93" s="8">
        <v>95.52</v>
      </c>
      <c r="X93" s="8">
        <v>85.36</v>
      </c>
      <c r="Y93" s="8">
        <v>96.06</v>
      </c>
      <c r="Z93" s="8">
        <v>97.98</v>
      </c>
      <c r="AA93" s="8">
        <v>101.59</v>
      </c>
      <c r="AB93" s="8">
        <v>93.1</v>
      </c>
      <c r="AC93" s="8">
        <v>98.7</v>
      </c>
      <c r="AD93" s="8">
        <v>96.63</v>
      </c>
      <c r="AE93" s="8">
        <v>85.19</v>
      </c>
      <c r="AF93" s="8">
        <v>99.74</v>
      </c>
      <c r="AG93" s="8">
        <v>96.22</v>
      </c>
      <c r="AH93" s="8">
        <v>96.58</v>
      </c>
      <c r="AI93" s="8">
        <v>95.7</v>
      </c>
      <c r="AJ93" s="8">
        <v>94.24</v>
      </c>
      <c r="AK93" s="8">
        <v>97.74</v>
      </c>
      <c r="AL93" s="8">
        <v>96.79</v>
      </c>
      <c r="AM93" s="8">
        <v>99.4</v>
      </c>
      <c r="AN93" s="8">
        <v>96.59</v>
      </c>
      <c r="AO93" s="8">
        <v>86.11</v>
      </c>
      <c r="AP93" s="8">
        <v>86.11</v>
      </c>
      <c r="AQ93" s="8">
        <v>97.01</v>
      </c>
      <c r="AR93" s="8">
        <v>99.28</v>
      </c>
      <c r="AS93" s="8">
        <v>103.86</v>
      </c>
      <c r="AT93" s="8">
        <v>98.18</v>
      </c>
      <c r="AU93" s="8">
        <v>96.81</v>
      </c>
      <c r="AV93" s="8">
        <v>99.29</v>
      </c>
      <c r="AW93" s="8">
        <v>104.11</v>
      </c>
      <c r="AX93" s="8">
        <v>97.62</v>
      </c>
      <c r="AY93" s="8">
        <v>100.95</v>
      </c>
      <c r="AZ93" s="8">
        <v>91.18</v>
      </c>
      <c r="BA93" s="8">
        <v>90.92</v>
      </c>
      <c r="BB93" s="8">
        <v>93.86</v>
      </c>
      <c r="BC93" s="8">
        <v>97.82</v>
      </c>
      <c r="BD93" s="8">
        <v>96.23</v>
      </c>
      <c r="BE93" s="8">
        <v>96.23</v>
      </c>
      <c r="BF93" s="8">
        <v>98.96</v>
      </c>
      <c r="BG93" s="8">
        <v>98.96</v>
      </c>
      <c r="BH93" s="8">
        <v>94.51</v>
      </c>
      <c r="BI93" s="8">
        <v>97.12</v>
      </c>
      <c r="BJ93" s="8">
        <v>89.65</v>
      </c>
      <c r="BK93" s="8">
        <v>101.85</v>
      </c>
      <c r="BL93" s="8">
        <v>99.99</v>
      </c>
      <c r="BM93" s="8">
        <v>104.15</v>
      </c>
      <c r="BN93" s="8">
        <v>92.49</v>
      </c>
      <c r="BO93" s="8">
        <v>97.74</v>
      </c>
      <c r="BP93" s="8">
        <v>100.17</v>
      </c>
      <c r="BQ93" s="8">
        <v>100.88</v>
      </c>
      <c r="BR93" s="8">
        <v>97.44</v>
      </c>
      <c r="BS93" s="8">
        <v>102.15</v>
      </c>
      <c r="BT93" s="8">
        <v>102.15</v>
      </c>
      <c r="BU93" s="8">
        <v>102.67</v>
      </c>
      <c r="BV93" s="8">
        <v>100.31</v>
      </c>
      <c r="BW93" s="8">
        <v>107.08</v>
      </c>
      <c r="BX93" s="8">
        <v>101.51</v>
      </c>
      <c r="BY93" s="8">
        <v>103.6</v>
      </c>
      <c r="BZ93" s="8">
        <v>99.71</v>
      </c>
      <c r="CA93" s="8">
        <v>99.73</v>
      </c>
      <c r="CB93" s="8">
        <v>98.41</v>
      </c>
      <c r="CC93" s="8">
        <v>100.63</v>
      </c>
      <c r="CD93" s="8">
        <v>92.74</v>
      </c>
      <c r="CE93" s="8">
        <v>85.27</v>
      </c>
      <c r="CF93" s="8">
        <v>97.17</v>
      </c>
      <c r="CG93" s="8">
        <v>97.74</v>
      </c>
      <c r="CH93" s="8">
        <v>95.78</v>
      </c>
      <c r="CI93" s="8">
        <v>100.96</v>
      </c>
      <c r="CJ93" s="8">
        <v>101.53</v>
      </c>
      <c r="CK93" s="8">
        <v>97.02</v>
      </c>
      <c r="CL93" s="8">
        <v>94.92</v>
      </c>
      <c r="CM93" s="8">
        <v>94.76</v>
      </c>
      <c r="CN93" s="8">
        <v>96.31</v>
      </c>
      <c r="CO93" s="8">
        <v>99.95</v>
      </c>
      <c r="CP93" s="8">
        <v>100.08</v>
      </c>
      <c r="CQ93" s="8">
        <v>99.46</v>
      </c>
      <c r="CR93" s="8">
        <v>99.45</v>
      </c>
      <c r="CS93" s="8">
        <v>105.62</v>
      </c>
      <c r="CT93" s="8">
        <v>95.65</v>
      </c>
      <c r="CU93" s="8">
        <v>95.71</v>
      </c>
      <c r="CV93" s="8">
        <v>97.16</v>
      </c>
      <c r="CW93" s="8">
        <v>97.16</v>
      </c>
      <c r="CX93" s="8">
        <v>98.87</v>
      </c>
      <c r="CY93" s="8">
        <v>98.87</v>
      </c>
      <c r="CZ93" s="8">
        <v>96.26</v>
      </c>
      <c r="DA93" s="8">
        <v>99.02</v>
      </c>
      <c r="DB93" s="8">
        <v>96.62</v>
      </c>
      <c r="DC93" s="8">
        <v>95.8</v>
      </c>
      <c r="DD93" s="8">
        <v>100.81</v>
      </c>
      <c r="DE93" s="8">
        <v>90.42</v>
      </c>
      <c r="DF93" s="8">
        <v>96.39</v>
      </c>
      <c r="DG93" s="8">
        <v>101.66</v>
      </c>
      <c r="DH93" s="8">
        <v>94.6</v>
      </c>
      <c r="DI93" s="8">
        <v>96.86</v>
      </c>
      <c r="DJ93" s="8">
        <v>95.79</v>
      </c>
      <c r="DK93" s="8">
        <v>97.41</v>
      </c>
      <c r="DL93" s="8">
        <v>96.29</v>
      </c>
      <c r="DM93" s="8">
        <v>96.34</v>
      </c>
      <c r="DN93" s="8">
        <v>92.99</v>
      </c>
      <c r="DO93" s="8">
        <v>103.14</v>
      </c>
      <c r="DP93" s="8">
        <v>93.86</v>
      </c>
      <c r="DQ93" s="8">
        <v>95.25</v>
      </c>
      <c r="DR93" s="8">
        <v>98.24</v>
      </c>
      <c r="DS93" s="8">
        <v>94.39</v>
      </c>
      <c r="DT93" s="8">
        <v>94.39</v>
      </c>
      <c r="DU93" s="8">
        <v>92.48</v>
      </c>
      <c r="DV93" s="8">
        <v>93.97</v>
      </c>
      <c r="DW93" s="8">
        <v>96.16</v>
      </c>
      <c r="DX93" s="8">
        <v>97.03</v>
      </c>
      <c r="DY93" s="8">
        <v>96.62</v>
      </c>
      <c r="DZ93" s="8">
        <v>96.62</v>
      </c>
      <c r="EA93" s="8">
        <v>97.13</v>
      </c>
      <c r="EB93" s="8">
        <v>96.98</v>
      </c>
      <c r="EC93" s="8">
        <v>97.15</v>
      </c>
      <c r="ED93" s="8">
        <v>97.19</v>
      </c>
      <c r="EE93" s="8">
        <v>97.23</v>
      </c>
      <c r="EF93" s="8">
        <v>98.35</v>
      </c>
      <c r="EG93" s="8">
        <v>98.8</v>
      </c>
      <c r="EH93" s="8">
        <v>97.56</v>
      </c>
      <c r="EI93" s="8">
        <v>97.17</v>
      </c>
      <c r="EJ93" s="8">
        <v>100.52</v>
      </c>
      <c r="EK93" s="8">
        <v>96.35</v>
      </c>
      <c r="EL93" s="8">
        <v>92.09</v>
      </c>
      <c r="EM93" s="8">
        <v>96.92</v>
      </c>
      <c r="EN93" s="8">
        <v>84.9</v>
      </c>
      <c r="EO93" s="8">
        <v>100.91</v>
      </c>
      <c r="EP93" s="8">
        <v>100.59</v>
      </c>
      <c r="EQ93" s="8">
        <v>100.12</v>
      </c>
      <c r="ER93" s="8">
        <v>98.14</v>
      </c>
      <c r="ES93" s="8">
        <v>97.4</v>
      </c>
      <c r="ET93" s="8">
        <v>100.25</v>
      </c>
      <c r="EU93" s="8">
        <v>96.86</v>
      </c>
      <c r="EV93" s="8">
        <v>102.8</v>
      </c>
      <c r="EW93" s="8">
        <v>107.26</v>
      </c>
      <c r="EX93" s="8">
        <v>99.79</v>
      </c>
      <c r="EY93" s="8">
        <v>95.35</v>
      </c>
      <c r="EZ93" s="8">
        <v>85.67</v>
      </c>
      <c r="FA93" s="8">
        <v>95.84</v>
      </c>
      <c r="FB93" s="8">
        <v>97.73</v>
      </c>
      <c r="FC93" s="8">
        <v>101.18</v>
      </c>
      <c r="FD93" s="8">
        <v>92.78</v>
      </c>
      <c r="FE93" s="8">
        <v>98.72</v>
      </c>
      <c r="FF93" s="8">
        <v>95.67</v>
      </c>
      <c r="FG93" s="8">
        <v>85.17</v>
      </c>
      <c r="FH93" s="8">
        <v>99.53</v>
      </c>
      <c r="FI93" s="8">
        <v>96.42</v>
      </c>
      <c r="FJ93" s="8">
        <v>96.54</v>
      </c>
      <c r="FK93" s="8">
        <v>96.27</v>
      </c>
      <c r="FL93" s="8">
        <v>91.83</v>
      </c>
      <c r="FM93" s="8">
        <v>95.7</v>
      </c>
      <c r="FN93" s="8">
        <v>95.31</v>
      </c>
      <c r="FO93" s="8">
        <v>95.91</v>
      </c>
      <c r="FP93" s="8">
        <v>95.72</v>
      </c>
      <c r="FQ93" s="8">
        <v>84.09</v>
      </c>
      <c r="FR93" s="8">
        <v>84.09</v>
      </c>
      <c r="FS93" s="8">
        <v>96.3</v>
      </c>
      <c r="FT93" s="8">
        <v>99.22</v>
      </c>
      <c r="FU93" s="8">
        <v>101.6</v>
      </c>
      <c r="FV93" s="8">
        <v>98.4</v>
      </c>
      <c r="FW93" s="8">
        <v>97.46</v>
      </c>
      <c r="FX93" s="8">
        <v>98.38</v>
      </c>
      <c r="FY93" s="8">
        <v>101.95</v>
      </c>
      <c r="FZ93" s="8">
        <v>94.57</v>
      </c>
      <c r="GA93" s="8">
        <v>107.05</v>
      </c>
      <c r="GB93" s="8">
        <v>88.34</v>
      </c>
      <c r="GC93" s="8">
        <v>87.51</v>
      </c>
      <c r="GD93" s="8">
        <v>97.13</v>
      </c>
      <c r="GE93" s="8">
        <v>98.7</v>
      </c>
      <c r="GF93" s="8">
        <v>95.79</v>
      </c>
      <c r="GG93" s="8">
        <v>95.79</v>
      </c>
      <c r="GH93" s="8">
        <v>99.98</v>
      </c>
      <c r="GI93" s="8">
        <v>99.98</v>
      </c>
      <c r="GJ93" s="8">
        <v>94.02</v>
      </c>
      <c r="GK93" s="8">
        <v>97.35</v>
      </c>
      <c r="GL93" s="8">
        <v>90.08</v>
      </c>
      <c r="GM93" s="8">
        <v>104.03</v>
      </c>
      <c r="GN93" s="8">
        <v>96.98</v>
      </c>
      <c r="GO93" s="8">
        <v>121.22</v>
      </c>
      <c r="GP93" s="8">
        <v>91.42</v>
      </c>
      <c r="GQ93" s="8">
        <v>98.08</v>
      </c>
      <c r="GR93" s="8">
        <v>98.18</v>
      </c>
      <c r="GS93" s="8">
        <v>97.74</v>
      </c>
      <c r="GT93" s="8">
        <v>100.45</v>
      </c>
      <c r="GU93" s="8">
        <v>99.34</v>
      </c>
      <c r="GV93" s="8">
        <v>99.34</v>
      </c>
      <c r="GW93" s="8">
        <v>100.68</v>
      </c>
      <c r="GX93" s="8">
        <v>101.55</v>
      </c>
      <c r="GY93" s="8">
        <v>102.74</v>
      </c>
      <c r="GZ93" s="8">
        <v>100.2</v>
      </c>
      <c r="HA93" s="8">
        <v>98.31</v>
      </c>
      <c r="HB93" s="8">
        <v>99.83</v>
      </c>
      <c r="HC93" s="8">
        <v>99.78</v>
      </c>
      <c r="HD93" s="8">
        <v>98.75</v>
      </c>
      <c r="HE93" s="8">
        <v>100.66</v>
      </c>
      <c r="HF93" s="8">
        <v>94.94</v>
      </c>
      <c r="HG93" s="8">
        <v>86.22</v>
      </c>
      <c r="HH93" s="8">
        <v>96.57</v>
      </c>
      <c r="HI93" s="8">
        <v>100.53</v>
      </c>
      <c r="HJ93" s="8">
        <v>96.63</v>
      </c>
      <c r="HK93" s="8">
        <v>100.92</v>
      </c>
      <c r="HL93" s="8">
        <v>101.65</v>
      </c>
      <c r="HM93" s="8">
        <v>96.82</v>
      </c>
      <c r="HN93" s="8">
        <v>95.7</v>
      </c>
      <c r="HO93" s="8">
        <v>95.65</v>
      </c>
      <c r="HP93" s="8">
        <v>96.33</v>
      </c>
      <c r="HQ93" s="8">
        <v>99.97</v>
      </c>
      <c r="HR93" s="8">
        <v>100.09</v>
      </c>
      <c r="HS93" s="8">
        <v>101.62</v>
      </c>
      <c r="HT93" s="8">
        <v>101.05</v>
      </c>
      <c r="HU93" s="8">
        <v>102.85</v>
      </c>
      <c r="HV93" s="8">
        <v>95.35</v>
      </c>
      <c r="HW93" s="8">
        <v>96.97</v>
      </c>
      <c r="HX93" s="8">
        <v>96.37</v>
      </c>
      <c r="HY93" s="8">
        <v>96.37</v>
      </c>
      <c r="HZ93" s="8">
        <v>98.89</v>
      </c>
      <c r="IA93" s="8">
        <v>98.89</v>
      </c>
      <c r="IB93" s="8">
        <v>96.26</v>
      </c>
      <c r="IC93" s="8">
        <v>99.02</v>
      </c>
      <c r="ID93" s="8">
        <v>96.66</v>
      </c>
      <c r="IE93" s="8">
        <v>98.04</v>
      </c>
      <c r="IF93" s="8">
        <v>105.35</v>
      </c>
      <c r="IG93" s="8">
        <v>90.66</v>
      </c>
      <c r="IH93" s="8">
        <v>97.86</v>
      </c>
      <c r="II93" s="8">
        <v>103.58</v>
      </c>
      <c r="IJ93" s="8">
        <v>95.45</v>
      </c>
      <c r="IK93" s="8">
        <v>94.23</v>
      </c>
      <c r="IL93" s="8">
        <v>92.79</v>
      </c>
      <c r="IM93" s="8">
        <v>95.2</v>
      </c>
      <c r="IN93" s="8">
        <v>99.43</v>
      </c>
      <c r="IO93" s="8">
        <v>96.71</v>
      </c>
      <c r="IP93" s="8">
        <v>95.22</v>
      </c>
      <c r="IQ93" s="8">
        <v>103.05</v>
      </c>
    </row>
    <row r="94" spans="1:251" x14ac:dyDescent="0.2">
      <c r="A94" s="9">
        <v>45505</v>
      </c>
      <c r="B94" s="8">
        <v>97.04</v>
      </c>
      <c r="C94" s="8">
        <v>97.49</v>
      </c>
      <c r="D94" s="8">
        <v>98.23</v>
      </c>
      <c r="E94" s="8">
        <v>98.78</v>
      </c>
      <c r="F94" s="8">
        <v>96.98</v>
      </c>
      <c r="G94" s="8">
        <v>100.87</v>
      </c>
      <c r="H94" s="8">
        <v>99.57</v>
      </c>
      <c r="I94" s="8">
        <v>96.82</v>
      </c>
      <c r="J94" s="8">
        <v>92.98</v>
      </c>
      <c r="K94" s="8">
        <v>96.61</v>
      </c>
      <c r="L94" s="8">
        <v>86.52</v>
      </c>
      <c r="M94" s="8">
        <v>101.22</v>
      </c>
      <c r="N94" s="8">
        <v>99.45</v>
      </c>
      <c r="O94" s="8">
        <v>101.1</v>
      </c>
      <c r="P94" s="8">
        <v>97.98</v>
      </c>
      <c r="Q94" s="8">
        <v>97.92</v>
      </c>
      <c r="R94" s="8">
        <v>99.31</v>
      </c>
      <c r="S94" s="8">
        <v>96.7</v>
      </c>
      <c r="T94" s="8">
        <v>104.42</v>
      </c>
      <c r="U94" s="8">
        <v>107.02</v>
      </c>
      <c r="V94" s="8">
        <v>102.19</v>
      </c>
      <c r="W94" s="8">
        <v>95.49</v>
      </c>
      <c r="X94" s="8">
        <v>87.94</v>
      </c>
      <c r="Y94" s="8">
        <v>97.92</v>
      </c>
      <c r="Z94" s="8">
        <v>98.68</v>
      </c>
      <c r="AA94" s="8">
        <v>101.06</v>
      </c>
      <c r="AB94" s="8">
        <v>92.1</v>
      </c>
      <c r="AC94" s="8">
        <v>99.13</v>
      </c>
      <c r="AD94" s="8">
        <v>96.61</v>
      </c>
      <c r="AE94" s="8">
        <v>85.42</v>
      </c>
      <c r="AF94" s="8">
        <v>99.65</v>
      </c>
      <c r="AG94" s="8">
        <v>96.32</v>
      </c>
      <c r="AH94" s="8">
        <v>96.69</v>
      </c>
      <c r="AI94" s="8">
        <v>95.79</v>
      </c>
      <c r="AJ94" s="8">
        <v>95</v>
      </c>
      <c r="AK94" s="8">
        <v>98.94</v>
      </c>
      <c r="AL94" s="8">
        <v>97.29</v>
      </c>
      <c r="AM94" s="8">
        <v>101.08</v>
      </c>
      <c r="AN94" s="8">
        <v>97.63</v>
      </c>
      <c r="AO94" s="8">
        <v>85.93</v>
      </c>
      <c r="AP94" s="8">
        <v>85.93</v>
      </c>
      <c r="AQ94" s="8">
        <v>96.8</v>
      </c>
      <c r="AR94" s="8">
        <v>100.01</v>
      </c>
      <c r="AS94" s="8">
        <v>105.38</v>
      </c>
      <c r="AT94" s="8">
        <v>98.39</v>
      </c>
      <c r="AU94" s="8">
        <v>98.33</v>
      </c>
      <c r="AV94" s="8">
        <v>96.64</v>
      </c>
      <c r="AW94" s="8">
        <v>102.24</v>
      </c>
      <c r="AX94" s="8">
        <v>95.17</v>
      </c>
      <c r="AY94" s="8">
        <v>96.48</v>
      </c>
      <c r="AZ94" s="8">
        <v>90.14</v>
      </c>
      <c r="BA94" s="8">
        <v>89.83</v>
      </c>
      <c r="BB94" s="8">
        <v>93.39</v>
      </c>
      <c r="BC94" s="8">
        <v>96.91</v>
      </c>
      <c r="BD94" s="8">
        <v>96.72</v>
      </c>
      <c r="BE94" s="8">
        <v>96.72</v>
      </c>
      <c r="BF94" s="8">
        <v>99.21</v>
      </c>
      <c r="BG94" s="8">
        <v>99.21</v>
      </c>
      <c r="BH94" s="8">
        <v>94.25</v>
      </c>
      <c r="BI94" s="8">
        <v>96.74</v>
      </c>
      <c r="BJ94" s="8">
        <v>89.65</v>
      </c>
      <c r="BK94" s="8">
        <v>95.02</v>
      </c>
      <c r="BL94" s="8">
        <v>99.99</v>
      </c>
      <c r="BM94" s="8">
        <v>94.37</v>
      </c>
      <c r="BN94" s="8">
        <v>93.32</v>
      </c>
      <c r="BO94" s="8">
        <v>98.92</v>
      </c>
      <c r="BP94" s="8">
        <v>100.13</v>
      </c>
      <c r="BQ94" s="8">
        <v>100.67</v>
      </c>
      <c r="BR94" s="8">
        <v>98.03</v>
      </c>
      <c r="BS94" s="8">
        <v>107.62</v>
      </c>
      <c r="BT94" s="8">
        <v>107.62</v>
      </c>
      <c r="BU94" s="8">
        <v>103.61</v>
      </c>
      <c r="BV94" s="8">
        <v>98.4</v>
      </c>
      <c r="BW94" s="8">
        <v>107.22</v>
      </c>
      <c r="BX94" s="8">
        <v>107.69</v>
      </c>
      <c r="BY94" s="8">
        <v>103.13</v>
      </c>
      <c r="BZ94" s="8">
        <v>99.93</v>
      </c>
      <c r="CA94" s="8">
        <v>99.2</v>
      </c>
      <c r="CB94" s="8">
        <v>98.88</v>
      </c>
      <c r="CC94" s="8">
        <v>100.82</v>
      </c>
      <c r="CD94" s="8">
        <v>94.6</v>
      </c>
      <c r="CE94" s="8">
        <v>89.52</v>
      </c>
      <c r="CF94" s="8">
        <v>97.62</v>
      </c>
      <c r="CG94" s="8">
        <v>97.8</v>
      </c>
      <c r="CH94" s="8">
        <v>95.5</v>
      </c>
      <c r="CI94" s="8">
        <v>100.47</v>
      </c>
      <c r="CJ94" s="8">
        <v>100.97</v>
      </c>
      <c r="CK94" s="8">
        <v>97.02</v>
      </c>
      <c r="CL94" s="8">
        <v>94.67</v>
      </c>
      <c r="CM94" s="8">
        <v>94.48</v>
      </c>
      <c r="CN94" s="8">
        <v>96.31</v>
      </c>
      <c r="CO94" s="8">
        <v>98.77</v>
      </c>
      <c r="CP94" s="8">
        <v>98.87</v>
      </c>
      <c r="CQ94" s="8">
        <v>99.49</v>
      </c>
      <c r="CR94" s="8">
        <v>101.13</v>
      </c>
      <c r="CS94" s="8">
        <v>100.64</v>
      </c>
      <c r="CT94" s="8">
        <v>96.42</v>
      </c>
      <c r="CU94" s="8">
        <v>95.71</v>
      </c>
      <c r="CV94" s="8">
        <v>96.72</v>
      </c>
      <c r="CW94" s="8">
        <v>96.72</v>
      </c>
      <c r="CX94" s="8">
        <v>98.36</v>
      </c>
      <c r="CY94" s="8">
        <v>98.36</v>
      </c>
      <c r="CZ94" s="8">
        <v>96.17</v>
      </c>
      <c r="DA94" s="8">
        <v>98.48</v>
      </c>
      <c r="DB94" s="8">
        <v>96.34</v>
      </c>
      <c r="DC94" s="8">
        <v>96.11</v>
      </c>
      <c r="DD94" s="8">
        <v>101.16</v>
      </c>
      <c r="DE94" s="8">
        <v>90.68</v>
      </c>
      <c r="DF94" s="8">
        <v>97.31</v>
      </c>
      <c r="DG94" s="8">
        <v>102.72</v>
      </c>
      <c r="DH94" s="8">
        <v>95.47</v>
      </c>
      <c r="DI94" s="8">
        <v>95.42</v>
      </c>
      <c r="DJ94" s="8">
        <v>93.27</v>
      </c>
      <c r="DK94" s="8">
        <v>97.16</v>
      </c>
      <c r="DL94" s="8">
        <v>97.56</v>
      </c>
      <c r="DM94" s="8">
        <v>98.28</v>
      </c>
      <c r="DN94" s="8">
        <v>97.48</v>
      </c>
      <c r="DO94" s="8">
        <v>102.28</v>
      </c>
      <c r="DP94" s="8">
        <v>94.18</v>
      </c>
      <c r="DQ94" s="8">
        <v>95.67</v>
      </c>
      <c r="DR94" s="8">
        <v>99.12</v>
      </c>
      <c r="DS94" s="8">
        <v>94.67</v>
      </c>
      <c r="DT94" s="8">
        <v>94.67</v>
      </c>
      <c r="DU94" s="8">
        <v>93.1</v>
      </c>
      <c r="DV94" s="8">
        <v>93.97</v>
      </c>
      <c r="DW94" s="8">
        <v>96.6</v>
      </c>
      <c r="DX94" s="8">
        <v>97.12</v>
      </c>
      <c r="DY94" s="8">
        <v>97.68</v>
      </c>
      <c r="DZ94" s="8">
        <v>97.68</v>
      </c>
      <c r="EA94" s="8">
        <v>96.96</v>
      </c>
      <c r="EB94" s="8">
        <v>94.95</v>
      </c>
      <c r="EC94" s="8">
        <v>97.15</v>
      </c>
      <c r="ED94" s="8">
        <v>97.12</v>
      </c>
      <c r="EE94" s="8">
        <v>97.43</v>
      </c>
      <c r="EF94" s="8">
        <v>98.28</v>
      </c>
      <c r="EG94" s="8">
        <v>98.46</v>
      </c>
      <c r="EH94" s="8">
        <v>97.34</v>
      </c>
      <c r="EI94" s="8">
        <v>100.5</v>
      </c>
      <c r="EJ94" s="8">
        <v>99.86</v>
      </c>
      <c r="EK94" s="8">
        <v>97.07</v>
      </c>
      <c r="EL94" s="8">
        <v>92.74</v>
      </c>
      <c r="EM94" s="8">
        <v>97.11</v>
      </c>
      <c r="EN94" s="8">
        <v>88.97</v>
      </c>
      <c r="EO94" s="8">
        <v>101.23</v>
      </c>
      <c r="EP94" s="8">
        <v>99.72</v>
      </c>
      <c r="EQ94" s="8">
        <v>100.55</v>
      </c>
      <c r="ER94" s="8">
        <v>98.04</v>
      </c>
      <c r="ES94" s="8">
        <v>98.14</v>
      </c>
      <c r="ET94" s="8">
        <v>99.15</v>
      </c>
      <c r="EU94" s="8">
        <v>96.7</v>
      </c>
      <c r="EV94" s="8">
        <v>103.49</v>
      </c>
      <c r="EW94" s="8">
        <v>105.16</v>
      </c>
      <c r="EX94" s="8">
        <v>102.36</v>
      </c>
      <c r="EY94" s="8">
        <v>95.32</v>
      </c>
      <c r="EZ94" s="8">
        <v>87.79</v>
      </c>
      <c r="FA94" s="8">
        <v>97.56</v>
      </c>
      <c r="FB94" s="8">
        <v>98.69</v>
      </c>
      <c r="FC94" s="8">
        <v>100.79</v>
      </c>
      <c r="FD94" s="8">
        <v>91.89</v>
      </c>
      <c r="FE94" s="8">
        <v>98.98</v>
      </c>
      <c r="FF94" s="8">
        <v>95.71</v>
      </c>
      <c r="FG94" s="8">
        <v>85.64</v>
      </c>
      <c r="FH94" s="8">
        <v>99.41</v>
      </c>
      <c r="FI94" s="8">
        <v>96.52</v>
      </c>
      <c r="FJ94" s="8">
        <v>96.59</v>
      </c>
      <c r="FK94" s="8">
        <v>96.44</v>
      </c>
      <c r="FL94" s="8">
        <v>92.66</v>
      </c>
      <c r="FM94" s="8">
        <v>96.99</v>
      </c>
      <c r="FN94" s="8">
        <v>95.46</v>
      </c>
      <c r="FO94" s="8">
        <v>98.74</v>
      </c>
      <c r="FP94" s="8">
        <v>96.35</v>
      </c>
      <c r="FQ94" s="8">
        <v>84.1</v>
      </c>
      <c r="FR94" s="8">
        <v>84.1</v>
      </c>
      <c r="FS94" s="8">
        <v>95.3</v>
      </c>
      <c r="FT94" s="8">
        <v>98.42</v>
      </c>
      <c r="FU94" s="8">
        <v>102.2</v>
      </c>
      <c r="FV94" s="8">
        <v>97.14</v>
      </c>
      <c r="FW94" s="8">
        <v>95.6</v>
      </c>
      <c r="FX94" s="8">
        <v>95.67</v>
      </c>
      <c r="FY94" s="8">
        <v>99.41</v>
      </c>
      <c r="FZ94" s="8">
        <v>91.15</v>
      </c>
      <c r="GA94" s="8">
        <v>107.28</v>
      </c>
      <c r="GB94" s="8">
        <v>87.82</v>
      </c>
      <c r="GC94" s="8">
        <v>86.89</v>
      </c>
      <c r="GD94" s="8">
        <v>97.83</v>
      </c>
      <c r="GE94" s="8">
        <v>98.25</v>
      </c>
      <c r="GF94" s="8">
        <v>96.35</v>
      </c>
      <c r="GG94" s="8">
        <v>96.35</v>
      </c>
      <c r="GH94" s="8">
        <v>100.03</v>
      </c>
      <c r="GI94" s="8">
        <v>100.03</v>
      </c>
      <c r="GJ94" s="8">
        <v>94</v>
      </c>
      <c r="GK94" s="8">
        <v>97.3</v>
      </c>
      <c r="GL94" s="8">
        <v>90.08</v>
      </c>
      <c r="GM94" s="8">
        <v>101.07</v>
      </c>
      <c r="GN94" s="8">
        <v>96.98</v>
      </c>
      <c r="GO94" s="8">
        <v>112.55</v>
      </c>
      <c r="GP94" s="8">
        <v>92.33</v>
      </c>
      <c r="GQ94" s="8">
        <v>98.94</v>
      </c>
      <c r="GR94" s="8">
        <v>97.94</v>
      </c>
      <c r="GS94" s="8">
        <v>97.67</v>
      </c>
      <c r="GT94" s="8">
        <v>99.34</v>
      </c>
      <c r="GU94" s="8">
        <v>106.59</v>
      </c>
      <c r="GV94" s="8">
        <v>106.59</v>
      </c>
      <c r="GW94" s="8">
        <v>100.02</v>
      </c>
      <c r="GX94" s="8">
        <v>100.46</v>
      </c>
      <c r="GY94" s="8">
        <v>101.37</v>
      </c>
      <c r="GZ94" s="8">
        <v>99.47</v>
      </c>
      <c r="HA94" s="8">
        <v>98.86</v>
      </c>
      <c r="HB94" s="8">
        <v>100.04</v>
      </c>
      <c r="HC94" s="8">
        <v>99.17</v>
      </c>
      <c r="HD94" s="8">
        <v>99.1</v>
      </c>
      <c r="HE94" s="8">
        <v>100.89</v>
      </c>
      <c r="HF94" s="8">
        <v>96.7</v>
      </c>
      <c r="HG94" s="8">
        <v>91.14</v>
      </c>
      <c r="HH94" s="8">
        <v>97.34</v>
      </c>
      <c r="HI94" s="8">
        <v>100.62</v>
      </c>
      <c r="HJ94" s="8">
        <v>96.66</v>
      </c>
      <c r="HK94" s="8">
        <v>100.76</v>
      </c>
      <c r="HL94" s="8">
        <v>101.46</v>
      </c>
      <c r="HM94" s="8">
        <v>96.82</v>
      </c>
      <c r="HN94" s="8">
        <v>95.78</v>
      </c>
      <c r="HO94" s="8">
        <v>95.61</v>
      </c>
      <c r="HP94" s="8">
        <v>97.38</v>
      </c>
      <c r="HQ94" s="8">
        <v>99.12</v>
      </c>
      <c r="HR94" s="8">
        <v>99.21</v>
      </c>
      <c r="HS94" s="8">
        <v>101.4</v>
      </c>
      <c r="HT94" s="8">
        <v>101.16</v>
      </c>
      <c r="HU94" s="8">
        <v>100.07</v>
      </c>
      <c r="HV94" s="8">
        <v>95.76</v>
      </c>
      <c r="HW94" s="8">
        <v>96.49</v>
      </c>
      <c r="HX94" s="8">
        <v>96.37</v>
      </c>
      <c r="HY94" s="8">
        <v>96.37</v>
      </c>
      <c r="HZ94" s="8">
        <v>98.38</v>
      </c>
      <c r="IA94" s="8">
        <v>98.38</v>
      </c>
      <c r="IB94" s="8">
        <v>96.17</v>
      </c>
      <c r="IC94" s="8">
        <v>98.48</v>
      </c>
      <c r="ID94" s="8">
        <v>96.59</v>
      </c>
      <c r="IE94" s="8">
        <v>97.29</v>
      </c>
      <c r="IF94" s="8">
        <v>103.68</v>
      </c>
      <c r="IG94" s="8">
        <v>90.89</v>
      </c>
      <c r="IH94" s="8">
        <v>98.13</v>
      </c>
      <c r="II94" s="8">
        <v>105.22</v>
      </c>
      <c r="IJ94" s="8">
        <v>95.16</v>
      </c>
      <c r="IK94" s="8">
        <v>93</v>
      </c>
      <c r="IL94" s="8">
        <v>91.04</v>
      </c>
      <c r="IM94" s="8">
        <v>94.61</v>
      </c>
      <c r="IN94" s="8">
        <v>101.42</v>
      </c>
      <c r="IO94" s="8">
        <v>96.88</v>
      </c>
      <c r="IP94" s="8">
        <v>98.48</v>
      </c>
      <c r="IQ94" s="8">
        <v>102.44</v>
      </c>
    </row>
    <row r="95" spans="1:251" x14ac:dyDescent="0.2">
      <c r="A95" s="9">
        <v>45536</v>
      </c>
      <c r="B95" s="8">
        <v>96.75</v>
      </c>
      <c r="C95" s="8">
        <v>96.93</v>
      </c>
      <c r="D95" s="8">
        <v>98.2</v>
      </c>
      <c r="E95" s="8">
        <v>98.47</v>
      </c>
      <c r="F95" s="8">
        <v>96.93</v>
      </c>
      <c r="G95" s="8">
        <v>101.17</v>
      </c>
      <c r="H95" s="8">
        <v>100.33</v>
      </c>
      <c r="I95" s="8">
        <v>97.02</v>
      </c>
      <c r="J95" s="8">
        <v>93.55</v>
      </c>
      <c r="K95" s="8">
        <v>96.85</v>
      </c>
      <c r="L95" s="8">
        <v>88.31</v>
      </c>
      <c r="M95" s="8">
        <v>100.79</v>
      </c>
      <c r="N95" s="8">
        <v>98.95</v>
      </c>
      <c r="O95" s="8">
        <v>100.97</v>
      </c>
      <c r="P95" s="8">
        <v>97.49</v>
      </c>
      <c r="Q95" s="8">
        <v>97.68</v>
      </c>
      <c r="R95" s="8">
        <v>98.9</v>
      </c>
      <c r="S95" s="8">
        <v>95.81</v>
      </c>
      <c r="T95" s="8">
        <v>99.85</v>
      </c>
      <c r="U95" s="8">
        <v>99.42</v>
      </c>
      <c r="V95" s="8">
        <v>100.13</v>
      </c>
      <c r="W95" s="8">
        <v>95.83</v>
      </c>
      <c r="X95" s="8">
        <v>92.12</v>
      </c>
      <c r="Y95" s="8">
        <v>96.86</v>
      </c>
      <c r="Z95" s="8">
        <v>98.07</v>
      </c>
      <c r="AA95" s="8">
        <v>100.09</v>
      </c>
      <c r="AB95" s="8">
        <v>92.86</v>
      </c>
      <c r="AC95" s="8">
        <v>99.06</v>
      </c>
      <c r="AD95" s="8">
        <v>95.23</v>
      </c>
      <c r="AE95" s="8">
        <v>86.19</v>
      </c>
      <c r="AF95" s="8">
        <v>97.67</v>
      </c>
      <c r="AG95" s="8">
        <v>96.39</v>
      </c>
      <c r="AH95" s="8">
        <v>96.69</v>
      </c>
      <c r="AI95" s="8">
        <v>95.98</v>
      </c>
      <c r="AJ95" s="8">
        <v>96.41</v>
      </c>
      <c r="AK95" s="8">
        <v>99.24</v>
      </c>
      <c r="AL95" s="8">
        <v>97.64</v>
      </c>
      <c r="AM95" s="8">
        <v>100.93</v>
      </c>
      <c r="AN95" s="8">
        <v>98.33</v>
      </c>
      <c r="AO95" s="8">
        <v>89.67</v>
      </c>
      <c r="AP95" s="8">
        <v>89.67</v>
      </c>
      <c r="AQ95" s="8">
        <v>95.75</v>
      </c>
      <c r="AR95" s="8">
        <v>98.46</v>
      </c>
      <c r="AS95" s="8">
        <v>103.28</v>
      </c>
      <c r="AT95" s="8">
        <v>97.25</v>
      </c>
      <c r="AU95" s="8">
        <v>96.06</v>
      </c>
      <c r="AV95" s="8">
        <v>94.27</v>
      </c>
      <c r="AW95" s="8">
        <v>106.83</v>
      </c>
      <c r="AX95" s="8">
        <v>90.39</v>
      </c>
      <c r="AY95" s="8">
        <v>95.66</v>
      </c>
      <c r="AZ95" s="8">
        <v>90.78</v>
      </c>
      <c r="BA95" s="8">
        <v>90.52</v>
      </c>
      <c r="BB95" s="8">
        <v>93.39</v>
      </c>
      <c r="BC95" s="8">
        <v>96.21</v>
      </c>
      <c r="BD95" s="8">
        <v>96.88</v>
      </c>
      <c r="BE95" s="8">
        <v>96.88</v>
      </c>
      <c r="BF95" s="8">
        <v>98.85</v>
      </c>
      <c r="BG95" s="8">
        <v>98.85</v>
      </c>
      <c r="BH95" s="8">
        <v>96.18</v>
      </c>
      <c r="BI95" s="8">
        <v>97</v>
      </c>
      <c r="BJ95" s="8">
        <v>94.65</v>
      </c>
      <c r="BK95" s="8">
        <v>89.49</v>
      </c>
      <c r="BL95" s="8">
        <v>99.99</v>
      </c>
      <c r="BM95" s="8">
        <v>86.59</v>
      </c>
      <c r="BN95" s="8">
        <v>93.32</v>
      </c>
      <c r="BO95" s="8">
        <v>98.3</v>
      </c>
      <c r="BP95" s="8">
        <v>100.33</v>
      </c>
      <c r="BQ95" s="8">
        <v>100.87</v>
      </c>
      <c r="BR95" s="8">
        <v>98.26</v>
      </c>
      <c r="BS95" s="8">
        <v>100.04</v>
      </c>
      <c r="BT95" s="8">
        <v>100.04</v>
      </c>
      <c r="BU95" s="8">
        <v>101.01</v>
      </c>
      <c r="BV95" s="8">
        <v>98.89</v>
      </c>
      <c r="BW95" s="8">
        <v>103.25</v>
      </c>
      <c r="BX95" s="8">
        <v>100.55</v>
      </c>
      <c r="BY95" s="8">
        <v>102.3</v>
      </c>
      <c r="BZ95" s="8">
        <v>99.23</v>
      </c>
      <c r="CA95" s="8">
        <v>98.44</v>
      </c>
      <c r="CB95" s="8">
        <v>97.73</v>
      </c>
      <c r="CC95" s="8">
        <v>100.44</v>
      </c>
      <c r="CD95" s="8">
        <v>95.42</v>
      </c>
      <c r="CE95" s="8">
        <v>90.69</v>
      </c>
      <c r="CF95" s="8">
        <v>98.19</v>
      </c>
      <c r="CG95" s="8">
        <v>98.46</v>
      </c>
      <c r="CH95" s="8">
        <v>95.44</v>
      </c>
      <c r="CI95" s="8">
        <v>100.04</v>
      </c>
      <c r="CJ95" s="8">
        <v>100.47</v>
      </c>
      <c r="CK95" s="8">
        <v>97.02</v>
      </c>
      <c r="CL95" s="8">
        <v>94.68</v>
      </c>
      <c r="CM95" s="8">
        <v>94.49</v>
      </c>
      <c r="CN95" s="8">
        <v>96.31</v>
      </c>
      <c r="CO95" s="8">
        <v>96.89</v>
      </c>
      <c r="CP95" s="8">
        <v>96.89</v>
      </c>
      <c r="CQ95" s="8">
        <v>99.02</v>
      </c>
      <c r="CR95" s="8">
        <v>100.82</v>
      </c>
      <c r="CS95" s="8">
        <v>94.42</v>
      </c>
      <c r="CT95" s="8">
        <v>96.48</v>
      </c>
      <c r="CU95" s="8">
        <v>96.04</v>
      </c>
      <c r="CV95" s="8">
        <v>96.75</v>
      </c>
      <c r="CW95" s="8">
        <v>96.75</v>
      </c>
      <c r="CX95" s="8">
        <v>98.4</v>
      </c>
      <c r="CY95" s="8">
        <v>98.4</v>
      </c>
      <c r="CZ95" s="8">
        <v>95.96</v>
      </c>
      <c r="DA95" s="8">
        <v>98.53</v>
      </c>
      <c r="DB95" s="8">
        <v>97.45</v>
      </c>
      <c r="DC95" s="8">
        <v>95.7</v>
      </c>
      <c r="DD95" s="8">
        <v>100.23</v>
      </c>
      <c r="DE95" s="8">
        <v>90.86</v>
      </c>
      <c r="DF95" s="8">
        <v>96.56</v>
      </c>
      <c r="DG95" s="8">
        <v>99.7</v>
      </c>
      <c r="DH95" s="8">
        <v>95.49</v>
      </c>
      <c r="DI95" s="8">
        <v>97.49</v>
      </c>
      <c r="DJ95" s="8">
        <v>95.84</v>
      </c>
      <c r="DK95" s="8">
        <v>98.68</v>
      </c>
      <c r="DL95" s="8">
        <v>98.01</v>
      </c>
      <c r="DM95" s="8">
        <v>99.15</v>
      </c>
      <c r="DN95" s="8">
        <v>99.95</v>
      </c>
      <c r="DO95" s="8">
        <v>101.56</v>
      </c>
      <c r="DP95" s="8">
        <v>94.18</v>
      </c>
      <c r="DQ95" s="8">
        <v>96.15</v>
      </c>
      <c r="DR95" s="8">
        <v>98.53</v>
      </c>
      <c r="DS95" s="8">
        <v>94.72</v>
      </c>
      <c r="DT95" s="8">
        <v>94.72</v>
      </c>
      <c r="DU95" s="8">
        <v>93.3</v>
      </c>
      <c r="DV95" s="8">
        <v>93.97</v>
      </c>
      <c r="DW95" s="8">
        <v>96.6</v>
      </c>
      <c r="DX95" s="8">
        <v>97.68</v>
      </c>
      <c r="DY95" s="8">
        <v>97.87</v>
      </c>
      <c r="DZ95" s="8">
        <v>97.87</v>
      </c>
      <c r="EA95" s="8">
        <v>97.63</v>
      </c>
      <c r="EB95" s="8">
        <v>95.16</v>
      </c>
      <c r="EC95" s="8">
        <v>97.86</v>
      </c>
      <c r="ED95" s="8">
        <v>97.4</v>
      </c>
      <c r="EE95" s="8">
        <v>96.97</v>
      </c>
      <c r="EF95" s="8">
        <v>98.13</v>
      </c>
      <c r="EG95" s="8">
        <v>98.26</v>
      </c>
      <c r="EH95" s="8">
        <v>97.05</v>
      </c>
      <c r="EI95" s="8">
        <v>100.81</v>
      </c>
      <c r="EJ95" s="8">
        <v>100.07</v>
      </c>
      <c r="EK95" s="8">
        <v>96.96</v>
      </c>
      <c r="EL95" s="8">
        <v>93.19</v>
      </c>
      <c r="EM95" s="8">
        <v>96.73</v>
      </c>
      <c r="EN95" s="8">
        <v>89.89</v>
      </c>
      <c r="EO95" s="8">
        <v>100.55</v>
      </c>
      <c r="EP95" s="8">
        <v>99</v>
      </c>
      <c r="EQ95" s="8">
        <v>100.38</v>
      </c>
      <c r="ER95" s="8">
        <v>97.52</v>
      </c>
      <c r="ES95" s="8">
        <v>97.72</v>
      </c>
      <c r="ET95" s="8">
        <v>98.81</v>
      </c>
      <c r="EU95" s="8">
        <v>95.81</v>
      </c>
      <c r="EV95" s="8">
        <v>99.96</v>
      </c>
      <c r="EW95" s="8">
        <v>99.39</v>
      </c>
      <c r="EX95" s="8">
        <v>100.32</v>
      </c>
      <c r="EY95" s="8">
        <v>95.75</v>
      </c>
      <c r="EZ95" s="8">
        <v>92.49</v>
      </c>
      <c r="FA95" s="8">
        <v>96.47</v>
      </c>
      <c r="FB95" s="8">
        <v>98.08</v>
      </c>
      <c r="FC95" s="8">
        <v>99.91</v>
      </c>
      <c r="FD95" s="8">
        <v>92.7</v>
      </c>
      <c r="FE95" s="8">
        <v>99.16</v>
      </c>
      <c r="FF95" s="8">
        <v>94.52</v>
      </c>
      <c r="FG95" s="8">
        <v>86.16</v>
      </c>
      <c r="FH95" s="8">
        <v>97.58</v>
      </c>
      <c r="FI95" s="8">
        <v>96.61</v>
      </c>
      <c r="FJ95" s="8">
        <v>96.7</v>
      </c>
      <c r="FK95" s="8">
        <v>96.48</v>
      </c>
      <c r="FL95" s="8">
        <v>94.27</v>
      </c>
      <c r="FM95" s="8">
        <v>97.6</v>
      </c>
      <c r="FN95" s="8">
        <v>96.34</v>
      </c>
      <c r="FO95" s="8">
        <v>99.27</v>
      </c>
      <c r="FP95" s="8">
        <v>96.88</v>
      </c>
      <c r="FQ95" s="8">
        <v>87.45</v>
      </c>
      <c r="FR95" s="8">
        <v>87.45</v>
      </c>
      <c r="FS95" s="8">
        <v>96.39</v>
      </c>
      <c r="FT95" s="8">
        <v>98.19</v>
      </c>
      <c r="FU95" s="8">
        <v>101.33</v>
      </c>
      <c r="FV95" s="8">
        <v>96.76</v>
      </c>
      <c r="FW95" s="8">
        <v>96.95</v>
      </c>
      <c r="FX95" s="8">
        <v>97.08</v>
      </c>
      <c r="FY95" s="8">
        <v>103.02</v>
      </c>
      <c r="FZ95" s="8">
        <v>92.03</v>
      </c>
      <c r="GA95" s="8">
        <v>105.29</v>
      </c>
      <c r="GB95" s="8">
        <v>91.87</v>
      </c>
      <c r="GC95" s="8">
        <v>91.29</v>
      </c>
      <c r="GD95" s="8">
        <v>97.83</v>
      </c>
      <c r="GE95" s="8">
        <v>97.54</v>
      </c>
      <c r="GF95" s="8">
        <v>96.51</v>
      </c>
      <c r="GG95" s="8">
        <v>96.51</v>
      </c>
      <c r="GH95" s="8">
        <v>100.03</v>
      </c>
      <c r="GI95" s="8">
        <v>100.03</v>
      </c>
      <c r="GJ95" s="8">
        <v>95.77</v>
      </c>
      <c r="GK95" s="8">
        <v>97.49</v>
      </c>
      <c r="GL95" s="8">
        <v>93.74</v>
      </c>
      <c r="GM95" s="8">
        <v>95.98</v>
      </c>
      <c r="GN95" s="8">
        <v>96.98</v>
      </c>
      <c r="GO95" s="8">
        <v>99.42</v>
      </c>
      <c r="GP95" s="8">
        <v>92.33</v>
      </c>
      <c r="GQ95" s="8">
        <v>98.58</v>
      </c>
      <c r="GR95" s="8">
        <v>98.8</v>
      </c>
      <c r="GS95" s="8">
        <v>98.7</v>
      </c>
      <c r="GT95" s="8">
        <v>99.35</v>
      </c>
      <c r="GU95" s="8">
        <v>100.25</v>
      </c>
      <c r="GV95" s="8">
        <v>100.25</v>
      </c>
      <c r="GW95" s="8">
        <v>99.6</v>
      </c>
      <c r="GX95" s="8">
        <v>98.59</v>
      </c>
      <c r="GY95" s="8">
        <v>99.77</v>
      </c>
      <c r="GZ95" s="8">
        <v>101.51</v>
      </c>
      <c r="HA95" s="8">
        <v>98.35</v>
      </c>
      <c r="HB95" s="8">
        <v>99.23</v>
      </c>
      <c r="HC95" s="8">
        <v>98.47</v>
      </c>
      <c r="HD95" s="8">
        <v>97.82</v>
      </c>
      <c r="HE95" s="8">
        <v>100.43</v>
      </c>
      <c r="HF95" s="8">
        <v>97.06</v>
      </c>
      <c r="HG95" s="8">
        <v>92.24</v>
      </c>
      <c r="HH95" s="8">
        <v>97.34</v>
      </c>
      <c r="HI95" s="8">
        <v>100.79</v>
      </c>
      <c r="HJ95" s="8">
        <v>96.35</v>
      </c>
      <c r="HK95" s="8">
        <v>99.7</v>
      </c>
      <c r="HL95" s="8">
        <v>100.23</v>
      </c>
      <c r="HM95" s="8">
        <v>96.72</v>
      </c>
      <c r="HN95" s="8">
        <v>95.63</v>
      </c>
      <c r="HO95" s="8">
        <v>95.33</v>
      </c>
      <c r="HP95" s="8">
        <v>98.27</v>
      </c>
      <c r="HQ95" s="8">
        <v>99.43</v>
      </c>
      <c r="HR95" s="8">
        <v>99.53</v>
      </c>
      <c r="HS95" s="8">
        <v>101.05</v>
      </c>
      <c r="HT95" s="8">
        <v>101.46</v>
      </c>
      <c r="HU95" s="8">
        <v>100.03</v>
      </c>
      <c r="HV95" s="8">
        <v>95.89</v>
      </c>
      <c r="HW95" s="8">
        <v>99.4</v>
      </c>
      <c r="HX95" s="8">
        <v>96.55</v>
      </c>
      <c r="HY95" s="8">
        <v>96.55</v>
      </c>
      <c r="HZ95" s="8">
        <v>98.42</v>
      </c>
      <c r="IA95" s="8">
        <v>98.42</v>
      </c>
      <c r="IB95" s="8">
        <v>95.96</v>
      </c>
      <c r="IC95" s="8">
        <v>98.54</v>
      </c>
      <c r="ID95" s="8">
        <v>99.02</v>
      </c>
      <c r="IE95" s="8">
        <v>97.53</v>
      </c>
      <c r="IF95" s="8">
        <v>103.94</v>
      </c>
      <c r="IG95" s="8">
        <v>91.12</v>
      </c>
      <c r="IH95" s="8">
        <v>96.94</v>
      </c>
      <c r="II95" s="8">
        <v>100.25</v>
      </c>
      <c r="IJ95" s="8">
        <v>95.53</v>
      </c>
      <c r="IK95" s="8">
        <v>97.71</v>
      </c>
      <c r="IL95" s="8">
        <v>95.09</v>
      </c>
      <c r="IM95" s="8">
        <v>100.09</v>
      </c>
      <c r="IN95" s="8">
        <v>101.86</v>
      </c>
      <c r="IO95" s="8">
        <v>98.53</v>
      </c>
      <c r="IP95" s="8">
        <v>99.66</v>
      </c>
      <c r="IQ95" s="8">
        <v>101.71</v>
      </c>
    </row>
    <row r="96" spans="1:251" x14ac:dyDescent="0.2">
      <c r="A96" s="9">
        <v>45566</v>
      </c>
      <c r="B96" s="8">
        <v>96.46</v>
      </c>
      <c r="C96" s="8">
        <v>97.04</v>
      </c>
      <c r="D96" s="8">
        <v>99.4</v>
      </c>
      <c r="E96" s="8">
        <v>99.59</v>
      </c>
      <c r="F96" s="8">
        <v>99.31</v>
      </c>
      <c r="G96" s="8">
        <v>97.66</v>
      </c>
      <c r="H96" s="8">
        <v>100.07</v>
      </c>
      <c r="I96" s="8">
        <v>97.34</v>
      </c>
      <c r="J96" s="8">
        <v>93.12</v>
      </c>
      <c r="K96" s="8">
        <v>98.12</v>
      </c>
      <c r="L96" s="8">
        <v>88.49</v>
      </c>
      <c r="M96" s="8">
        <v>101.52</v>
      </c>
      <c r="N96" s="8">
        <v>100.23</v>
      </c>
      <c r="O96" s="8">
        <v>100.38</v>
      </c>
      <c r="P96" s="8">
        <v>96.52</v>
      </c>
      <c r="Q96" s="8">
        <v>96.09</v>
      </c>
      <c r="R96" s="8">
        <v>98.49</v>
      </c>
      <c r="S96" s="8">
        <v>95.05</v>
      </c>
      <c r="T96" s="8">
        <v>99.39</v>
      </c>
      <c r="U96" s="8">
        <v>102.51</v>
      </c>
      <c r="V96" s="8">
        <v>96.74</v>
      </c>
      <c r="W96" s="8">
        <v>95.86</v>
      </c>
      <c r="X96" s="8">
        <v>93.39</v>
      </c>
      <c r="Y96" s="8">
        <v>98.04</v>
      </c>
      <c r="Z96" s="8">
        <v>98.57</v>
      </c>
      <c r="AA96" s="8">
        <v>100.32</v>
      </c>
      <c r="AB96" s="8">
        <v>92.08</v>
      </c>
      <c r="AC96" s="8">
        <v>99.65</v>
      </c>
      <c r="AD96" s="8">
        <v>95.28</v>
      </c>
      <c r="AE96" s="8">
        <v>85.16</v>
      </c>
      <c r="AF96" s="8">
        <v>98.02</v>
      </c>
      <c r="AG96" s="8">
        <v>96.56</v>
      </c>
      <c r="AH96" s="8">
        <v>97.03</v>
      </c>
      <c r="AI96" s="8">
        <v>95.88</v>
      </c>
      <c r="AJ96" s="8">
        <v>97.28</v>
      </c>
      <c r="AK96" s="8">
        <v>99.34</v>
      </c>
      <c r="AL96" s="8">
        <v>98.16</v>
      </c>
      <c r="AM96" s="8">
        <v>100.37</v>
      </c>
      <c r="AN96" s="8">
        <v>98.87</v>
      </c>
      <c r="AO96" s="8">
        <v>92.15</v>
      </c>
      <c r="AP96" s="8">
        <v>92.15</v>
      </c>
      <c r="AQ96" s="8">
        <v>96.23</v>
      </c>
      <c r="AR96" s="8">
        <v>98.38</v>
      </c>
      <c r="AS96" s="8">
        <v>101.97</v>
      </c>
      <c r="AT96" s="8">
        <v>97.47</v>
      </c>
      <c r="AU96" s="8">
        <v>96.67</v>
      </c>
      <c r="AV96" s="8">
        <v>99.09</v>
      </c>
      <c r="AW96" s="8">
        <v>107.04</v>
      </c>
      <c r="AX96" s="8">
        <v>96.44</v>
      </c>
      <c r="AY96" s="8">
        <v>101.03</v>
      </c>
      <c r="AZ96" s="8">
        <v>90.39</v>
      </c>
      <c r="BA96" s="8">
        <v>90.03</v>
      </c>
      <c r="BB96" s="8">
        <v>94.21</v>
      </c>
      <c r="BC96" s="8">
        <v>94.49</v>
      </c>
      <c r="BD96" s="8">
        <v>96.79</v>
      </c>
      <c r="BE96" s="8">
        <v>96.79</v>
      </c>
      <c r="BF96" s="8">
        <v>98.92</v>
      </c>
      <c r="BG96" s="8">
        <v>98.92</v>
      </c>
      <c r="BH96" s="8">
        <v>96.66</v>
      </c>
      <c r="BI96" s="8">
        <v>97.73</v>
      </c>
      <c r="BJ96" s="8">
        <v>94.65</v>
      </c>
      <c r="BK96" s="8">
        <v>78.55</v>
      </c>
      <c r="BL96" s="8">
        <v>99.99</v>
      </c>
      <c r="BM96" s="8">
        <v>70.05</v>
      </c>
      <c r="BN96" s="8">
        <v>98.75</v>
      </c>
      <c r="BO96" s="8">
        <v>98.95</v>
      </c>
      <c r="BP96" s="8">
        <v>102.68</v>
      </c>
      <c r="BQ96" s="8">
        <v>104.29</v>
      </c>
      <c r="BR96" s="8">
        <v>96.62</v>
      </c>
      <c r="BS96" s="8">
        <v>99.31</v>
      </c>
      <c r="BT96" s="8">
        <v>99.31</v>
      </c>
      <c r="BU96" s="8">
        <v>102.74</v>
      </c>
      <c r="BV96" s="8">
        <v>99.65</v>
      </c>
      <c r="BW96" s="8">
        <v>103.84</v>
      </c>
      <c r="BX96" s="8">
        <v>107.09</v>
      </c>
      <c r="BY96" s="8">
        <v>101.24</v>
      </c>
      <c r="BZ96" s="8">
        <v>98.53</v>
      </c>
      <c r="CA96" s="8">
        <v>99.26</v>
      </c>
      <c r="CB96" s="8">
        <v>96.95</v>
      </c>
      <c r="CC96" s="8">
        <v>99.49</v>
      </c>
      <c r="CD96" s="8">
        <v>95.89</v>
      </c>
      <c r="CE96" s="8">
        <v>91.28</v>
      </c>
      <c r="CF96" s="8">
        <v>98.4</v>
      </c>
      <c r="CG96" s="8">
        <v>99.2</v>
      </c>
      <c r="CH96" s="8">
        <v>95.7</v>
      </c>
      <c r="CI96" s="8">
        <v>101.02</v>
      </c>
      <c r="CJ96" s="8">
        <v>101.6</v>
      </c>
      <c r="CK96" s="8">
        <v>97.02</v>
      </c>
      <c r="CL96" s="8">
        <v>94.81</v>
      </c>
      <c r="CM96" s="8">
        <v>94.57</v>
      </c>
      <c r="CN96" s="8">
        <v>96.81</v>
      </c>
      <c r="CO96" s="8">
        <v>97.45</v>
      </c>
      <c r="CP96" s="8">
        <v>97.48</v>
      </c>
      <c r="CQ96" s="8">
        <v>99.15</v>
      </c>
      <c r="CR96" s="8">
        <v>98.93</v>
      </c>
      <c r="CS96" s="8">
        <v>96.47</v>
      </c>
      <c r="CT96" s="8">
        <v>96.87</v>
      </c>
      <c r="CU96" s="8">
        <v>95.86</v>
      </c>
      <c r="CV96" s="8">
        <v>96.72</v>
      </c>
      <c r="CW96" s="8">
        <v>96.72</v>
      </c>
      <c r="CX96" s="8">
        <v>99.02</v>
      </c>
      <c r="CY96" s="8">
        <v>99.02</v>
      </c>
      <c r="CZ96" s="8">
        <v>95.36</v>
      </c>
      <c r="DA96" s="8">
        <v>99.24</v>
      </c>
      <c r="DB96" s="8">
        <v>96.37</v>
      </c>
      <c r="DC96" s="8">
        <v>94.92</v>
      </c>
      <c r="DD96" s="8">
        <v>98.66</v>
      </c>
      <c r="DE96" s="8">
        <v>90.95</v>
      </c>
      <c r="DF96" s="8">
        <v>97.37</v>
      </c>
      <c r="DG96" s="8">
        <v>99.81</v>
      </c>
      <c r="DH96" s="8">
        <v>96.53</v>
      </c>
      <c r="DI96" s="8">
        <v>96.73</v>
      </c>
      <c r="DJ96" s="8">
        <v>99.7</v>
      </c>
      <c r="DK96" s="8">
        <v>92.81</v>
      </c>
      <c r="DL96" s="8">
        <v>95.99</v>
      </c>
      <c r="DM96" s="8">
        <v>97.72</v>
      </c>
      <c r="DN96" s="8">
        <v>97.14</v>
      </c>
      <c r="DO96" s="8">
        <v>97.53</v>
      </c>
      <c r="DP96" s="8">
        <v>94.84</v>
      </c>
      <c r="DQ96" s="8">
        <v>96.16</v>
      </c>
      <c r="DR96" s="8">
        <v>94.09</v>
      </c>
      <c r="DS96" s="8">
        <v>94.74</v>
      </c>
      <c r="DT96" s="8">
        <v>94.74</v>
      </c>
      <c r="DU96" s="8">
        <v>93.38</v>
      </c>
      <c r="DV96" s="8">
        <v>93.97</v>
      </c>
      <c r="DW96" s="8">
        <v>96.6</v>
      </c>
      <c r="DX96" s="8">
        <v>97.87</v>
      </c>
      <c r="DY96" s="8">
        <v>98.06</v>
      </c>
      <c r="DZ96" s="8">
        <v>98.06</v>
      </c>
      <c r="EA96" s="8">
        <v>97.81</v>
      </c>
      <c r="EB96" s="8">
        <v>97.32</v>
      </c>
      <c r="EC96" s="8">
        <v>97.86</v>
      </c>
      <c r="ED96" s="8">
        <v>96.83</v>
      </c>
      <c r="EE96" s="8">
        <v>97.1</v>
      </c>
      <c r="EF96" s="8">
        <v>99.51</v>
      </c>
      <c r="EG96" s="8">
        <v>99.41</v>
      </c>
      <c r="EH96" s="8">
        <v>99.78</v>
      </c>
      <c r="EI96" s="8">
        <v>97.65</v>
      </c>
      <c r="EJ96" s="8">
        <v>99.93</v>
      </c>
      <c r="EK96" s="8">
        <v>97.35</v>
      </c>
      <c r="EL96" s="8">
        <v>92.9</v>
      </c>
      <c r="EM96" s="8">
        <v>98.59</v>
      </c>
      <c r="EN96" s="8">
        <v>89.84</v>
      </c>
      <c r="EO96" s="8">
        <v>101.21</v>
      </c>
      <c r="EP96" s="8">
        <v>100.16</v>
      </c>
      <c r="EQ96" s="8">
        <v>99.97</v>
      </c>
      <c r="ER96" s="8">
        <v>96.55</v>
      </c>
      <c r="ES96" s="8">
        <v>96.12</v>
      </c>
      <c r="ET96" s="8">
        <v>98.37</v>
      </c>
      <c r="EU96" s="8">
        <v>95.13</v>
      </c>
      <c r="EV96" s="8">
        <v>98.99</v>
      </c>
      <c r="EW96" s="8">
        <v>101.17</v>
      </c>
      <c r="EX96" s="8">
        <v>97.51</v>
      </c>
      <c r="EY96" s="8">
        <v>95.77</v>
      </c>
      <c r="EZ96" s="8">
        <v>93.4</v>
      </c>
      <c r="FA96" s="8">
        <v>97.58</v>
      </c>
      <c r="FB96" s="8">
        <v>98.65</v>
      </c>
      <c r="FC96" s="8">
        <v>100.2</v>
      </c>
      <c r="FD96" s="8">
        <v>91.89</v>
      </c>
      <c r="FE96" s="8">
        <v>99.91</v>
      </c>
      <c r="FF96" s="8">
        <v>94.61</v>
      </c>
      <c r="FG96" s="8">
        <v>85.4</v>
      </c>
      <c r="FH96" s="8">
        <v>97.99</v>
      </c>
      <c r="FI96" s="8">
        <v>96.89</v>
      </c>
      <c r="FJ96" s="8">
        <v>97.12</v>
      </c>
      <c r="FK96" s="8">
        <v>96.59</v>
      </c>
      <c r="FL96" s="8">
        <v>95.33</v>
      </c>
      <c r="FM96" s="8">
        <v>97.79</v>
      </c>
      <c r="FN96" s="8">
        <v>97.07</v>
      </c>
      <c r="FO96" s="8">
        <v>99.05</v>
      </c>
      <c r="FP96" s="8">
        <v>97.13</v>
      </c>
      <c r="FQ96" s="8">
        <v>90</v>
      </c>
      <c r="FR96" s="8">
        <v>90</v>
      </c>
      <c r="FS96" s="8">
        <v>96.5</v>
      </c>
      <c r="FT96" s="8">
        <v>98.03</v>
      </c>
      <c r="FU96" s="8">
        <v>100.73</v>
      </c>
      <c r="FV96" s="8">
        <v>97.21</v>
      </c>
      <c r="FW96" s="8">
        <v>95.73</v>
      </c>
      <c r="FX96" s="8">
        <v>99.21</v>
      </c>
      <c r="FY96" s="8">
        <v>103.96</v>
      </c>
      <c r="FZ96" s="8">
        <v>94.45</v>
      </c>
      <c r="GA96" s="8">
        <v>109.22</v>
      </c>
      <c r="GB96" s="8">
        <v>91.48</v>
      </c>
      <c r="GC96" s="8">
        <v>90.84</v>
      </c>
      <c r="GD96" s="8">
        <v>98.05</v>
      </c>
      <c r="GE96" s="8">
        <v>95.53</v>
      </c>
      <c r="GF96" s="8">
        <v>96.33</v>
      </c>
      <c r="GG96" s="8">
        <v>96.33</v>
      </c>
      <c r="GH96" s="8">
        <v>100.28</v>
      </c>
      <c r="GI96" s="8">
        <v>100.28</v>
      </c>
      <c r="GJ96" s="8">
        <v>96.15</v>
      </c>
      <c r="GK96" s="8">
        <v>98.18</v>
      </c>
      <c r="GL96" s="8">
        <v>93.74</v>
      </c>
      <c r="GM96" s="8">
        <v>85.78</v>
      </c>
      <c r="GN96" s="8">
        <v>96.98</v>
      </c>
      <c r="GO96" s="8">
        <v>77.099999999999994</v>
      </c>
      <c r="GP96" s="8">
        <v>88.78</v>
      </c>
      <c r="GQ96" s="8">
        <v>99.16</v>
      </c>
      <c r="GR96" s="8">
        <v>102.13</v>
      </c>
      <c r="GS96" s="8">
        <v>102.72</v>
      </c>
      <c r="GT96" s="8">
        <v>99.19</v>
      </c>
      <c r="GU96" s="8">
        <v>99.16</v>
      </c>
      <c r="GV96" s="8">
        <v>99.16</v>
      </c>
      <c r="GW96" s="8">
        <v>99.82</v>
      </c>
      <c r="GX96" s="8">
        <v>100.91</v>
      </c>
      <c r="GY96" s="8">
        <v>99.52</v>
      </c>
      <c r="GZ96" s="8">
        <v>100.66</v>
      </c>
      <c r="HA96" s="8">
        <v>98.19</v>
      </c>
      <c r="HB96" s="8">
        <v>98.67</v>
      </c>
      <c r="HC96" s="8">
        <v>99.08</v>
      </c>
      <c r="HD96" s="8">
        <v>97.2</v>
      </c>
      <c r="HE96" s="8">
        <v>99.72</v>
      </c>
      <c r="HF96" s="8">
        <v>97.42</v>
      </c>
      <c r="HG96" s="8">
        <v>92.51</v>
      </c>
      <c r="HH96" s="8">
        <v>97.42</v>
      </c>
      <c r="HI96" s="8">
        <v>101.65</v>
      </c>
      <c r="HJ96" s="8">
        <v>96.73</v>
      </c>
      <c r="HK96" s="8">
        <v>99.5</v>
      </c>
      <c r="HL96" s="8">
        <v>99.87</v>
      </c>
      <c r="HM96" s="8">
        <v>97.42</v>
      </c>
      <c r="HN96" s="8">
        <v>96.14</v>
      </c>
      <c r="HO96" s="8">
        <v>95.89</v>
      </c>
      <c r="HP96" s="8">
        <v>98.34</v>
      </c>
      <c r="HQ96" s="8">
        <v>98.03</v>
      </c>
      <c r="HR96" s="8">
        <v>98.06</v>
      </c>
      <c r="HS96" s="8">
        <v>101.45</v>
      </c>
      <c r="HT96" s="8">
        <v>101.63</v>
      </c>
      <c r="HU96" s="8">
        <v>96.03</v>
      </c>
      <c r="HV96" s="8">
        <v>95.88</v>
      </c>
      <c r="HW96" s="8">
        <v>96.49</v>
      </c>
      <c r="HX96" s="8">
        <v>97.04</v>
      </c>
      <c r="HY96" s="8">
        <v>97.04</v>
      </c>
      <c r="HZ96" s="8">
        <v>99.06</v>
      </c>
      <c r="IA96" s="8">
        <v>99.06</v>
      </c>
      <c r="IB96" s="8">
        <v>95.36</v>
      </c>
      <c r="IC96" s="8">
        <v>99.25</v>
      </c>
      <c r="ID96" s="8">
        <v>97.52</v>
      </c>
      <c r="IE96" s="8">
        <v>96.89</v>
      </c>
      <c r="IF96" s="8">
        <v>102.6</v>
      </c>
      <c r="IG96" s="8">
        <v>91.2</v>
      </c>
      <c r="IH96" s="8">
        <v>97.59</v>
      </c>
      <c r="II96" s="8">
        <v>100.19</v>
      </c>
      <c r="IJ96" s="8">
        <v>96.47</v>
      </c>
      <c r="IK96" s="8">
        <v>95.99</v>
      </c>
      <c r="IL96" s="8">
        <v>98.73</v>
      </c>
      <c r="IM96" s="8">
        <v>91.84</v>
      </c>
      <c r="IN96" s="8">
        <v>100.05</v>
      </c>
      <c r="IO96" s="8">
        <v>98.28</v>
      </c>
      <c r="IP96" s="8">
        <v>98.28</v>
      </c>
      <c r="IQ96" s="8">
        <v>97.64</v>
      </c>
    </row>
    <row r="97" spans="1:251" x14ac:dyDescent="0.2">
      <c r="A97" s="9">
        <v>45597</v>
      </c>
      <c r="B97" s="8">
        <v>96.73</v>
      </c>
      <c r="C97" s="8">
        <v>97.35</v>
      </c>
      <c r="D97" s="8">
        <v>99.84</v>
      </c>
      <c r="E97" s="8">
        <v>100.35</v>
      </c>
      <c r="F97" s="8">
        <v>99.38</v>
      </c>
      <c r="G97" s="8">
        <v>99.91</v>
      </c>
      <c r="H97" s="8">
        <v>99.85</v>
      </c>
      <c r="I97" s="8">
        <v>97.58</v>
      </c>
      <c r="J97" s="8">
        <v>93.62</v>
      </c>
      <c r="K97" s="8">
        <v>99.1</v>
      </c>
      <c r="L97" s="8">
        <v>89.18</v>
      </c>
      <c r="M97" s="8">
        <v>101.21</v>
      </c>
      <c r="N97" s="8">
        <v>100.68</v>
      </c>
      <c r="O97" s="8">
        <v>99.94</v>
      </c>
      <c r="P97" s="8">
        <v>97.3</v>
      </c>
      <c r="Q97" s="8">
        <v>97.26</v>
      </c>
      <c r="R97" s="8">
        <v>99.34</v>
      </c>
      <c r="S97" s="8">
        <v>95.28</v>
      </c>
      <c r="T97" s="8">
        <v>99.45</v>
      </c>
      <c r="U97" s="8">
        <v>102.72</v>
      </c>
      <c r="V97" s="8">
        <v>96.67</v>
      </c>
      <c r="W97" s="8">
        <v>96.26</v>
      </c>
      <c r="X97" s="8">
        <v>93.66</v>
      </c>
      <c r="Y97" s="8">
        <v>98.07</v>
      </c>
      <c r="Z97" s="8">
        <v>98.37</v>
      </c>
      <c r="AA97" s="8">
        <v>100.64</v>
      </c>
      <c r="AB97" s="8">
        <v>92.65</v>
      </c>
      <c r="AC97" s="8">
        <v>100.24</v>
      </c>
      <c r="AD97" s="8">
        <v>95.77</v>
      </c>
      <c r="AE97" s="8">
        <v>86.93</v>
      </c>
      <c r="AF97" s="8">
        <v>98.16</v>
      </c>
      <c r="AG97" s="8">
        <v>96.81</v>
      </c>
      <c r="AH97" s="8">
        <v>97.3</v>
      </c>
      <c r="AI97" s="8">
        <v>96.11</v>
      </c>
      <c r="AJ97" s="8">
        <v>96.82</v>
      </c>
      <c r="AK97" s="8">
        <v>98.63</v>
      </c>
      <c r="AL97" s="8">
        <v>98.65</v>
      </c>
      <c r="AM97" s="8">
        <v>99.32</v>
      </c>
      <c r="AN97" s="8">
        <v>97.98</v>
      </c>
      <c r="AO97" s="8">
        <v>92.25</v>
      </c>
      <c r="AP97" s="8">
        <v>92.25</v>
      </c>
      <c r="AQ97" s="8">
        <v>93.94</v>
      </c>
      <c r="AR97" s="8">
        <v>97.65</v>
      </c>
      <c r="AS97" s="8">
        <v>101.62</v>
      </c>
      <c r="AT97" s="8">
        <v>96.52</v>
      </c>
      <c r="AU97" s="8">
        <v>96.17</v>
      </c>
      <c r="AV97" s="8">
        <v>95.47</v>
      </c>
      <c r="AW97" s="8">
        <v>102.02</v>
      </c>
      <c r="AX97" s="8">
        <v>92.94</v>
      </c>
      <c r="AY97" s="8">
        <v>98.58</v>
      </c>
      <c r="AZ97" s="8">
        <v>85.4</v>
      </c>
      <c r="BA97" s="8">
        <v>84.54</v>
      </c>
      <c r="BB97" s="8">
        <v>95.35</v>
      </c>
      <c r="BC97" s="8">
        <v>95.79</v>
      </c>
      <c r="BD97" s="8">
        <v>97.27</v>
      </c>
      <c r="BE97" s="8">
        <v>97.27</v>
      </c>
      <c r="BF97" s="8">
        <v>98.36</v>
      </c>
      <c r="BG97" s="8">
        <v>98.36</v>
      </c>
      <c r="BH97" s="8">
        <v>96.85</v>
      </c>
      <c r="BI97" s="8">
        <v>98.03</v>
      </c>
      <c r="BJ97" s="8">
        <v>94.65</v>
      </c>
      <c r="BK97" s="8">
        <v>86.69</v>
      </c>
      <c r="BL97" s="8">
        <v>99.99</v>
      </c>
      <c r="BM97" s="8">
        <v>81.489999999999995</v>
      </c>
      <c r="BN97" s="8">
        <v>98.75</v>
      </c>
      <c r="BO97" s="8">
        <v>98.4</v>
      </c>
      <c r="BP97" s="8">
        <v>98.47</v>
      </c>
      <c r="BQ97" s="8">
        <v>98.59</v>
      </c>
      <c r="BR97" s="8">
        <v>97.99</v>
      </c>
      <c r="BS97" s="8">
        <v>102.68</v>
      </c>
      <c r="BT97" s="8">
        <v>102.68</v>
      </c>
      <c r="BU97" s="8">
        <v>102.28</v>
      </c>
      <c r="BV97" s="8">
        <v>99.82</v>
      </c>
      <c r="BW97" s="8">
        <v>106.39</v>
      </c>
      <c r="BX97" s="8">
        <v>103.56</v>
      </c>
      <c r="BY97" s="8">
        <v>101.28</v>
      </c>
      <c r="BZ97" s="8">
        <v>98.49</v>
      </c>
      <c r="CA97" s="8">
        <v>97.78</v>
      </c>
      <c r="CB97" s="8">
        <v>96.52</v>
      </c>
      <c r="CC97" s="8">
        <v>100.03</v>
      </c>
      <c r="CD97" s="8">
        <v>96.13</v>
      </c>
      <c r="CE97" s="8">
        <v>91.68</v>
      </c>
      <c r="CF97" s="8">
        <v>98.64</v>
      </c>
      <c r="CG97" s="8">
        <v>99.15</v>
      </c>
      <c r="CH97" s="8">
        <v>95.42</v>
      </c>
      <c r="CI97" s="8">
        <v>99.92</v>
      </c>
      <c r="CJ97" s="8">
        <v>100.34</v>
      </c>
      <c r="CK97" s="8">
        <v>97.02</v>
      </c>
      <c r="CL97" s="8">
        <v>94.67</v>
      </c>
      <c r="CM97" s="8">
        <v>94.43</v>
      </c>
      <c r="CN97" s="8">
        <v>96.69</v>
      </c>
      <c r="CO97" s="8">
        <v>98.11</v>
      </c>
      <c r="CP97" s="8">
        <v>98.19</v>
      </c>
      <c r="CQ97" s="8">
        <v>99.1</v>
      </c>
      <c r="CR97" s="8">
        <v>100.54</v>
      </c>
      <c r="CS97" s="8">
        <v>98.4</v>
      </c>
      <c r="CT97" s="8">
        <v>97.11</v>
      </c>
      <c r="CU97" s="8">
        <v>95.92</v>
      </c>
      <c r="CV97" s="8">
        <v>96.41</v>
      </c>
      <c r="CW97" s="8">
        <v>96.41</v>
      </c>
      <c r="CX97" s="8">
        <v>98.91</v>
      </c>
      <c r="CY97" s="8">
        <v>98.91</v>
      </c>
      <c r="CZ97" s="8">
        <v>95.19</v>
      </c>
      <c r="DA97" s="8">
        <v>99.13</v>
      </c>
      <c r="DB97" s="8">
        <v>96.54</v>
      </c>
      <c r="DC97" s="8">
        <v>96.3</v>
      </c>
      <c r="DD97" s="8">
        <v>100.59</v>
      </c>
      <c r="DE97" s="8">
        <v>91.71</v>
      </c>
      <c r="DF97" s="8">
        <v>97.43</v>
      </c>
      <c r="DG97" s="8">
        <v>101.22</v>
      </c>
      <c r="DH97" s="8">
        <v>96.14</v>
      </c>
      <c r="DI97" s="8">
        <v>95.22</v>
      </c>
      <c r="DJ97" s="8">
        <v>99.01</v>
      </c>
      <c r="DK97" s="8">
        <v>90.4</v>
      </c>
      <c r="DL97" s="8">
        <v>98.43</v>
      </c>
      <c r="DM97" s="8">
        <v>100.6</v>
      </c>
      <c r="DN97" s="8">
        <v>101.35</v>
      </c>
      <c r="DO97" s="8">
        <v>99.53</v>
      </c>
      <c r="DP97" s="8">
        <v>95.21</v>
      </c>
      <c r="DQ97" s="8">
        <v>96.23</v>
      </c>
      <c r="DR97" s="8">
        <v>98.84</v>
      </c>
      <c r="DS97" s="8">
        <v>94.76</v>
      </c>
      <c r="DT97" s="8">
        <v>94.76</v>
      </c>
      <c r="DU97" s="8">
        <v>93.48</v>
      </c>
      <c r="DV97" s="8">
        <v>93.97</v>
      </c>
      <c r="DW97" s="8">
        <v>96.6</v>
      </c>
      <c r="DX97" s="8">
        <v>97.81</v>
      </c>
      <c r="DY97" s="8">
        <v>98.31</v>
      </c>
      <c r="DZ97" s="8">
        <v>98.31</v>
      </c>
      <c r="EA97" s="8">
        <v>97.68</v>
      </c>
      <c r="EB97" s="8">
        <v>95.75</v>
      </c>
      <c r="EC97" s="8">
        <v>97.86</v>
      </c>
      <c r="ED97" s="8">
        <v>97.2</v>
      </c>
      <c r="EE97" s="8">
        <v>97.36</v>
      </c>
      <c r="EF97" s="8">
        <v>99.77</v>
      </c>
      <c r="EG97" s="8">
        <v>100.32</v>
      </c>
      <c r="EH97" s="8">
        <v>99.31</v>
      </c>
      <c r="EI97" s="8">
        <v>99.66</v>
      </c>
      <c r="EJ97" s="8">
        <v>99.92</v>
      </c>
      <c r="EK97" s="8">
        <v>97.51</v>
      </c>
      <c r="EL97" s="8">
        <v>93.27</v>
      </c>
      <c r="EM97" s="8">
        <v>99.35</v>
      </c>
      <c r="EN97" s="8">
        <v>90.32</v>
      </c>
      <c r="EO97" s="8">
        <v>101.04</v>
      </c>
      <c r="EP97" s="8">
        <v>100.55</v>
      </c>
      <c r="EQ97" s="8">
        <v>99.48</v>
      </c>
      <c r="ER97" s="8">
        <v>97.47</v>
      </c>
      <c r="ES97" s="8">
        <v>97.34</v>
      </c>
      <c r="ET97" s="8">
        <v>99.42</v>
      </c>
      <c r="EU97" s="8">
        <v>95.52</v>
      </c>
      <c r="EV97" s="8">
        <v>98.48</v>
      </c>
      <c r="EW97" s="8">
        <v>100.78</v>
      </c>
      <c r="EX97" s="8">
        <v>96.91</v>
      </c>
      <c r="EY97" s="8">
        <v>96.33</v>
      </c>
      <c r="EZ97" s="8">
        <v>94.04</v>
      </c>
      <c r="FA97" s="8">
        <v>97.6</v>
      </c>
      <c r="FB97" s="8">
        <v>98.49</v>
      </c>
      <c r="FC97" s="8">
        <v>100.74</v>
      </c>
      <c r="FD97" s="8">
        <v>92.76</v>
      </c>
      <c r="FE97" s="8">
        <v>100.4</v>
      </c>
      <c r="FF97" s="8">
        <v>95</v>
      </c>
      <c r="FG97" s="8">
        <v>86.74</v>
      </c>
      <c r="FH97" s="8">
        <v>98.02</v>
      </c>
      <c r="FI97" s="8">
        <v>97.19</v>
      </c>
      <c r="FJ97" s="8">
        <v>97.56</v>
      </c>
      <c r="FK97" s="8">
        <v>96.71</v>
      </c>
      <c r="FL97" s="8">
        <v>96.12</v>
      </c>
      <c r="FM97" s="8">
        <v>99.05</v>
      </c>
      <c r="FN97" s="8">
        <v>97.98</v>
      </c>
      <c r="FO97" s="8">
        <v>100.3</v>
      </c>
      <c r="FP97" s="8">
        <v>98.58</v>
      </c>
      <c r="FQ97" s="8">
        <v>89.96</v>
      </c>
      <c r="FR97" s="8">
        <v>89.96</v>
      </c>
      <c r="FS97" s="8">
        <v>93.63</v>
      </c>
      <c r="FT97" s="8">
        <v>97.52</v>
      </c>
      <c r="FU97" s="8">
        <v>99.53</v>
      </c>
      <c r="FV97" s="8">
        <v>96.9</v>
      </c>
      <c r="FW97" s="8">
        <v>95.84</v>
      </c>
      <c r="FX97" s="8">
        <v>93.1</v>
      </c>
      <c r="FY97" s="8">
        <v>98.02</v>
      </c>
      <c r="FZ97" s="8">
        <v>87.55</v>
      </c>
      <c r="GA97" s="8">
        <v>106.4</v>
      </c>
      <c r="GB97" s="8">
        <v>84.82</v>
      </c>
      <c r="GC97" s="8">
        <v>83.52</v>
      </c>
      <c r="GD97" s="8">
        <v>99.09</v>
      </c>
      <c r="GE97" s="8">
        <v>96.51</v>
      </c>
      <c r="GF97" s="8">
        <v>96.85</v>
      </c>
      <c r="GG97" s="8">
        <v>96.85</v>
      </c>
      <c r="GH97" s="8">
        <v>99.08</v>
      </c>
      <c r="GI97" s="8">
        <v>99.08</v>
      </c>
      <c r="GJ97" s="8">
        <v>96.27</v>
      </c>
      <c r="GK97" s="8">
        <v>98.41</v>
      </c>
      <c r="GL97" s="8">
        <v>93.74</v>
      </c>
      <c r="GM97" s="8">
        <v>91.84</v>
      </c>
      <c r="GN97" s="8">
        <v>96.98</v>
      </c>
      <c r="GO97" s="8">
        <v>86.45</v>
      </c>
      <c r="GP97" s="8">
        <v>94.36</v>
      </c>
      <c r="GQ97" s="8">
        <v>99.42</v>
      </c>
      <c r="GR97" s="8">
        <v>99.36</v>
      </c>
      <c r="GS97" s="8">
        <v>99.56</v>
      </c>
      <c r="GT97" s="8">
        <v>98.37</v>
      </c>
      <c r="GU97" s="8">
        <v>109.67</v>
      </c>
      <c r="GV97" s="8">
        <v>109.67</v>
      </c>
      <c r="GW97" s="8">
        <v>100.24</v>
      </c>
      <c r="GX97" s="8">
        <v>100.18</v>
      </c>
      <c r="GY97" s="8">
        <v>101.36</v>
      </c>
      <c r="GZ97" s="8">
        <v>102.45</v>
      </c>
      <c r="HA97" s="8">
        <v>96.79</v>
      </c>
      <c r="HB97" s="8">
        <v>98.81</v>
      </c>
      <c r="HC97" s="8">
        <v>97.96</v>
      </c>
      <c r="HD97" s="8">
        <v>96.91</v>
      </c>
      <c r="HE97" s="8">
        <v>100.39</v>
      </c>
      <c r="HF97" s="8">
        <v>97.76</v>
      </c>
      <c r="HG97" s="8">
        <v>92.56</v>
      </c>
      <c r="HH97" s="8">
        <v>98.18</v>
      </c>
      <c r="HI97" s="8">
        <v>101.65</v>
      </c>
      <c r="HJ97" s="8">
        <v>96.67</v>
      </c>
      <c r="HK97" s="8">
        <v>98.54</v>
      </c>
      <c r="HL97" s="8">
        <v>98.87</v>
      </c>
      <c r="HM97" s="8">
        <v>96.72</v>
      </c>
      <c r="HN97" s="8">
        <v>96.27</v>
      </c>
      <c r="HO97" s="8">
        <v>96.05</v>
      </c>
      <c r="HP97" s="8">
        <v>98.34</v>
      </c>
      <c r="HQ97" s="8">
        <v>98.92</v>
      </c>
      <c r="HR97" s="8">
        <v>98.98</v>
      </c>
      <c r="HS97" s="8">
        <v>100.84</v>
      </c>
      <c r="HT97" s="8">
        <v>101.76</v>
      </c>
      <c r="HU97" s="8">
        <v>98.32</v>
      </c>
      <c r="HV97" s="8">
        <v>97.31</v>
      </c>
      <c r="HW97" s="8">
        <v>97.27</v>
      </c>
      <c r="HX97" s="8">
        <v>96.98</v>
      </c>
      <c r="HY97" s="8">
        <v>96.98</v>
      </c>
      <c r="HZ97" s="8">
        <v>98.94</v>
      </c>
      <c r="IA97" s="8">
        <v>98.94</v>
      </c>
      <c r="IB97" s="8">
        <v>95.19</v>
      </c>
      <c r="IC97" s="8">
        <v>99.14</v>
      </c>
      <c r="ID97" s="8">
        <v>97.79</v>
      </c>
      <c r="IE97" s="8">
        <v>98.11</v>
      </c>
      <c r="IF97" s="8">
        <v>104.28</v>
      </c>
      <c r="IG97" s="8">
        <v>91.94</v>
      </c>
      <c r="IH97" s="8">
        <v>97.52</v>
      </c>
      <c r="II97" s="8">
        <v>99.51</v>
      </c>
      <c r="IJ97" s="8">
        <v>96.66</v>
      </c>
      <c r="IK97" s="8">
        <v>95.16</v>
      </c>
      <c r="IL97" s="8">
        <v>98.51</v>
      </c>
      <c r="IM97" s="8">
        <v>90.28</v>
      </c>
      <c r="IN97" s="8">
        <v>101.57</v>
      </c>
      <c r="IO97" s="8">
        <v>98.51</v>
      </c>
      <c r="IP97" s="8">
        <v>100.85</v>
      </c>
      <c r="IQ97" s="8">
        <v>99.69</v>
      </c>
    </row>
    <row r="98" spans="1:251" x14ac:dyDescent="0.2">
      <c r="A98" s="9">
        <v>45627</v>
      </c>
      <c r="B98" s="8">
        <v>97.57</v>
      </c>
      <c r="C98" s="8">
        <v>97.52</v>
      </c>
      <c r="D98" s="8">
        <v>100.37</v>
      </c>
      <c r="E98" s="8">
        <v>101.07</v>
      </c>
      <c r="F98" s="8">
        <v>98.75</v>
      </c>
      <c r="G98" s="8">
        <v>103.98</v>
      </c>
      <c r="H98" s="8">
        <v>101.99</v>
      </c>
      <c r="I98" s="8">
        <v>97.76</v>
      </c>
      <c r="J98" s="8">
        <v>94.19</v>
      </c>
      <c r="K98" s="8">
        <v>99.01</v>
      </c>
      <c r="L98" s="8">
        <v>88.94</v>
      </c>
      <c r="M98" s="8">
        <v>100.74</v>
      </c>
      <c r="N98" s="8">
        <v>101.27</v>
      </c>
      <c r="O98" s="8">
        <v>100.44</v>
      </c>
      <c r="P98" s="8">
        <v>98.32</v>
      </c>
      <c r="Q98" s="8">
        <v>97.93</v>
      </c>
      <c r="R98" s="8">
        <v>99.88</v>
      </c>
      <c r="S98" s="8">
        <v>97.23</v>
      </c>
      <c r="T98" s="8">
        <v>97.94</v>
      </c>
      <c r="U98" s="8">
        <v>99.55</v>
      </c>
      <c r="V98" s="8">
        <v>96.53</v>
      </c>
      <c r="W98" s="8">
        <v>97.44</v>
      </c>
      <c r="X98" s="8">
        <v>93.95</v>
      </c>
      <c r="Y98" s="8">
        <v>97.72</v>
      </c>
      <c r="Z98" s="8">
        <v>98.75</v>
      </c>
      <c r="AA98" s="8">
        <v>100.11</v>
      </c>
      <c r="AB98" s="8">
        <v>94.71</v>
      </c>
      <c r="AC98" s="8">
        <v>101.63</v>
      </c>
      <c r="AD98" s="8">
        <v>96.06</v>
      </c>
      <c r="AE98" s="8">
        <v>89.47</v>
      </c>
      <c r="AF98" s="8">
        <v>97.83</v>
      </c>
      <c r="AG98" s="8">
        <v>96.99</v>
      </c>
      <c r="AH98" s="8">
        <v>97.44</v>
      </c>
      <c r="AI98" s="8">
        <v>96.34</v>
      </c>
      <c r="AJ98" s="8">
        <v>96.53</v>
      </c>
      <c r="AK98" s="8">
        <v>98.12</v>
      </c>
      <c r="AL98" s="8">
        <v>97.92</v>
      </c>
      <c r="AM98" s="8">
        <v>97.96</v>
      </c>
      <c r="AN98" s="8">
        <v>98.35</v>
      </c>
      <c r="AO98" s="8">
        <v>92.41</v>
      </c>
      <c r="AP98" s="8">
        <v>92.41</v>
      </c>
      <c r="AQ98" s="8">
        <v>94.46</v>
      </c>
      <c r="AR98" s="8">
        <v>97.37</v>
      </c>
      <c r="AS98" s="8">
        <v>100.06</v>
      </c>
      <c r="AT98" s="8">
        <v>97.22</v>
      </c>
      <c r="AU98" s="8">
        <v>94.08</v>
      </c>
      <c r="AV98" s="8">
        <v>92.97</v>
      </c>
      <c r="AW98" s="8">
        <v>101.7</v>
      </c>
      <c r="AX98" s="8">
        <v>89.77</v>
      </c>
      <c r="AY98" s="8">
        <v>96.22</v>
      </c>
      <c r="AZ98" s="8">
        <v>89.05</v>
      </c>
      <c r="BA98" s="8">
        <v>88.48</v>
      </c>
      <c r="BB98" s="8">
        <v>95.46</v>
      </c>
      <c r="BC98" s="8">
        <v>96.59</v>
      </c>
      <c r="BD98" s="8">
        <v>97.53</v>
      </c>
      <c r="BE98" s="8">
        <v>97.53</v>
      </c>
      <c r="BF98" s="8">
        <v>98.46</v>
      </c>
      <c r="BG98" s="8">
        <v>98.46</v>
      </c>
      <c r="BH98" s="8">
        <v>96.76</v>
      </c>
      <c r="BI98" s="8">
        <v>97.9</v>
      </c>
      <c r="BJ98" s="8">
        <v>94.65</v>
      </c>
      <c r="BK98" s="8">
        <v>90.94</v>
      </c>
      <c r="BL98" s="8">
        <v>99.99</v>
      </c>
      <c r="BM98" s="8">
        <v>88.39</v>
      </c>
      <c r="BN98" s="8">
        <v>94.47</v>
      </c>
      <c r="BO98" s="8">
        <v>97.87</v>
      </c>
      <c r="BP98" s="8">
        <v>100.08</v>
      </c>
      <c r="BQ98" s="8">
        <v>100.28</v>
      </c>
      <c r="BR98" s="8">
        <v>99.28</v>
      </c>
      <c r="BS98" s="8">
        <v>91.29</v>
      </c>
      <c r="BT98" s="8">
        <v>91.29</v>
      </c>
      <c r="BU98" s="8">
        <v>98.97</v>
      </c>
      <c r="BV98" s="8">
        <v>95.35</v>
      </c>
      <c r="BW98" s="8">
        <v>98.37</v>
      </c>
      <c r="BX98" s="8">
        <v>100.64</v>
      </c>
      <c r="BY98" s="8">
        <v>101.43</v>
      </c>
      <c r="BZ98" s="8">
        <v>99.22</v>
      </c>
      <c r="CA98" s="8">
        <v>100.29</v>
      </c>
      <c r="CB98" s="8">
        <v>97.76</v>
      </c>
      <c r="CC98" s="8">
        <v>100.04</v>
      </c>
      <c r="CD98" s="8">
        <v>96.42</v>
      </c>
      <c r="CE98" s="8">
        <v>92.23</v>
      </c>
      <c r="CF98" s="8">
        <v>98.64</v>
      </c>
      <c r="CG98" s="8">
        <v>99.5</v>
      </c>
      <c r="CH98" s="8">
        <v>95.19</v>
      </c>
      <c r="CI98" s="8">
        <v>98.89</v>
      </c>
      <c r="CJ98" s="8">
        <v>99.42</v>
      </c>
      <c r="CK98" s="8">
        <v>95.21</v>
      </c>
      <c r="CL98" s="8">
        <v>94.58</v>
      </c>
      <c r="CM98" s="8">
        <v>94.33</v>
      </c>
      <c r="CN98" s="8">
        <v>96.69</v>
      </c>
      <c r="CO98" s="8">
        <v>99.23</v>
      </c>
      <c r="CP98" s="8">
        <v>99.36</v>
      </c>
      <c r="CQ98" s="8">
        <v>99.4</v>
      </c>
      <c r="CR98" s="8">
        <v>94.04</v>
      </c>
      <c r="CS98" s="8">
        <v>103.31</v>
      </c>
      <c r="CT98" s="8">
        <v>97.23</v>
      </c>
      <c r="CU98" s="8">
        <v>95.92</v>
      </c>
      <c r="CV98" s="8">
        <v>96.48</v>
      </c>
      <c r="CW98" s="8">
        <v>96.48</v>
      </c>
      <c r="CX98" s="8">
        <v>98.69</v>
      </c>
      <c r="CY98" s="8">
        <v>98.69</v>
      </c>
      <c r="CZ98" s="8">
        <v>95.05</v>
      </c>
      <c r="DA98" s="8">
        <v>98.91</v>
      </c>
      <c r="DB98" s="8">
        <v>101.09</v>
      </c>
      <c r="DC98" s="8">
        <v>93.7</v>
      </c>
      <c r="DD98" s="8">
        <v>95.85</v>
      </c>
      <c r="DE98" s="8">
        <v>91.48</v>
      </c>
      <c r="DF98" s="8">
        <v>97.1</v>
      </c>
      <c r="DG98" s="8">
        <v>100.71</v>
      </c>
      <c r="DH98" s="8">
        <v>95.87</v>
      </c>
      <c r="DI98" s="8">
        <v>105.43</v>
      </c>
      <c r="DJ98" s="8">
        <v>100.64</v>
      </c>
      <c r="DK98" s="8">
        <v>110.03</v>
      </c>
      <c r="DL98" s="8">
        <v>97.57</v>
      </c>
      <c r="DM98" s="8">
        <v>100.17</v>
      </c>
      <c r="DN98" s="8">
        <v>92.84</v>
      </c>
      <c r="DO98" s="8">
        <v>101.54</v>
      </c>
      <c r="DP98" s="8">
        <v>96.49</v>
      </c>
      <c r="DQ98" s="8">
        <v>96.44</v>
      </c>
      <c r="DR98" s="8">
        <v>99.91</v>
      </c>
      <c r="DS98" s="8">
        <v>94.78</v>
      </c>
      <c r="DT98" s="8">
        <v>94.78</v>
      </c>
      <c r="DU98" s="8">
        <v>93.6</v>
      </c>
      <c r="DV98" s="8">
        <v>93.97</v>
      </c>
      <c r="DW98" s="8">
        <v>96.6</v>
      </c>
      <c r="DX98" s="8">
        <v>98.25</v>
      </c>
      <c r="DY98" s="8">
        <v>98.65</v>
      </c>
      <c r="DZ98" s="8">
        <v>98.65</v>
      </c>
      <c r="EA98" s="8">
        <v>98.14</v>
      </c>
      <c r="EB98" s="8">
        <v>95.94</v>
      </c>
      <c r="EC98" s="8">
        <v>98.34</v>
      </c>
      <c r="ED98" s="8">
        <v>97.95</v>
      </c>
      <c r="EE98" s="8">
        <v>97.52</v>
      </c>
      <c r="EF98" s="8">
        <v>100.59</v>
      </c>
      <c r="EG98" s="8">
        <v>101.03</v>
      </c>
      <c r="EH98" s="8">
        <v>99.29</v>
      </c>
      <c r="EI98" s="8">
        <v>104.08</v>
      </c>
      <c r="EJ98" s="8">
        <v>102.03</v>
      </c>
      <c r="EK98" s="8">
        <v>97.25</v>
      </c>
      <c r="EL98" s="8">
        <v>92.98</v>
      </c>
      <c r="EM98" s="8">
        <v>99.24</v>
      </c>
      <c r="EN98" s="8">
        <v>88.85</v>
      </c>
      <c r="EO98" s="8">
        <v>99.9</v>
      </c>
      <c r="EP98" s="8">
        <v>101.52</v>
      </c>
      <c r="EQ98" s="8">
        <v>100.05</v>
      </c>
      <c r="ER98" s="8">
        <v>98.41</v>
      </c>
      <c r="ES98" s="8">
        <v>97.63</v>
      </c>
      <c r="ET98" s="8">
        <v>100.05</v>
      </c>
      <c r="EU98" s="8">
        <v>97.69</v>
      </c>
      <c r="EV98" s="8">
        <v>96.5</v>
      </c>
      <c r="EW98" s="8">
        <v>96.93</v>
      </c>
      <c r="EX98" s="8">
        <v>96.2</v>
      </c>
      <c r="EY98" s="8">
        <v>97.68</v>
      </c>
      <c r="EZ98" s="8">
        <v>93.97</v>
      </c>
      <c r="FA98" s="8">
        <v>97.64</v>
      </c>
      <c r="FB98" s="8">
        <v>98.92</v>
      </c>
      <c r="FC98" s="8">
        <v>99.77</v>
      </c>
      <c r="FD98" s="8">
        <v>95.2</v>
      </c>
      <c r="FE98" s="8">
        <v>102.23</v>
      </c>
      <c r="FF98" s="8">
        <v>95.5</v>
      </c>
      <c r="FG98" s="8">
        <v>89.25</v>
      </c>
      <c r="FH98" s="8">
        <v>97.77</v>
      </c>
      <c r="FI98" s="8">
        <v>97.36</v>
      </c>
      <c r="FJ98" s="8">
        <v>97.83</v>
      </c>
      <c r="FK98" s="8">
        <v>96.76</v>
      </c>
      <c r="FL98" s="8">
        <v>95.56</v>
      </c>
      <c r="FM98" s="8">
        <v>98.06</v>
      </c>
      <c r="FN98" s="8">
        <v>97.27</v>
      </c>
      <c r="FO98" s="8">
        <v>98.26</v>
      </c>
      <c r="FP98" s="8">
        <v>98.28</v>
      </c>
      <c r="FQ98" s="8">
        <v>90.16</v>
      </c>
      <c r="FR98" s="8">
        <v>90.16</v>
      </c>
      <c r="FS98" s="8">
        <v>94.85</v>
      </c>
      <c r="FT98" s="8">
        <v>98.33</v>
      </c>
      <c r="FU98" s="8">
        <v>99.29</v>
      </c>
      <c r="FV98" s="8">
        <v>98.86</v>
      </c>
      <c r="FW98" s="8">
        <v>95.07</v>
      </c>
      <c r="FX98" s="8">
        <v>93.71</v>
      </c>
      <c r="FY98" s="8">
        <v>99.58</v>
      </c>
      <c r="FZ98" s="8">
        <v>88.65</v>
      </c>
      <c r="GA98" s="8">
        <v>102.15</v>
      </c>
      <c r="GB98" s="8">
        <v>87.37</v>
      </c>
      <c r="GC98" s="8">
        <v>86.28</v>
      </c>
      <c r="GD98" s="8">
        <v>99.09</v>
      </c>
      <c r="GE98" s="8">
        <v>97.28</v>
      </c>
      <c r="GF98" s="8">
        <v>97.24</v>
      </c>
      <c r="GG98" s="8">
        <v>97.24</v>
      </c>
      <c r="GH98" s="8">
        <v>98.53</v>
      </c>
      <c r="GI98" s="8">
        <v>98.53</v>
      </c>
      <c r="GJ98" s="8">
        <v>96.1</v>
      </c>
      <c r="GK98" s="8">
        <v>98.09</v>
      </c>
      <c r="GL98" s="8">
        <v>93.74</v>
      </c>
      <c r="GM98" s="8">
        <v>96.17</v>
      </c>
      <c r="GN98" s="8">
        <v>96.98</v>
      </c>
      <c r="GO98" s="8">
        <v>99.35</v>
      </c>
      <c r="GP98" s="8">
        <v>92.84</v>
      </c>
      <c r="GQ98" s="8">
        <v>98.02</v>
      </c>
      <c r="GR98" s="8">
        <v>98</v>
      </c>
      <c r="GS98" s="8">
        <v>97.87</v>
      </c>
      <c r="GT98" s="8">
        <v>98.68</v>
      </c>
      <c r="GU98" s="8">
        <v>92.47</v>
      </c>
      <c r="GV98" s="8">
        <v>92.47</v>
      </c>
      <c r="GW98" s="8">
        <v>97.49</v>
      </c>
      <c r="GX98" s="8">
        <v>98.72</v>
      </c>
      <c r="GY98" s="8">
        <v>96.74</v>
      </c>
      <c r="GZ98" s="8">
        <v>95.77</v>
      </c>
      <c r="HA98" s="8">
        <v>99.01</v>
      </c>
      <c r="HB98" s="8">
        <v>99.64</v>
      </c>
      <c r="HC98" s="8">
        <v>100.32</v>
      </c>
      <c r="HD98" s="8">
        <v>97.93</v>
      </c>
      <c r="HE98" s="8">
        <v>100.83</v>
      </c>
      <c r="HF98" s="8">
        <v>97.83</v>
      </c>
      <c r="HG98" s="8">
        <v>92.82</v>
      </c>
      <c r="HH98" s="8">
        <v>98.18</v>
      </c>
      <c r="HI98" s="8">
        <v>101.62</v>
      </c>
      <c r="HJ98" s="8">
        <v>96.31</v>
      </c>
      <c r="HK98" s="8">
        <v>97.77</v>
      </c>
      <c r="HL98" s="8">
        <v>97.96</v>
      </c>
      <c r="HM98" s="8">
        <v>96.72</v>
      </c>
      <c r="HN98" s="8">
        <v>96</v>
      </c>
      <c r="HO98" s="8">
        <v>95.74</v>
      </c>
      <c r="HP98" s="8">
        <v>98.34</v>
      </c>
      <c r="HQ98" s="8">
        <v>99.63</v>
      </c>
      <c r="HR98" s="8">
        <v>99.72</v>
      </c>
      <c r="HS98" s="8">
        <v>100.65</v>
      </c>
      <c r="HT98" s="8">
        <v>101.79</v>
      </c>
      <c r="HU98" s="8">
        <v>100.86</v>
      </c>
      <c r="HV98" s="8">
        <v>97.31</v>
      </c>
      <c r="HW98" s="8">
        <v>97.49</v>
      </c>
      <c r="HX98" s="8">
        <v>96.98</v>
      </c>
      <c r="HY98" s="8">
        <v>96.98</v>
      </c>
      <c r="HZ98" s="8">
        <v>98.72</v>
      </c>
      <c r="IA98" s="8">
        <v>98.72</v>
      </c>
      <c r="IB98" s="8">
        <v>95.05</v>
      </c>
      <c r="IC98" s="8">
        <v>98.92</v>
      </c>
      <c r="ID98" s="8">
        <v>102.41</v>
      </c>
      <c r="IE98" s="8">
        <v>97.24</v>
      </c>
      <c r="IF98" s="8">
        <v>102.74</v>
      </c>
      <c r="IG98" s="8">
        <v>91.77</v>
      </c>
      <c r="IH98" s="8">
        <v>97.27</v>
      </c>
      <c r="II98" s="8">
        <v>98.62</v>
      </c>
      <c r="IJ98" s="8">
        <v>96.67</v>
      </c>
      <c r="IK98" s="8">
        <v>105.41</v>
      </c>
      <c r="IL98" s="8">
        <v>99.51</v>
      </c>
      <c r="IM98" s="8">
        <v>111.69</v>
      </c>
      <c r="IN98" s="8">
        <v>100.83</v>
      </c>
      <c r="IO98" s="8">
        <v>98.35</v>
      </c>
      <c r="IP98" s="8">
        <v>94.73</v>
      </c>
      <c r="IQ98" s="8">
        <v>101.49</v>
      </c>
    </row>
    <row r="99" spans="1:251" x14ac:dyDescent="0.2">
      <c r="A99" s="9">
        <v>45658</v>
      </c>
      <c r="B99" s="8">
        <v>97.76</v>
      </c>
      <c r="C99" s="8">
        <v>98.18</v>
      </c>
      <c r="D99" s="8">
        <v>101.16</v>
      </c>
      <c r="E99" s="8">
        <v>101.25</v>
      </c>
      <c r="F99" s="8">
        <v>100.85</v>
      </c>
      <c r="G99" s="8">
        <v>102.47</v>
      </c>
      <c r="H99" s="8">
        <v>101.31</v>
      </c>
      <c r="I99" s="8">
        <v>98.45</v>
      </c>
      <c r="J99" s="8">
        <v>95.23</v>
      </c>
      <c r="K99" s="8">
        <v>100.01</v>
      </c>
      <c r="L99" s="8">
        <v>90.49</v>
      </c>
      <c r="M99" s="8">
        <v>102.12</v>
      </c>
      <c r="N99" s="8">
        <v>101</v>
      </c>
      <c r="O99" s="8">
        <v>100.26</v>
      </c>
      <c r="P99" s="8">
        <v>98.21</v>
      </c>
      <c r="Q99" s="8">
        <v>97.56</v>
      </c>
      <c r="R99" s="8">
        <v>100.59</v>
      </c>
      <c r="S99" s="8">
        <v>96.59</v>
      </c>
      <c r="T99" s="8">
        <v>101.03</v>
      </c>
      <c r="U99" s="8">
        <v>102.36</v>
      </c>
      <c r="V99" s="8">
        <v>99.87</v>
      </c>
      <c r="W99" s="8">
        <v>98.87</v>
      </c>
      <c r="X99" s="8">
        <v>94.25</v>
      </c>
      <c r="Y99" s="8">
        <v>97.76</v>
      </c>
      <c r="Z99" s="8">
        <v>100.2</v>
      </c>
      <c r="AA99" s="8">
        <v>101.22</v>
      </c>
      <c r="AB99" s="8">
        <v>97.45</v>
      </c>
      <c r="AC99" s="8">
        <v>101.32</v>
      </c>
      <c r="AD99" s="8">
        <v>97.02</v>
      </c>
      <c r="AE99" s="8">
        <v>88.2</v>
      </c>
      <c r="AF99" s="8">
        <v>99.39</v>
      </c>
      <c r="AG99" s="8">
        <v>96.83</v>
      </c>
      <c r="AH99" s="8">
        <v>97.13</v>
      </c>
      <c r="AI99" s="8">
        <v>96.41</v>
      </c>
      <c r="AJ99" s="8">
        <v>97.14</v>
      </c>
      <c r="AK99" s="8">
        <v>98.75</v>
      </c>
      <c r="AL99" s="8">
        <v>98.41</v>
      </c>
      <c r="AM99" s="8">
        <v>99.25</v>
      </c>
      <c r="AN99" s="8">
        <v>98.41</v>
      </c>
      <c r="AO99" s="8">
        <v>92.95</v>
      </c>
      <c r="AP99" s="8">
        <v>92.95</v>
      </c>
      <c r="AQ99" s="8">
        <v>95.39</v>
      </c>
      <c r="AR99" s="8">
        <v>96.28</v>
      </c>
      <c r="AS99" s="8">
        <v>98.88</v>
      </c>
      <c r="AT99" s="8">
        <v>95.95</v>
      </c>
      <c r="AU99" s="8">
        <v>93.78</v>
      </c>
      <c r="AV99" s="8">
        <v>96.07</v>
      </c>
      <c r="AW99" s="8">
        <v>98.2</v>
      </c>
      <c r="AX99" s="8">
        <v>93.86</v>
      </c>
      <c r="AY99" s="8">
        <v>102.91</v>
      </c>
      <c r="AZ99" s="8">
        <v>93.21</v>
      </c>
      <c r="BA99" s="8">
        <v>93.08</v>
      </c>
      <c r="BB99" s="8">
        <v>94.64</v>
      </c>
      <c r="BC99" s="8">
        <v>96.58</v>
      </c>
      <c r="BD99" s="8">
        <v>97.8</v>
      </c>
      <c r="BE99" s="8">
        <v>97.8</v>
      </c>
      <c r="BF99" s="8">
        <v>98.03</v>
      </c>
      <c r="BG99" s="8">
        <v>98.03</v>
      </c>
      <c r="BH99" s="8">
        <v>97.04</v>
      </c>
      <c r="BI99" s="8">
        <v>98.32</v>
      </c>
      <c r="BJ99" s="8">
        <v>94.65</v>
      </c>
      <c r="BK99" s="8">
        <v>90.94</v>
      </c>
      <c r="BL99" s="8">
        <v>99.99</v>
      </c>
      <c r="BM99" s="8">
        <v>88.39</v>
      </c>
      <c r="BN99" s="8">
        <v>94.47</v>
      </c>
      <c r="BO99" s="8">
        <v>97.97</v>
      </c>
      <c r="BP99" s="8">
        <v>97.45</v>
      </c>
      <c r="BQ99" s="8">
        <v>97.85</v>
      </c>
      <c r="BR99" s="8">
        <v>95.89</v>
      </c>
      <c r="BS99" s="8">
        <v>94.7</v>
      </c>
      <c r="BT99" s="8">
        <v>94.7</v>
      </c>
      <c r="BU99" s="8">
        <v>100.2</v>
      </c>
      <c r="BV99" s="8">
        <v>97.71</v>
      </c>
      <c r="BW99" s="8">
        <v>101.17</v>
      </c>
      <c r="BX99" s="8">
        <v>100.63</v>
      </c>
      <c r="BY99" s="8">
        <v>101.8</v>
      </c>
      <c r="BZ99" s="8">
        <v>99.67</v>
      </c>
      <c r="CA99" s="8">
        <v>98.78</v>
      </c>
      <c r="CB99" s="8">
        <v>99.44</v>
      </c>
      <c r="CC99" s="8">
        <v>100</v>
      </c>
      <c r="CD99" s="8">
        <v>96.54</v>
      </c>
      <c r="CE99" s="8">
        <v>92.37</v>
      </c>
      <c r="CF99" s="8">
        <v>98.75</v>
      </c>
      <c r="CG99" s="8">
        <v>99.6</v>
      </c>
      <c r="CH99" s="8">
        <v>98.09</v>
      </c>
      <c r="CI99" s="8">
        <v>104.07</v>
      </c>
      <c r="CJ99" s="8">
        <v>104.97</v>
      </c>
      <c r="CK99" s="8">
        <v>97.81</v>
      </c>
      <c r="CL99" s="8">
        <v>97.1</v>
      </c>
      <c r="CM99" s="8">
        <v>97.15</v>
      </c>
      <c r="CN99" s="8">
        <v>96.69</v>
      </c>
      <c r="CO99" s="8">
        <v>98.89</v>
      </c>
      <c r="CP99" s="8">
        <v>99</v>
      </c>
      <c r="CQ99" s="8">
        <v>99.43</v>
      </c>
      <c r="CR99" s="8">
        <v>101.47</v>
      </c>
      <c r="CS99" s="8">
        <v>99.42</v>
      </c>
      <c r="CT99" s="8">
        <v>97.34</v>
      </c>
      <c r="CU99" s="8">
        <v>97.92</v>
      </c>
      <c r="CV99" s="8">
        <v>96.4</v>
      </c>
      <c r="CW99" s="8">
        <v>96.4</v>
      </c>
      <c r="CX99" s="8">
        <v>98.33</v>
      </c>
      <c r="CY99" s="8">
        <v>98.33</v>
      </c>
      <c r="CZ99" s="8">
        <v>95.03</v>
      </c>
      <c r="DA99" s="8">
        <v>98.54</v>
      </c>
      <c r="DB99" s="8">
        <v>99.55</v>
      </c>
      <c r="DC99" s="8">
        <v>94.01</v>
      </c>
      <c r="DD99" s="8">
        <v>96.48</v>
      </c>
      <c r="DE99" s="8">
        <v>91.47</v>
      </c>
      <c r="DF99" s="8">
        <v>96.82</v>
      </c>
      <c r="DG99" s="8">
        <v>104.59</v>
      </c>
      <c r="DH99" s="8">
        <v>94.16</v>
      </c>
      <c r="DI99" s="8">
        <v>101.43</v>
      </c>
      <c r="DJ99" s="8">
        <v>107.58</v>
      </c>
      <c r="DK99" s="8">
        <v>95.51</v>
      </c>
      <c r="DL99" s="8">
        <v>99.4</v>
      </c>
      <c r="DM99" s="8">
        <v>100.78</v>
      </c>
      <c r="DN99" s="8">
        <v>101.54</v>
      </c>
      <c r="DO99" s="8">
        <v>102.77</v>
      </c>
      <c r="DP99" s="8">
        <v>96.49</v>
      </c>
      <c r="DQ99" s="8">
        <v>96.71</v>
      </c>
      <c r="DR99" s="8">
        <v>100.37</v>
      </c>
      <c r="DS99" s="8">
        <v>94.8</v>
      </c>
      <c r="DT99" s="8">
        <v>94.8</v>
      </c>
      <c r="DU99" s="8">
        <v>93.67</v>
      </c>
      <c r="DV99" s="8">
        <v>93.97</v>
      </c>
      <c r="DW99" s="8">
        <v>96.6</v>
      </c>
      <c r="DX99" s="8">
        <v>98.85</v>
      </c>
      <c r="DY99" s="8">
        <v>101.45</v>
      </c>
      <c r="DZ99" s="8">
        <v>101.45</v>
      </c>
      <c r="EA99" s="8">
        <v>98.14</v>
      </c>
      <c r="EB99" s="8">
        <v>95.99</v>
      </c>
      <c r="EC99" s="8">
        <v>98.34</v>
      </c>
      <c r="ED99" s="8">
        <v>98.25</v>
      </c>
      <c r="EE99" s="8">
        <v>98.32</v>
      </c>
      <c r="EF99" s="8">
        <v>101.04</v>
      </c>
      <c r="EG99" s="8">
        <v>101.14</v>
      </c>
      <c r="EH99" s="8">
        <v>100.87</v>
      </c>
      <c r="EI99" s="8">
        <v>101.8</v>
      </c>
      <c r="EJ99" s="8">
        <v>100.92</v>
      </c>
      <c r="EK99" s="8">
        <v>98.04</v>
      </c>
      <c r="EL99" s="8">
        <v>94.36</v>
      </c>
      <c r="EM99" s="8">
        <v>100.27</v>
      </c>
      <c r="EN99" s="8">
        <v>89.65</v>
      </c>
      <c r="EO99" s="8">
        <v>102</v>
      </c>
      <c r="EP99" s="8">
        <v>100.94</v>
      </c>
      <c r="EQ99" s="8">
        <v>99.79</v>
      </c>
      <c r="ER99" s="8">
        <v>98.16</v>
      </c>
      <c r="ES99" s="8">
        <v>97.1</v>
      </c>
      <c r="ET99" s="8">
        <v>100.64</v>
      </c>
      <c r="EU99" s="8">
        <v>96.92</v>
      </c>
      <c r="EV99" s="8">
        <v>100</v>
      </c>
      <c r="EW99" s="8">
        <v>100.13</v>
      </c>
      <c r="EX99" s="8">
        <v>99.92</v>
      </c>
      <c r="EY99" s="8">
        <v>98.84</v>
      </c>
      <c r="EZ99" s="8">
        <v>94.5</v>
      </c>
      <c r="FA99" s="8">
        <v>97.58</v>
      </c>
      <c r="FB99" s="8">
        <v>100.16</v>
      </c>
      <c r="FC99" s="8">
        <v>101.12</v>
      </c>
      <c r="FD99" s="8">
        <v>97.49</v>
      </c>
      <c r="FE99" s="8">
        <v>101.26</v>
      </c>
      <c r="FF99" s="8">
        <v>96.51</v>
      </c>
      <c r="FG99" s="8">
        <v>88.29</v>
      </c>
      <c r="FH99" s="8">
        <v>99.49</v>
      </c>
      <c r="FI99" s="8">
        <v>97.52</v>
      </c>
      <c r="FJ99" s="8">
        <v>98.01</v>
      </c>
      <c r="FK99" s="8">
        <v>96.89</v>
      </c>
      <c r="FL99" s="8">
        <v>96.43</v>
      </c>
      <c r="FM99" s="8">
        <v>99.13</v>
      </c>
      <c r="FN99" s="8">
        <v>97.3</v>
      </c>
      <c r="FO99" s="8">
        <v>100.7</v>
      </c>
      <c r="FP99" s="8">
        <v>98.78</v>
      </c>
      <c r="FQ99" s="8">
        <v>90.58</v>
      </c>
      <c r="FR99" s="8">
        <v>90.58</v>
      </c>
      <c r="FS99" s="8">
        <v>95.46</v>
      </c>
      <c r="FT99" s="8">
        <v>96.54</v>
      </c>
      <c r="FU99" s="8">
        <v>98.63</v>
      </c>
      <c r="FV99" s="8">
        <v>96.52</v>
      </c>
      <c r="FW99" s="8">
        <v>92.86</v>
      </c>
      <c r="FX99" s="8">
        <v>95.59</v>
      </c>
      <c r="FY99" s="8">
        <v>101.93</v>
      </c>
      <c r="FZ99" s="8">
        <v>89.46</v>
      </c>
      <c r="GA99" s="8">
        <v>107.98</v>
      </c>
      <c r="GB99" s="8">
        <v>92.87</v>
      </c>
      <c r="GC99" s="8">
        <v>92.39</v>
      </c>
      <c r="GD99" s="8">
        <v>98.05</v>
      </c>
      <c r="GE99" s="8">
        <v>98.11</v>
      </c>
      <c r="GF99" s="8">
        <v>97.62</v>
      </c>
      <c r="GG99" s="8">
        <v>97.62</v>
      </c>
      <c r="GH99" s="8">
        <v>98.46</v>
      </c>
      <c r="GI99" s="8">
        <v>98.46</v>
      </c>
      <c r="GJ99" s="8">
        <v>96.32</v>
      </c>
      <c r="GK99" s="8">
        <v>98.5</v>
      </c>
      <c r="GL99" s="8">
        <v>93.74</v>
      </c>
      <c r="GM99" s="8">
        <v>99.62</v>
      </c>
      <c r="GN99" s="8">
        <v>96.98</v>
      </c>
      <c r="GO99" s="8">
        <v>108.1</v>
      </c>
      <c r="GP99" s="8">
        <v>92.84</v>
      </c>
      <c r="GQ99" s="8">
        <v>98.44</v>
      </c>
      <c r="GR99" s="8">
        <v>97.3</v>
      </c>
      <c r="GS99" s="8">
        <v>97.02</v>
      </c>
      <c r="GT99" s="8">
        <v>98.75</v>
      </c>
      <c r="GU99" s="8">
        <v>96.48</v>
      </c>
      <c r="GV99" s="8">
        <v>96.48</v>
      </c>
      <c r="GW99" s="8">
        <v>98.72</v>
      </c>
      <c r="GX99" s="8">
        <v>98.56</v>
      </c>
      <c r="GY99" s="8">
        <v>99.08</v>
      </c>
      <c r="GZ99" s="8">
        <v>99.4</v>
      </c>
      <c r="HA99" s="8">
        <v>97.74</v>
      </c>
      <c r="HB99" s="8">
        <v>100</v>
      </c>
      <c r="HC99" s="8">
        <v>98.73</v>
      </c>
      <c r="HD99" s="8">
        <v>99.74</v>
      </c>
      <c r="HE99" s="8">
        <v>100.41</v>
      </c>
      <c r="HF99" s="8">
        <v>97.89</v>
      </c>
      <c r="HG99" s="8">
        <v>92.45</v>
      </c>
      <c r="HH99" s="8">
        <v>98.53</v>
      </c>
      <c r="HI99" s="8">
        <v>101.66</v>
      </c>
      <c r="HJ99" s="8">
        <v>99.46</v>
      </c>
      <c r="HK99" s="8">
        <v>102.46</v>
      </c>
      <c r="HL99" s="8">
        <v>103.17</v>
      </c>
      <c r="HM99" s="8">
        <v>98.4</v>
      </c>
      <c r="HN99" s="8">
        <v>98.82</v>
      </c>
      <c r="HO99" s="8">
        <v>98.88</v>
      </c>
      <c r="HP99" s="8">
        <v>98.31</v>
      </c>
      <c r="HQ99" s="8">
        <v>99.48</v>
      </c>
      <c r="HR99" s="8">
        <v>99.47</v>
      </c>
      <c r="HS99" s="8">
        <v>100.84</v>
      </c>
      <c r="HT99" s="8">
        <v>101.1</v>
      </c>
      <c r="HU99" s="8">
        <v>99.78</v>
      </c>
      <c r="HV99" s="8">
        <v>97.53</v>
      </c>
      <c r="HW99" s="8">
        <v>97.53</v>
      </c>
      <c r="HX99" s="8">
        <v>99.95</v>
      </c>
      <c r="HY99" s="8">
        <v>99.95</v>
      </c>
      <c r="HZ99" s="8">
        <v>98.37</v>
      </c>
      <c r="IA99" s="8">
        <v>98.37</v>
      </c>
      <c r="IB99" s="8">
        <v>95.03</v>
      </c>
      <c r="IC99" s="8">
        <v>98.54</v>
      </c>
      <c r="ID99" s="8">
        <v>99.86</v>
      </c>
      <c r="IE99" s="8">
        <v>96.22</v>
      </c>
      <c r="IF99" s="8">
        <v>100.73</v>
      </c>
      <c r="IG99" s="8">
        <v>91.75</v>
      </c>
      <c r="IH99" s="8">
        <v>96.82</v>
      </c>
      <c r="II99" s="8">
        <v>101.89</v>
      </c>
      <c r="IJ99" s="8">
        <v>94.59</v>
      </c>
      <c r="IK99" s="8">
        <v>100.66</v>
      </c>
      <c r="IL99" s="8">
        <v>108.13</v>
      </c>
      <c r="IM99" s="8">
        <v>92.69</v>
      </c>
      <c r="IN99" s="8">
        <v>100.73</v>
      </c>
      <c r="IO99" s="8">
        <v>96.8</v>
      </c>
      <c r="IP99" s="8">
        <v>102.32</v>
      </c>
      <c r="IQ99" s="8">
        <v>102.64</v>
      </c>
    </row>
    <row r="100" spans="1:251" x14ac:dyDescent="0.2">
      <c r="A100" s="9">
        <v>45689</v>
      </c>
      <c r="B100" s="8">
        <v>97.69</v>
      </c>
      <c r="C100" s="8">
        <v>98.07</v>
      </c>
      <c r="D100" s="8">
        <v>99.76</v>
      </c>
      <c r="E100" s="8">
        <v>100.96</v>
      </c>
      <c r="F100" s="8">
        <v>98.58</v>
      </c>
      <c r="G100" s="8">
        <v>99.94</v>
      </c>
      <c r="H100" s="8">
        <v>99.96</v>
      </c>
      <c r="I100" s="8">
        <v>98.55</v>
      </c>
      <c r="J100" s="8">
        <v>94.07</v>
      </c>
      <c r="K100" s="8">
        <v>100.25</v>
      </c>
      <c r="L100" s="8">
        <v>91.97</v>
      </c>
      <c r="M100" s="8">
        <v>101.92</v>
      </c>
      <c r="N100" s="8">
        <v>102.01</v>
      </c>
      <c r="O100" s="8">
        <v>100.05</v>
      </c>
      <c r="P100" s="8">
        <v>97.32</v>
      </c>
      <c r="Q100" s="8">
        <v>96.77</v>
      </c>
      <c r="R100" s="8">
        <v>100.19</v>
      </c>
      <c r="S100" s="8">
        <v>95.11</v>
      </c>
      <c r="T100" s="8">
        <v>100.12</v>
      </c>
      <c r="U100" s="8">
        <v>100.58</v>
      </c>
      <c r="V100" s="8">
        <v>99.72</v>
      </c>
      <c r="W100" s="8">
        <v>97.59</v>
      </c>
      <c r="X100" s="8">
        <v>94.27</v>
      </c>
      <c r="Y100" s="8">
        <v>97.14</v>
      </c>
      <c r="Z100" s="8">
        <v>99.73</v>
      </c>
      <c r="AA100" s="8">
        <v>101.15</v>
      </c>
      <c r="AB100" s="8">
        <v>94.96</v>
      </c>
      <c r="AC100" s="8">
        <v>100.83</v>
      </c>
      <c r="AD100" s="8">
        <v>99.32</v>
      </c>
      <c r="AE100" s="8">
        <v>89.82</v>
      </c>
      <c r="AF100" s="8">
        <v>101.87</v>
      </c>
      <c r="AG100" s="8">
        <v>97.16</v>
      </c>
      <c r="AH100" s="8">
        <v>97.3</v>
      </c>
      <c r="AI100" s="8">
        <v>96.97</v>
      </c>
      <c r="AJ100" s="8">
        <v>98.37</v>
      </c>
      <c r="AK100" s="8">
        <v>100.15</v>
      </c>
      <c r="AL100" s="8">
        <v>100.99</v>
      </c>
      <c r="AM100" s="8">
        <v>99.52</v>
      </c>
      <c r="AN100" s="8">
        <v>100.42</v>
      </c>
      <c r="AO100" s="8">
        <v>93.72</v>
      </c>
      <c r="AP100" s="8">
        <v>93.72</v>
      </c>
      <c r="AQ100" s="8">
        <v>97.71</v>
      </c>
      <c r="AR100" s="8">
        <v>100.04</v>
      </c>
      <c r="AS100" s="8">
        <v>101.57</v>
      </c>
      <c r="AT100" s="8">
        <v>100.86</v>
      </c>
      <c r="AU100" s="8">
        <v>94.77</v>
      </c>
      <c r="AV100" s="8">
        <v>100.44</v>
      </c>
      <c r="AW100" s="8">
        <v>105.77</v>
      </c>
      <c r="AX100" s="8">
        <v>97.82</v>
      </c>
      <c r="AY100" s="8">
        <v>105.28</v>
      </c>
      <c r="AZ100" s="8">
        <v>91.53</v>
      </c>
      <c r="BA100" s="8">
        <v>91.27</v>
      </c>
      <c r="BB100" s="8">
        <v>94.44</v>
      </c>
      <c r="BC100" s="8">
        <v>96.67</v>
      </c>
      <c r="BD100" s="8">
        <v>98.13</v>
      </c>
      <c r="BE100" s="8">
        <v>98.13</v>
      </c>
      <c r="BF100" s="8">
        <v>97.99</v>
      </c>
      <c r="BG100" s="8">
        <v>97.99</v>
      </c>
      <c r="BH100" s="8">
        <v>96.89</v>
      </c>
      <c r="BI100" s="8">
        <v>98.09</v>
      </c>
      <c r="BJ100" s="8">
        <v>94.65</v>
      </c>
      <c r="BK100" s="8">
        <v>91.05</v>
      </c>
      <c r="BL100" s="8">
        <v>99.99</v>
      </c>
      <c r="BM100" s="8">
        <v>88.53</v>
      </c>
      <c r="BN100" s="8">
        <v>94.47</v>
      </c>
      <c r="BO100" s="8">
        <v>99.19</v>
      </c>
      <c r="BP100" s="8">
        <v>103.54</v>
      </c>
      <c r="BQ100" s="8">
        <v>104.61</v>
      </c>
      <c r="BR100" s="8">
        <v>99.29</v>
      </c>
      <c r="BS100" s="8">
        <v>99.32</v>
      </c>
      <c r="BT100" s="8">
        <v>99.32</v>
      </c>
      <c r="BU100" s="8">
        <v>99.79</v>
      </c>
      <c r="BV100" s="8">
        <v>97.62</v>
      </c>
      <c r="BW100" s="8">
        <v>101.81</v>
      </c>
      <c r="BX100" s="8">
        <v>100.18</v>
      </c>
      <c r="BY100" s="8">
        <v>100.54</v>
      </c>
      <c r="BZ100" s="8">
        <v>99.45</v>
      </c>
      <c r="CA100" s="8">
        <v>99.14</v>
      </c>
      <c r="CB100" s="8">
        <v>99.19</v>
      </c>
      <c r="CC100" s="8">
        <v>99.7</v>
      </c>
      <c r="CD100" s="8">
        <v>96.65</v>
      </c>
      <c r="CE100" s="8">
        <v>93.09</v>
      </c>
      <c r="CF100" s="8">
        <v>98.8</v>
      </c>
      <c r="CG100" s="8">
        <v>98.86</v>
      </c>
      <c r="CH100" s="8">
        <v>97.99</v>
      </c>
      <c r="CI100" s="8">
        <v>104.11</v>
      </c>
      <c r="CJ100" s="8">
        <v>105.34</v>
      </c>
      <c r="CK100" s="8">
        <v>95.56</v>
      </c>
      <c r="CL100" s="8">
        <v>96.98</v>
      </c>
      <c r="CM100" s="8">
        <v>97.02</v>
      </c>
      <c r="CN100" s="8">
        <v>96.7</v>
      </c>
      <c r="CO100" s="8">
        <v>99.35</v>
      </c>
      <c r="CP100" s="8">
        <v>99.49</v>
      </c>
      <c r="CQ100" s="8">
        <v>100</v>
      </c>
      <c r="CR100" s="8">
        <v>101.8</v>
      </c>
      <c r="CS100" s="8">
        <v>100.32</v>
      </c>
      <c r="CT100" s="8">
        <v>97.34</v>
      </c>
      <c r="CU100" s="8">
        <v>97.98</v>
      </c>
      <c r="CV100" s="8">
        <v>96.4</v>
      </c>
      <c r="CW100" s="8">
        <v>96.4</v>
      </c>
      <c r="CX100" s="8">
        <v>99.07</v>
      </c>
      <c r="CY100" s="8">
        <v>99.07</v>
      </c>
      <c r="CZ100" s="8">
        <v>96.36</v>
      </c>
      <c r="DA100" s="8">
        <v>99.23</v>
      </c>
      <c r="DB100" s="8">
        <v>94.64</v>
      </c>
      <c r="DC100" s="8">
        <v>94.97</v>
      </c>
      <c r="DD100" s="8">
        <v>97.74</v>
      </c>
      <c r="DE100" s="8">
        <v>92.13</v>
      </c>
      <c r="DF100" s="8">
        <v>97.96</v>
      </c>
      <c r="DG100" s="8">
        <v>103.17</v>
      </c>
      <c r="DH100" s="8">
        <v>96.18</v>
      </c>
      <c r="DI100" s="8">
        <v>91.59</v>
      </c>
      <c r="DJ100" s="8">
        <v>94.28</v>
      </c>
      <c r="DK100" s="8">
        <v>89</v>
      </c>
      <c r="DL100" s="8">
        <v>99.61</v>
      </c>
      <c r="DM100" s="8">
        <v>100.84</v>
      </c>
      <c r="DN100" s="8">
        <v>100.65</v>
      </c>
      <c r="DO100" s="8">
        <v>100.91</v>
      </c>
      <c r="DP100" s="8">
        <v>97.56</v>
      </c>
      <c r="DQ100" s="8">
        <v>97.64</v>
      </c>
      <c r="DR100" s="8">
        <v>101.01</v>
      </c>
      <c r="DS100" s="8">
        <v>99.57</v>
      </c>
      <c r="DT100" s="8">
        <v>99.57</v>
      </c>
      <c r="DU100" s="8">
        <v>98.77</v>
      </c>
      <c r="DV100" s="8">
        <v>100</v>
      </c>
      <c r="DW100" s="8">
        <v>99.56</v>
      </c>
      <c r="DX100" s="8">
        <v>98.85</v>
      </c>
      <c r="DY100" s="8">
        <v>101.36</v>
      </c>
      <c r="DZ100" s="8">
        <v>101.36</v>
      </c>
      <c r="EA100" s="8">
        <v>98.17</v>
      </c>
      <c r="EB100" s="8">
        <v>96.32</v>
      </c>
      <c r="EC100" s="8">
        <v>98.34</v>
      </c>
      <c r="ED100" s="8">
        <v>98.1</v>
      </c>
      <c r="EE100" s="8">
        <v>98.16</v>
      </c>
      <c r="EF100" s="8">
        <v>99.82</v>
      </c>
      <c r="EG100" s="8">
        <v>100.97</v>
      </c>
      <c r="EH100" s="8">
        <v>98.73</v>
      </c>
      <c r="EI100" s="8">
        <v>100.16</v>
      </c>
      <c r="EJ100" s="8">
        <v>100</v>
      </c>
      <c r="EK100" s="8">
        <v>98.22</v>
      </c>
      <c r="EL100" s="8">
        <v>93.68</v>
      </c>
      <c r="EM100" s="8">
        <v>100.49</v>
      </c>
      <c r="EN100" s="8">
        <v>90.21</v>
      </c>
      <c r="EO100" s="8">
        <v>101.98</v>
      </c>
      <c r="EP100" s="8">
        <v>102.24</v>
      </c>
      <c r="EQ100" s="8">
        <v>99.8</v>
      </c>
      <c r="ER100" s="8">
        <v>97.5</v>
      </c>
      <c r="ES100" s="8">
        <v>96.74</v>
      </c>
      <c r="ET100" s="8">
        <v>100.25</v>
      </c>
      <c r="EU100" s="8">
        <v>95.57</v>
      </c>
      <c r="EV100" s="8">
        <v>99.61</v>
      </c>
      <c r="EW100" s="8">
        <v>99.2</v>
      </c>
      <c r="EX100" s="8">
        <v>99.9</v>
      </c>
      <c r="EY100" s="8">
        <v>97.49</v>
      </c>
      <c r="EZ100" s="8">
        <v>94.63</v>
      </c>
      <c r="FA100" s="8">
        <v>97.22</v>
      </c>
      <c r="FB100" s="8">
        <v>99.66</v>
      </c>
      <c r="FC100" s="8">
        <v>101.09</v>
      </c>
      <c r="FD100" s="8">
        <v>94.82</v>
      </c>
      <c r="FE100" s="8">
        <v>100.68</v>
      </c>
      <c r="FF100" s="8">
        <v>98.38</v>
      </c>
      <c r="FG100" s="8">
        <v>89.85</v>
      </c>
      <c r="FH100" s="8">
        <v>101.47</v>
      </c>
      <c r="FI100" s="8">
        <v>97.67</v>
      </c>
      <c r="FJ100" s="8">
        <v>98.08</v>
      </c>
      <c r="FK100" s="8">
        <v>97.14</v>
      </c>
      <c r="FL100" s="8">
        <v>96.37</v>
      </c>
      <c r="FM100" s="8">
        <v>98.78</v>
      </c>
      <c r="FN100" s="8">
        <v>99.35</v>
      </c>
      <c r="FO100" s="8">
        <v>96.82</v>
      </c>
      <c r="FP100" s="8">
        <v>100.08</v>
      </c>
      <c r="FQ100" s="8">
        <v>91.16</v>
      </c>
      <c r="FR100" s="8">
        <v>91.16</v>
      </c>
      <c r="FS100" s="8">
        <v>98.11</v>
      </c>
      <c r="FT100" s="8">
        <v>99.9</v>
      </c>
      <c r="FU100" s="8">
        <v>100.36</v>
      </c>
      <c r="FV100" s="8">
        <v>102.04</v>
      </c>
      <c r="FW100" s="8">
        <v>92.81</v>
      </c>
      <c r="FX100" s="8">
        <v>101.34</v>
      </c>
      <c r="FY100" s="8">
        <v>107.17</v>
      </c>
      <c r="FZ100" s="8">
        <v>96.01</v>
      </c>
      <c r="GA100" s="8">
        <v>111.19</v>
      </c>
      <c r="GB100" s="8">
        <v>92.11</v>
      </c>
      <c r="GC100" s="8">
        <v>91.48</v>
      </c>
      <c r="GD100" s="8">
        <v>98.86</v>
      </c>
      <c r="GE100" s="8">
        <v>97.37</v>
      </c>
      <c r="GF100" s="8">
        <v>98.07</v>
      </c>
      <c r="GG100" s="8">
        <v>98.07</v>
      </c>
      <c r="GH100" s="8">
        <v>98.15</v>
      </c>
      <c r="GI100" s="8">
        <v>98.15</v>
      </c>
      <c r="GJ100" s="8">
        <v>96.27</v>
      </c>
      <c r="GK100" s="8">
        <v>98.41</v>
      </c>
      <c r="GL100" s="8">
        <v>93.74</v>
      </c>
      <c r="GM100" s="8">
        <v>96.02</v>
      </c>
      <c r="GN100" s="8">
        <v>96.98</v>
      </c>
      <c r="GO100" s="8">
        <v>98.67</v>
      </c>
      <c r="GP100" s="8">
        <v>93.1</v>
      </c>
      <c r="GQ100" s="8">
        <v>98.94</v>
      </c>
      <c r="GR100" s="8">
        <v>99.82</v>
      </c>
      <c r="GS100" s="8">
        <v>100.14</v>
      </c>
      <c r="GT100" s="8">
        <v>98.16</v>
      </c>
      <c r="GU100" s="8">
        <v>101.78</v>
      </c>
      <c r="GV100" s="8">
        <v>101.78</v>
      </c>
      <c r="GW100" s="8">
        <v>98.55</v>
      </c>
      <c r="GX100" s="8">
        <v>99.33</v>
      </c>
      <c r="GY100" s="8">
        <v>100.88</v>
      </c>
      <c r="GZ100" s="8">
        <v>98.33</v>
      </c>
      <c r="HA100" s="8">
        <v>95.75</v>
      </c>
      <c r="HB100" s="8">
        <v>99.7</v>
      </c>
      <c r="HC100" s="8">
        <v>98.96</v>
      </c>
      <c r="HD100" s="8">
        <v>99.14</v>
      </c>
      <c r="HE100" s="8">
        <v>100.25</v>
      </c>
      <c r="HF100" s="8">
        <v>97.33</v>
      </c>
      <c r="HG100" s="8">
        <v>91.91</v>
      </c>
      <c r="HH100" s="8">
        <v>98</v>
      </c>
      <c r="HI100" s="8">
        <v>101.06</v>
      </c>
      <c r="HJ100" s="8">
        <v>99.49</v>
      </c>
      <c r="HK100" s="8">
        <v>103.4</v>
      </c>
      <c r="HL100" s="8">
        <v>104.24</v>
      </c>
      <c r="HM100" s="8">
        <v>98.59</v>
      </c>
      <c r="HN100" s="8">
        <v>98.66</v>
      </c>
      <c r="HO100" s="8">
        <v>98.65</v>
      </c>
      <c r="HP100" s="8">
        <v>98.77</v>
      </c>
      <c r="HQ100" s="8">
        <v>99.95</v>
      </c>
      <c r="HR100" s="8">
        <v>99.95</v>
      </c>
      <c r="HS100" s="8">
        <v>100.65</v>
      </c>
      <c r="HT100" s="8">
        <v>102.55</v>
      </c>
      <c r="HU100" s="8">
        <v>100.89</v>
      </c>
      <c r="HV100" s="8">
        <v>98.17</v>
      </c>
      <c r="HW100" s="8">
        <v>97.47</v>
      </c>
      <c r="HX100" s="8">
        <v>99.95</v>
      </c>
      <c r="HY100" s="8">
        <v>99.95</v>
      </c>
      <c r="HZ100" s="8">
        <v>99.09</v>
      </c>
      <c r="IA100" s="8">
        <v>99.09</v>
      </c>
      <c r="IB100" s="8">
        <v>96.36</v>
      </c>
      <c r="IC100" s="8">
        <v>99.24</v>
      </c>
      <c r="ID100" s="8">
        <v>96.38</v>
      </c>
      <c r="IE100" s="8">
        <v>96.72</v>
      </c>
      <c r="IF100" s="8">
        <v>101.26</v>
      </c>
      <c r="IG100" s="8">
        <v>92.21</v>
      </c>
      <c r="IH100" s="8">
        <v>98.8</v>
      </c>
      <c r="II100" s="8">
        <v>102.25</v>
      </c>
      <c r="IJ100" s="8">
        <v>97.27</v>
      </c>
      <c r="IK100" s="8">
        <v>92.34</v>
      </c>
      <c r="IL100" s="8">
        <v>95.7</v>
      </c>
      <c r="IM100" s="8">
        <v>88.75</v>
      </c>
      <c r="IN100" s="8">
        <v>102.26</v>
      </c>
      <c r="IO100" s="8">
        <v>99.14</v>
      </c>
      <c r="IP100" s="8">
        <v>101.44</v>
      </c>
      <c r="IQ100" s="8">
        <v>100.98</v>
      </c>
    </row>
    <row r="101" spans="1:251" x14ac:dyDescent="0.2">
      <c r="A101" s="9">
        <v>45717</v>
      </c>
      <c r="B101" s="8">
        <v>98.09</v>
      </c>
      <c r="C101" s="8">
        <v>98.72</v>
      </c>
      <c r="D101" s="8">
        <v>100.57</v>
      </c>
      <c r="E101" s="8">
        <v>101.1</v>
      </c>
      <c r="F101" s="8">
        <v>99.87</v>
      </c>
      <c r="G101" s="8">
        <v>101.09</v>
      </c>
      <c r="H101" s="8">
        <v>101.04</v>
      </c>
      <c r="I101" s="8">
        <v>98.61</v>
      </c>
      <c r="J101" s="8">
        <v>95.99</v>
      </c>
      <c r="K101" s="8">
        <v>100.98</v>
      </c>
      <c r="L101" s="8">
        <v>90.6</v>
      </c>
      <c r="M101" s="8">
        <v>101.57</v>
      </c>
      <c r="N101" s="8">
        <v>102.19</v>
      </c>
      <c r="O101" s="8">
        <v>99.05</v>
      </c>
      <c r="P101" s="8">
        <v>98.43</v>
      </c>
      <c r="Q101" s="8">
        <v>97.01</v>
      </c>
      <c r="R101" s="8">
        <v>101.02</v>
      </c>
      <c r="S101" s="8">
        <v>97.49</v>
      </c>
      <c r="T101" s="8">
        <v>102.78</v>
      </c>
      <c r="U101" s="8">
        <v>102.87</v>
      </c>
      <c r="V101" s="8">
        <v>102.69</v>
      </c>
      <c r="W101" s="8">
        <v>97.75</v>
      </c>
      <c r="X101" s="8">
        <v>95.4</v>
      </c>
      <c r="Y101" s="8">
        <v>97.87</v>
      </c>
      <c r="Z101" s="8">
        <v>99.65</v>
      </c>
      <c r="AA101" s="8">
        <v>99.22</v>
      </c>
      <c r="AB101" s="8">
        <v>95.7</v>
      </c>
      <c r="AC101" s="8">
        <v>100.55</v>
      </c>
      <c r="AD101" s="8">
        <v>100.04</v>
      </c>
      <c r="AE101" s="8">
        <v>90</v>
      </c>
      <c r="AF101" s="8">
        <v>102.73</v>
      </c>
      <c r="AG101" s="8">
        <v>97.49</v>
      </c>
      <c r="AH101" s="8">
        <v>97.55</v>
      </c>
      <c r="AI101" s="8">
        <v>97.39</v>
      </c>
      <c r="AJ101" s="8">
        <v>99.14</v>
      </c>
      <c r="AK101" s="8">
        <v>100.78</v>
      </c>
      <c r="AL101" s="8">
        <v>100.91</v>
      </c>
      <c r="AM101" s="8">
        <v>101.63</v>
      </c>
      <c r="AN101" s="8">
        <v>99.93</v>
      </c>
      <c r="AO101" s="8">
        <v>94.88</v>
      </c>
      <c r="AP101" s="8">
        <v>94.88</v>
      </c>
      <c r="AQ101" s="8">
        <v>94.42</v>
      </c>
      <c r="AR101" s="8">
        <v>96.86</v>
      </c>
      <c r="AS101" s="8">
        <v>98.86</v>
      </c>
      <c r="AT101" s="8">
        <v>96.73</v>
      </c>
      <c r="AU101" s="8">
        <v>94.5</v>
      </c>
      <c r="AV101" s="8">
        <v>97.87</v>
      </c>
      <c r="AW101" s="8">
        <v>100.55</v>
      </c>
      <c r="AX101" s="8">
        <v>94.97</v>
      </c>
      <c r="AY101" s="8">
        <v>107.01</v>
      </c>
      <c r="AZ101" s="8">
        <v>87.66</v>
      </c>
      <c r="BA101" s="8">
        <v>86.96</v>
      </c>
      <c r="BB101" s="8">
        <v>95.45</v>
      </c>
      <c r="BC101" s="8">
        <v>97.32</v>
      </c>
      <c r="BD101" s="8">
        <v>98.36</v>
      </c>
      <c r="BE101" s="8">
        <v>98.36</v>
      </c>
      <c r="BF101" s="8">
        <v>98.54</v>
      </c>
      <c r="BG101" s="8">
        <v>98.54</v>
      </c>
      <c r="BH101" s="8">
        <v>97.19</v>
      </c>
      <c r="BI101" s="8">
        <v>98.55</v>
      </c>
      <c r="BJ101" s="8">
        <v>94.65</v>
      </c>
      <c r="BK101" s="8">
        <v>93.01</v>
      </c>
      <c r="BL101" s="8">
        <v>99.99</v>
      </c>
      <c r="BM101" s="8">
        <v>91.28</v>
      </c>
      <c r="BN101" s="8">
        <v>94.47</v>
      </c>
      <c r="BO101" s="8">
        <v>98.97</v>
      </c>
      <c r="BP101" s="8">
        <v>102.31</v>
      </c>
      <c r="BQ101" s="8">
        <v>103.14</v>
      </c>
      <c r="BR101" s="8">
        <v>99</v>
      </c>
      <c r="BS101" s="8">
        <v>102.15</v>
      </c>
      <c r="BT101" s="8">
        <v>102.15</v>
      </c>
      <c r="BU101" s="8">
        <v>98.36</v>
      </c>
      <c r="BV101" s="8">
        <v>97.15</v>
      </c>
      <c r="BW101" s="8">
        <v>100.4</v>
      </c>
      <c r="BX101" s="8">
        <v>95.76</v>
      </c>
      <c r="BY101" s="8">
        <v>100.8</v>
      </c>
      <c r="BZ101" s="8">
        <v>99.53</v>
      </c>
      <c r="CA101" s="8">
        <v>99.34</v>
      </c>
      <c r="CB101" s="8">
        <v>98.93</v>
      </c>
      <c r="CC101" s="8">
        <v>99.99</v>
      </c>
      <c r="CD101" s="8">
        <v>96.76</v>
      </c>
      <c r="CE101" s="8">
        <v>93.22</v>
      </c>
      <c r="CF101" s="8">
        <v>98.96</v>
      </c>
      <c r="CG101" s="8">
        <v>98.86</v>
      </c>
      <c r="CH101" s="8">
        <v>98.31</v>
      </c>
      <c r="CI101" s="8">
        <v>103.58</v>
      </c>
      <c r="CJ101" s="8">
        <v>104.67</v>
      </c>
      <c r="CK101" s="8">
        <v>96.02</v>
      </c>
      <c r="CL101" s="8">
        <v>97.44</v>
      </c>
      <c r="CM101" s="8">
        <v>97.55</v>
      </c>
      <c r="CN101" s="8">
        <v>96.58</v>
      </c>
      <c r="CO101" s="8">
        <v>100.43</v>
      </c>
      <c r="CP101" s="8">
        <v>100.61</v>
      </c>
      <c r="CQ101" s="8">
        <v>100.08</v>
      </c>
      <c r="CR101" s="8">
        <v>103.79</v>
      </c>
      <c r="CS101" s="8">
        <v>103.41</v>
      </c>
      <c r="CT101" s="8">
        <v>97.81</v>
      </c>
      <c r="CU101" s="8">
        <v>98.04</v>
      </c>
      <c r="CV101" s="8">
        <v>96.45</v>
      </c>
      <c r="CW101" s="8">
        <v>96.45</v>
      </c>
      <c r="CX101" s="8">
        <v>98.93</v>
      </c>
      <c r="CY101" s="8">
        <v>98.93</v>
      </c>
      <c r="CZ101" s="8">
        <v>96.76</v>
      </c>
      <c r="DA101" s="8">
        <v>99.06</v>
      </c>
      <c r="DB101" s="8">
        <v>95.21</v>
      </c>
      <c r="DC101" s="8">
        <v>95.51</v>
      </c>
      <c r="DD101" s="8">
        <v>97.76</v>
      </c>
      <c r="DE101" s="8">
        <v>93.19</v>
      </c>
      <c r="DF101" s="8">
        <v>96.59</v>
      </c>
      <c r="DG101" s="8">
        <v>98.64</v>
      </c>
      <c r="DH101" s="8">
        <v>95.89</v>
      </c>
      <c r="DI101" s="8">
        <v>93.12</v>
      </c>
      <c r="DJ101" s="8">
        <v>96.6</v>
      </c>
      <c r="DK101" s="8">
        <v>89.78</v>
      </c>
      <c r="DL101" s="8">
        <v>98.68</v>
      </c>
      <c r="DM101" s="8">
        <v>98.74</v>
      </c>
      <c r="DN101" s="8">
        <v>98.2</v>
      </c>
      <c r="DO101" s="8">
        <v>100.89</v>
      </c>
      <c r="DP101" s="8">
        <v>98.08</v>
      </c>
      <c r="DQ101" s="8">
        <v>98.01</v>
      </c>
      <c r="DR101" s="8">
        <v>99.17</v>
      </c>
      <c r="DS101" s="8">
        <v>99.58</v>
      </c>
      <c r="DT101" s="8">
        <v>99.58</v>
      </c>
      <c r="DU101" s="8">
        <v>98.8</v>
      </c>
      <c r="DV101" s="8">
        <v>100</v>
      </c>
      <c r="DW101" s="8">
        <v>99.56</v>
      </c>
      <c r="DX101" s="8">
        <v>99.05</v>
      </c>
      <c r="DY101" s="8">
        <v>100.03</v>
      </c>
      <c r="DZ101" s="8">
        <v>100.03</v>
      </c>
      <c r="EA101" s="8">
        <v>98.79</v>
      </c>
      <c r="EB101" s="8">
        <v>98.47</v>
      </c>
      <c r="EC101" s="8">
        <v>98.82</v>
      </c>
      <c r="ED101" s="8">
        <v>98.03</v>
      </c>
      <c r="EE101" s="8">
        <v>98.79</v>
      </c>
      <c r="EF101" s="8">
        <v>100.55</v>
      </c>
      <c r="EG101" s="8">
        <v>101.01</v>
      </c>
      <c r="EH101" s="8">
        <v>100.03</v>
      </c>
      <c r="EI101" s="8">
        <v>100.89</v>
      </c>
      <c r="EJ101" s="8">
        <v>100.82</v>
      </c>
      <c r="EK101" s="8">
        <v>98.25</v>
      </c>
      <c r="EL101" s="8">
        <v>95.6</v>
      </c>
      <c r="EM101" s="8">
        <v>101.06</v>
      </c>
      <c r="EN101" s="8">
        <v>89.25</v>
      </c>
      <c r="EO101" s="8">
        <v>101.48</v>
      </c>
      <c r="EP101" s="8">
        <v>102.35</v>
      </c>
      <c r="EQ101" s="8">
        <v>98.64</v>
      </c>
      <c r="ER101" s="8">
        <v>98.44</v>
      </c>
      <c r="ES101" s="8">
        <v>96.94</v>
      </c>
      <c r="ET101" s="8">
        <v>101.04</v>
      </c>
      <c r="EU101" s="8">
        <v>97.66</v>
      </c>
      <c r="EV101" s="8">
        <v>102.52</v>
      </c>
      <c r="EW101" s="8">
        <v>101.93</v>
      </c>
      <c r="EX101" s="8">
        <v>102.94</v>
      </c>
      <c r="EY101" s="8">
        <v>97.76</v>
      </c>
      <c r="EZ101" s="8">
        <v>96.06</v>
      </c>
      <c r="FA101" s="8">
        <v>97.75</v>
      </c>
      <c r="FB101" s="8">
        <v>99.6</v>
      </c>
      <c r="FC101" s="8">
        <v>99.21</v>
      </c>
      <c r="FD101" s="8">
        <v>95.76</v>
      </c>
      <c r="FE101" s="8">
        <v>100.55</v>
      </c>
      <c r="FF101" s="8">
        <v>99.37</v>
      </c>
      <c r="FG101" s="8">
        <v>90.12</v>
      </c>
      <c r="FH101" s="8">
        <v>102.72</v>
      </c>
      <c r="FI101" s="8">
        <v>97.86</v>
      </c>
      <c r="FJ101" s="8">
        <v>98.13</v>
      </c>
      <c r="FK101" s="8">
        <v>97.52</v>
      </c>
      <c r="FL101" s="8">
        <v>97.13</v>
      </c>
      <c r="FM101" s="8">
        <v>99.33</v>
      </c>
      <c r="FN101" s="8">
        <v>99.48</v>
      </c>
      <c r="FO101" s="8">
        <v>99.53</v>
      </c>
      <c r="FP101" s="8">
        <v>99.11</v>
      </c>
      <c r="FQ101" s="8">
        <v>92.35</v>
      </c>
      <c r="FR101" s="8">
        <v>92.35</v>
      </c>
      <c r="FS101" s="8">
        <v>94.32</v>
      </c>
      <c r="FT101" s="8">
        <v>97.26</v>
      </c>
      <c r="FU101" s="8">
        <v>97.21</v>
      </c>
      <c r="FV101" s="8">
        <v>99.2</v>
      </c>
      <c r="FW101" s="8">
        <v>91.61</v>
      </c>
      <c r="FX101" s="8">
        <v>97.71</v>
      </c>
      <c r="FY101" s="8">
        <v>100.88</v>
      </c>
      <c r="FZ101" s="8">
        <v>93.4</v>
      </c>
      <c r="GA101" s="8">
        <v>110.03</v>
      </c>
      <c r="GB101" s="8">
        <v>85.55</v>
      </c>
      <c r="GC101" s="8">
        <v>84.26</v>
      </c>
      <c r="GD101" s="8">
        <v>99.51</v>
      </c>
      <c r="GE101" s="8">
        <v>96.99</v>
      </c>
      <c r="GF101" s="8">
        <v>98.37</v>
      </c>
      <c r="GG101" s="8">
        <v>98.37</v>
      </c>
      <c r="GH101" s="8">
        <v>96.73</v>
      </c>
      <c r="GI101" s="8">
        <v>96.73</v>
      </c>
      <c r="GJ101" s="8">
        <v>96.49</v>
      </c>
      <c r="GK101" s="8">
        <v>98.82</v>
      </c>
      <c r="GL101" s="8">
        <v>93.74</v>
      </c>
      <c r="GM101" s="8">
        <v>96.02</v>
      </c>
      <c r="GN101" s="8">
        <v>96.98</v>
      </c>
      <c r="GO101" s="8">
        <v>98.67</v>
      </c>
      <c r="GP101" s="8">
        <v>93.1</v>
      </c>
      <c r="GQ101" s="8">
        <v>98.81</v>
      </c>
      <c r="GR101" s="8">
        <v>99.05</v>
      </c>
      <c r="GS101" s="8">
        <v>99.17</v>
      </c>
      <c r="GT101" s="8">
        <v>98.38</v>
      </c>
      <c r="GU101" s="8">
        <v>101.87</v>
      </c>
      <c r="GV101" s="8">
        <v>101.87</v>
      </c>
      <c r="GW101" s="8">
        <v>96.67</v>
      </c>
      <c r="GX101" s="8">
        <v>97.31</v>
      </c>
      <c r="GY101" s="8">
        <v>98.29</v>
      </c>
      <c r="GZ101" s="8">
        <v>93.83</v>
      </c>
      <c r="HA101" s="8">
        <v>97.59</v>
      </c>
      <c r="HB101" s="8">
        <v>99.84</v>
      </c>
      <c r="HC101" s="8">
        <v>99.37</v>
      </c>
      <c r="HD101" s="8">
        <v>99.4</v>
      </c>
      <c r="HE101" s="8">
        <v>100.25</v>
      </c>
      <c r="HF101" s="8">
        <v>98.28</v>
      </c>
      <c r="HG101" s="8">
        <v>94.57</v>
      </c>
      <c r="HH101" s="8">
        <v>98.11</v>
      </c>
      <c r="HI101" s="8">
        <v>101.64</v>
      </c>
      <c r="HJ101" s="8">
        <v>99.13</v>
      </c>
      <c r="HK101" s="8">
        <v>102.91</v>
      </c>
      <c r="HL101" s="8">
        <v>103.68</v>
      </c>
      <c r="HM101" s="8">
        <v>98.59</v>
      </c>
      <c r="HN101" s="8">
        <v>98.32</v>
      </c>
      <c r="HO101" s="8">
        <v>98.27</v>
      </c>
      <c r="HP101" s="8">
        <v>98.77</v>
      </c>
      <c r="HQ101" s="8">
        <v>98.91</v>
      </c>
      <c r="HR101" s="8">
        <v>98.88</v>
      </c>
      <c r="HS101" s="8">
        <v>101.04</v>
      </c>
      <c r="HT101" s="8">
        <v>103.49</v>
      </c>
      <c r="HU101" s="8">
        <v>96.54</v>
      </c>
      <c r="HV101" s="8">
        <v>98.17</v>
      </c>
      <c r="HW101" s="8">
        <v>97.5</v>
      </c>
      <c r="HX101" s="8">
        <v>99.84</v>
      </c>
      <c r="HY101" s="8">
        <v>99.84</v>
      </c>
      <c r="HZ101" s="8">
        <v>98.95</v>
      </c>
      <c r="IA101" s="8">
        <v>98.95</v>
      </c>
      <c r="IB101" s="8">
        <v>96.76</v>
      </c>
      <c r="IC101" s="8">
        <v>99.07</v>
      </c>
      <c r="ID101" s="8">
        <v>97.29</v>
      </c>
      <c r="IE101" s="8">
        <v>97.75</v>
      </c>
      <c r="IF101" s="8">
        <v>102.31</v>
      </c>
      <c r="IG101" s="8">
        <v>93.21</v>
      </c>
      <c r="IH101" s="8">
        <v>98.06</v>
      </c>
      <c r="II101" s="8">
        <v>101.99</v>
      </c>
      <c r="IJ101" s="8">
        <v>96.32</v>
      </c>
      <c r="IK101" s="8">
        <v>95.15</v>
      </c>
      <c r="IL101" s="8">
        <v>102</v>
      </c>
      <c r="IM101" s="8">
        <v>87.86</v>
      </c>
      <c r="IN101" s="8">
        <v>100.31</v>
      </c>
      <c r="IO101" s="8">
        <v>98.19</v>
      </c>
      <c r="IP101" s="8">
        <v>99.25</v>
      </c>
      <c r="IQ101" s="8">
        <v>100.76</v>
      </c>
    </row>
    <row r="102" spans="1:251" x14ac:dyDescent="0.2">
      <c r="A102" s="9">
        <v>45748</v>
      </c>
      <c r="B102" s="8">
        <v>98.72</v>
      </c>
      <c r="C102" s="8">
        <v>99.34</v>
      </c>
      <c r="D102" s="8">
        <v>100.28</v>
      </c>
      <c r="E102" s="8">
        <v>100.94</v>
      </c>
      <c r="F102" s="8">
        <v>99.94</v>
      </c>
      <c r="G102" s="8">
        <v>100.01</v>
      </c>
      <c r="H102" s="8">
        <v>99.45</v>
      </c>
      <c r="I102" s="8">
        <v>98.06</v>
      </c>
      <c r="J102" s="8">
        <v>95.55</v>
      </c>
      <c r="K102" s="8">
        <v>99.47</v>
      </c>
      <c r="L102" s="8">
        <v>90.17</v>
      </c>
      <c r="M102" s="8">
        <v>100.64</v>
      </c>
      <c r="N102" s="8">
        <v>101.48</v>
      </c>
      <c r="O102" s="8">
        <v>99.41</v>
      </c>
      <c r="P102" s="8">
        <v>98.55</v>
      </c>
      <c r="Q102" s="8">
        <v>97.58</v>
      </c>
      <c r="R102" s="8">
        <v>100.72</v>
      </c>
      <c r="S102" s="8">
        <v>97.5</v>
      </c>
      <c r="T102" s="8">
        <v>105.83</v>
      </c>
      <c r="U102" s="8">
        <v>107.92</v>
      </c>
      <c r="V102" s="8">
        <v>104</v>
      </c>
      <c r="W102" s="8">
        <v>98.77</v>
      </c>
      <c r="X102" s="8">
        <v>99.48</v>
      </c>
      <c r="Y102" s="8">
        <v>97.71</v>
      </c>
      <c r="Z102" s="8">
        <v>98.93</v>
      </c>
      <c r="AA102" s="8">
        <v>100.03</v>
      </c>
      <c r="AB102" s="8">
        <v>98.14</v>
      </c>
      <c r="AC102" s="8">
        <v>99.37</v>
      </c>
      <c r="AD102" s="8">
        <v>99.45</v>
      </c>
      <c r="AE102" s="8">
        <v>92</v>
      </c>
      <c r="AF102" s="8">
        <v>101.45</v>
      </c>
      <c r="AG102" s="8">
        <v>98.08</v>
      </c>
      <c r="AH102" s="8">
        <v>98.36</v>
      </c>
      <c r="AI102" s="8">
        <v>97.68</v>
      </c>
      <c r="AJ102" s="8">
        <v>98.29</v>
      </c>
      <c r="AK102" s="8">
        <v>99.36</v>
      </c>
      <c r="AL102" s="8">
        <v>99.26</v>
      </c>
      <c r="AM102" s="8">
        <v>99.53</v>
      </c>
      <c r="AN102" s="8">
        <v>99.24</v>
      </c>
      <c r="AO102" s="8">
        <v>95.49</v>
      </c>
      <c r="AP102" s="8">
        <v>95.49</v>
      </c>
      <c r="AQ102" s="8">
        <v>99.02</v>
      </c>
      <c r="AR102" s="8">
        <v>101.92</v>
      </c>
      <c r="AS102" s="8">
        <v>104.29</v>
      </c>
      <c r="AT102" s="8">
        <v>102.22</v>
      </c>
      <c r="AU102" s="8">
        <v>97.4</v>
      </c>
      <c r="AV102" s="8">
        <v>101.71</v>
      </c>
      <c r="AW102" s="8">
        <v>105.87</v>
      </c>
      <c r="AX102" s="8">
        <v>100.41</v>
      </c>
      <c r="AY102" s="8">
        <v>102.28</v>
      </c>
      <c r="AZ102" s="8">
        <v>91.66</v>
      </c>
      <c r="BA102" s="8">
        <v>91.15</v>
      </c>
      <c r="BB102" s="8">
        <v>97.38</v>
      </c>
      <c r="BC102" s="8">
        <v>97.46</v>
      </c>
      <c r="BD102" s="8">
        <v>98.64</v>
      </c>
      <c r="BE102" s="8">
        <v>98.64</v>
      </c>
      <c r="BF102" s="8">
        <v>98.9</v>
      </c>
      <c r="BG102" s="8">
        <v>98.9</v>
      </c>
      <c r="BH102" s="8">
        <v>97.41</v>
      </c>
      <c r="BI102" s="8">
        <v>98.89</v>
      </c>
      <c r="BJ102" s="8">
        <v>94.65</v>
      </c>
      <c r="BK102" s="8">
        <v>92.36</v>
      </c>
      <c r="BL102" s="8">
        <v>99.99</v>
      </c>
      <c r="BM102" s="8">
        <v>90.37</v>
      </c>
      <c r="BN102" s="8">
        <v>94.47</v>
      </c>
      <c r="BO102" s="8">
        <v>99.33</v>
      </c>
      <c r="BP102" s="8">
        <v>100.39</v>
      </c>
      <c r="BQ102" s="8">
        <v>100.82</v>
      </c>
      <c r="BR102" s="8">
        <v>98.68</v>
      </c>
      <c r="BS102" s="8">
        <v>101.28</v>
      </c>
      <c r="BT102" s="8">
        <v>101.28</v>
      </c>
      <c r="BU102" s="8">
        <v>101.32</v>
      </c>
      <c r="BV102" s="8">
        <v>99.63</v>
      </c>
      <c r="BW102" s="8">
        <v>101.55</v>
      </c>
      <c r="BX102" s="8">
        <v>101.56</v>
      </c>
      <c r="BY102" s="8">
        <v>102.69</v>
      </c>
      <c r="BZ102" s="8">
        <v>100.64</v>
      </c>
      <c r="CA102" s="8">
        <v>98.71</v>
      </c>
      <c r="CB102" s="8">
        <v>100.83</v>
      </c>
      <c r="CC102" s="8">
        <v>100.9</v>
      </c>
      <c r="CD102" s="8">
        <v>96.71</v>
      </c>
      <c r="CE102" s="8">
        <v>93</v>
      </c>
      <c r="CF102" s="8">
        <v>99.12</v>
      </c>
      <c r="CG102" s="8">
        <v>98.74</v>
      </c>
      <c r="CH102" s="8">
        <v>100.06</v>
      </c>
      <c r="CI102" s="8">
        <v>103.46</v>
      </c>
      <c r="CJ102" s="8">
        <v>104.22</v>
      </c>
      <c r="CK102" s="8">
        <v>98.21</v>
      </c>
      <c r="CL102" s="8">
        <v>99.5</v>
      </c>
      <c r="CM102" s="8">
        <v>99.79</v>
      </c>
      <c r="CN102" s="8">
        <v>97.04</v>
      </c>
      <c r="CO102" s="8">
        <v>98.47</v>
      </c>
      <c r="CP102" s="8">
        <v>98.57</v>
      </c>
      <c r="CQ102" s="8">
        <v>100.27</v>
      </c>
      <c r="CR102" s="8">
        <v>102.58</v>
      </c>
      <c r="CS102" s="8">
        <v>95.59</v>
      </c>
      <c r="CT102" s="8">
        <v>98.73</v>
      </c>
      <c r="CU102" s="8">
        <v>98.06</v>
      </c>
      <c r="CV102" s="8">
        <v>96.45</v>
      </c>
      <c r="CW102" s="8">
        <v>96.45</v>
      </c>
      <c r="CX102" s="8">
        <v>99.2</v>
      </c>
      <c r="CY102" s="8">
        <v>99.2</v>
      </c>
      <c r="CZ102" s="8">
        <v>98.13</v>
      </c>
      <c r="DA102" s="8">
        <v>99.27</v>
      </c>
      <c r="DB102" s="8">
        <v>98.94</v>
      </c>
      <c r="DC102" s="8">
        <v>96.61</v>
      </c>
      <c r="DD102" s="8">
        <v>99.85</v>
      </c>
      <c r="DE102" s="8">
        <v>93.29</v>
      </c>
      <c r="DF102" s="8">
        <v>97.24</v>
      </c>
      <c r="DG102" s="8">
        <v>101.15</v>
      </c>
      <c r="DH102" s="8">
        <v>95.9</v>
      </c>
      <c r="DI102" s="8">
        <v>99.87</v>
      </c>
      <c r="DJ102" s="8">
        <v>101.4</v>
      </c>
      <c r="DK102" s="8">
        <v>98.4</v>
      </c>
      <c r="DL102" s="8">
        <v>98.68</v>
      </c>
      <c r="DM102" s="8">
        <v>99.34</v>
      </c>
      <c r="DN102" s="8">
        <v>97.52</v>
      </c>
      <c r="DO102" s="8">
        <v>101.52</v>
      </c>
      <c r="DP102" s="8">
        <v>98.7</v>
      </c>
      <c r="DQ102" s="8">
        <v>97.56</v>
      </c>
      <c r="DR102" s="8">
        <v>99.4</v>
      </c>
      <c r="DS102" s="8">
        <v>99.58</v>
      </c>
      <c r="DT102" s="8">
        <v>99.58</v>
      </c>
      <c r="DU102" s="8">
        <v>98.81</v>
      </c>
      <c r="DV102" s="8">
        <v>100</v>
      </c>
      <c r="DW102" s="8">
        <v>99.56</v>
      </c>
      <c r="DX102" s="8">
        <v>98.96</v>
      </c>
      <c r="DY102" s="8">
        <v>99.43</v>
      </c>
      <c r="DZ102" s="8">
        <v>99.43</v>
      </c>
      <c r="EA102" s="8">
        <v>98.84</v>
      </c>
      <c r="EB102" s="8">
        <v>99.05</v>
      </c>
      <c r="EC102" s="8">
        <v>98.82</v>
      </c>
      <c r="ED102" s="8">
        <v>98.73</v>
      </c>
      <c r="EE102" s="8">
        <v>99.12</v>
      </c>
      <c r="EF102" s="8">
        <v>100.08</v>
      </c>
      <c r="EG102" s="8">
        <v>100.7</v>
      </c>
      <c r="EH102" s="8">
        <v>99.81</v>
      </c>
      <c r="EI102" s="8">
        <v>99.31</v>
      </c>
      <c r="EJ102" s="8">
        <v>99.51</v>
      </c>
      <c r="EK102" s="8">
        <v>97.86</v>
      </c>
      <c r="EL102" s="8">
        <v>95.41</v>
      </c>
      <c r="EM102" s="8">
        <v>99.64</v>
      </c>
      <c r="EN102" s="8">
        <v>89.6</v>
      </c>
      <c r="EO102" s="8">
        <v>100.45</v>
      </c>
      <c r="EP102" s="8">
        <v>101.84</v>
      </c>
      <c r="EQ102" s="8">
        <v>98.98</v>
      </c>
      <c r="ER102" s="8">
        <v>98.5</v>
      </c>
      <c r="ES102" s="8">
        <v>97.26</v>
      </c>
      <c r="ET102" s="8">
        <v>100.69</v>
      </c>
      <c r="EU102" s="8">
        <v>97.81</v>
      </c>
      <c r="EV102" s="8">
        <v>105.24</v>
      </c>
      <c r="EW102" s="8">
        <v>106.42</v>
      </c>
      <c r="EX102" s="8">
        <v>104.41</v>
      </c>
      <c r="EY102" s="8">
        <v>98.77</v>
      </c>
      <c r="EZ102" s="8">
        <v>99.86</v>
      </c>
      <c r="FA102" s="8">
        <v>97.6</v>
      </c>
      <c r="FB102" s="8">
        <v>98.81</v>
      </c>
      <c r="FC102" s="8">
        <v>99.87</v>
      </c>
      <c r="FD102" s="8">
        <v>98.14</v>
      </c>
      <c r="FE102" s="8">
        <v>99.45</v>
      </c>
      <c r="FF102" s="8">
        <v>98.88</v>
      </c>
      <c r="FG102" s="8">
        <v>91.79</v>
      </c>
      <c r="FH102" s="8">
        <v>101.45</v>
      </c>
      <c r="FI102" s="8">
        <v>97.86</v>
      </c>
      <c r="FJ102" s="8">
        <v>97.77</v>
      </c>
      <c r="FK102" s="8">
        <v>97.96</v>
      </c>
      <c r="FL102" s="8">
        <v>97.06</v>
      </c>
      <c r="FM102" s="8">
        <v>98.52</v>
      </c>
      <c r="FN102" s="8">
        <v>98.47</v>
      </c>
      <c r="FO102" s="8">
        <v>98.69</v>
      </c>
      <c r="FP102" s="8">
        <v>98.41</v>
      </c>
      <c r="FQ102" s="8">
        <v>93.92</v>
      </c>
      <c r="FR102" s="8">
        <v>93.92</v>
      </c>
      <c r="FS102" s="8">
        <v>99.4</v>
      </c>
      <c r="FT102" s="8">
        <v>102.89</v>
      </c>
      <c r="FU102" s="8">
        <v>103.46</v>
      </c>
      <c r="FV102" s="8">
        <v>104.6</v>
      </c>
      <c r="FW102" s="8">
        <v>96.85</v>
      </c>
      <c r="FX102" s="8">
        <v>101.75</v>
      </c>
      <c r="FY102" s="8">
        <v>106.55</v>
      </c>
      <c r="FZ102" s="8">
        <v>97.83</v>
      </c>
      <c r="GA102" s="8">
        <v>107.58</v>
      </c>
      <c r="GB102" s="8">
        <v>89.92</v>
      </c>
      <c r="GC102" s="8">
        <v>89.04</v>
      </c>
      <c r="GD102" s="8">
        <v>99.48</v>
      </c>
      <c r="GE102" s="8">
        <v>96.97</v>
      </c>
      <c r="GF102" s="8">
        <v>98.67</v>
      </c>
      <c r="GG102" s="8">
        <v>98.67</v>
      </c>
      <c r="GH102" s="8">
        <v>98.36</v>
      </c>
      <c r="GI102" s="8">
        <v>98.36</v>
      </c>
      <c r="GJ102" s="8">
        <v>96.52</v>
      </c>
      <c r="GK102" s="8">
        <v>98.87</v>
      </c>
      <c r="GL102" s="8">
        <v>93.74</v>
      </c>
      <c r="GM102" s="8">
        <v>92.7</v>
      </c>
      <c r="GN102" s="8">
        <v>96.98</v>
      </c>
      <c r="GO102" s="8">
        <v>91.06</v>
      </c>
      <c r="GP102" s="8">
        <v>92.34</v>
      </c>
      <c r="GQ102" s="8">
        <v>98.95</v>
      </c>
      <c r="GR102" s="8">
        <v>98.46</v>
      </c>
      <c r="GS102" s="8">
        <v>98.72</v>
      </c>
      <c r="GT102" s="8">
        <v>97.05</v>
      </c>
      <c r="GU102" s="8">
        <v>98.36</v>
      </c>
      <c r="GV102" s="8">
        <v>98.36</v>
      </c>
      <c r="GW102" s="8">
        <v>99.23</v>
      </c>
      <c r="GX102" s="8">
        <v>100</v>
      </c>
      <c r="GY102" s="8">
        <v>100.76</v>
      </c>
      <c r="GZ102" s="8">
        <v>98.36</v>
      </c>
      <c r="HA102" s="8">
        <v>97.93</v>
      </c>
      <c r="HB102" s="8">
        <v>100.44</v>
      </c>
      <c r="HC102" s="8">
        <v>98.38</v>
      </c>
      <c r="HD102" s="8">
        <v>100.45</v>
      </c>
      <c r="HE102" s="8">
        <v>100.77</v>
      </c>
      <c r="HF102" s="8">
        <v>97.79</v>
      </c>
      <c r="HG102" s="8">
        <v>93.69</v>
      </c>
      <c r="HH102" s="8">
        <v>98.11</v>
      </c>
      <c r="HI102" s="8">
        <v>100.85</v>
      </c>
      <c r="HJ102" s="8">
        <v>100.61</v>
      </c>
      <c r="HK102" s="8">
        <v>101.89</v>
      </c>
      <c r="HL102" s="8">
        <v>102.35</v>
      </c>
      <c r="HM102" s="8">
        <v>99.23</v>
      </c>
      <c r="HN102" s="8">
        <v>100.33</v>
      </c>
      <c r="HO102" s="8">
        <v>100.51</v>
      </c>
      <c r="HP102" s="8">
        <v>98.77</v>
      </c>
      <c r="HQ102" s="8">
        <v>100.41</v>
      </c>
      <c r="HR102" s="8">
        <v>100.43</v>
      </c>
      <c r="HS102" s="8">
        <v>101.22</v>
      </c>
      <c r="HT102" s="8">
        <v>101.78</v>
      </c>
      <c r="HU102" s="8">
        <v>101.78</v>
      </c>
      <c r="HV102" s="8">
        <v>98.6</v>
      </c>
      <c r="HW102" s="8">
        <v>97.54</v>
      </c>
      <c r="HX102" s="8">
        <v>99.95</v>
      </c>
      <c r="HY102" s="8">
        <v>99.95</v>
      </c>
      <c r="HZ102" s="8">
        <v>99.21</v>
      </c>
      <c r="IA102" s="8">
        <v>99.21</v>
      </c>
      <c r="IB102" s="8">
        <v>98.13</v>
      </c>
      <c r="IC102" s="8">
        <v>99.27</v>
      </c>
      <c r="ID102" s="8">
        <v>98.89</v>
      </c>
      <c r="IE102" s="8">
        <v>97.72</v>
      </c>
      <c r="IF102" s="8">
        <v>102.11</v>
      </c>
      <c r="IG102" s="8">
        <v>93.35</v>
      </c>
      <c r="IH102" s="8">
        <v>98.87</v>
      </c>
      <c r="II102" s="8">
        <v>102.42</v>
      </c>
      <c r="IJ102" s="8">
        <v>97.3</v>
      </c>
      <c r="IK102" s="8">
        <v>98.85</v>
      </c>
      <c r="IL102" s="8">
        <v>102.4</v>
      </c>
      <c r="IM102" s="8">
        <v>95.08</v>
      </c>
      <c r="IN102" s="8">
        <v>99.52</v>
      </c>
      <c r="IO102" s="8">
        <v>97.23</v>
      </c>
      <c r="IP102" s="8">
        <v>97.42</v>
      </c>
      <c r="IQ102" s="8">
        <v>101.38</v>
      </c>
    </row>
    <row r="103" spans="1:251" x14ac:dyDescent="0.2">
      <c r="A103" s="9">
        <v>45778</v>
      </c>
      <c r="B103" s="8">
        <v>98.16</v>
      </c>
      <c r="C103" s="8">
        <v>99.4</v>
      </c>
      <c r="D103" s="8">
        <v>99.68</v>
      </c>
      <c r="E103" s="8">
        <v>100.4</v>
      </c>
      <c r="F103" s="8">
        <v>99.18</v>
      </c>
      <c r="G103" s="8">
        <v>98.73</v>
      </c>
      <c r="H103" s="8">
        <v>99.64</v>
      </c>
      <c r="I103" s="8">
        <v>98.97</v>
      </c>
      <c r="J103" s="8">
        <v>95.77</v>
      </c>
      <c r="K103" s="8">
        <v>100.72</v>
      </c>
      <c r="L103" s="8">
        <v>92.02</v>
      </c>
      <c r="M103" s="8">
        <v>100.8</v>
      </c>
      <c r="N103" s="8">
        <v>101.81</v>
      </c>
      <c r="O103" s="8">
        <v>101.39</v>
      </c>
      <c r="P103" s="8">
        <v>97.97</v>
      </c>
      <c r="Q103" s="8">
        <v>96.86</v>
      </c>
      <c r="R103" s="8">
        <v>100.84</v>
      </c>
      <c r="S103" s="8">
        <v>96.39</v>
      </c>
      <c r="T103" s="8">
        <v>104.69</v>
      </c>
      <c r="U103" s="8">
        <v>104.53</v>
      </c>
      <c r="V103" s="8">
        <v>104.83</v>
      </c>
      <c r="W103" s="8">
        <v>98.48</v>
      </c>
      <c r="X103" s="8">
        <v>100.36</v>
      </c>
      <c r="Y103" s="8">
        <v>97.23</v>
      </c>
      <c r="Z103" s="8">
        <v>99.28</v>
      </c>
      <c r="AA103" s="8">
        <v>100.31</v>
      </c>
      <c r="AB103" s="8">
        <v>97.19</v>
      </c>
      <c r="AC103" s="8">
        <v>99.47</v>
      </c>
      <c r="AD103" s="8">
        <v>101.24</v>
      </c>
      <c r="AE103" s="8">
        <v>92.4</v>
      </c>
      <c r="AF103" s="8">
        <v>103.62</v>
      </c>
      <c r="AG103" s="8">
        <v>98.28</v>
      </c>
      <c r="AH103" s="8">
        <v>98.39</v>
      </c>
      <c r="AI103" s="8">
        <v>98.12</v>
      </c>
      <c r="AJ103" s="8">
        <v>98.5</v>
      </c>
      <c r="AK103" s="8">
        <v>99.75</v>
      </c>
      <c r="AL103" s="8">
        <v>99.57</v>
      </c>
      <c r="AM103" s="8">
        <v>100.2</v>
      </c>
      <c r="AN103" s="8">
        <v>99.4</v>
      </c>
      <c r="AO103" s="8">
        <v>95.22</v>
      </c>
      <c r="AP103" s="8">
        <v>95.22</v>
      </c>
      <c r="AQ103" s="8">
        <v>96.93</v>
      </c>
      <c r="AR103" s="8">
        <v>99.15</v>
      </c>
      <c r="AS103" s="8">
        <v>100.61</v>
      </c>
      <c r="AT103" s="8">
        <v>99.54</v>
      </c>
      <c r="AU103" s="8">
        <v>95.61</v>
      </c>
      <c r="AV103" s="8">
        <v>99.4</v>
      </c>
      <c r="AW103" s="8">
        <v>101.48</v>
      </c>
      <c r="AX103" s="8">
        <v>98.02</v>
      </c>
      <c r="AY103" s="8">
        <v>102.81</v>
      </c>
      <c r="AZ103" s="8">
        <v>91.11</v>
      </c>
      <c r="BA103" s="8">
        <v>90.55</v>
      </c>
      <c r="BB103" s="8">
        <v>97.38</v>
      </c>
      <c r="BC103" s="8">
        <v>97.64</v>
      </c>
      <c r="BD103" s="8">
        <v>98.98</v>
      </c>
      <c r="BE103" s="8">
        <v>98.98</v>
      </c>
      <c r="BF103" s="8">
        <v>98.99</v>
      </c>
      <c r="BG103" s="8">
        <v>98.99</v>
      </c>
      <c r="BH103" s="8">
        <v>97.24</v>
      </c>
      <c r="BI103" s="8">
        <v>98.63</v>
      </c>
      <c r="BJ103" s="8">
        <v>94.65</v>
      </c>
      <c r="BK103" s="8">
        <v>92.71</v>
      </c>
      <c r="BL103" s="8">
        <v>99.99</v>
      </c>
      <c r="BM103" s="8">
        <v>90.87</v>
      </c>
      <c r="BN103" s="8">
        <v>94.47</v>
      </c>
      <c r="BO103" s="8">
        <v>98.41</v>
      </c>
      <c r="BP103" s="8">
        <v>97.34</v>
      </c>
      <c r="BQ103" s="8">
        <v>97.34</v>
      </c>
      <c r="BR103" s="8">
        <v>97.36</v>
      </c>
      <c r="BS103" s="8">
        <v>100.16</v>
      </c>
      <c r="BT103" s="8">
        <v>100.16</v>
      </c>
      <c r="BU103" s="8">
        <v>100.26</v>
      </c>
      <c r="BV103" s="8">
        <v>100.63</v>
      </c>
      <c r="BW103" s="8">
        <v>101.58</v>
      </c>
      <c r="BX103" s="8">
        <v>96.18</v>
      </c>
      <c r="BY103" s="8">
        <v>102.82</v>
      </c>
      <c r="BZ103" s="8">
        <v>100.04</v>
      </c>
      <c r="CA103" s="8">
        <v>98.79</v>
      </c>
      <c r="CB103" s="8">
        <v>99.15</v>
      </c>
      <c r="CC103" s="8">
        <v>100.91</v>
      </c>
      <c r="CD103" s="8">
        <v>96.68</v>
      </c>
      <c r="CE103" s="8">
        <v>92.86</v>
      </c>
      <c r="CF103" s="8">
        <v>99.21</v>
      </c>
      <c r="CG103" s="8">
        <v>98.71</v>
      </c>
      <c r="CH103" s="8">
        <v>99.55</v>
      </c>
      <c r="CI103" s="8">
        <v>101.84</v>
      </c>
      <c r="CJ103" s="8">
        <v>102.46</v>
      </c>
      <c r="CK103" s="8">
        <v>97.51</v>
      </c>
      <c r="CL103" s="8">
        <v>99.18</v>
      </c>
      <c r="CM103" s="8">
        <v>99.44</v>
      </c>
      <c r="CN103" s="8">
        <v>96.96</v>
      </c>
      <c r="CO103" s="8">
        <v>98.43</v>
      </c>
      <c r="CP103" s="8">
        <v>98.52</v>
      </c>
      <c r="CQ103" s="8">
        <v>100.05</v>
      </c>
      <c r="CR103" s="8">
        <v>102.93</v>
      </c>
      <c r="CS103" s="8">
        <v>95.51</v>
      </c>
      <c r="CT103" s="8">
        <v>98.89</v>
      </c>
      <c r="CU103" s="8">
        <v>98.06</v>
      </c>
      <c r="CV103" s="8">
        <v>96.5</v>
      </c>
      <c r="CW103" s="8">
        <v>96.5</v>
      </c>
      <c r="CX103" s="8">
        <v>98.84</v>
      </c>
      <c r="CY103" s="8">
        <v>98.84</v>
      </c>
      <c r="CZ103" s="8">
        <v>97.98</v>
      </c>
      <c r="DA103" s="8">
        <v>98.89</v>
      </c>
      <c r="DB103" s="8">
        <v>95.34</v>
      </c>
      <c r="DC103" s="8">
        <v>97.46</v>
      </c>
      <c r="DD103" s="8">
        <v>101.21</v>
      </c>
      <c r="DE103" s="8">
        <v>93.61</v>
      </c>
      <c r="DF103" s="8">
        <v>97.65</v>
      </c>
      <c r="DG103" s="8">
        <v>101.75</v>
      </c>
      <c r="DH103" s="8">
        <v>96.25</v>
      </c>
      <c r="DI103" s="8">
        <v>92.44</v>
      </c>
      <c r="DJ103" s="8">
        <v>92.53</v>
      </c>
      <c r="DK103" s="8">
        <v>92.36</v>
      </c>
      <c r="DL103" s="8">
        <v>99.22</v>
      </c>
      <c r="DM103" s="8">
        <v>100.79</v>
      </c>
      <c r="DN103" s="8">
        <v>100.89</v>
      </c>
      <c r="DO103" s="8">
        <v>100.06</v>
      </c>
      <c r="DP103" s="8">
        <v>98.86</v>
      </c>
      <c r="DQ103" s="8">
        <v>97.57</v>
      </c>
      <c r="DR103" s="8">
        <v>99.13</v>
      </c>
      <c r="DS103" s="8">
        <v>99.59</v>
      </c>
      <c r="DT103" s="8">
        <v>99.59</v>
      </c>
      <c r="DU103" s="8">
        <v>98.86</v>
      </c>
      <c r="DV103" s="8">
        <v>100</v>
      </c>
      <c r="DW103" s="8">
        <v>99.56</v>
      </c>
      <c r="DX103" s="8">
        <v>98.87</v>
      </c>
      <c r="DY103" s="8">
        <v>98.99</v>
      </c>
      <c r="DZ103" s="8">
        <v>98.99</v>
      </c>
      <c r="EA103" s="8">
        <v>98.84</v>
      </c>
      <c r="EB103" s="8">
        <v>99.08</v>
      </c>
      <c r="EC103" s="8">
        <v>98.82</v>
      </c>
      <c r="ED103" s="8">
        <v>98.23</v>
      </c>
      <c r="EE103" s="8">
        <v>99.16</v>
      </c>
      <c r="EF103" s="8">
        <v>99.7</v>
      </c>
      <c r="EG103" s="8">
        <v>100.29</v>
      </c>
      <c r="EH103" s="8">
        <v>99.23</v>
      </c>
      <c r="EI103" s="8">
        <v>99.11</v>
      </c>
      <c r="EJ103" s="8">
        <v>99.87</v>
      </c>
      <c r="EK103" s="8">
        <v>98.59</v>
      </c>
      <c r="EL103" s="8">
        <v>95.77</v>
      </c>
      <c r="EM103" s="8">
        <v>100.81</v>
      </c>
      <c r="EN103" s="8">
        <v>90.5</v>
      </c>
      <c r="EO103" s="8">
        <v>100.83</v>
      </c>
      <c r="EP103" s="8">
        <v>101.88</v>
      </c>
      <c r="EQ103" s="8">
        <v>100.73</v>
      </c>
      <c r="ER103" s="8">
        <v>98.13</v>
      </c>
      <c r="ES103" s="8">
        <v>97.11</v>
      </c>
      <c r="ET103" s="8">
        <v>100.85</v>
      </c>
      <c r="EU103" s="8">
        <v>96.59</v>
      </c>
      <c r="EV103" s="8">
        <v>103.88</v>
      </c>
      <c r="EW103" s="8">
        <v>102.2</v>
      </c>
      <c r="EX103" s="8">
        <v>105.07</v>
      </c>
      <c r="EY103" s="8">
        <v>98.52</v>
      </c>
      <c r="EZ103" s="8">
        <v>100.95</v>
      </c>
      <c r="FA103" s="8">
        <v>97.26</v>
      </c>
      <c r="FB103" s="8">
        <v>99.16</v>
      </c>
      <c r="FC103" s="8">
        <v>99.96</v>
      </c>
      <c r="FD103" s="8">
        <v>97.39</v>
      </c>
      <c r="FE103" s="8">
        <v>99.27</v>
      </c>
      <c r="FF103" s="8">
        <v>101.1</v>
      </c>
      <c r="FG103" s="8">
        <v>92.75</v>
      </c>
      <c r="FH103" s="8">
        <v>104.14</v>
      </c>
      <c r="FI103" s="8">
        <v>97.98</v>
      </c>
      <c r="FJ103" s="8">
        <v>97.81</v>
      </c>
      <c r="FK103" s="8">
        <v>98.2</v>
      </c>
      <c r="FL103" s="8">
        <v>97.95</v>
      </c>
      <c r="FM103" s="8">
        <v>99.96</v>
      </c>
      <c r="FN103" s="8">
        <v>99.13</v>
      </c>
      <c r="FO103" s="8">
        <v>100.96</v>
      </c>
      <c r="FP103" s="8">
        <v>99.55</v>
      </c>
      <c r="FQ103" s="8">
        <v>93.61</v>
      </c>
      <c r="FR103" s="8">
        <v>93.61</v>
      </c>
      <c r="FS103" s="8">
        <v>97.45</v>
      </c>
      <c r="FT103" s="8">
        <v>101</v>
      </c>
      <c r="FU103" s="8">
        <v>102.44</v>
      </c>
      <c r="FV103" s="8">
        <v>101.91</v>
      </c>
      <c r="FW103" s="8">
        <v>95.77</v>
      </c>
      <c r="FX103" s="8">
        <v>98</v>
      </c>
      <c r="FY103" s="8">
        <v>102.76</v>
      </c>
      <c r="FZ103" s="8">
        <v>93.31</v>
      </c>
      <c r="GA103" s="8">
        <v>107.72</v>
      </c>
      <c r="GB103" s="8">
        <v>88.86</v>
      </c>
      <c r="GC103" s="8">
        <v>87.9</v>
      </c>
      <c r="GD103" s="8">
        <v>99.26</v>
      </c>
      <c r="GE103" s="8">
        <v>97.46</v>
      </c>
      <c r="GF103" s="8">
        <v>98.98</v>
      </c>
      <c r="GG103" s="8">
        <v>98.98</v>
      </c>
      <c r="GH103" s="8">
        <v>98.41</v>
      </c>
      <c r="GI103" s="8">
        <v>98.41</v>
      </c>
      <c r="GJ103" s="8">
        <v>96.63</v>
      </c>
      <c r="GK103" s="8">
        <v>99.08</v>
      </c>
      <c r="GL103" s="8">
        <v>93.74</v>
      </c>
      <c r="GM103" s="8">
        <v>94.48</v>
      </c>
      <c r="GN103" s="8">
        <v>96.98</v>
      </c>
      <c r="GO103" s="8">
        <v>99.74</v>
      </c>
      <c r="GP103" s="8">
        <v>88.44</v>
      </c>
      <c r="GQ103" s="8">
        <v>98.64</v>
      </c>
      <c r="GR103" s="8">
        <v>97</v>
      </c>
      <c r="GS103" s="8">
        <v>96.55</v>
      </c>
      <c r="GT103" s="8">
        <v>99.41</v>
      </c>
      <c r="GU103" s="8">
        <v>101.42</v>
      </c>
      <c r="GV103" s="8">
        <v>101.42</v>
      </c>
      <c r="GW103" s="8">
        <v>98.72</v>
      </c>
      <c r="GX103" s="8">
        <v>102.05</v>
      </c>
      <c r="GY103" s="8">
        <v>100.58</v>
      </c>
      <c r="GZ103" s="8">
        <v>94.98</v>
      </c>
      <c r="HA103" s="8">
        <v>97.87</v>
      </c>
      <c r="HB103" s="8">
        <v>100.03</v>
      </c>
      <c r="HC103" s="8">
        <v>98.73</v>
      </c>
      <c r="HD103" s="8">
        <v>99.17</v>
      </c>
      <c r="HE103" s="8">
        <v>100.9</v>
      </c>
      <c r="HF103" s="8">
        <v>97.78</v>
      </c>
      <c r="HG103" s="8">
        <v>92.58</v>
      </c>
      <c r="HH103" s="8">
        <v>98.74</v>
      </c>
      <c r="HI103" s="8">
        <v>100.91</v>
      </c>
      <c r="HJ103" s="8">
        <v>100.54</v>
      </c>
      <c r="HK103" s="8">
        <v>101.65</v>
      </c>
      <c r="HL103" s="8">
        <v>102.07</v>
      </c>
      <c r="HM103" s="8">
        <v>99.23</v>
      </c>
      <c r="HN103" s="8">
        <v>100.3</v>
      </c>
      <c r="HO103" s="8">
        <v>100.47</v>
      </c>
      <c r="HP103" s="8">
        <v>98.77</v>
      </c>
      <c r="HQ103" s="8">
        <v>97.97</v>
      </c>
      <c r="HR103" s="8">
        <v>97.9</v>
      </c>
      <c r="HS103" s="8">
        <v>101.18</v>
      </c>
      <c r="HT103" s="8">
        <v>102.39</v>
      </c>
      <c r="HU103" s="8">
        <v>92.79</v>
      </c>
      <c r="HV103" s="8">
        <v>98.7</v>
      </c>
      <c r="HW103" s="8">
        <v>97.84</v>
      </c>
      <c r="HX103" s="8">
        <v>100</v>
      </c>
      <c r="HY103" s="8">
        <v>100</v>
      </c>
      <c r="HZ103" s="8">
        <v>98.85</v>
      </c>
      <c r="IA103" s="8">
        <v>98.85</v>
      </c>
      <c r="IB103" s="8">
        <v>97.98</v>
      </c>
      <c r="IC103" s="8">
        <v>98.89</v>
      </c>
      <c r="ID103" s="8">
        <v>96.47</v>
      </c>
      <c r="IE103" s="8">
        <v>98.58</v>
      </c>
      <c r="IF103" s="8">
        <v>103.65</v>
      </c>
      <c r="IG103" s="8">
        <v>93.55</v>
      </c>
      <c r="IH103" s="8">
        <v>98.8</v>
      </c>
      <c r="II103" s="8">
        <v>102.64</v>
      </c>
      <c r="IJ103" s="8">
        <v>97.09</v>
      </c>
      <c r="IK103" s="8">
        <v>91.98</v>
      </c>
      <c r="IL103" s="8">
        <v>92.71</v>
      </c>
      <c r="IM103" s="8">
        <v>91.21</v>
      </c>
      <c r="IN103" s="8">
        <v>102.19</v>
      </c>
      <c r="IO103" s="8">
        <v>99.47</v>
      </c>
      <c r="IP103" s="8">
        <v>100.93</v>
      </c>
      <c r="IQ103" s="8">
        <v>99.79</v>
      </c>
    </row>
    <row r="104" spans="1:251" x14ac:dyDescent="0.2">
      <c r="A104" s="9">
        <v>45809</v>
      </c>
      <c r="B104" s="8">
        <v>98.34</v>
      </c>
      <c r="C104" s="8">
        <v>99.88</v>
      </c>
      <c r="D104" s="8">
        <v>99.46</v>
      </c>
      <c r="E104" s="8">
        <v>100.01</v>
      </c>
      <c r="F104" s="8">
        <v>99.19</v>
      </c>
      <c r="G104" s="8">
        <v>99.3</v>
      </c>
      <c r="H104" s="8">
        <v>98.72</v>
      </c>
      <c r="I104" s="8">
        <v>98.52</v>
      </c>
      <c r="J104" s="8">
        <v>97.17</v>
      </c>
      <c r="K104" s="8">
        <v>99.42</v>
      </c>
      <c r="L104" s="8">
        <v>91.15</v>
      </c>
      <c r="M104" s="8">
        <v>100.1</v>
      </c>
      <c r="N104" s="8">
        <v>101.13</v>
      </c>
      <c r="O104" s="8">
        <v>100.34</v>
      </c>
      <c r="P104" s="8">
        <v>98.28</v>
      </c>
      <c r="Q104" s="8">
        <v>98.01</v>
      </c>
      <c r="R104" s="8">
        <v>100.25</v>
      </c>
      <c r="S104" s="8">
        <v>96.63</v>
      </c>
      <c r="T104" s="8">
        <v>106.99</v>
      </c>
      <c r="U104" s="8">
        <v>105.18</v>
      </c>
      <c r="V104" s="8">
        <v>108.58</v>
      </c>
      <c r="W104" s="8">
        <v>98.62</v>
      </c>
      <c r="X104" s="8">
        <v>101.69</v>
      </c>
      <c r="Y104" s="8">
        <v>97.94</v>
      </c>
      <c r="Z104" s="8">
        <v>99.24</v>
      </c>
      <c r="AA104" s="8">
        <v>98.89</v>
      </c>
      <c r="AB104" s="8">
        <v>97.73</v>
      </c>
      <c r="AC104" s="8">
        <v>99.19</v>
      </c>
      <c r="AD104" s="8">
        <v>101.74</v>
      </c>
      <c r="AE104" s="8">
        <v>95.49</v>
      </c>
      <c r="AF104" s="8">
        <v>103.41</v>
      </c>
      <c r="AG104" s="8">
        <v>98.76</v>
      </c>
      <c r="AH104" s="8">
        <v>98.69</v>
      </c>
      <c r="AI104" s="8">
        <v>98.86</v>
      </c>
      <c r="AJ104" s="8">
        <v>98.3</v>
      </c>
      <c r="AK104" s="8">
        <v>99.67</v>
      </c>
      <c r="AL104" s="8">
        <v>99.6</v>
      </c>
      <c r="AM104" s="8">
        <v>99.87</v>
      </c>
      <c r="AN104" s="8">
        <v>99.5</v>
      </c>
      <c r="AO104" s="8">
        <v>94.74</v>
      </c>
      <c r="AP104" s="8">
        <v>94.74</v>
      </c>
      <c r="AQ104" s="8">
        <v>95.63</v>
      </c>
      <c r="AR104" s="8">
        <v>96.33</v>
      </c>
      <c r="AS104" s="8">
        <v>96.96</v>
      </c>
      <c r="AT104" s="8">
        <v>97.1</v>
      </c>
      <c r="AU104" s="8">
        <v>92.56</v>
      </c>
      <c r="AV104" s="8">
        <v>99.18</v>
      </c>
      <c r="AW104" s="8">
        <v>102.76</v>
      </c>
      <c r="AX104" s="8">
        <v>98.42</v>
      </c>
      <c r="AY104" s="8">
        <v>98.13</v>
      </c>
      <c r="AZ104" s="8">
        <v>92.49</v>
      </c>
      <c r="BA104" s="8">
        <v>91.88</v>
      </c>
      <c r="BB104" s="8">
        <v>99.29</v>
      </c>
      <c r="BC104" s="8">
        <v>97.7</v>
      </c>
      <c r="BD104" s="8">
        <v>99.23</v>
      </c>
      <c r="BE104" s="8">
        <v>99.23</v>
      </c>
      <c r="BF104" s="8">
        <v>99.37</v>
      </c>
      <c r="BG104" s="8">
        <v>99.37</v>
      </c>
      <c r="BH104" s="8">
        <v>97.25</v>
      </c>
      <c r="BI104" s="8">
        <v>98.65</v>
      </c>
      <c r="BJ104" s="8">
        <v>94.65</v>
      </c>
      <c r="BK104" s="8">
        <v>91.83</v>
      </c>
      <c r="BL104" s="8">
        <v>99.99</v>
      </c>
      <c r="BM104" s="8">
        <v>89.8</v>
      </c>
      <c r="BN104" s="8">
        <v>93.65</v>
      </c>
      <c r="BO104" s="8">
        <v>97.97</v>
      </c>
      <c r="BP104" s="8">
        <v>96.33</v>
      </c>
      <c r="BQ104" s="8">
        <v>96.38</v>
      </c>
      <c r="BR104" s="8">
        <v>96.11</v>
      </c>
      <c r="BS104" s="8">
        <v>93.82</v>
      </c>
      <c r="BT104" s="8">
        <v>93.82</v>
      </c>
      <c r="BU104" s="8">
        <v>100.03</v>
      </c>
      <c r="BV104" s="8">
        <v>102.59</v>
      </c>
      <c r="BW104" s="8">
        <v>99.53</v>
      </c>
      <c r="BX104" s="8">
        <v>93.57</v>
      </c>
      <c r="BY104" s="8">
        <v>103.52</v>
      </c>
      <c r="BZ104" s="8">
        <v>99.72</v>
      </c>
      <c r="CA104" s="8">
        <v>99.3</v>
      </c>
      <c r="CB104" s="8">
        <v>98.64</v>
      </c>
      <c r="CC104" s="8">
        <v>100.56</v>
      </c>
      <c r="CD104" s="8">
        <v>97.27</v>
      </c>
      <c r="CE104" s="8">
        <v>94.26</v>
      </c>
      <c r="CF104" s="8">
        <v>99.21</v>
      </c>
      <c r="CG104" s="8">
        <v>98.93</v>
      </c>
      <c r="CH104" s="8">
        <v>99.42</v>
      </c>
      <c r="CI104" s="8">
        <v>101.4</v>
      </c>
      <c r="CJ104" s="8">
        <v>101.82</v>
      </c>
      <c r="CK104" s="8">
        <v>98.5</v>
      </c>
      <c r="CL104" s="8">
        <v>99.1</v>
      </c>
      <c r="CM104" s="8">
        <v>99.35</v>
      </c>
      <c r="CN104" s="8">
        <v>96.96</v>
      </c>
      <c r="CO104" s="8">
        <v>98.81</v>
      </c>
      <c r="CP104" s="8">
        <v>98.92</v>
      </c>
      <c r="CQ104" s="8">
        <v>97.88</v>
      </c>
      <c r="CR104" s="8">
        <v>102.97</v>
      </c>
      <c r="CS104" s="8">
        <v>99.59</v>
      </c>
      <c r="CT104" s="8">
        <v>98.95</v>
      </c>
      <c r="CU104" s="8">
        <v>98.06</v>
      </c>
      <c r="CV104" s="8">
        <v>96.51</v>
      </c>
      <c r="CW104" s="8">
        <v>96.51</v>
      </c>
      <c r="CX104" s="8">
        <v>98.01</v>
      </c>
      <c r="CY104" s="8">
        <v>98.01</v>
      </c>
      <c r="CZ104" s="8">
        <v>98.29</v>
      </c>
      <c r="DA104" s="8">
        <v>97.99</v>
      </c>
      <c r="DB104" s="8">
        <v>96.35</v>
      </c>
      <c r="DC104" s="8">
        <v>97.32</v>
      </c>
      <c r="DD104" s="8">
        <v>100.18</v>
      </c>
      <c r="DE104" s="8">
        <v>94.37</v>
      </c>
      <c r="DF104" s="8">
        <v>99.64</v>
      </c>
      <c r="DG104" s="8">
        <v>100.53</v>
      </c>
      <c r="DH104" s="8">
        <v>99.34</v>
      </c>
      <c r="DI104" s="8">
        <v>94.29</v>
      </c>
      <c r="DJ104" s="8">
        <v>93.06</v>
      </c>
      <c r="DK104" s="8">
        <v>95.47</v>
      </c>
      <c r="DL104" s="8">
        <v>99.19</v>
      </c>
      <c r="DM104" s="8">
        <v>100.12</v>
      </c>
      <c r="DN104" s="8">
        <v>98.64</v>
      </c>
      <c r="DO104" s="8">
        <v>101.07</v>
      </c>
      <c r="DP104" s="8">
        <v>99.21</v>
      </c>
      <c r="DQ104" s="8">
        <v>98.04</v>
      </c>
      <c r="DR104" s="8">
        <v>99.75</v>
      </c>
      <c r="DS104" s="8">
        <v>99.64</v>
      </c>
      <c r="DT104" s="8">
        <v>99.64</v>
      </c>
      <c r="DU104" s="8">
        <v>99.07</v>
      </c>
      <c r="DV104" s="8">
        <v>100</v>
      </c>
      <c r="DW104" s="8">
        <v>99.56</v>
      </c>
      <c r="DX104" s="8">
        <v>99.53</v>
      </c>
      <c r="DY104" s="8">
        <v>99.25</v>
      </c>
      <c r="DZ104" s="8">
        <v>99.25</v>
      </c>
      <c r="EA104" s="8">
        <v>99.6</v>
      </c>
      <c r="EB104" s="8">
        <v>100.3</v>
      </c>
      <c r="EC104" s="8">
        <v>99.54</v>
      </c>
      <c r="ED104" s="8">
        <v>98.48</v>
      </c>
      <c r="EE104" s="8">
        <v>99.71</v>
      </c>
      <c r="EF104" s="8">
        <v>99.49</v>
      </c>
      <c r="EG104" s="8">
        <v>100</v>
      </c>
      <c r="EH104" s="8">
        <v>99.33</v>
      </c>
      <c r="EI104" s="8">
        <v>99.2</v>
      </c>
      <c r="EJ104" s="8">
        <v>98.69</v>
      </c>
      <c r="EK104" s="8">
        <v>98.34</v>
      </c>
      <c r="EL104" s="8">
        <v>97.28</v>
      </c>
      <c r="EM104" s="8">
        <v>99.61</v>
      </c>
      <c r="EN104" s="8">
        <v>90.11</v>
      </c>
      <c r="EO104" s="8">
        <v>100.11</v>
      </c>
      <c r="EP104" s="8">
        <v>101.37</v>
      </c>
      <c r="EQ104" s="8">
        <v>99.98</v>
      </c>
      <c r="ER104" s="8">
        <v>98.21</v>
      </c>
      <c r="ES104" s="8">
        <v>97.74</v>
      </c>
      <c r="ET104" s="8">
        <v>100.24</v>
      </c>
      <c r="EU104" s="8">
        <v>96.68</v>
      </c>
      <c r="EV104" s="8">
        <v>106.66</v>
      </c>
      <c r="EW104" s="8">
        <v>104.72</v>
      </c>
      <c r="EX104" s="8">
        <v>108.03</v>
      </c>
      <c r="EY104" s="8">
        <v>98.51</v>
      </c>
      <c r="EZ104" s="8">
        <v>101.41</v>
      </c>
      <c r="FA104" s="8">
        <v>98</v>
      </c>
      <c r="FB104" s="8">
        <v>98.99</v>
      </c>
      <c r="FC104" s="8">
        <v>98.67</v>
      </c>
      <c r="FD104" s="8">
        <v>97.69</v>
      </c>
      <c r="FE104" s="8">
        <v>99.1</v>
      </c>
      <c r="FF104" s="8">
        <v>101.39</v>
      </c>
      <c r="FG104" s="8">
        <v>95.6</v>
      </c>
      <c r="FH104" s="8">
        <v>103.49</v>
      </c>
      <c r="FI104" s="8">
        <v>98.6</v>
      </c>
      <c r="FJ104" s="8">
        <v>98.8</v>
      </c>
      <c r="FK104" s="8">
        <v>98.34</v>
      </c>
      <c r="FL104" s="8">
        <v>97.27</v>
      </c>
      <c r="FM104" s="8">
        <v>99.03</v>
      </c>
      <c r="FN104" s="8">
        <v>99.63</v>
      </c>
      <c r="FO104" s="8">
        <v>97.58</v>
      </c>
      <c r="FP104" s="8">
        <v>99.91</v>
      </c>
      <c r="FQ104" s="8">
        <v>93.46</v>
      </c>
      <c r="FR104" s="8">
        <v>93.46</v>
      </c>
      <c r="FS104" s="8">
        <v>97.34</v>
      </c>
      <c r="FT104" s="8">
        <v>98.72</v>
      </c>
      <c r="FU104" s="8">
        <v>98.04</v>
      </c>
      <c r="FV104" s="8">
        <v>100.76</v>
      </c>
      <c r="FW104" s="8">
        <v>93.92</v>
      </c>
      <c r="FX104" s="8">
        <v>99.11</v>
      </c>
      <c r="FY104" s="8">
        <v>103.85</v>
      </c>
      <c r="FZ104" s="8">
        <v>95.73</v>
      </c>
      <c r="GA104" s="8">
        <v>102.46</v>
      </c>
      <c r="GB104" s="8">
        <v>93.11</v>
      </c>
      <c r="GC104" s="8">
        <v>92.5</v>
      </c>
      <c r="GD104" s="8">
        <v>99.74</v>
      </c>
      <c r="GE104" s="8">
        <v>97.65</v>
      </c>
      <c r="GF104" s="8">
        <v>99.24</v>
      </c>
      <c r="GG104" s="8">
        <v>99.24</v>
      </c>
      <c r="GH104" s="8">
        <v>98.41</v>
      </c>
      <c r="GI104" s="8">
        <v>98.41</v>
      </c>
      <c r="GJ104" s="8">
        <v>96.8</v>
      </c>
      <c r="GK104" s="8">
        <v>99.39</v>
      </c>
      <c r="GL104" s="8">
        <v>93.74</v>
      </c>
      <c r="GM104" s="8">
        <v>94.92</v>
      </c>
      <c r="GN104" s="8">
        <v>96.98</v>
      </c>
      <c r="GO104" s="8">
        <v>99.74</v>
      </c>
      <c r="GP104" s="8">
        <v>89.49</v>
      </c>
      <c r="GQ104" s="8">
        <v>97.53</v>
      </c>
      <c r="GR104" s="8">
        <v>94.38</v>
      </c>
      <c r="GS104" s="8">
        <v>93.63</v>
      </c>
      <c r="GT104" s="8">
        <v>98.34</v>
      </c>
      <c r="GU104" s="8">
        <v>94.42</v>
      </c>
      <c r="GV104" s="8">
        <v>94.42</v>
      </c>
      <c r="GW104" s="8">
        <v>97.87</v>
      </c>
      <c r="GX104" s="8">
        <v>101.47</v>
      </c>
      <c r="GY104" s="8">
        <v>100.68</v>
      </c>
      <c r="GZ104" s="8">
        <v>92.52</v>
      </c>
      <c r="HA104" s="8">
        <v>97.62</v>
      </c>
      <c r="HB104" s="8">
        <v>99.73</v>
      </c>
      <c r="HC104" s="8">
        <v>99</v>
      </c>
      <c r="HD104" s="8">
        <v>98.64</v>
      </c>
      <c r="HE104" s="8">
        <v>100.68</v>
      </c>
      <c r="HF104" s="8">
        <v>97.83</v>
      </c>
      <c r="HG104" s="8">
        <v>94.85</v>
      </c>
      <c r="HH104" s="8">
        <v>98.57</v>
      </c>
      <c r="HI104" s="8">
        <v>99.37</v>
      </c>
      <c r="HJ104" s="8">
        <v>100.43</v>
      </c>
      <c r="HK104" s="8">
        <v>100.69</v>
      </c>
      <c r="HL104" s="8">
        <v>100.9</v>
      </c>
      <c r="HM104" s="8">
        <v>99.52</v>
      </c>
      <c r="HN104" s="8">
        <v>100.37</v>
      </c>
      <c r="HO104" s="8">
        <v>100.55</v>
      </c>
      <c r="HP104" s="8">
        <v>98.77</v>
      </c>
      <c r="HQ104" s="8">
        <v>99.42</v>
      </c>
      <c r="HR104" s="8">
        <v>99.4</v>
      </c>
      <c r="HS104" s="8">
        <v>99.33</v>
      </c>
      <c r="HT104" s="8">
        <v>100.15</v>
      </c>
      <c r="HU104" s="8">
        <v>100.46</v>
      </c>
      <c r="HV104" s="8">
        <v>98.7</v>
      </c>
      <c r="HW104" s="8">
        <v>97.84</v>
      </c>
      <c r="HX104" s="8">
        <v>100</v>
      </c>
      <c r="HY104" s="8">
        <v>100</v>
      </c>
      <c r="HZ104" s="8">
        <v>98.01</v>
      </c>
      <c r="IA104" s="8">
        <v>98.01</v>
      </c>
      <c r="IB104" s="8">
        <v>98.29</v>
      </c>
      <c r="IC104" s="8">
        <v>97.99</v>
      </c>
      <c r="ID104" s="8">
        <v>96.88</v>
      </c>
      <c r="IE104" s="8">
        <v>98.12</v>
      </c>
      <c r="IF104" s="8">
        <v>101.96</v>
      </c>
      <c r="IG104" s="8">
        <v>94.31</v>
      </c>
      <c r="IH104" s="8">
        <v>98.74</v>
      </c>
      <c r="II104" s="8">
        <v>101.02</v>
      </c>
      <c r="IJ104" s="8">
        <v>97.73</v>
      </c>
      <c r="IK104" s="8">
        <v>94.07</v>
      </c>
      <c r="IL104" s="8">
        <v>92.95</v>
      </c>
      <c r="IM104" s="8">
        <v>95.26</v>
      </c>
      <c r="IN104" s="8">
        <v>100.46</v>
      </c>
      <c r="IO104" s="8">
        <v>97.98</v>
      </c>
      <c r="IP104" s="8">
        <v>98.74</v>
      </c>
      <c r="IQ104" s="8">
        <v>101.17</v>
      </c>
    </row>
    <row r="105" spans="1:251" x14ac:dyDescent="0.2">
      <c r="A105" s="9">
        <v>45839</v>
      </c>
      <c r="B105" s="8">
        <v>100.05</v>
      </c>
      <c r="C105" s="8">
        <v>100.22</v>
      </c>
      <c r="D105" s="8">
        <v>100.18</v>
      </c>
      <c r="E105" s="8">
        <v>100.17</v>
      </c>
      <c r="F105" s="8">
        <v>100.73</v>
      </c>
      <c r="G105" s="8">
        <v>98.96</v>
      </c>
      <c r="H105" s="8">
        <v>98.85</v>
      </c>
      <c r="I105" s="8">
        <v>98.47</v>
      </c>
      <c r="J105" s="8">
        <v>96.73</v>
      </c>
      <c r="K105" s="8">
        <v>99.98</v>
      </c>
      <c r="L105" s="8">
        <v>92</v>
      </c>
      <c r="M105" s="8">
        <v>100.23</v>
      </c>
      <c r="N105" s="8">
        <v>100.84</v>
      </c>
      <c r="O105" s="8">
        <v>99.75</v>
      </c>
      <c r="P105" s="8">
        <v>98.03</v>
      </c>
      <c r="Q105" s="8">
        <v>97.2</v>
      </c>
      <c r="R105" s="8">
        <v>99.81</v>
      </c>
      <c r="S105" s="8">
        <v>97.23</v>
      </c>
      <c r="T105" s="8">
        <v>108.14</v>
      </c>
      <c r="U105" s="8">
        <v>108.07</v>
      </c>
      <c r="V105" s="8">
        <v>108.21</v>
      </c>
      <c r="W105" s="8">
        <v>98.96</v>
      </c>
      <c r="X105" s="8">
        <v>101.62</v>
      </c>
      <c r="Y105" s="8">
        <v>97.7</v>
      </c>
      <c r="Z105" s="8">
        <v>99.42</v>
      </c>
      <c r="AA105" s="8">
        <v>99.52</v>
      </c>
      <c r="AB105" s="8">
        <v>98.07</v>
      </c>
      <c r="AC105" s="8">
        <v>99.72</v>
      </c>
      <c r="AD105" s="8">
        <v>101.57</v>
      </c>
      <c r="AE105" s="8">
        <v>97.57</v>
      </c>
      <c r="AF105" s="8">
        <v>102.64</v>
      </c>
      <c r="AG105" s="8">
        <v>99.07</v>
      </c>
      <c r="AH105" s="8">
        <v>98.89</v>
      </c>
      <c r="AI105" s="8">
        <v>99.33</v>
      </c>
      <c r="AJ105" s="8">
        <v>99.4</v>
      </c>
      <c r="AK105" s="8">
        <v>101.09</v>
      </c>
      <c r="AL105" s="8">
        <v>100.85</v>
      </c>
      <c r="AM105" s="8">
        <v>102.59</v>
      </c>
      <c r="AN105" s="8">
        <v>99.77</v>
      </c>
      <c r="AO105" s="8">
        <v>95.02</v>
      </c>
      <c r="AP105" s="8">
        <v>95.02</v>
      </c>
      <c r="AQ105" s="8">
        <v>98.32</v>
      </c>
      <c r="AR105" s="8">
        <v>99.68</v>
      </c>
      <c r="AS105" s="8">
        <v>99.69</v>
      </c>
      <c r="AT105" s="8">
        <v>100.55</v>
      </c>
      <c r="AU105" s="8">
        <v>96.47</v>
      </c>
      <c r="AV105" s="8">
        <v>98.53</v>
      </c>
      <c r="AW105" s="8">
        <v>101.41</v>
      </c>
      <c r="AX105" s="8">
        <v>96.82</v>
      </c>
      <c r="AY105" s="8">
        <v>102.39</v>
      </c>
      <c r="AZ105" s="8">
        <v>95.36</v>
      </c>
      <c r="BA105" s="8">
        <v>94.99</v>
      </c>
      <c r="BB105" s="8">
        <v>99.47</v>
      </c>
      <c r="BC105" s="8">
        <v>101.57</v>
      </c>
      <c r="BD105" s="8">
        <v>99.51</v>
      </c>
      <c r="BE105" s="8">
        <v>99.51</v>
      </c>
      <c r="BF105" s="8">
        <v>100.04</v>
      </c>
      <c r="BG105" s="8">
        <v>100.04</v>
      </c>
      <c r="BH105" s="8">
        <v>97.95</v>
      </c>
      <c r="BI105" s="8">
        <v>99.72</v>
      </c>
      <c r="BJ105" s="8">
        <v>94.65</v>
      </c>
      <c r="BK105" s="8">
        <v>111.89</v>
      </c>
      <c r="BL105" s="8">
        <v>100</v>
      </c>
      <c r="BM105" s="8">
        <v>116.91</v>
      </c>
      <c r="BN105" s="8">
        <v>99.04</v>
      </c>
      <c r="BO105" s="8">
        <v>99.06</v>
      </c>
      <c r="BP105" s="8">
        <v>97.91</v>
      </c>
      <c r="BQ105" s="8">
        <v>97.75</v>
      </c>
      <c r="BR105" s="8">
        <v>98.56</v>
      </c>
      <c r="BS105" s="8">
        <v>101.04</v>
      </c>
      <c r="BT105" s="8">
        <v>101.04</v>
      </c>
      <c r="BU105" s="8">
        <v>100.92</v>
      </c>
      <c r="BV105" s="8">
        <v>97.09</v>
      </c>
      <c r="BW105" s="8">
        <v>101.46</v>
      </c>
      <c r="BX105" s="8">
        <v>103.42</v>
      </c>
      <c r="BY105" s="8">
        <v>102.24</v>
      </c>
      <c r="BZ105" s="8">
        <v>100.37</v>
      </c>
      <c r="CA105" s="8">
        <v>101.11</v>
      </c>
      <c r="CB105" s="8">
        <v>99.81</v>
      </c>
      <c r="CC105" s="8">
        <v>100.62</v>
      </c>
      <c r="CD105" s="8">
        <v>97.55</v>
      </c>
      <c r="CE105" s="8">
        <v>94.77</v>
      </c>
      <c r="CF105" s="8">
        <v>99.14</v>
      </c>
      <c r="CG105" s="8">
        <v>99.43</v>
      </c>
      <c r="CH105" s="8">
        <v>99.45</v>
      </c>
      <c r="CI105" s="8">
        <v>101.24</v>
      </c>
      <c r="CJ105" s="8">
        <v>101.58</v>
      </c>
      <c r="CK105" s="8">
        <v>98.85</v>
      </c>
      <c r="CL105" s="8">
        <v>99.16</v>
      </c>
      <c r="CM105" s="8">
        <v>99.36</v>
      </c>
      <c r="CN105" s="8">
        <v>97.46</v>
      </c>
      <c r="CO105" s="8">
        <v>99.99</v>
      </c>
      <c r="CP105" s="8">
        <v>99.99</v>
      </c>
      <c r="CQ105" s="8">
        <v>101.04</v>
      </c>
      <c r="CR105" s="8">
        <v>102.41</v>
      </c>
      <c r="CS105" s="8">
        <v>98.05</v>
      </c>
      <c r="CT105" s="8">
        <v>99.93</v>
      </c>
      <c r="CU105" s="8">
        <v>100.19</v>
      </c>
      <c r="CV105" s="8">
        <v>99.99</v>
      </c>
      <c r="CW105" s="8">
        <v>99.99</v>
      </c>
      <c r="CX105" s="8">
        <v>99.49</v>
      </c>
      <c r="CY105" s="8">
        <v>99.49</v>
      </c>
      <c r="CZ105" s="8">
        <v>99.4</v>
      </c>
      <c r="DA105" s="8">
        <v>99.5</v>
      </c>
      <c r="DB105" s="8">
        <v>99.16</v>
      </c>
      <c r="DC105" s="8">
        <v>97.78</v>
      </c>
      <c r="DD105" s="8">
        <v>101.29</v>
      </c>
      <c r="DE105" s="8">
        <v>94.17</v>
      </c>
      <c r="DF105" s="8">
        <v>100.39</v>
      </c>
      <c r="DG105" s="8">
        <v>102.94</v>
      </c>
      <c r="DH105" s="8">
        <v>99.51</v>
      </c>
      <c r="DI105" s="8">
        <v>99.48</v>
      </c>
      <c r="DJ105" s="8">
        <v>100.86</v>
      </c>
      <c r="DK105" s="8">
        <v>98.16</v>
      </c>
      <c r="DL105" s="8">
        <v>99.16</v>
      </c>
      <c r="DM105" s="8">
        <v>100.28</v>
      </c>
      <c r="DN105" s="8">
        <v>96.13</v>
      </c>
      <c r="DO105" s="8">
        <v>100.73</v>
      </c>
      <c r="DP105" s="8">
        <v>99.37</v>
      </c>
      <c r="DQ105" s="8">
        <v>99.56</v>
      </c>
      <c r="DR105" s="8">
        <v>99.59</v>
      </c>
      <c r="DS105" s="8">
        <v>99.67</v>
      </c>
      <c r="DT105" s="8">
        <v>99.67</v>
      </c>
      <c r="DU105" s="8">
        <v>99.2</v>
      </c>
      <c r="DV105" s="8">
        <v>100</v>
      </c>
      <c r="DW105" s="8">
        <v>99.56</v>
      </c>
      <c r="DX105" s="8">
        <v>99.62</v>
      </c>
      <c r="DY105" s="8">
        <v>99.54</v>
      </c>
      <c r="DZ105" s="8">
        <v>99.54</v>
      </c>
      <c r="EA105" s="8">
        <v>99.64</v>
      </c>
      <c r="EB105" s="8">
        <v>100.79</v>
      </c>
      <c r="EC105" s="8">
        <v>99.54</v>
      </c>
      <c r="ED105" s="8">
        <v>99.45</v>
      </c>
      <c r="EE105" s="8">
        <v>100.07</v>
      </c>
      <c r="EF105" s="8">
        <v>100.25</v>
      </c>
      <c r="EG105" s="8">
        <v>100.16</v>
      </c>
      <c r="EH105" s="8">
        <v>100.82</v>
      </c>
      <c r="EI105" s="8">
        <v>99.19</v>
      </c>
      <c r="EJ105" s="8">
        <v>99.09</v>
      </c>
      <c r="EK105" s="8">
        <v>98.29</v>
      </c>
      <c r="EL105" s="8">
        <v>96.52</v>
      </c>
      <c r="EM105" s="8">
        <v>99.73</v>
      </c>
      <c r="EN105" s="8">
        <v>91.68</v>
      </c>
      <c r="EO105" s="8">
        <v>100.18</v>
      </c>
      <c r="EP105" s="8">
        <v>101</v>
      </c>
      <c r="EQ105" s="8">
        <v>99.59</v>
      </c>
      <c r="ER105" s="8">
        <v>98.14</v>
      </c>
      <c r="ES105" s="8">
        <v>97.32</v>
      </c>
      <c r="ET105" s="8">
        <v>99.94</v>
      </c>
      <c r="EU105" s="8">
        <v>97.3</v>
      </c>
      <c r="EV105" s="8">
        <v>107.94</v>
      </c>
      <c r="EW105" s="8">
        <v>108.01</v>
      </c>
      <c r="EX105" s="8">
        <v>107.88</v>
      </c>
      <c r="EY105" s="8">
        <v>98.91</v>
      </c>
      <c r="EZ105" s="8">
        <v>100.99</v>
      </c>
      <c r="FA105" s="8">
        <v>97.82</v>
      </c>
      <c r="FB105" s="8">
        <v>99.24</v>
      </c>
      <c r="FC105" s="8">
        <v>99.16</v>
      </c>
      <c r="FD105" s="8">
        <v>98.28</v>
      </c>
      <c r="FE105" s="8">
        <v>99.56</v>
      </c>
      <c r="FF105" s="8">
        <v>101.59</v>
      </c>
      <c r="FG105" s="8">
        <v>97.75</v>
      </c>
      <c r="FH105" s="8">
        <v>102.98</v>
      </c>
      <c r="FI105" s="8">
        <v>98.82</v>
      </c>
      <c r="FJ105" s="8">
        <v>98.7</v>
      </c>
      <c r="FK105" s="8">
        <v>98.98</v>
      </c>
      <c r="FL105" s="8">
        <v>98.24</v>
      </c>
      <c r="FM105" s="8">
        <v>99.92</v>
      </c>
      <c r="FN105" s="8">
        <v>99.55</v>
      </c>
      <c r="FO105" s="8">
        <v>99.87</v>
      </c>
      <c r="FP105" s="8">
        <v>100.15</v>
      </c>
      <c r="FQ105" s="8">
        <v>94.62</v>
      </c>
      <c r="FR105" s="8">
        <v>94.62</v>
      </c>
      <c r="FS105" s="8">
        <v>99.18</v>
      </c>
      <c r="FT105" s="8">
        <v>100.85</v>
      </c>
      <c r="FU105" s="8">
        <v>99.25</v>
      </c>
      <c r="FV105" s="8">
        <v>103.58</v>
      </c>
      <c r="FW105" s="8">
        <v>95.66</v>
      </c>
      <c r="FX105" s="8">
        <v>97.18</v>
      </c>
      <c r="FY105" s="8">
        <v>103.28</v>
      </c>
      <c r="FZ105" s="8">
        <v>92.52</v>
      </c>
      <c r="GA105" s="8">
        <v>102.98</v>
      </c>
      <c r="GB105" s="8">
        <v>96.41</v>
      </c>
      <c r="GC105" s="8">
        <v>96.11</v>
      </c>
      <c r="GD105" s="8">
        <v>99.74</v>
      </c>
      <c r="GE105" s="8">
        <v>98.66</v>
      </c>
      <c r="GF105" s="8">
        <v>99.52</v>
      </c>
      <c r="GG105" s="8">
        <v>99.52</v>
      </c>
      <c r="GH105" s="8">
        <v>98.6</v>
      </c>
      <c r="GI105" s="8">
        <v>98.6</v>
      </c>
      <c r="GJ105" s="8">
        <v>97.27</v>
      </c>
      <c r="GK105" s="8">
        <v>100.25</v>
      </c>
      <c r="GL105" s="8">
        <v>93.74</v>
      </c>
      <c r="GM105" s="8">
        <v>98.79</v>
      </c>
      <c r="GN105" s="8">
        <v>100</v>
      </c>
      <c r="GO105" s="8">
        <v>101.28</v>
      </c>
      <c r="GP105" s="8">
        <v>95.91</v>
      </c>
      <c r="GQ105" s="8">
        <v>99.74</v>
      </c>
      <c r="GR105" s="8">
        <v>98.68</v>
      </c>
      <c r="GS105" s="8">
        <v>98.59</v>
      </c>
      <c r="GT105" s="8">
        <v>99.16</v>
      </c>
      <c r="GU105" s="8">
        <v>105.59</v>
      </c>
      <c r="GV105" s="8">
        <v>105.59</v>
      </c>
      <c r="GW105" s="8">
        <v>99.78</v>
      </c>
      <c r="GX105" s="8">
        <v>99.96</v>
      </c>
      <c r="GY105" s="8">
        <v>100.6</v>
      </c>
      <c r="GZ105" s="8">
        <v>100.21</v>
      </c>
      <c r="HA105" s="8">
        <v>98.33</v>
      </c>
      <c r="HB105" s="8">
        <v>100.43</v>
      </c>
      <c r="HC105" s="8">
        <v>100.99</v>
      </c>
      <c r="HD105" s="8">
        <v>100.06</v>
      </c>
      <c r="HE105" s="8">
        <v>100.62</v>
      </c>
      <c r="HF105" s="8">
        <v>98.61</v>
      </c>
      <c r="HG105" s="8">
        <v>95.27</v>
      </c>
      <c r="HH105" s="8">
        <v>99.18</v>
      </c>
      <c r="HI105" s="8">
        <v>100.7</v>
      </c>
      <c r="HJ105" s="8">
        <v>100.33</v>
      </c>
      <c r="HK105" s="8">
        <v>100.51</v>
      </c>
      <c r="HL105" s="8">
        <v>100.6</v>
      </c>
      <c r="HM105" s="8">
        <v>100</v>
      </c>
      <c r="HN105" s="8">
        <v>100.29</v>
      </c>
      <c r="HO105" s="8">
        <v>100.39</v>
      </c>
      <c r="HP105" s="8">
        <v>99.37</v>
      </c>
      <c r="HQ105" s="8">
        <v>99.96</v>
      </c>
      <c r="HR105" s="8">
        <v>99.96</v>
      </c>
      <c r="HS105" s="8">
        <v>101.29</v>
      </c>
      <c r="HT105" s="8">
        <v>100.31</v>
      </c>
      <c r="HU105" s="8">
        <v>98.68</v>
      </c>
      <c r="HV105" s="8">
        <v>99.62</v>
      </c>
      <c r="HW105" s="8">
        <v>99.98</v>
      </c>
      <c r="HX105" s="8">
        <v>100</v>
      </c>
      <c r="HY105" s="8">
        <v>100</v>
      </c>
      <c r="HZ105" s="8">
        <v>99.49</v>
      </c>
      <c r="IA105" s="8">
        <v>99.49</v>
      </c>
      <c r="IB105" s="8">
        <v>99.4</v>
      </c>
      <c r="IC105" s="8">
        <v>99.5</v>
      </c>
      <c r="ID105" s="8">
        <v>99.31</v>
      </c>
      <c r="IE105" s="8">
        <v>98.81</v>
      </c>
      <c r="IF105" s="8">
        <v>103.51</v>
      </c>
      <c r="IG105" s="8">
        <v>94.15</v>
      </c>
      <c r="IH105" s="8">
        <v>100.78</v>
      </c>
      <c r="II105" s="8">
        <v>102.55</v>
      </c>
      <c r="IJ105" s="8">
        <v>100</v>
      </c>
      <c r="IK105" s="8">
        <v>98.33</v>
      </c>
      <c r="IL105" s="8">
        <v>99.85</v>
      </c>
      <c r="IM105" s="8">
        <v>96.72</v>
      </c>
      <c r="IN105" s="8">
        <v>100.9</v>
      </c>
      <c r="IO105" s="8">
        <v>99.19</v>
      </c>
      <c r="IP105" s="8">
        <v>96.91</v>
      </c>
      <c r="IQ105" s="8">
        <v>100.66</v>
      </c>
    </row>
    <row r="106" spans="1:251" x14ac:dyDescent="0.2">
      <c r="A106" s="9">
        <v>45870</v>
      </c>
      <c r="B106" s="8">
        <v>99.69</v>
      </c>
      <c r="C106" s="8">
        <v>100.28</v>
      </c>
      <c r="D106" s="8">
        <v>100.3</v>
      </c>
      <c r="E106" s="8">
        <v>100.07</v>
      </c>
      <c r="F106" s="8">
        <v>100.81</v>
      </c>
      <c r="G106" s="8">
        <v>99.74</v>
      </c>
      <c r="H106" s="8">
        <v>99.52</v>
      </c>
      <c r="I106" s="8">
        <v>99.65</v>
      </c>
      <c r="J106" s="8">
        <v>98.58</v>
      </c>
      <c r="K106" s="8">
        <v>100.07</v>
      </c>
      <c r="L106" s="8">
        <v>95.28</v>
      </c>
      <c r="M106" s="8">
        <v>100.93</v>
      </c>
      <c r="N106" s="8">
        <v>101.4</v>
      </c>
      <c r="O106" s="8">
        <v>100.61</v>
      </c>
      <c r="P106" s="8">
        <v>99.21</v>
      </c>
      <c r="Q106" s="8">
        <v>99.46</v>
      </c>
      <c r="R106" s="8">
        <v>99.95</v>
      </c>
      <c r="S106" s="8">
        <v>98.17</v>
      </c>
      <c r="T106" s="8">
        <v>104.94</v>
      </c>
      <c r="U106" s="8">
        <v>107.61</v>
      </c>
      <c r="V106" s="8">
        <v>102.6</v>
      </c>
      <c r="W106" s="8">
        <v>99.44</v>
      </c>
      <c r="X106" s="8">
        <v>101.26</v>
      </c>
      <c r="Y106" s="8">
        <v>98.92</v>
      </c>
      <c r="Z106" s="8">
        <v>100.05</v>
      </c>
      <c r="AA106" s="8">
        <v>99.36</v>
      </c>
      <c r="AB106" s="8">
        <v>98.96</v>
      </c>
      <c r="AC106" s="8">
        <v>99.67</v>
      </c>
      <c r="AD106" s="8">
        <v>100.98</v>
      </c>
      <c r="AE106" s="8">
        <v>97.52</v>
      </c>
      <c r="AF106" s="8">
        <v>101.9</v>
      </c>
      <c r="AG106" s="8">
        <v>99.51</v>
      </c>
      <c r="AH106" s="8">
        <v>99.31</v>
      </c>
      <c r="AI106" s="8">
        <v>99.8</v>
      </c>
      <c r="AJ106" s="8">
        <v>99.37</v>
      </c>
      <c r="AK106" s="8">
        <v>100.94</v>
      </c>
      <c r="AL106" s="8">
        <v>100.52</v>
      </c>
      <c r="AM106" s="8">
        <v>102.41</v>
      </c>
      <c r="AN106" s="8">
        <v>99.71</v>
      </c>
      <c r="AO106" s="8">
        <v>95.31</v>
      </c>
      <c r="AP106" s="8">
        <v>95.31</v>
      </c>
      <c r="AQ106" s="8">
        <v>100.59</v>
      </c>
      <c r="AR106" s="8">
        <v>102.82</v>
      </c>
      <c r="AS106" s="8">
        <v>103.2</v>
      </c>
      <c r="AT106" s="8">
        <v>103.04</v>
      </c>
      <c r="AU106" s="8">
        <v>101.42</v>
      </c>
      <c r="AV106" s="8">
        <v>95.63</v>
      </c>
      <c r="AW106" s="8">
        <v>97.44</v>
      </c>
      <c r="AX106" s="8">
        <v>94.54</v>
      </c>
      <c r="AY106" s="8">
        <v>98.11</v>
      </c>
      <c r="AZ106" s="8">
        <v>98.28</v>
      </c>
      <c r="BA106" s="8">
        <v>98.13</v>
      </c>
      <c r="BB106" s="8">
        <v>99.93</v>
      </c>
      <c r="BC106" s="8">
        <v>99.64</v>
      </c>
      <c r="BD106" s="8">
        <v>99.79</v>
      </c>
      <c r="BE106" s="8">
        <v>99.79</v>
      </c>
      <c r="BF106" s="8">
        <v>99.71</v>
      </c>
      <c r="BG106" s="8">
        <v>99.71</v>
      </c>
      <c r="BH106" s="8">
        <v>98.02</v>
      </c>
      <c r="BI106" s="8">
        <v>99.83</v>
      </c>
      <c r="BJ106" s="8">
        <v>94.65</v>
      </c>
      <c r="BK106" s="8">
        <v>100.65</v>
      </c>
      <c r="BL106" s="8">
        <v>100</v>
      </c>
      <c r="BM106" s="8">
        <v>100.94</v>
      </c>
      <c r="BN106" s="8">
        <v>99.86</v>
      </c>
      <c r="BO106" s="8">
        <v>100.62</v>
      </c>
      <c r="BP106" s="8">
        <v>97.68</v>
      </c>
      <c r="BQ106" s="8">
        <v>97.22</v>
      </c>
      <c r="BR106" s="8">
        <v>99.51</v>
      </c>
      <c r="BS106" s="8">
        <v>102.5</v>
      </c>
      <c r="BT106" s="8">
        <v>102.5</v>
      </c>
      <c r="BU106" s="8">
        <v>104.46</v>
      </c>
      <c r="BV106" s="8">
        <v>100.99</v>
      </c>
      <c r="BW106" s="8">
        <v>105.14</v>
      </c>
      <c r="BX106" s="8">
        <v>111.59</v>
      </c>
      <c r="BY106" s="8">
        <v>101.21</v>
      </c>
      <c r="BZ106" s="8">
        <v>100.4</v>
      </c>
      <c r="CA106" s="8">
        <v>99.94</v>
      </c>
      <c r="CB106" s="8">
        <v>100.17</v>
      </c>
      <c r="CC106" s="8">
        <v>100.65</v>
      </c>
      <c r="CD106" s="8">
        <v>100.16</v>
      </c>
      <c r="CE106" s="8">
        <v>99.25</v>
      </c>
      <c r="CF106" s="8">
        <v>99.78</v>
      </c>
      <c r="CG106" s="8">
        <v>102.21</v>
      </c>
      <c r="CH106" s="8">
        <v>99.68</v>
      </c>
      <c r="CI106" s="8">
        <v>100.59</v>
      </c>
      <c r="CJ106" s="8">
        <v>100.75</v>
      </c>
      <c r="CK106" s="8">
        <v>99.49</v>
      </c>
      <c r="CL106" s="8">
        <v>99.53</v>
      </c>
      <c r="CM106" s="8">
        <v>99.48</v>
      </c>
      <c r="CN106" s="8">
        <v>99.89</v>
      </c>
      <c r="CO106" s="8">
        <v>99.67</v>
      </c>
      <c r="CP106" s="8">
        <v>99.65</v>
      </c>
      <c r="CQ106" s="8">
        <v>101.06</v>
      </c>
      <c r="CR106" s="8">
        <v>103.42</v>
      </c>
      <c r="CS106" s="8">
        <v>96.83</v>
      </c>
      <c r="CT106" s="8">
        <v>99.77</v>
      </c>
      <c r="CU106" s="8">
        <v>99.9</v>
      </c>
      <c r="CV106" s="8">
        <v>99.99</v>
      </c>
      <c r="CW106" s="8">
        <v>99.99</v>
      </c>
      <c r="CX106" s="8">
        <v>100.2</v>
      </c>
      <c r="CY106" s="8">
        <v>100.2</v>
      </c>
      <c r="CZ106" s="8">
        <v>99.59</v>
      </c>
      <c r="DA106" s="8">
        <v>100.24</v>
      </c>
      <c r="DB106" s="8">
        <v>98.05</v>
      </c>
      <c r="DC106" s="8">
        <v>99.63</v>
      </c>
      <c r="DD106" s="8">
        <v>99.94</v>
      </c>
      <c r="DE106" s="8">
        <v>99.31</v>
      </c>
      <c r="DF106" s="8">
        <v>99.56</v>
      </c>
      <c r="DG106" s="8">
        <v>100.19</v>
      </c>
      <c r="DH106" s="8">
        <v>99.34</v>
      </c>
      <c r="DI106" s="8">
        <v>96.59</v>
      </c>
      <c r="DJ106" s="8">
        <v>97.65</v>
      </c>
      <c r="DK106" s="8">
        <v>95.56</v>
      </c>
      <c r="DL106" s="8">
        <v>99.7</v>
      </c>
      <c r="DM106" s="8">
        <v>100.99</v>
      </c>
      <c r="DN106" s="8">
        <v>97.36</v>
      </c>
      <c r="DO106" s="8">
        <v>100.44</v>
      </c>
      <c r="DP106" s="8">
        <v>99.42</v>
      </c>
      <c r="DQ106" s="8">
        <v>99.85</v>
      </c>
      <c r="DR106" s="8">
        <v>100.39</v>
      </c>
      <c r="DS106" s="8">
        <v>99.98</v>
      </c>
      <c r="DT106" s="8">
        <v>99.98</v>
      </c>
      <c r="DU106" s="8">
        <v>99.91</v>
      </c>
      <c r="DV106" s="8">
        <v>100</v>
      </c>
      <c r="DW106" s="8">
        <v>100</v>
      </c>
      <c r="DX106" s="8">
        <v>99.67</v>
      </c>
      <c r="DY106" s="8">
        <v>99.7</v>
      </c>
      <c r="DZ106" s="8">
        <v>99.7</v>
      </c>
      <c r="EA106" s="8">
        <v>99.66</v>
      </c>
      <c r="EB106" s="8">
        <v>101.03</v>
      </c>
      <c r="EC106" s="8">
        <v>99.54</v>
      </c>
      <c r="ED106" s="8">
        <v>99.54</v>
      </c>
      <c r="EE106" s="8">
        <v>100.32</v>
      </c>
      <c r="EF106" s="8">
        <v>100.3</v>
      </c>
      <c r="EG106" s="8">
        <v>100.12</v>
      </c>
      <c r="EH106" s="8">
        <v>100.78</v>
      </c>
      <c r="EI106" s="8">
        <v>99.52</v>
      </c>
      <c r="EJ106" s="8">
        <v>99.56</v>
      </c>
      <c r="EK106" s="8">
        <v>99.59</v>
      </c>
      <c r="EL106" s="8">
        <v>98.37</v>
      </c>
      <c r="EM106" s="8">
        <v>100.31</v>
      </c>
      <c r="EN106" s="8">
        <v>95.48</v>
      </c>
      <c r="EO106" s="8">
        <v>100.8</v>
      </c>
      <c r="EP106" s="8">
        <v>101.7</v>
      </c>
      <c r="EQ106" s="8">
        <v>100.21</v>
      </c>
      <c r="ER106" s="8">
        <v>99.24</v>
      </c>
      <c r="ES106" s="8">
        <v>99.46</v>
      </c>
      <c r="ET106" s="8">
        <v>99.97</v>
      </c>
      <c r="EU106" s="8">
        <v>98.17</v>
      </c>
      <c r="EV106" s="8">
        <v>104.5</v>
      </c>
      <c r="EW106" s="8">
        <v>107.12</v>
      </c>
      <c r="EX106" s="8">
        <v>102.64</v>
      </c>
      <c r="EY106" s="8">
        <v>99.35</v>
      </c>
      <c r="EZ106" s="8">
        <v>100.68</v>
      </c>
      <c r="FA106" s="8">
        <v>99.05</v>
      </c>
      <c r="FB106" s="8">
        <v>99.98</v>
      </c>
      <c r="FC106" s="8">
        <v>99.06</v>
      </c>
      <c r="FD106" s="8">
        <v>98.95</v>
      </c>
      <c r="FE106" s="8">
        <v>99.61</v>
      </c>
      <c r="FF106" s="8">
        <v>100.69</v>
      </c>
      <c r="FG106" s="8">
        <v>97.65</v>
      </c>
      <c r="FH106" s="8">
        <v>101.79</v>
      </c>
      <c r="FI106" s="8">
        <v>99.82</v>
      </c>
      <c r="FJ106" s="8">
        <v>99.86</v>
      </c>
      <c r="FK106" s="8">
        <v>99.76</v>
      </c>
      <c r="FL106" s="8">
        <v>98.31</v>
      </c>
      <c r="FM106" s="8">
        <v>100.04</v>
      </c>
      <c r="FN106" s="8">
        <v>99.59</v>
      </c>
      <c r="FO106" s="8">
        <v>99.9</v>
      </c>
      <c r="FP106" s="8">
        <v>100.37</v>
      </c>
      <c r="FQ106" s="8">
        <v>94.57</v>
      </c>
      <c r="FR106" s="8">
        <v>94.57</v>
      </c>
      <c r="FS106" s="8">
        <v>100.06</v>
      </c>
      <c r="FT106" s="8">
        <v>102.65</v>
      </c>
      <c r="FU106" s="8">
        <v>103.66</v>
      </c>
      <c r="FV106" s="8">
        <v>102.56</v>
      </c>
      <c r="FW106" s="8">
        <v>101.1</v>
      </c>
      <c r="FX106" s="8">
        <v>94.96</v>
      </c>
      <c r="FY106" s="8">
        <v>98.18</v>
      </c>
      <c r="FZ106" s="8">
        <v>92.5</v>
      </c>
      <c r="GA106" s="8">
        <v>98.04</v>
      </c>
      <c r="GB106" s="8">
        <v>96.9</v>
      </c>
      <c r="GC106" s="8">
        <v>96.62</v>
      </c>
      <c r="GD106" s="8">
        <v>100</v>
      </c>
      <c r="GE106" s="8">
        <v>99.06</v>
      </c>
      <c r="GF106" s="8">
        <v>99.84</v>
      </c>
      <c r="GG106" s="8">
        <v>99.84</v>
      </c>
      <c r="GH106" s="8">
        <v>99.69</v>
      </c>
      <c r="GI106" s="8">
        <v>99.69</v>
      </c>
      <c r="GJ106" s="8">
        <v>97.23</v>
      </c>
      <c r="GK106" s="8">
        <v>100.18</v>
      </c>
      <c r="GL106" s="8">
        <v>93.74</v>
      </c>
      <c r="GM106" s="8">
        <v>98.44</v>
      </c>
      <c r="GN106" s="8">
        <v>100</v>
      </c>
      <c r="GO106" s="8">
        <v>100.35</v>
      </c>
      <c r="GP106" s="8">
        <v>95.96</v>
      </c>
      <c r="GQ106" s="8">
        <v>100.29</v>
      </c>
      <c r="GR106" s="8">
        <v>98.47</v>
      </c>
      <c r="GS106" s="8">
        <v>98.12</v>
      </c>
      <c r="GT106" s="8">
        <v>100.32</v>
      </c>
      <c r="GU106" s="8">
        <v>102.69</v>
      </c>
      <c r="GV106" s="8">
        <v>102.69</v>
      </c>
      <c r="GW106" s="8">
        <v>101.75</v>
      </c>
      <c r="GX106" s="8">
        <v>98.93</v>
      </c>
      <c r="GY106" s="8">
        <v>102</v>
      </c>
      <c r="GZ106" s="8">
        <v>106.45</v>
      </c>
      <c r="HA106" s="8">
        <v>98.93</v>
      </c>
      <c r="HB106" s="8">
        <v>100.5</v>
      </c>
      <c r="HC106" s="8">
        <v>99.68</v>
      </c>
      <c r="HD106" s="8">
        <v>100.41</v>
      </c>
      <c r="HE106" s="8">
        <v>100.69</v>
      </c>
      <c r="HF106" s="8">
        <v>99.98</v>
      </c>
      <c r="HG106" s="8">
        <v>99.51</v>
      </c>
      <c r="HH106" s="8">
        <v>99.18</v>
      </c>
      <c r="HI106" s="8">
        <v>101.43</v>
      </c>
      <c r="HJ106" s="8">
        <v>100.33</v>
      </c>
      <c r="HK106" s="8">
        <v>100.49</v>
      </c>
      <c r="HL106" s="8">
        <v>100.58</v>
      </c>
      <c r="HM106" s="8">
        <v>100</v>
      </c>
      <c r="HN106" s="8">
        <v>100.29</v>
      </c>
      <c r="HO106" s="8">
        <v>100.32</v>
      </c>
      <c r="HP106" s="8">
        <v>100</v>
      </c>
      <c r="HQ106" s="8">
        <v>100.76</v>
      </c>
      <c r="HR106" s="8">
        <v>100.79</v>
      </c>
      <c r="HS106" s="8">
        <v>101.18</v>
      </c>
      <c r="HT106" s="8">
        <v>100.45</v>
      </c>
      <c r="HU106" s="8">
        <v>101.31</v>
      </c>
      <c r="HV106" s="8">
        <v>100.03</v>
      </c>
      <c r="HW106" s="8">
        <v>100</v>
      </c>
      <c r="HX106" s="8">
        <v>100</v>
      </c>
      <c r="HY106" s="8">
        <v>100</v>
      </c>
      <c r="HZ106" s="8">
        <v>100.2</v>
      </c>
      <c r="IA106" s="8">
        <v>100.2</v>
      </c>
      <c r="IB106" s="8">
        <v>99.59</v>
      </c>
      <c r="IC106" s="8">
        <v>100.23</v>
      </c>
      <c r="ID106" s="8">
        <v>97.58</v>
      </c>
      <c r="IE106" s="8">
        <v>101.54</v>
      </c>
      <c r="IF106" s="8">
        <v>103.83</v>
      </c>
      <c r="IG106" s="8">
        <v>99.26</v>
      </c>
      <c r="IH106" s="8">
        <v>101.38</v>
      </c>
      <c r="II106" s="8">
        <v>101.99</v>
      </c>
      <c r="IJ106" s="8">
        <v>101.11</v>
      </c>
      <c r="IK106" s="8">
        <v>94.16</v>
      </c>
      <c r="IL106" s="8">
        <v>94.74</v>
      </c>
      <c r="IM106" s="8">
        <v>93.54</v>
      </c>
      <c r="IN106" s="8">
        <v>100.55</v>
      </c>
      <c r="IO106" s="8">
        <v>98.69</v>
      </c>
      <c r="IP106" s="8">
        <v>97.39</v>
      </c>
      <c r="IQ106" s="8">
        <v>100.56</v>
      </c>
    </row>
    <row r="107" spans="1:251" x14ac:dyDescent="0.2">
      <c r="A107" s="9">
        <v>45901</v>
      </c>
      <c r="B107" s="8">
        <v>100</v>
      </c>
      <c r="C107" s="8">
        <v>100</v>
      </c>
      <c r="D107" s="8">
        <v>100</v>
      </c>
      <c r="E107" s="8">
        <v>100</v>
      </c>
      <c r="F107" s="8">
        <v>100</v>
      </c>
      <c r="G107" s="8">
        <v>100</v>
      </c>
      <c r="H107" s="8">
        <v>100</v>
      </c>
      <c r="I107" s="8">
        <v>100</v>
      </c>
      <c r="J107" s="8">
        <v>100</v>
      </c>
      <c r="K107" s="8">
        <v>100</v>
      </c>
      <c r="L107" s="8">
        <v>100</v>
      </c>
      <c r="M107" s="8">
        <v>100</v>
      </c>
      <c r="N107" s="8">
        <v>100</v>
      </c>
      <c r="O107" s="8">
        <v>100</v>
      </c>
      <c r="P107" s="8">
        <v>100</v>
      </c>
      <c r="Q107" s="8">
        <v>100</v>
      </c>
      <c r="R107" s="8">
        <v>100</v>
      </c>
      <c r="S107" s="8">
        <v>100</v>
      </c>
      <c r="T107" s="8">
        <v>100</v>
      </c>
      <c r="U107" s="8">
        <v>100</v>
      </c>
      <c r="V107" s="8">
        <v>100</v>
      </c>
      <c r="W107" s="8">
        <v>100</v>
      </c>
      <c r="X107" s="8">
        <v>100</v>
      </c>
      <c r="Y107" s="8">
        <v>100</v>
      </c>
      <c r="Z107" s="8">
        <v>100</v>
      </c>
      <c r="AA107" s="8">
        <v>100</v>
      </c>
      <c r="AB107" s="8">
        <v>100</v>
      </c>
      <c r="AC107" s="8">
        <v>100</v>
      </c>
      <c r="AD107" s="8">
        <v>100</v>
      </c>
      <c r="AE107" s="8">
        <v>100</v>
      </c>
      <c r="AF107" s="8">
        <v>100</v>
      </c>
      <c r="AG107" s="8">
        <v>100</v>
      </c>
      <c r="AH107" s="8">
        <v>100</v>
      </c>
      <c r="AI107" s="8">
        <v>100</v>
      </c>
      <c r="AJ107" s="8">
        <v>100</v>
      </c>
      <c r="AK107" s="8">
        <v>100</v>
      </c>
      <c r="AL107" s="8">
        <v>100</v>
      </c>
      <c r="AM107" s="8">
        <v>100</v>
      </c>
      <c r="AN107" s="8">
        <v>100</v>
      </c>
      <c r="AO107" s="8">
        <v>100</v>
      </c>
      <c r="AP107" s="8">
        <v>100</v>
      </c>
      <c r="AQ107" s="8">
        <v>100</v>
      </c>
      <c r="AR107" s="8">
        <v>100</v>
      </c>
      <c r="AS107" s="8">
        <v>100</v>
      </c>
      <c r="AT107" s="8">
        <v>100</v>
      </c>
      <c r="AU107" s="8">
        <v>100</v>
      </c>
      <c r="AV107" s="8">
        <v>100</v>
      </c>
      <c r="AW107" s="8">
        <v>100</v>
      </c>
      <c r="AX107" s="8">
        <v>100</v>
      </c>
      <c r="AY107" s="8">
        <v>100</v>
      </c>
      <c r="AZ107" s="8">
        <v>100</v>
      </c>
      <c r="BA107" s="8">
        <v>100</v>
      </c>
      <c r="BB107" s="8">
        <v>100</v>
      </c>
      <c r="BC107" s="8">
        <v>100</v>
      </c>
      <c r="BD107" s="8">
        <v>100</v>
      </c>
      <c r="BE107" s="8">
        <v>100</v>
      </c>
      <c r="BF107" s="8">
        <v>100</v>
      </c>
      <c r="BG107" s="8">
        <v>100</v>
      </c>
      <c r="BH107" s="8">
        <v>100</v>
      </c>
      <c r="BI107" s="8">
        <v>100</v>
      </c>
      <c r="BJ107" s="8">
        <v>100</v>
      </c>
      <c r="BK107" s="8">
        <v>100</v>
      </c>
      <c r="BL107" s="8">
        <v>100</v>
      </c>
      <c r="BM107" s="8">
        <v>100</v>
      </c>
      <c r="BN107" s="8">
        <v>100</v>
      </c>
      <c r="BO107" s="8">
        <v>100</v>
      </c>
      <c r="BP107" s="8">
        <v>100</v>
      </c>
      <c r="BQ107" s="8">
        <v>100</v>
      </c>
      <c r="BR107" s="8">
        <v>100</v>
      </c>
      <c r="BS107" s="8">
        <v>100</v>
      </c>
      <c r="BT107" s="8">
        <v>100</v>
      </c>
      <c r="BU107" s="8">
        <v>100</v>
      </c>
      <c r="BV107" s="8">
        <v>100</v>
      </c>
      <c r="BW107" s="8">
        <v>100</v>
      </c>
      <c r="BX107" s="8">
        <v>100</v>
      </c>
      <c r="BY107" s="8">
        <v>100</v>
      </c>
      <c r="BZ107" s="8">
        <v>100</v>
      </c>
      <c r="CA107" s="8">
        <v>100</v>
      </c>
      <c r="CB107" s="8">
        <v>100</v>
      </c>
      <c r="CC107" s="8">
        <v>100</v>
      </c>
      <c r="CD107" s="8">
        <v>100</v>
      </c>
      <c r="CE107" s="8">
        <v>100</v>
      </c>
      <c r="CF107" s="8">
        <v>100</v>
      </c>
      <c r="CG107" s="8">
        <v>100</v>
      </c>
      <c r="CH107" s="8">
        <v>100</v>
      </c>
      <c r="CI107" s="8">
        <v>100</v>
      </c>
      <c r="CJ107" s="8">
        <v>100</v>
      </c>
      <c r="CK107" s="8">
        <v>100</v>
      </c>
      <c r="CL107" s="8">
        <v>100</v>
      </c>
      <c r="CM107" s="8">
        <v>100</v>
      </c>
      <c r="CN107" s="8">
        <v>100</v>
      </c>
      <c r="CO107" s="8">
        <v>100</v>
      </c>
      <c r="CP107" s="8">
        <v>100</v>
      </c>
      <c r="CQ107" s="8">
        <v>100</v>
      </c>
      <c r="CR107" s="8">
        <v>100</v>
      </c>
      <c r="CS107" s="8">
        <v>100</v>
      </c>
      <c r="CT107" s="8">
        <v>100</v>
      </c>
      <c r="CU107" s="8">
        <v>100</v>
      </c>
      <c r="CV107" s="8">
        <v>100</v>
      </c>
      <c r="CW107" s="8">
        <v>100</v>
      </c>
      <c r="CX107" s="8">
        <v>100</v>
      </c>
      <c r="CY107" s="8">
        <v>100</v>
      </c>
      <c r="CZ107" s="8">
        <v>100</v>
      </c>
      <c r="DA107" s="8">
        <v>100</v>
      </c>
      <c r="DB107" s="8">
        <v>100</v>
      </c>
      <c r="DC107" s="8">
        <v>100</v>
      </c>
      <c r="DD107" s="8">
        <v>100</v>
      </c>
      <c r="DE107" s="8">
        <v>100</v>
      </c>
      <c r="DF107" s="8">
        <v>100</v>
      </c>
      <c r="DG107" s="8">
        <v>100</v>
      </c>
      <c r="DH107" s="8">
        <v>100</v>
      </c>
      <c r="DI107" s="8">
        <v>100</v>
      </c>
      <c r="DJ107" s="8">
        <v>100</v>
      </c>
      <c r="DK107" s="8">
        <v>100</v>
      </c>
      <c r="DL107" s="8">
        <v>100</v>
      </c>
      <c r="DM107" s="8">
        <v>100</v>
      </c>
      <c r="DN107" s="8">
        <v>100</v>
      </c>
      <c r="DO107" s="8">
        <v>100</v>
      </c>
      <c r="DP107" s="8">
        <v>100</v>
      </c>
      <c r="DQ107" s="8">
        <v>100</v>
      </c>
      <c r="DR107" s="8">
        <v>100</v>
      </c>
      <c r="DS107" s="8">
        <v>100</v>
      </c>
      <c r="DT107" s="8">
        <v>100</v>
      </c>
      <c r="DU107" s="8">
        <v>100</v>
      </c>
      <c r="DV107" s="8">
        <v>100</v>
      </c>
      <c r="DW107" s="8">
        <v>100</v>
      </c>
      <c r="DX107" s="8">
        <v>100</v>
      </c>
      <c r="DY107" s="8">
        <v>100</v>
      </c>
      <c r="DZ107" s="8">
        <v>100</v>
      </c>
      <c r="EA107" s="8">
        <v>100</v>
      </c>
      <c r="EB107" s="8">
        <v>100</v>
      </c>
      <c r="EC107" s="8">
        <v>100</v>
      </c>
      <c r="ED107" s="8">
        <v>100</v>
      </c>
      <c r="EE107" s="8">
        <v>100</v>
      </c>
      <c r="EF107" s="8">
        <v>100</v>
      </c>
      <c r="EG107" s="8">
        <v>100</v>
      </c>
      <c r="EH107" s="8">
        <v>100</v>
      </c>
      <c r="EI107" s="8">
        <v>100</v>
      </c>
      <c r="EJ107" s="8">
        <v>100</v>
      </c>
      <c r="EK107" s="8">
        <v>100</v>
      </c>
      <c r="EL107" s="8">
        <v>100</v>
      </c>
      <c r="EM107" s="8">
        <v>100</v>
      </c>
      <c r="EN107" s="8">
        <v>100</v>
      </c>
      <c r="EO107" s="8">
        <v>100</v>
      </c>
      <c r="EP107" s="8">
        <v>100</v>
      </c>
      <c r="EQ107" s="8">
        <v>100</v>
      </c>
      <c r="ER107" s="8">
        <v>100</v>
      </c>
      <c r="ES107" s="8">
        <v>100</v>
      </c>
      <c r="ET107" s="8">
        <v>100</v>
      </c>
      <c r="EU107" s="8">
        <v>100</v>
      </c>
      <c r="EV107" s="8">
        <v>100</v>
      </c>
      <c r="EW107" s="8">
        <v>100</v>
      </c>
      <c r="EX107" s="8">
        <v>100</v>
      </c>
      <c r="EY107" s="8">
        <v>100</v>
      </c>
      <c r="EZ107" s="8">
        <v>100</v>
      </c>
      <c r="FA107" s="8">
        <v>100</v>
      </c>
      <c r="FB107" s="8">
        <v>100</v>
      </c>
      <c r="FC107" s="8">
        <v>100</v>
      </c>
      <c r="FD107" s="8">
        <v>100</v>
      </c>
      <c r="FE107" s="8">
        <v>100</v>
      </c>
      <c r="FF107" s="8">
        <v>100</v>
      </c>
      <c r="FG107" s="8">
        <v>100</v>
      </c>
      <c r="FH107" s="8">
        <v>100</v>
      </c>
      <c r="FI107" s="8">
        <v>100</v>
      </c>
      <c r="FJ107" s="8">
        <v>100</v>
      </c>
      <c r="FK107" s="8">
        <v>100</v>
      </c>
      <c r="FL107" s="8">
        <v>100</v>
      </c>
      <c r="FM107" s="8">
        <v>100</v>
      </c>
      <c r="FN107" s="8">
        <v>100</v>
      </c>
      <c r="FO107" s="8">
        <v>100</v>
      </c>
      <c r="FP107" s="8">
        <v>100</v>
      </c>
      <c r="FQ107" s="8">
        <v>100</v>
      </c>
      <c r="FR107" s="8">
        <v>100</v>
      </c>
      <c r="FS107" s="8">
        <v>100</v>
      </c>
      <c r="FT107" s="8">
        <v>100</v>
      </c>
      <c r="FU107" s="8">
        <v>100</v>
      </c>
      <c r="FV107" s="8">
        <v>100</v>
      </c>
      <c r="FW107" s="8">
        <v>100</v>
      </c>
      <c r="FX107" s="8">
        <v>100</v>
      </c>
      <c r="FY107" s="8">
        <v>100</v>
      </c>
      <c r="FZ107" s="8">
        <v>100</v>
      </c>
      <c r="GA107" s="8">
        <v>100</v>
      </c>
      <c r="GB107" s="8">
        <v>100</v>
      </c>
      <c r="GC107" s="8">
        <v>100</v>
      </c>
      <c r="GD107" s="8">
        <v>100</v>
      </c>
      <c r="GE107" s="8">
        <v>100</v>
      </c>
      <c r="GF107" s="8">
        <v>100</v>
      </c>
      <c r="GG107" s="8">
        <v>100</v>
      </c>
      <c r="GH107" s="8">
        <v>100</v>
      </c>
      <c r="GI107" s="8">
        <v>100</v>
      </c>
      <c r="GJ107" s="8">
        <v>100</v>
      </c>
      <c r="GK107" s="8">
        <v>100</v>
      </c>
      <c r="GL107" s="8">
        <v>100</v>
      </c>
      <c r="GM107" s="8">
        <v>100</v>
      </c>
      <c r="GN107" s="8">
        <v>100</v>
      </c>
      <c r="GO107" s="8">
        <v>100</v>
      </c>
      <c r="GP107" s="8">
        <v>100</v>
      </c>
      <c r="GQ107" s="8">
        <v>100</v>
      </c>
      <c r="GR107" s="8">
        <v>100</v>
      </c>
      <c r="GS107" s="8">
        <v>100</v>
      </c>
      <c r="GT107" s="8">
        <v>100</v>
      </c>
      <c r="GU107" s="8">
        <v>100</v>
      </c>
      <c r="GV107" s="8">
        <v>100</v>
      </c>
      <c r="GW107" s="8">
        <v>100</v>
      </c>
      <c r="GX107" s="8">
        <v>100</v>
      </c>
      <c r="GY107" s="8">
        <v>100</v>
      </c>
      <c r="GZ107" s="8">
        <v>100</v>
      </c>
      <c r="HA107" s="8">
        <v>100</v>
      </c>
      <c r="HB107" s="8">
        <v>100</v>
      </c>
      <c r="HC107" s="8">
        <v>100</v>
      </c>
      <c r="HD107" s="8">
        <v>100</v>
      </c>
      <c r="HE107" s="8">
        <v>100</v>
      </c>
      <c r="HF107" s="8">
        <v>100</v>
      </c>
      <c r="HG107" s="8">
        <v>100</v>
      </c>
      <c r="HH107" s="8">
        <v>100</v>
      </c>
      <c r="HI107" s="8">
        <v>100</v>
      </c>
      <c r="HJ107" s="8">
        <v>100</v>
      </c>
      <c r="HK107" s="8">
        <v>100</v>
      </c>
      <c r="HL107" s="8">
        <v>100</v>
      </c>
      <c r="HM107" s="8">
        <v>100</v>
      </c>
      <c r="HN107" s="8">
        <v>100</v>
      </c>
      <c r="HO107" s="8">
        <v>100</v>
      </c>
      <c r="HP107" s="8">
        <v>100</v>
      </c>
      <c r="HQ107" s="8">
        <v>100</v>
      </c>
      <c r="HR107" s="8">
        <v>100</v>
      </c>
      <c r="HS107" s="8">
        <v>100</v>
      </c>
      <c r="HT107" s="8">
        <v>100</v>
      </c>
      <c r="HU107" s="8">
        <v>100</v>
      </c>
      <c r="HV107" s="8">
        <v>100</v>
      </c>
      <c r="HW107" s="8">
        <v>100</v>
      </c>
      <c r="HX107" s="8">
        <v>100</v>
      </c>
      <c r="HY107" s="8">
        <v>100</v>
      </c>
      <c r="HZ107" s="8">
        <v>100</v>
      </c>
      <c r="IA107" s="8">
        <v>100</v>
      </c>
      <c r="IB107" s="8">
        <v>100</v>
      </c>
      <c r="IC107" s="8">
        <v>100</v>
      </c>
      <c r="ID107" s="8">
        <v>100</v>
      </c>
      <c r="IE107" s="8">
        <v>100</v>
      </c>
      <c r="IF107" s="8">
        <v>100</v>
      </c>
      <c r="IG107" s="8">
        <v>100</v>
      </c>
      <c r="IH107" s="8">
        <v>100</v>
      </c>
      <c r="II107" s="8">
        <v>100</v>
      </c>
      <c r="IJ107" s="8">
        <v>100</v>
      </c>
      <c r="IK107" s="8">
        <v>100</v>
      </c>
      <c r="IL107" s="8">
        <v>100</v>
      </c>
      <c r="IM107" s="8">
        <v>100</v>
      </c>
      <c r="IN107" s="8">
        <v>100</v>
      </c>
      <c r="IO107" s="8">
        <v>100</v>
      </c>
      <c r="IP107" s="8">
        <v>100</v>
      </c>
      <c r="IQ107" s="8">
        <v>100</v>
      </c>
    </row>
    <row r="108" spans="1:251" x14ac:dyDescent="0.2">
      <c r="A108" s="9">
        <v>45931</v>
      </c>
      <c r="B108" s="8">
        <v>99.89</v>
      </c>
      <c r="C108" s="8">
        <v>100.18</v>
      </c>
      <c r="D108" s="8">
        <v>99.95</v>
      </c>
      <c r="E108" s="8">
        <v>100.44</v>
      </c>
      <c r="F108" s="8">
        <v>99.87</v>
      </c>
      <c r="G108" s="8">
        <v>100.49</v>
      </c>
      <c r="H108" s="8">
        <v>98.37</v>
      </c>
      <c r="I108" s="8">
        <v>100.93</v>
      </c>
      <c r="J108" s="8">
        <v>102.81</v>
      </c>
      <c r="K108" s="8">
        <v>99.66</v>
      </c>
      <c r="L108" s="8">
        <v>101.31</v>
      </c>
      <c r="M108" s="8">
        <v>100.06</v>
      </c>
      <c r="N108" s="8">
        <v>101.18</v>
      </c>
      <c r="O108" s="8">
        <v>100.13</v>
      </c>
      <c r="P108" s="8">
        <v>99.42</v>
      </c>
      <c r="Q108" s="8">
        <v>99.55</v>
      </c>
      <c r="R108" s="8">
        <v>99.81</v>
      </c>
      <c r="S108" s="8">
        <v>98.88</v>
      </c>
      <c r="T108" s="8">
        <v>101.14</v>
      </c>
      <c r="U108" s="8">
        <v>104.86</v>
      </c>
      <c r="V108" s="8">
        <v>97.89</v>
      </c>
      <c r="W108" s="8">
        <v>99.44</v>
      </c>
      <c r="X108" s="8">
        <v>99.32</v>
      </c>
      <c r="Y108" s="8">
        <v>99.49</v>
      </c>
      <c r="Z108" s="8">
        <v>100.52</v>
      </c>
      <c r="AA108" s="8">
        <v>98.46</v>
      </c>
      <c r="AB108" s="8">
        <v>98.89</v>
      </c>
      <c r="AC108" s="8">
        <v>100.35</v>
      </c>
      <c r="AD108" s="8">
        <v>99.57</v>
      </c>
      <c r="AE108" s="8">
        <v>99.31</v>
      </c>
      <c r="AF108" s="8">
        <v>99.63</v>
      </c>
      <c r="AG108" s="8">
        <v>100.17</v>
      </c>
      <c r="AH108" s="8">
        <v>100.24</v>
      </c>
      <c r="AI108" s="8">
        <v>100.07</v>
      </c>
      <c r="AJ108" s="8">
        <v>100.4</v>
      </c>
      <c r="AK108" s="8">
        <v>100.01</v>
      </c>
      <c r="AL108" s="8">
        <v>99.76</v>
      </c>
      <c r="AM108" s="8">
        <v>99.66</v>
      </c>
      <c r="AN108" s="8">
        <v>100.43</v>
      </c>
      <c r="AO108" s="8">
        <v>101.41</v>
      </c>
      <c r="AP108" s="8">
        <v>101.41</v>
      </c>
      <c r="AQ108" s="8">
        <v>101.67</v>
      </c>
      <c r="AR108" s="8">
        <v>101.91</v>
      </c>
      <c r="AS108" s="8">
        <v>103.61</v>
      </c>
      <c r="AT108" s="8">
        <v>101.57</v>
      </c>
      <c r="AU108" s="8">
        <v>100.76</v>
      </c>
      <c r="AV108" s="8">
        <v>101.14</v>
      </c>
      <c r="AW108" s="8">
        <v>102.74</v>
      </c>
      <c r="AX108" s="8">
        <v>100.54</v>
      </c>
      <c r="AY108" s="8">
        <v>101.78</v>
      </c>
      <c r="AZ108" s="8">
        <v>101.41</v>
      </c>
      <c r="BA108" s="8">
        <v>101.53</v>
      </c>
      <c r="BB108" s="8">
        <v>100</v>
      </c>
      <c r="BC108" s="8">
        <v>98.49</v>
      </c>
      <c r="BD108" s="8">
        <v>100.2</v>
      </c>
      <c r="BE108" s="8">
        <v>100.2</v>
      </c>
      <c r="BF108" s="8">
        <v>100.53</v>
      </c>
      <c r="BG108" s="8">
        <v>100.53</v>
      </c>
      <c r="BH108" s="8">
        <v>100.38</v>
      </c>
      <c r="BI108" s="8">
        <v>100.59</v>
      </c>
      <c r="BJ108" s="8">
        <v>100</v>
      </c>
      <c r="BK108" s="8">
        <v>89.45</v>
      </c>
      <c r="BL108" s="8">
        <v>119.4</v>
      </c>
      <c r="BM108" s="8">
        <v>81.209999999999994</v>
      </c>
      <c r="BN108" s="8">
        <v>100</v>
      </c>
      <c r="BO108" s="8">
        <v>100.85</v>
      </c>
      <c r="BP108" s="8">
        <v>102.45</v>
      </c>
      <c r="BQ108" s="8">
        <v>103.16</v>
      </c>
      <c r="BR108" s="8">
        <v>99.63</v>
      </c>
      <c r="BS108" s="8">
        <v>104.4</v>
      </c>
      <c r="BT108" s="8">
        <v>104.4</v>
      </c>
      <c r="BU108" s="8">
        <v>100.79</v>
      </c>
      <c r="BV108" s="8">
        <v>96.84</v>
      </c>
      <c r="BW108" s="8">
        <v>102.62</v>
      </c>
      <c r="BX108" s="8">
        <v>105.66</v>
      </c>
      <c r="BY108" s="8">
        <v>99.41</v>
      </c>
      <c r="BZ108" s="8">
        <v>99.64</v>
      </c>
      <c r="CA108" s="8">
        <v>100.36</v>
      </c>
      <c r="CB108" s="8">
        <v>99.18</v>
      </c>
      <c r="CC108" s="8">
        <v>99.83</v>
      </c>
      <c r="CD108" s="8">
        <v>100.4</v>
      </c>
      <c r="CE108" s="8">
        <v>100.99</v>
      </c>
      <c r="CF108" s="8">
        <v>100.06</v>
      </c>
      <c r="CG108" s="8">
        <v>100</v>
      </c>
      <c r="CH108" s="8">
        <v>99.89</v>
      </c>
      <c r="CI108" s="8">
        <v>99.7</v>
      </c>
      <c r="CJ108" s="8">
        <v>99.66</v>
      </c>
      <c r="CK108" s="8">
        <v>100</v>
      </c>
      <c r="CL108" s="8">
        <v>99.93</v>
      </c>
      <c r="CM108" s="8">
        <v>99.89</v>
      </c>
      <c r="CN108" s="8">
        <v>100.22</v>
      </c>
      <c r="CO108" s="8">
        <v>100.47</v>
      </c>
      <c r="CP108" s="8">
        <v>100.49</v>
      </c>
      <c r="CQ108" s="8">
        <v>101.02</v>
      </c>
      <c r="CR108" s="8">
        <v>102.38</v>
      </c>
      <c r="CS108" s="8">
        <v>99.12</v>
      </c>
      <c r="CT108" s="8">
        <v>101.15</v>
      </c>
      <c r="CU108" s="8">
        <v>100.08</v>
      </c>
      <c r="CV108" s="8">
        <v>99.97</v>
      </c>
      <c r="CW108" s="8">
        <v>99.97</v>
      </c>
      <c r="CX108" s="8">
        <v>99.8</v>
      </c>
      <c r="CY108" s="8">
        <v>99.8</v>
      </c>
      <c r="CZ108" s="8">
        <v>100.56</v>
      </c>
      <c r="DA108" s="8">
        <v>99.75</v>
      </c>
      <c r="DB108" s="8">
        <v>100.06</v>
      </c>
      <c r="DC108" s="8">
        <v>99.19</v>
      </c>
      <c r="DD108" s="8">
        <v>98.44</v>
      </c>
      <c r="DE108" s="8">
        <v>99.95</v>
      </c>
      <c r="DF108" s="8">
        <v>99.26</v>
      </c>
      <c r="DG108" s="8">
        <v>101.98</v>
      </c>
      <c r="DH108" s="8">
        <v>98.33</v>
      </c>
      <c r="DI108" s="8">
        <v>99.92</v>
      </c>
      <c r="DJ108" s="8">
        <v>107.44</v>
      </c>
      <c r="DK108" s="8">
        <v>92.68</v>
      </c>
      <c r="DL108" s="8">
        <v>100.9</v>
      </c>
      <c r="DM108" s="8">
        <v>98.6</v>
      </c>
      <c r="DN108" s="8">
        <v>100.37</v>
      </c>
      <c r="DO108" s="8">
        <v>99.97</v>
      </c>
      <c r="DP108" s="8">
        <v>100.32</v>
      </c>
      <c r="DQ108" s="8">
        <v>100.55</v>
      </c>
      <c r="DR108" s="8">
        <v>103.28</v>
      </c>
      <c r="DS108" s="8">
        <v>100.03</v>
      </c>
      <c r="DT108" s="8">
        <v>100.03</v>
      </c>
      <c r="DU108" s="8">
        <v>100.14</v>
      </c>
      <c r="DV108" s="8">
        <v>100</v>
      </c>
      <c r="DW108" s="8">
        <v>100</v>
      </c>
      <c r="DX108" s="8">
        <v>100.22</v>
      </c>
      <c r="DY108" s="8">
        <v>100.68</v>
      </c>
      <c r="DZ108" s="8">
        <v>100.68</v>
      </c>
      <c r="EA108" s="8">
        <v>100.09</v>
      </c>
      <c r="EB108" s="8">
        <v>101.1</v>
      </c>
      <c r="EC108" s="8">
        <v>100</v>
      </c>
      <c r="ED108" s="8">
        <v>100.01</v>
      </c>
      <c r="EE108" s="8">
        <v>100.17</v>
      </c>
      <c r="EF108" s="8">
        <v>100.16</v>
      </c>
      <c r="EG108" s="8">
        <v>100.63</v>
      </c>
      <c r="EH108" s="8">
        <v>100.22</v>
      </c>
      <c r="EI108" s="8">
        <v>100.24</v>
      </c>
      <c r="EJ108" s="8">
        <v>98.48</v>
      </c>
      <c r="EK108" s="8">
        <v>101.02</v>
      </c>
      <c r="EL108" s="8">
        <v>102.93</v>
      </c>
      <c r="EM108" s="8">
        <v>99.74</v>
      </c>
      <c r="EN108" s="8">
        <v>101.58</v>
      </c>
      <c r="EO108" s="8">
        <v>100.18</v>
      </c>
      <c r="EP108" s="8">
        <v>101.3</v>
      </c>
      <c r="EQ108" s="8">
        <v>99.96</v>
      </c>
      <c r="ER108" s="8">
        <v>99.51</v>
      </c>
      <c r="ES108" s="8">
        <v>99.43</v>
      </c>
      <c r="ET108" s="8">
        <v>99.9</v>
      </c>
      <c r="EU108" s="8">
        <v>99.19</v>
      </c>
      <c r="EV108" s="8">
        <v>100.52</v>
      </c>
      <c r="EW108" s="8">
        <v>103.96</v>
      </c>
      <c r="EX108" s="8">
        <v>98.07</v>
      </c>
      <c r="EY108" s="8">
        <v>99.45</v>
      </c>
      <c r="EZ108" s="8">
        <v>97.7</v>
      </c>
      <c r="FA108" s="8">
        <v>99.65</v>
      </c>
      <c r="FB108" s="8">
        <v>100.61</v>
      </c>
      <c r="FC108" s="8">
        <v>97.86</v>
      </c>
      <c r="FD108" s="8">
        <v>99.3</v>
      </c>
      <c r="FE108" s="8">
        <v>100.43</v>
      </c>
      <c r="FF108" s="8">
        <v>99.63</v>
      </c>
      <c r="FG108" s="8">
        <v>99.66</v>
      </c>
      <c r="FH108" s="8">
        <v>99.62</v>
      </c>
      <c r="FI108" s="8">
        <v>100.24</v>
      </c>
      <c r="FJ108" s="8">
        <v>100.22</v>
      </c>
      <c r="FK108" s="8">
        <v>100.27</v>
      </c>
      <c r="FL108" s="8">
        <v>99.64</v>
      </c>
      <c r="FM108" s="8">
        <v>99.11</v>
      </c>
      <c r="FN108" s="8">
        <v>99.38</v>
      </c>
      <c r="FO108" s="8">
        <v>97.6</v>
      </c>
      <c r="FP108" s="8">
        <v>100.2</v>
      </c>
      <c r="FQ108" s="8">
        <v>100.77</v>
      </c>
      <c r="FR108" s="8">
        <v>100.77</v>
      </c>
      <c r="FS108" s="8">
        <v>101.47</v>
      </c>
      <c r="FT108" s="8">
        <v>101.85</v>
      </c>
      <c r="FU108" s="8">
        <v>102.16</v>
      </c>
      <c r="FV108" s="8">
        <v>102.31</v>
      </c>
      <c r="FW108" s="8">
        <v>99.93</v>
      </c>
      <c r="FX108" s="8">
        <v>100.71</v>
      </c>
      <c r="FY108" s="8">
        <v>103.66</v>
      </c>
      <c r="FZ108" s="8">
        <v>98.07</v>
      </c>
      <c r="GA108" s="8">
        <v>105.42</v>
      </c>
      <c r="GB108" s="8">
        <v>101.02</v>
      </c>
      <c r="GC108" s="8">
        <v>101.07</v>
      </c>
      <c r="GD108" s="8">
        <v>100.49</v>
      </c>
      <c r="GE108" s="8">
        <v>99.56</v>
      </c>
      <c r="GF108" s="8">
        <v>100.11</v>
      </c>
      <c r="GG108" s="8">
        <v>100.11</v>
      </c>
      <c r="GH108" s="8">
        <v>100.03</v>
      </c>
      <c r="GI108" s="8">
        <v>100.03</v>
      </c>
      <c r="GJ108" s="8">
        <v>100.55</v>
      </c>
      <c r="GK108" s="8">
        <v>101.02</v>
      </c>
      <c r="GL108" s="8">
        <v>100</v>
      </c>
      <c r="GM108" s="8">
        <v>97.23</v>
      </c>
      <c r="GN108" s="8">
        <v>100</v>
      </c>
      <c r="GO108" s="8">
        <v>99.89</v>
      </c>
      <c r="GP108" s="8">
        <v>93.5</v>
      </c>
      <c r="GQ108" s="8">
        <v>100.93</v>
      </c>
      <c r="GR108" s="8">
        <v>103.58</v>
      </c>
      <c r="GS108" s="8">
        <v>104.7</v>
      </c>
      <c r="GT108" s="8">
        <v>97.62</v>
      </c>
      <c r="GU108" s="8">
        <v>101.21</v>
      </c>
      <c r="GV108" s="8">
        <v>101.21</v>
      </c>
      <c r="GW108" s="8">
        <v>100.37</v>
      </c>
      <c r="GX108" s="8">
        <v>101.14</v>
      </c>
      <c r="GY108" s="8">
        <v>99.82</v>
      </c>
      <c r="GZ108" s="8">
        <v>100.38</v>
      </c>
      <c r="HA108" s="8">
        <v>100.16</v>
      </c>
      <c r="HB108" s="8">
        <v>99.64</v>
      </c>
      <c r="HC108" s="8">
        <v>100.34</v>
      </c>
      <c r="HD108" s="8">
        <v>99.06</v>
      </c>
      <c r="HE108" s="8">
        <v>99.97</v>
      </c>
      <c r="HF108" s="8">
        <v>100.76</v>
      </c>
      <c r="HG108" s="8">
        <v>100.76</v>
      </c>
      <c r="HH108" s="8">
        <v>101.08</v>
      </c>
      <c r="HI108" s="8">
        <v>100.33</v>
      </c>
      <c r="HJ108" s="8">
        <v>100.09</v>
      </c>
      <c r="HK108" s="8">
        <v>100.38</v>
      </c>
      <c r="HL108" s="8">
        <v>100.45</v>
      </c>
      <c r="HM108" s="8">
        <v>100</v>
      </c>
      <c r="HN108" s="8">
        <v>100.03</v>
      </c>
      <c r="HO108" s="8">
        <v>100.03</v>
      </c>
      <c r="HP108" s="8">
        <v>100</v>
      </c>
      <c r="HQ108" s="8">
        <v>100.44</v>
      </c>
      <c r="HR108" s="8">
        <v>100.46</v>
      </c>
      <c r="HS108" s="8">
        <v>101.37</v>
      </c>
      <c r="HT108" s="8">
        <v>103.36</v>
      </c>
      <c r="HU108" s="8">
        <v>99.15</v>
      </c>
      <c r="HV108" s="8">
        <v>100.2</v>
      </c>
      <c r="HW108" s="8">
        <v>100.05</v>
      </c>
      <c r="HX108" s="8">
        <v>99.67</v>
      </c>
      <c r="HY108" s="8">
        <v>99.67</v>
      </c>
      <c r="HZ108" s="8">
        <v>99.8</v>
      </c>
      <c r="IA108" s="8">
        <v>99.8</v>
      </c>
      <c r="IB108" s="8">
        <v>100.56</v>
      </c>
      <c r="IC108" s="8">
        <v>99.76</v>
      </c>
      <c r="ID108" s="8">
        <v>99.38</v>
      </c>
      <c r="IE108" s="8">
        <v>100.68</v>
      </c>
      <c r="IF108" s="8">
        <v>101.38</v>
      </c>
      <c r="IG108" s="8">
        <v>99.98</v>
      </c>
      <c r="IH108" s="8">
        <v>100.64</v>
      </c>
      <c r="II108" s="8">
        <v>102.61</v>
      </c>
      <c r="IJ108" s="8">
        <v>99.78</v>
      </c>
      <c r="IK108" s="8">
        <v>97.68</v>
      </c>
      <c r="IL108" s="8">
        <v>103.1</v>
      </c>
      <c r="IM108" s="8">
        <v>91.9</v>
      </c>
      <c r="IN108" s="8">
        <v>101.27</v>
      </c>
      <c r="IO108" s="8">
        <v>97.72</v>
      </c>
      <c r="IP108" s="8">
        <v>101.45</v>
      </c>
      <c r="IQ108" s="8">
        <v>99.66</v>
      </c>
    </row>
    <row r="109" spans="1:251" x14ac:dyDescent="0.2">
      <c r="A109" s="9">
        <v>45962</v>
      </c>
      <c r="B109" s="8">
        <v>100.06</v>
      </c>
      <c r="C109" s="8">
        <v>100.53</v>
      </c>
      <c r="D109" s="8">
        <v>100.94</v>
      </c>
      <c r="E109" s="8">
        <v>100.8</v>
      </c>
      <c r="F109" s="8">
        <v>100.93</v>
      </c>
      <c r="G109" s="8">
        <v>104.03</v>
      </c>
      <c r="H109" s="8">
        <v>99.87</v>
      </c>
      <c r="I109" s="8">
        <v>101.21</v>
      </c>
      <c r="J109" s="8">
        <v>104.12</v>
      </c>
      <c r="K109" s="8">
        <v>100.35</v>
      </c>
      <c r="L109" s="8">
        <v>100.27</v>
      </c>
      <c r="M109" s="8">
        <v>100.22</v>
      </c>
      <c r="N109" s="8">
        <v>101.97</v>
      </c>
      <c r="O109" s="8">
        <v>99.66</v>
      </c>
      <c r="P109" s="8">
        <v>100.5</v>
      </c>
      <c r="Q109" s="8">
        <v>101.65</v>
      </c>
      <c r="R109" s="8">
        <v>99.67</v>
      </c>
      <c r="S109" s="8">
        <v>100</v>
      </c>
      <c r="T109" s="8">
        <v>102.15</v>
      </c>
      <c r="U109" s="8">
        <v>106.5</v>
      </c>
      <c r="V109" s="8">
        <v>98.35</v>
      </c>
      <c r="W109" s="8">
        <v>99.63</v>
      </c>
      <c r="X109" s="8">
        <v>97.75</v>
      </c>
      <c r="Y109" s="8">
        <v>100.15</v>
      </c>
      <c r="Z109" s="8">
        <v>100.35</v>
      </c>
      <c r="AA109" s="8">
        <v>98.21</v>
      </c>
      <c r="AB109" s="8">
        <v>99.18</v>
      </c>
      <c r="AC109" s="8">
        <v>101.15</v>
      </c>
      <c r="AD109" s="8">
        <v>99.78</v>
      </c>
      <c r="AE109" s="8">
        <v>100.42</v>
      </c>
      <c r="AF109" s="8">
        <v>99.61</v>
      </c>
      <c r="AG109" s="8">
        <v>100.21</v>
      </c>
      <c r="AH109" s="8">
        <v>100.24</v>
      </c>
      <c r="AI109" s="8">
        <v>100.18</v>
      </c>
      <c r="AJ109" s="8">
        <v>100.23</v>
      </c>
      <c r="AK109" s="8">
        <v>99.63</v>
      </c>
      <c r="AL109" s="8">
        <v>100.48</v>
      </c>
      <c r="AM109" s="8">
        <v>98.67</v>
      </c>
      <c r="AN109" s="8">
        <v>100.2</v>
      </c>
      <c r="AO109" s="8">
        <v>101.79</v>
      </c>
      <c r="AP109" s="8">
        <v>101.79</v>
      </c>
      <c r="AQ109" s="8">
        <v>98.65</v>
      </c>
      <c r="AR109" s="8">
        <v>99.56</v>
      </c>
      <c r="AS109" s="8">
        <v>101.99</v>
      </c>
      <c r="AT109" s="8">
        <v>98.47</v>
      </c>
      <c r="AU109" s="8">
        <v>100.14</v>
      </c>
      <c r="AV109" s="8">
        <v>96.53</v>
      </c>
      <c r="AW109" s="8">
        <v>99.49</v>
      </c>
      <c r="AX109" s="8">
        <v>95.07</v>
      </c>
      <c r="AY109" s="8">
        <v>99.19</v>
      </c>
      <c r="AZ109" s="8">
        <v>97.76</v>
      </c>
      <c r="BA109" s="8">
        <v>97.47</v>
      </c>
      <c r="BB109" s="8">
        <v>100.99</v>
      </c>
      <c r="BC109" s="8">
        <v>101.07</v>
      </c>
      <c r="BD109" s="8">
        <v>100.59</v>
      </c>
      <c r="BE109" s="8">
        <v>100.59</v>
      </c>
      <c r="BF109" s="8">
        <v>101.3</v>
      </c>
      <c r="BG109" s="8">
        <v>101.3</v>
      </c>
      <c r="BH109" s="8">
        <v>100.38</v>
      </c>
      <c r="BI109" s="8">
        <v>100.58</v>
      </c>
      <c r="BJ109" s="8">
        <v>100</v>
      </c>
      <c r="BK109" s="8">
        <v>102.19</v>
      </c>
      <c r="BL109" s="8">
        <v>119.4</v>
      </c>
      <c r="BM109" s="8">
        <v>98.58</v>
      </c>
      <c r="BN109" s="8">
        <v>102.71</v>
      </c>
      <c r="BO109" s="8">
        <v>99.71</v>
      </c>
      <c r="BP109" s="8">
        <v>98.1</v>
      </c>
      <c r="BQ109" s="8">
        <v>97.68</v>
      </c>
      <c r="BR109" s="8">
        <v>99.77</v>
      </c>
      <c r="BS109" s="8">
        <v>100.5</v>
      </c>
      <c r="BT109" s="8">
        <v>100.5</v>
      </c>
      <c r="BU109" s="8">
        <v>98.86</v>
      </c>
      <c r="BV109" s="8">
        <v>98.16</v>
      </c>
      <c r="BW109" s="8">
        <v>101.72</v>
      </c>
      <c r="BX109" s="8">
        <v>97.48</v>
      </c>
      <c r="BY109" s="8">
        <v>99.25</v>
      </c>
      <c r="BZ109" s="8">
        <v>98.87</v>
      </c>
      <c r="CA109" s="8">
        <v>99.32</v>
      </c>
      <c r="CB109" s="8">
        <v>98.56</v>
      </c>
      <c r="CC109" s="8">
        <v>98.99</v>
      </c>
      <c r="CD109" s="8">
        <v>101.33</v>
      </c>
      <c r="CE109" s="8">
        <v>101.89</v>
      </c>
      <c r="CF109" s="8">
        <v>100.68</v>
      </c>
      <c r="CG109" s="8">
        <v>101.49</v>
      </c>
      <c r="CH109" s="8">
        <v>99.28</v>
      </c>
      <c r="CI109" s="8">
        <v>99.3</v>
      </c>
      <c r="CJ109" s="8">
        <v>99.19</v>
      </c>
      <c r="CK109" s="8">
        <v>100</v>
      </c>
      <c r="CL109" s="8">
        <v>99.28</v>
      </c>
      <c r="CM109" s="8">
        <v>99.17</v>
      </c>
      <c r="CN109" s="8">
        <v>100.23</v>
      </c>
      <c r="CO109" s="8">
        <v>100.23</v>
      </c>
      <c r="CP109" s="8">
        <v>100.24</v>
      </c>
      <c r="CQ109" s="8">
        <v>98.8</v>
      </c>
      <c r="CR109" s="8">
        <v>100.6</v>
      </c>
      <c r="CS109" s="8">
        <v>100.89</v>
      </c>
      <c r="CT109" s="8">
        <v>102.09</v>
      </c>
      <c r="CU109" s="8">
        <v>99.91</v>
      </c>
      <c r="CV109" s="8">
        <v>99.99</v>
      </c>
      <c r="CW109" s="8">
        <v>99.99</v>
      </c>
      <c r="CX109" s="8">
        <v>100.24</v>
      </c>
      <c r="CY109" s="8">
        <v>100.24</v>
      </c>
      <c r="CZ109" s="8">
        <v>100.63</v>
      </c>
      <c r="DA109" s="8">
        <v>100.22</v>
      </c>
      <c r="DB109" s="8">
        <v>98.19</v>
      </c>
      <c r="DC109" s="8">
        <v>99.86</v>
      </c>
      <c r="DD109" s="8">
        <v>99.19</v>
      </c>
      <c r="DE109" s="8">
        <v>100.54</v>
      </c>
      <c r="DF109" s="8">
        <v>100.93</v>
      </c>
      <c r="DG109" s="8">
        <v>101.71</v>
      </c>
      <c r="DH109" s="8">
        <v>100.66</v>
      </c>
      <c r="DI109" s="8">
        <v>95.93</v>
      </c>
      <c r="DJ109" s="8">
        <v>99.71</v>
      </c>
      <c r="DK109" s="8">
        <v>92.29</v>
      </c>
      <c r="DL109" s="8">
        <v>101.09</v>
      </c>
      <c r="DM109" s="8">
        <v>99.02</v>
      </c>
      <c r="DN109" s="8">
        <v>100.17</v>
      </c>
      <c r="DO109" s="8">
        <v>102.14</v>
      </c>
      <c r="DP109" s="8">
        <v>100.31</v>
      </c>
      <c r="DQ109" s="8">
        <v>100.56</v>
      </c>
      <c r="DR109" s="8">
        <v>103.15</v>
      </c>
      <c r="DS109" s="8">
        <v>100.07</v>
      </c>
      <c r="DT109" s="8">
        <v>100.07</v>
      </c>
      <c r="DU109" s="8">
        <v>100.3</v>
      </c>
      <c r="DV109" s="8">
        <v>100</v>
      </c>
      <c r="DW109" s="8">
        <v>100</v>
      </c>
      <c r="DX109" s="8">
        <v>100.28</v>
      </c>
      <c r="DY109" s="8">
        <v>101.28</v>
      </c>
      <c r="DZ109" s="8">
        <v>101.28</v>
      </c>
      <c r="EA109" s="8">
        <v>100.01</v>
      </c>
      <c r="EB109" s="8">
        <v>100.09</v>
      </c>
      <c r="EC109" s="8">
        <v>100</v>
      </c>
      <c r="ED109" s="8">
        <v>100.07</v>
      </c>
      <c r="EE109" s="8">
        <v>100.56</v>
      </c>
      <c r="EF109" s="8">
        <v>100.95</v>
      </c>
      <c r="EG109" s="8">
        <v>100.89</v>
      </c>
      <c r="EH109" s="8">
        <v>100.91</v>
      </c>
      <c r="EI109" s="8">
        <v>103.84</v>
      </c>
      <c r="EJ109" s="8">
        <v>99.79</v>
      </c>
      <c r="EK109" s="8">
        <v>101.22</v>
      </c>
      <c r="EL109" s="8">
        <v>104.13</v>
      </c>
      <c r="EM109" s="8">
        <v>100.59</v>
      </c>
      <c r="EN109" s="8">
        <v>100.47</v>
      </c>
      <c r="EO109" s="8">
        <v>99.89</v>
      </c>
      <c r="EP109" s="8">
        <v>102.24</v>
      </c>
      <c r="EQ109" s="8">
        <v>99.41</v>
      </c>
      <c r="ER109" s="8">
        <v>100.55</v>
      </c>
      <c r="ES109" s="8">
        <v>101.32</v>
      </c>
      <c r="ET109" s="8">
        <v>99.72</v>
      </c>
      <c r="EU109" s="8">
        <v>100.43</v>
      </c>
      <c r="EV109" s="8">
        <v>101.51</v>
      </c>
      <c r="EW109" s="8">
        <v>105.23</v>
      </c>
      <c r="EX109" s="8">
        <v>98.87</v>
      </c>
      <c r="EY109" s="8">
        <v>99.71</v>
      </c>
      <c r="EZ109" s="8">
        <v>96.93</v>
      </c>
      <c r="FA109" s="8">
        <v>100.23</v>
      </c>
      <c r="FB109" s="8">
        <v>100.47</v>
      </c>
      <c r="FC109" s="8">
        <v>97.73</v>
      </c>
      <c r="FD109" s="8">
        <v>99.63</v>
      </c>
      <c r="FE109" s="8">
        <v>101.29</v>
      </c>
      <c r="FF109" s="8">
        <v>99.76</v>
      </c>
      <c r="FG109" s="8">
        <v>100.16</v>
      </c>
      <c r="FH109" s="8">
        <v>99.62</v>
      </c>
      <c r="FI109" s="8">
        <v>100.43</v>
      </c>
      <c r="FJ109" s="8">
        <v>100.43</v>
      </c>
      <c r="FK109" s="8">
        <v>100.43</v>
      </c>
      <c r="FL109" s="8">
        <v>99.87</v>
      </c>
      <c r="FM109" s="8">
        <v>99.08</v>
      </c>
      <c r="FN109" s="8">
        <v>99.66</v>
      </c>
      <c r="FO109" s="8">
        <v>97.57</v>
      </c>
      <c r="FP109" s="8">
        <v>100.02</v>
      </c>
      <c r="FQ109" s="8">
        <v>101.57</v>
      </c>
      <c r="FR109" s="8">
        <v>101.57</v>
      </c>
      <c r="FS109" s="8">
        <v>98.32</v>
      </c>
      <c r="FT109" s="8">
        <v>99.34</v>
      </c>
      <c r="FU109" s="8">
        <v>99.3</v>
      </c>
      <c r="FV109" s="8">
        <v>99.8</v>
      </c>
      <c r="FW109" s="8">
        <v>98.04</v>
      </c>
      <c r="FX109" s="8">
        <v>95.82</v>
      </c>
      <c r="FY109" s="8">
        <v>98.29</v>
      </c>
      <c r="FZ109" s="8">
        <v>92.96</v>
      </c>
      <c r="GA109" s="8">
        <v>102.96</v>
      </c>
      <c r="GB109" s="8">
        <v>97.35</v>
      </c>
      <c r="GC109" s="8">
        <v>97.06</v>
      </c>
      <c r="GD109" s="8">
        <v>100.49</v>
      </c>
      <c r="GE109" s="8">
        <v>100.2</v>
      </c>
      <c r="GF109" s="8">
        <v>100.41</v>
      </c>
      <c r="GG109" s="8">
        <v>100.41</v>
      </c>
      <c r="GH109" s="8">
        <v>100.4</v>
      </c>
      <c r="GI109" s="8">
        <v>100.4</v>
      </c>
      <c r="GJ109" s="8">
        <v>100.63</v>
      </c>
      <c r="GK109" s="8">
        <v>101.16</v>
      </c>
      <c r="GL109" s="8">
        <v>100</v>
      </c>
      <c r="GM109" s="8">
        <v>99.26</v>
      </c>
      <c r="GN109" s="8">
        <v>100</v>
      </c>
      <c r="GO109" s="8">
        <v>99.84</v>
      </c>
      <c r="GP109" s="8">
        <v>98.39</v>
      </c>
      <c r="GQ109" s="8">
        <v>99.95</v>
      </c>
      <c r="GR109" s="8">
        <v>98.06</v>
      </c>
      <c r="GS109" s="8">
        <v>97.99</v>
      </c>
      <c r="GT109" s="8">
        <v>98.42</v>
      </c>
      <c r="GU109" s="8">
        <v>103.66</v>
      </c>
      <c r="GV109" s="8">
        <v>103.66</v>
      </c>
      <c r="GW109" s="8">
        <v>100.5</v>
      </c>
      <c r="GX109" s="8">
        <v>99.02</v>
      </c>
      <c r="GY109" s="8">
        <v>101.99</v>
      </c>
      <c r="GZ109" s="8">
        <v>101.45</v>
      </c>
      <c r="HA109" s="8">
        <v>99.35</v>
      </c>
      <c r="HB109" s="8">
        <v>98.93</v>
      </c>
      <c r="HC109" s="8">
        <v>99.25</v>
      </c>
      <c r="HD109" s="8">
        <v>98.59</v>
      </c>
      <c r="HE109" s="8">
        <v>99.14</v>
      </c>
      <c r="HF109" s="8">
        <v>101.1</v>
      </c>
      <c r="HG109" s="8">
        <v>101.2</v>
      </c>
      <c r="HH109" s="8">
        <v>101.46</v>
      </c>
      <c r="HI109" s="8">
        <v>100.55</v>
      </c>
      <c r="HJ109" s="8">
        <v>99.63</v>
      </c>
      <c r="HK109" s="8">
        <v>99.19</v>
      </c>
      <c r="HL109" s="8">
        <v>99.04</v>
      </c>
      <c r="HM109" s="8">
        <v>100</v>
      </c>
      <c r="HN109" s="8">
        <v>99.73</v>
      </c>
      <c r="HO109" s="8">
        <v>99.7</v>
      </c>
      <c r="HP109" s="8">
        <v>100</v>
      </c>
      <c r="HQ109" s="8">
        <v>101.03</v>
      </c>
      <c r="HR109" s="8">
        <v>101.13</v>
      </c>
      <c r="HS109" s="8">
        <v>99.24</v>
      </c>
      <c r="HT109" s="8">
        <v>102.82</v>
      </c>
      <c r="HU109" s="8">
        <v>102.74</v>
      </c>
      <c r="HV109" s="8">
        <v>101.4</v>
      </c>
      <c r="HW109" s="8">
        <v>100.74</v>
      </c>
      <c r="HX109" s="8">
        <v>98.01</v>
      </c>
      <c r="HY109" s="8">
        <v>98.01</v>
      </c>
      <c r="HZ109" s="8">
        <v>100.24</v>
      </c>
      <c r="IA109" s="8">
        <v>100.24</v>
      </c>
      <c r="IB109" s="8">
        <v>100.63</v>
      </c>
      <c r="IC109" s="8">
        <v>100.22</v>
      </c>
      <c r="ID109" s="8">
        <v>99</v>
      </c>
      <c r="IE109" s="8">
        <v>101.34</v>
      </c>
      <c r="IF109" s="8">
        <v>102.13</v>
      </c>
      <c r="IG109" s="8">
        <v>100.56</v>
      </c>
      <c r="IH109" s="8">
        <v>100.87</v>
      </c>
      <c r="II109" s="8">
        <v>102.46</v>
      </c>
      <c r="IJ109" s="8">
        <v>100.17</v>
      </c>
      <c r="IK109" s="8">
        <v>96.71</v>
      </c>
      <c r="IL109" s="8">
        <v>101.92</v>
      </c>
      <c r="IM109" s="8">
        <v>91.17</v>
      </c>
      <c r="IN109" s="8">
        <v>101.22</v>
      </c>
      <c r="IO109" s="8">
        <v>96.49</v>
      </c>
      <c r="IP109" s="8">
        <v>100.26</v>
      </c>
      <c r="IQ109" s="8">
        <v>101.98</v>
      </c>
    </row>
    <row r="110" spans="1:251" x14ac:dyDescent="0.2">
      <c r="A110" s="9">
        <v>45992</v>
      </c>
      <c r="B110" s="8">
        <v>101.19</v>
      </c>
      <c r="C110" s="8">
        <v>101.01</v>
      </c>
      <c r="D110" s="8">
        <v>101.86</v>
      </c>
      <c r="E110" s="8">
        <v>101.31</v>
      </c>
      <c r="F110" s="8">
        <v>101.21</v>
      </c>
      <c r="G110" s="8">
        <v>111.26</v>
      </c>
      <c r="H110" s="8">
        <v>101.18</v>
      </c>
      <c r="I110" s="8">
        <v>101.52</v>
      </c>
      <c r="J110" s="8">
        <v>103.38</v>
      </c>
      <c r="K110" s="8">
        <v>99.51</v>
      </c>
      <c r="L110" s="8">
        <v>100.38</v>
      </c>
      <c r="M110" s="8">
        <v>100.57</v>
      </c>
      <c r="N110" s="8">
        <v>103.07</v>
      </c>
      <c r="O110" s="8">
        <v>101.15</v>
      </c>
      <c r="P110" s="8">
        <v>101.31</v>
      </c>
      <c r="Q110" s="8">
        <v>101.98</v>
      </c>
      <c r="R110" s="8">
        <v>100.41</v>
      </c>
      <c r="S110" s="8">
        <v>101.44</v>
      </c>
      <c r="T110" s="8">
        <v>102.22</v>
      </c>
      <c r="U110" s="8">
        <v>104.22</v>
      </c>
      <c r="V110" s="8">
        <v>100.48</v>
      </c>
      <c r="W110" s="8">
        <v>100.57</v>
      </c>
      <c r="X110" s="8">
        <v>96.89</v>
      </c>
      <c r="Y110" s="8">
        <v>100.26</v>
      </c>
      <c r="Z110" s="8">
        <v>99.74</v>
      </c>
      <c r="AA110" s="8">
        <v>97.77</v>
      </c>
      <c r="AB110" s="8">
        <v>100.89</v>
      </c>
      <c r="AC110" s="8">
        <v>102.85</v>
      </c>
      <c r="AD110" s="8">
        <v>99.38</v>
      </c>
      <c r="AE110" s="8">
        <v>103.11</v>
      </c>
      <c r="AF110" s="8">
        <v>98.37</v>
      </c>
      <c r="AG110" s="8">
        <v>100.72</v>
      </c>
      <c r="AH110" s="8">
        <v>101.32</v>
      </c>
      <c r="AI110" s="8">
        <v>99.88</v>
      </c>
      <c r="AJ110" s="8">
        <v>100.27</v>
      </c>
      <c r="AK110" s="8">
        <v>99.57</v>
      </c>
      <c r="AL110" s="8">
        <v>98.43</v>
      </c>
      <c r="AM110" s="8">
        <v>98.3</v>
      </c>
      <c r="AN110" s="8">
        <v>101.23</v>
      </c>
      <c r="AO110" s="8">
        <v>102.07</v>
      </c>
      <c r="AP110" s="8">
        <v>102.07</v>
      </c>
      <c r="AQ110" s="8">
        <v>97.96</v>
      </c>
      <c r="AR110" s="8">
        <v>98.02</v>
      </c>
      <c r="AS110" s="8">
        <v>98.49</v>
      </c>
      <c r="AT110" s="8">
        <v>97.54</v>
      </c>
      <c r="AU110" s="8">
        <v>99.14</v>
      </c>
      <c r="AV110" s="8">
        <v>96.61</v>
      </c>
      <c r="AW110" s="8">
        <v>97.29</v>
      </c>
      <c r="AX110" s="8">
        <v>95.19</v>
      </c>
      <c r="AY110" s="8">
        <v>101.86</v>
      </c>
      <c r="AZ110" s="8">
        <v>98.47</v>
      </c>
      <c r="BA110" s="8">
        <v>98.24</v>
      </c>
      <c r="BB110" s="8">
        <v>100.99</v>
      </c>
      <c r="BC110" s="8">
        <v>101.06</v>
      </c>
      <c r="BD110" s="8">
        <v>100.84</v>
      </c>
      <c r="BE110" s="8">
        <v>100.84</v>
      </c>
      <c r="BF110" s="8">
        <v>100.93</v>
      </c>
      <c r="BG110" s="8">
        <v>100.93</v>
      </c>
      <c r="BH110" s="8">
        <v>100.59</v>
      </c>
      <c r="BI110" s="8">
        <v>100.9</v>
      </c>
      <c r="BJ110" s="8">
        <v>100</v>
      </c>
      <c r="BK110" s="8">
        <v>102.19</v>
      </c>
      <c r="BL110" s="8">
        <v>119.4</v>
      </c>
      <c r="BM110" s="8">
        <v>98.58</v>
      </c>
      <c r="BN110" s="8">
        <v>102.71</v>
      </c>
      <c r="BO110" s="8">
        <v>100.09</v>
      </c>
      <c r="BP110" s="8">
        <v>100.67</v>
      </c>
      <c r="BQ110" s="8">
        <v>100.72</v>
      </c>
      <c r="BR110" s="8">
        <v>100.45</v>
      </c>
      <c r="BS110" s="8">
        <v>96.7</v>
      </c>
      <c r="BT110" s="8">
        <v>96.7</v>
      </c>
      <c r="BU110" s="8">
        <v>96.84</v>
      </c>
      <c r="BV110" s="8">
        <v>94.84</v>
      </c>
      <c r="BW110" s="8">
        <v>98.57</v>
      </c>
      <c r="BX110" s="8">
        <v>95.12</v>
      </c>
      <c r="BY110" s="8">
        <v>99.46</v>
      </c>
      <c r="BZ110" s="8">
        <v>100.36</v>
      </c>
      <c r="CA110" s="8">
        <v>102.28</v>
      </c>
      <c r="CB110" s="8">
        <v>101.33</v>
      </c>
      <c r="CC110" s="8">
        <v>99.29</v>
      </c>
      <c r="CD110" s="8">
        <v>101.62</v>
      </c>
      <c r="CE110" s="8">
        <v>102.66</v>
      </c>
      <c r="CF110" s="8">
        <v>101.11</v>
      </c>
      <c r="CG110" s="8">
        <v>100.8</v>
      </c>
      <c r="CH110" s="8">
        <v>98.77</v>
      </c>
      <c r="CI110" s="8">
        <v>98.6</v>
      </c>
      <c r="CJ110" s="8">
        <v>98.69</v>
      </c>
      <c r="CK110" s="8">
        <v>97.96</v>
      </c>
      <c r="CL110" s="8">
        <v>98.8</v>
      </c>
      <c r="CM110" s="8">
        <v>98.62</v>
      </c>
      <c r="CN110" s="8">
        <v>100.36</v>
      </c>
      <c r="CO110" s="8">
        <v>101.3</v>
      </c>
      <c r="CP110" s="8">
        <v>101.36</v>
      </c>
      <c r="CQ110" s="8">
        <v>101.29</v>
      </c>
      <c r="CR110" s="8">
        <v>102.45</v>
      </c>
      <c r="CS110" s="8">
        <v>101.4</v>
      </c>
      <c r="CT110" s="8">
        <v>101.92</v>
      </c>
      <c r="CU110" s="8">
        <v>99.91</v>
      </c>
      <c r="CV110" s="8">
        <v>99.99</v>
      </c>
      <c r="CW110" s="8">
        <v>99.99</v>
      </c>
      <c r="CX110" s="8">
        <v>99.81</v>
      </c>
      <c r="CY110" s="8">
        <v>99.81</v>
      </c>
      <c r="CZ110" s="8">
        <v>100.87</v>
      </c>
      <c r="DA110" s="8">
        <v>99.74</v>
      </c>
      <c r="DB110" s="8">
        <v>105.88</v>
      </c>
      <c r="DC110" s="8">
        <v>97.53</v>
      </c>
      <c r="DD110" s="8">
        <v>94.42</v>
      </c>
      <c r="DE110" s="8">
        <v>100.74</v>
      </c>
      <c r="DF110" s="8">
        <v>100.17</v>
      </c>
      <c r="DG110" s="8">
        <v>99.03</v>
      </c>
      <c r="DH110" s="8">
        <v>100.56</v>
      </c>
      <c r="DI110" s="8">
        <v>111.21</v>
      </c>
      <c r="DJ110" s="8">
        <v>109.65</v>
      </c>
      <c r="DK110" s="8">
        <v>112.7</v>
      </c>
      <c r="DL110" s="8">
        <v>101.3</v>
      </c>
      <c r="DM110" s="8">
        <v>98.24</v>
      </c>
      <c r="DN110" s="8">
        <v>98.65</v>
      </c>
      <c r="DO110" s="8">
        <v>103.1</v>
      </c>
      <c r="DP110" s="8">
        <v>100.84</v>
      </c>
      <c r="DQ110" s="8">
        <v>100.73</v>
      </c>
      <c r="DR110" s="8">
        <v>104.63</v>
      </c>
      <c r="DS110" s="8">
        <v>100.1</v>
      </c>
      <c r="DT110" s="8">
        <v>100.1</v>
      </c>
      <c r="DU110" s="8">
        <v>100.44</v>
      </c>
      <c r="DV110" s="8">
        <v>100</v>
      </c>
      <c r="DW110" s="8">
        <v>100</v>
      </c>
      <c r="DX110" s="8">
        <v>100.75</v>
      </c>
      <c r="DY110" s="8">
        <v>101.43</v>
      </c>
      <c r="DZ110" s="8">
        <v>101.43</v>
      </c>
      <c r="EA110" s="8">
        <v>100.57</v>
      </c>
      <c r="EB110" s="8">
        <v>99.92</v>
      </c>
      <c r="EC110" s="8">
        <v>100.63</v>
      </c>
      <c r="ED110" s="8">
        <v>100.98</v>
      </c>
      <c r="EE110" s="8">
        <v>100.93</v>
      </c>
      <c r="EF110" s="8">
        <v>101.82</v>
      </c>
      <c r="EG110" s="8">
        <v>101.33</v>
      </c>
      <c r="EH110" s="8">
        <v>101.18</v>
      </c>
      <c r="EI110" s="8">
        <v>110.91</v>
      </c>
      <c r="EJ110" s="8">
        <v>100.91</v>
      </c>
      <c r="EK110" s="8">
        <v>102.11</v>
      </c>
      <c r="EL110" s="8">
        <v>104.4</v>
      </c>
      <c r="EM110" s="8">
        <v>100.14</v>
      </c>
      <c r="EN110" s="8">
        <v>101.28</v>
      </c>
      <c r="EO110" s="8">
        <v>100.71</v>
      </c>
      <c r="EP110" s="8">
        <v>103.82</v>
      </c>
      <c r="EQ110" s="8">
        <v>101.35</v>
      </c>
      <c r="ER110" s="8">
        <v>101.18</v>
      </c>
      <c r="ES110" s="8">
        <v>101.48</v>
      </c>
      <c r="ET110" s="8">
        <v>100.53</v>
      </c>
      <c r="EU110" s="8">
        <v>101.48</v>
      </c>
      <c r="EV110" s="8">
        <v>101.54</v>
      </c>
      <c r="EW110" s="8">
        <v>103.28</v>
      </c>
      <c r="EX110" s="8">
        <v>100.31</v>
      </c>
      <c r="EY110" s="8">
        <v>100.59</v>
      </c>
      <c r="EZ110" s="8">
        <v>96.57</v>
      </c>
      <c r="FA110" s="8">
        <v>100.36</v>
      </c>
      <c r="FB110" s="8">
        <v>99.98</v>
      </c>
      <c r="FC110" s="8">
        <v>97.16</v>
      </c>
      <c r="FD110" s="8">
        <v>101.24</v>
      </c>
      <c r="FE110" s="8">
        <v>103.02</v>
      </c>
      <c r="FF110" s="8">
        <v>99.49</v>
      </c>
      <c r="FG110" s="8">
        <v>103.11</v>
      </c>
      <c r="FH110" s="8">
        <v>98.18</v>
      </c>
      <c r="FI110" s="8">
        <v>100.54</v>
      </c>
      <c r="FJ110" s="8">
        <v>100.67</v>
      </c>
      <c r="FK110" s="8">
        <v>100.38</v>
      </c>
      <c r="FL110" s="8">
        <v>99.88</v>
      </c>
      <c r="FM110" s="8">
        <v>98.79</v>
      </c>
      <c r="FN110" s="8">
        <v>99.06</v>
      </c>
      <c r="FO110" s="8">
        <v>97.16</v>
      </c>
      <c r="FP110" s="8">
        <v>99.99</v>
      </c>
      <c r="FQ110" s="8">
        <v>102.23</v>
      </c>
      <c r="FR110" s="8">
        <v>102.23</v>
      </c>
      <c r="FS110" s="8">
        <v>97.89</v>
      </c>
      <c r="FT110" s="8">
        <v>98.8</v>
      </c>
      <c r="FU110" s="8">
        <v>98.19</v>
      </c>
      <c r="FV110" s="8">
        <v>100.18</v>
      </c>
      <c r="FW110" s="8">
        <v>95.79</v>
      </c>
      <c r="FX110" s="8">
        <v>96.7</v>
      </c>
      <c r="FY110" s="8">
        <v>99.13</v>
      </c>
      <c r="FZ110" s="8">
        <v>93.3</v>
      </c>
      <c r="GA110" s="8">
        <v>106.59</v>
      </c>
      <c r="GB110" s="8">
        <v>96.46</v>
      </c>
      <c r="GC110" s="8">
        <v>96.09</v>
      </c>
      <c r="GD110" s="8">
        <v>100.49</v>
      </c>
      <c r="GE110" s="8">
        <v>100.37</v>
      </c>
      <c r="GF110" s="8">
        <v>100.61</v>
      </c>
      <c r="GG110" s="8">
        <v>100.61</v>
      </c>
      <c r="GH110" s="8">
        <v>100.72</v>
      </c>
      <c r="GI110" s="8">
        <v>100.72</v>
      </c>
      <c r="GJ110" s="8">
        <v>100.6</v>
      </c>
      <c r="GK110" s="8">
        <v>101.1</v>
      </c>
      <c r="GL110" s="8">
        <v>100</v>
      </c>
      <c r="GM110" s="8">
        <v>99.29</v>
      </c>
      <c r="GN110" s="8">
        <v>100</v>
      </c>
      <c r="GO110" s="8">
        <v>99.91</v>
      </c>
      <c r="GP110" s="8">
        <v>98.39</v>
      </c>
      <c r="GQ110" s="8">
        <v>99.29</v>
      </c>
      <c r="GR110" s="8">
        <v>97.26</v>
      </c>
      <c r="GS110" s="8">
        <v>96.79</v>
      </c>
      <c r="GT110" s="8">
        <v>99.75</v>
      </c>
      <c r="GU110" s="8">
        <v>98.49</v>
      </c>
      <c r="GV110" s="8">
        <v>98.49</v>
      </c>
      <c r="GW110" s="8">
        <v>95.01</v>
      </c>
      <c r="GX110" s="8">
        <v>95.86</v>
      </c>
      <c r="GY110" s="8">
        <v>95.64</v>
      </c>
      <c r="GZ110" s="8">
        <v>90.45</v>
      </c>
      <c r="HA110" s="8">
        <v>98.65</v>
      </c>
      <c r="HB110" s="8">
        <v>100.53</v>
      </c>
      <c r="HC110" s="8">
        <v>102.21</v>
      </c>
      <c r="HD110" s="8">
        <v>101.47</v>
      </c>
      <c r="HE110" s="8">
        <v>99.54</v>
      </c>
      <c r="HF110" s="8">
        <v>101.89</v>
      </c>
      <c r="HG110" s="8">
        <v>101.58</v>
      </c>
      <c r="HH110" s="8">
        <v>101.73</v>
      </c>
      <c r="HI110" s="8">
        <v>102.38</v>
      </c>
      <c r="HJ110" s="8">
        <v>99.47</v>
      </c>
      <c r="HK110" s="8">
        <v>99.17</v>
      </c>
      <c r="HL110" s="8">
        <v>99.02</v>
      </c>
      <c r="HM110" s="8">
        <v>100</v>
      </c>
      <c r="HN110" s="8">
        <v>99.53</v>
      </c>
      <c r="HO110" s="8">
        <v>99.43</v>
      </c>
      <c r="HP110" s="8">
        <v>100.45</v>
      </c>
      <c r="HQ110" s="8">
        <v>100.53</v>
      </c>
      <c r="HR110" s="8">
        <v>101.16</v>
      </c>
      <c r="HS110" s="8">
        <v>101.51</v>
      </c>
      <c r="HT110" s="8">
        <v>96</v>
      </c>
      <c r="HU110" s="8">
        <v>101.98</v>
      </c>
      <c r="HV110" s="8">
        <v>101.4</v>
      </c>
      <c r="HW110" s="8">
        <v>100.92</v>
      </c>
      <c r="HX110" s="8">
        <v>81.52</v>
      </c>
      <c r="HY110" s="8">
        <v>81.52</v>
      </c>
      <c r="HZ110" s="8">
        <v>99.8</v>
      </c>
      <c r="IA110" s="8">
        <v>99.8</v>
      </c>
      <c r="IB110" s="8">
        <v>100.87</v>
      </c>
      <c r="IC110" s="8">
        <v>99.75</v>
      </c>
      <c r="ID110" s="8">
        <v>106.52</v>
      </c>
      <c r="IE110" s="8">
        <v>100.25</v>
      </c>
      <c r="IF110" s="8">
        <v>99.68</v>
      </c>
      <c r="IG110" s="8">
        <v>100.82</v>
      </c>
      <c r="IH110" s="8">
        <v>100.57</v>
      </c>
      <c r="II110" s="8">
        <v>100.15</v>
      </c>
      <c r="IJ110" s="8">
        <v>100.75</v>
      </c>
      <c r="IK110" s="8">
        <v>112.38</v>
      </c>
      <c r="IL110" s="8">
        <v>110.61</v>
      </c>
      <c r="IM110" s="8">
        <v>114.26</v>
      </c>
      <c r="IN110" s="8">
        <v>101.1</v>
      </c>
      <c r="IO110" s="8">
        <v>96.39</v>
      </c>
      <c r="IP110" s="8">
        <v>99.16</v>
      </c>
      <c r="IQ110" s="8">
        <v>102.97</v>
      </c>
    </row>
    <row r="111" spans="1:251" x14ac:dyDescent="0.2">
      <c r="A111" s="9">
        <v>46023</v>
      </c>
      <c r="B111" s="8">
        <v>101.61</v>
      </c>
      <c r="C111" s="8">
        <v>101.55</v>
      </c>
      <c r="D111" s="8">
        <v>102.05</v>
      </c>
      <c r="E111" s="8">
        <v>101.63</v>
      </c>
      <c r="F111" s="8">
        <v>102.71</v>
      </c>
      <c r="G111" s="8">
        <v>104.74</v>
      </c>
      <c r="H111" s="8">
        <v>99.67</v>
      </c>
      <c r="I111" s="8">
        <v>101.92</v>
      </c>
      <c r="J111" s="8">
        <v>105.29</v>
      </c>
      <c r="K111" s="8">
        <v>100.64</v>
      </c>
      <c r="L111" s="8">
        <v>98.47</v>
      </c>
      <c r="M111" s="8">
        <v>100.97</v>
      </c>
      <c r="N111" s="8">
        <v>102.62</v>
      </c>
      <c r="O111" s="8">
        <v>101.84</v>
      </c>
      <c r="P111" s="8">
        <v>100.88</v>
      </c>
      <c r="Q111" s="8">
        <v>101.59</v>
      </c>
      <c r="R111" s="8">
        <v>100.82</v>
      </c>
      <c r="S111" s="8">
        <v>100.12</v>
      </c>
      <c r="T111" s="8">
        <v>102.88</v>
      </c>
      <c r="U111" s="8">
        <v>104.37</v>
      </c>
      <c r="V111" s="8">
        <v>101.58</v>
      </c>
      <c r="W111" s="8">
        <v>101.85</v>
      </c>
      <c r="X111" s="8">
        <v>97.29</v>
      </c>
      <c r="Y111" s="8">
        <v>101.1</v>
      </c>
      <c r="Z111" s="8">
        <v>101.35</v>
      </c>
      <c r="AA111" s="8">
        <v>98.77</v>
      </c>
      <c r="AB111" s="8">
        <v>103.09</v>
      </c>
      <c r="AC111" s="8">
        <v>102.61</v>
      </c>
      <c r="AD111" s="8">
        <v>100</v>
      </c>
      <c r="AE111" s="8">
        <v>100.31</v>
      </c>
      <c r="AF111" s="8">
        <v>99.92</v>
      </c>
      <c r="AG111" s="8">
        <v>101.25</v>
      </c>
      <c r="AH111" s="8">
        <v>101.84</v>
      </c>
      <c r="AI111" s="8">
        <v>100.41</v>
      </c>
      <c r="AJ111" s="8">
        <v>101.22</v>
      </c>
      <c r="AK111" s="8">
        <v>100.91</v>
      </c>
      <c r="AL111" s="8">
        <v>100.76</v>
      </c>
      <c r="AM111" s="8">
        <v>100.31</v>
      </c>
      <c r="AN111" s="8">
        <v>101.53</v>
      </c>
      <c r="AO111" s="8">
        <v>102.03</v>
      </c>
      <c r="AP111" s="8">
        <v>102.03</v>
      </c>
      <c r="AQ111" s="8">
        <v>101.37</v>
      </c>
      <c r="AR111" s="8">
        <v>100.49</v>
      </c>
      <c r="AS111" s="8">
        <v>101.06</v>
      </c>
      <c r="AT111" s="8">
        <v>100.18</v>
      </c>
      <c r="AU111" s="8">
        <v>100.87</v>
      </c>
      <c r="AV111" s="8">
        <v>98.27</v>
      </c>
      <c r="AW111" s="8">
        <v>103.08</v>
      </c>
      <c r="AX111" s="8">
        <v>95.97</v>
      </c>
      <c r="AY111" s="8">
        <v>102.31</v>
      </c>
      <c r="AZ111" s="8">
        <v>104.68</v>
      </c>
      <c r="BA111" s="8">
        <v>105.01</v>
      </c>
      <c r="BB111" s="8">
        <v>100.99</v>
      </c>
      <c r="BC111" s="8">
        <v>103.33</v>
      </c>
      <c r="BD111" s="8">
        <v>101.15</v>
      </c>
      <c r="BE111" s="8">
        <v>101.15</v>
      </c>
      <c r="BF111" s="8">
        <v>101.12</v>
      </c>
      <c r="BG111" s="8">
        <v>101.12</v>
      </c>
      <c r="BH111" s="8">
        <v>100.71</v>
      </c>
      <c r="BI111" s="8">
        <v>101.1</v>
      </c>
      <c r="BJ111" s="8">
        <v>100</v>
      </c>
      <c r="BK111" s="8">
        <v>114.29</v>
      </c>
      <c r="BL111" s="8">
        <v>119.4</v>
      </c>
      <c r="BM111" s="8">
        <v>115.58</v>
      </c>
      <c r="BN111" s="8">
        <v>102.71</v>
      </c>
      <c r="BO111" s="8">
        <v>99.32</v>
      </c>
      <c r="BP111" s="8">
        <v>96.31</v>
      </c>
      <c r="BQ111" s="8">
        <v>95.53</v>
      </c>
      <c r="BR111" s="8">
        <v>99.42</v>
      </c>
      <c r="BS111" s="8">
        <v>93.7</v>
      </c>
      <c r="BT111" s="8">
        <v>93.7</v>
      </c>
      <c r="BU111" s="8">
        <v>98.88</v>
      </c>
      <c r="BV111" s="8">
        <v>96.87</v>
      </c>
      <c r="BW111" s="8">
        <v>100.11</v>
      </c>
      <c r="BX111" s="8">
        <v>100.37</v>
      </c>
      <c r="BY111" s="8">
        <v>98.91</v>
      </c>
      <c r="BZ111" s="8">
        <v>99.48</v>
      </c>
      <c r="CA111" s="8">
        <v>100.02</v>
      </c>
      <c r="CB111" s="8">
        <v>100.75</v>
      </c>
      <c r="CC111" s="8">
        <v>98.47</v>
      </c>
      <c r="CD111" s="8">
        <v>101.73</v>
      </c>
      <c r="CE111" s="8">
        <v>102.73</v>
      </c>
      <c r="CF111" s="8">
        <v>101.11</v>
      </c>
      <c r="CG111" s="8">
        <v>101.14</v>
      </c>
      <c r="CH111" s="8">
        <v>101.42</v>
      </c>
      <c r="CI111" s="8">
        <v>102.34</v>
      </c>
      <c r="CJ111" s="8">
        <v>102.74</v>
      </c>
      <c r="CK111" s="8">
        <v>99.6</v>
      </c>
      <c r="CL111" s="8">
        <v>101.27</v>
      </c>
      <c r="CM111" s="8">
        <v>101.37</v>
      </c>
      <c r="CN111" s="8">
        <v>100.49</v>
      </c>
      <c r="CO111" s="8">
        <v>99.71</v>
      </c>
      <c r="CP111" s="8">
        <v>99.7</v>
      </c>
      <c r="CQ111" s="8">
        <v>101.78</v>
      </c>
      <c r="CR111" s="8">
        <v>101.87</v>
      </c>
      <c r="CS111" s="8">
        <v>94.84</v>
      </c>
      <c r="CT111" s="8">
        <v>102.12</v>
      </c>
      <c r="CU111" s="8">
        <v>100.05</v>
      </c>
      <c r="CV111" s="8">
        <v>99.98</v>
      </c>
      <c r="CW111" s="8">
        <v>99.98</v>
      </c>
      <c r="CX111" s="8">
        <v>99.72</v>
      </c>
      <c r="CY111" s="8">
        <v>99.72</v>
      </c>
      <c r="CZ111" s="8">
        <v>100.78</v>
      </c>
      <c r="DA111" s="8">
        <v>99.65</v>
      </c>
      <c r="DB111" s="8">
        <v>103.11</v>
      </c>
      <c r="DC111" s="8">
        <v>99.75</v>
      </c>
      <c r="DD111" s="8">
        <v>98.58</v>
      </c>
      <c r="DE111" s="8">
        <v>100.94</v>
      </c>
      <c r="DF111" s="8">
        <v>99.21</v>
      </c>
      <c r="DG111" s="8">
        <v>104.17</v>
      </c>
      <c r="DH111" s="8">
        <v>97.51</v>
      </c>
      <c r="DI111" s="8">
        <v>104.4</v>
      </c>
      <c r="DJ111" s="8">
        <v>112.4</v>
      </c>
      <c r="DK111" s="8">
        <v>96.7</v>
      </c>
      <c r="DL111" s="8">
        <v>103.03</v>
      </c>
      <c r="DM111" s="8">
        <v>102.09</v>
      </c>
      <c r="DN111" s="8">
        <v>104.07</v>
      </c>
      <c r="DO111" s="8">
        <v>102.7</v>
      </c>
      <c r="DP111" s="8">
        <v>101.9</v>
      </c>
      <c r="DQ111" s="8">
        <v>101.37</v>
      </c>
      <c r="DR111" s="8">
        <v>105.29</v>
      </c>
      <c r="DS111" s="8">
        <v>99.98</v>
      </c>
      <c r="DT111" s="8">
        <v>99.98</v>
      </c>
      <c r="DU111" s="8">
        <v>99.91</v>
      </c>
      <c r="DV111" s="8">
        <v>100</v>
      </c>
      <c r="DW111" s="8">
        <v>100</v>
      </c>
      <c r="DX111" s="8">
        <v>101.24</v>
      </c>
      <c r="DY111" s="8">
        <v>103.66</v>
      </c>
      <c r="DZ111" s="8">
        <v>103.66</v>
      </c>
      <c r="EA111" s="8">
        <v>100.57</v>
      </c>
      <c r="EB111" s="8">
        <v>99.96</v>
      </c>
      <c r="EC111" s="8">
        <v>100.63</v>
      </c>
      <c r="ED111" s="8">
        <v>101.45</v>
      </c>
      <c r="EE111" s="8">
        <v>101.41</v>
      </c>
      <c r="EF111" s="8">
        <v>102</v>
      </c>
      <c r="EG111" s="8">
        <v>101.68</v>
      </c>
      <c r="EH111" s="8">
        <v>102.56</v>
      </c>
      <c r="EI111" s="8">
        <v>104.48</v>
      </c>
      <c r="EJ111" s="8">
        <v>99.82</v>
      </c>
      <c r="EK111" s="8">
        <v>102.13</v>
      </c>
      <c r="EL111" s="8">
        <v>105.4</v>
      </c>
      <c r="EM111" s="8">
        <v>101.27</v>
      </c>
      <c r="EN111" s="8">
        <v>99.38</v>
      </c>
      <c r="EO111" s="8">
        <v>100.62</v>
      </c>
      <c r="EP111" s="8">
        <v>103.06</v>
      </c>
      <c r="EQ111" s="8">
        <v>101.81</v>
      </c>
      <c r="ER111" s="8">
        <v>100.75</v>
      </c>
      <c r="ES111" s="8">
        <v>101</v>
      </c>
      <c r="ET111" s="8">
        <v>100.91</v>
      </c>
      <c r="EU111" s="8">
        <v>100.26</v>
      </c>
      <c r="EV111" s="8">
        <v>101.86</v>
      </c>
      <c r="EW111" s="8">
        <v>101.54</v>
      </c>
      <c r="EX111" s="8">
        <v>102.09</v>
      </c>
      <c r="EY111" s="8">
        <v>101.64</v>
      </c>
      <c r="EZ111" s="8">
        <v>96.23</v>
      </c>
      <c r="FA111" s="8">
        <v>101.14</v>
      </c>
      <c r="FB111" s="8">
        <v>101.53</v>
      </c>
      <c r="FC111" s="8">
        <v>98.11</v>
      </c>
      <c r="FD111" s="8">
        <v>103.05</v>
      </c>
      <c r="FE111" s="8">
        <v>102.58</v>
      </c>
      <c r="FF111" s="8">
        <v>99.98</v>
      </c>
      <c r="FG111" s="8">
        <v>100.41</v>
      </c>
      <c r="FH111" s="8">
        <v>99.83</v>
      </c>
      <c r="FI111" s="8">
        <v>101.21</v>
      </c>
      <c r="FJ111" s="8">
        <v>100.8</v>
      </c>
      <c r="FK111" s="8">
        <v>101.74</v>
      </c>
      <c r="FL111" s="8">
        <v>101.05</v>
      </c>
      <c r="FM111" s="8">
        <v>100.48</v>
      </c>
      <c r="FN111" s="8">
        <v>100.74</v>
      </c>
      <c r="FO111" s="8">
        <v>100.86</v>
      </c>
      <c r="FP111" s="8">
        <v>100.05</v>
      </c>
      <c r="FQ111" s="8">
        <v>102.28</v>
      </c>
      <c r="FR111" s="8">
        <v>102.28</v>
      </c>
      <c r="FS111" s="8">
        <v>100.07</v>
      </c>
      <c r="FT111" s="8">
        <v>100.14</v>
      </c>
      <c r="FU111" s="8">
        <v>101.01</v>
      </c>
      <c r="FV111" s="8">
        <v>100.97</v>
      </c>
      <c r="FW111" s="8">
        <v>96.16</v>
      </c>
      <c r="FX111" s="8">
        <v>96.93</v>
      </c>
      <c r="FY111" s="8">
        <v>101.59</v>
      </c>
      <c r="FZ111" s="8">
        <v>91.96</v>
      </c>
      <c r="GA111" s="8">
        <v>108.28</v>
      </c>
      <c r="GB111" s="8">
        <v>101.66</v>
      </c>
      <c r="GC111" s="8">
        <v>101.73</v>
      </c>
      <c r="GD111" s="8">
        <v>100.99</v>
      </c>
      <c r="GE111" s="8">
        <v>102.43</v>
      </c>
      <c r="GF111" s="8">
        <v>100.84</v>
      </c>
      <c r="GG111" s="8">
        <v>100.84</v>
      </c>
      <c r="GH111" s="8">
        <v>101.28</v>
      </c>
      <c r="GI111" s="8">
        <v>101.28</v>
      </c>
      <c r="GJ111" s="8">
        <v>100.81</v>
      </c>
      <c r="GK111" s="8">
        <v>101.49</v>
      </c>
      <c r="GL111" s="8">
        <v>100</v>
      </c>
      <c r="GM111" s="8">
        <v>107.81</v>
      </c>
      <c r="GN111" s="8">
        <v>100</v>
      </c>
      <c r="GO111" s="8">
        <v>121.55</v>
      </c>
      <c r="GP111" s="8">
        <v>98.39</v>
      </c>
      <c r="GQ111" s="8">
        <v>98.99</v>
      </c>
      <c r="GR111" s="8">
        <v>94.48</v>
      </c>
      <c r="GS111" s="8">
        <v>93.49</v>
      </c>
      <c r="GT111" s="8">
        <v>99.75</v>
      </c>
      <c r="GU111" s="8">
        <v>96.6</v>
      </c>
      <c r="GV111" s="8">
        <v>96.6</v>
      </c>
      <c r="GW111" s="8">
        <v>98.57</v>
      </c>
      <c r="GX111" s="8">
        <v>98.79</v>
      </c>
      <c r="GY111" s="8">
        <v>96.8</v>
      </c>
      <c r="GZ111" s="8">
        <v>100.13</v>
      </c>
      <c r="HA111" s="8">
        <v>98.39</v>
      </c>
      <c r="HB111" s="8">
        <v>99.63</v>
      </c>
      <c r="HC111" s="8">
        <v>100.12</v>
      </c>
      <c r="HD111" s="8">
        <v>100.63</v>
      </c>
      <c r="HE111" s="8">
        <v>98.79</v>
      </c>
      <c r="HF111" s="8">
        <v>101.89</v>
      </c>
      <c r="HG111" s="8">
        <v>101.27</v>
      </c>
      <c r="HH111" s="8">
        <v>101.73</v>
      </c>
      <c r="HI111" s="8">
        <v>102.63</v>
      </c>
      <c r="HJ111" s="8">
        <v>102.18</v>
      </c>
      <c r="HK111" s="8">
        <v>102.33</v>
      </c>
      <c r="HL111" s="8">
        <v>103.21</v>
      </c>
      <c r="HM111" s="8">
        <v>97.4</v>
      </c>
      <c r="HN111" s="8">
        <v>102.15</v>
      </c>
      <c r="HO111" s="8">
        <v>102.26</v>
      </c>
      <c r="HP111" s="8">
        <v>101.08</v>
      </c>
      <c r="HQ111" s="8">
        <v>100.61</v>
      </c>
      <c r="HR111" s="8">
        <v>101.34</v>
      </c>
      <c r="HS111" s="8">
        <v>101.54</v>
      </c>
      <c r="HT111" s="8">
        <v>98.97</v>
      </c>
      <c r="HU111" s="8">
        <v>101.02</v>
      </c>
      <c r="HV111" s="8">
        <v>102.26</v>
      </c>
      <c r="HW111" s="8">
        <v>101.45</v>
      </c>
      <c r="HX111" s="8">
        <v>78.45</v>
      </c>
      <c r="HY111" s="8">
        <v>78.45</v>
      </c>
      <c r="HZ111" s="8">
        <v>99.71</v>
      </c>
      <c r="IA111" s="8">
        <v>99.71</v>
      </c>
      <c r="IB111" s="8">
        <v>100.78</v>
      </c>
      <c r="IC111" s="8">
        <v>99.66</v>
      </c>
      <c r="ID111" s="8">
        <v>103.34</v>
      </c>
      <c r="IE111" s="8">
        <v>101.51</v>
      </c>
      <c r="IF111" s="8">
        <v>102.14</v>
      </c>
      <c r="IG111" s="8">
        <v>100.9</v>
      </c>
      <c r="IH111" s="8">
        <v>100.29</v>
      </c>
      <c r="II111" s="8">
        <v>103.8</v>
      </c>
      <c r="IJ111" s="8">
        <v>98.74</v>
      </c>
      <c r="IK111" s="8">
        <v>105.32</v>
      </c>
      <c r="IL111" s="8">
        <v>114.68</v>
      </c>
      <c r="IM111" s="8">
        <v>95.34</v>
      </c>
      <c r="IN111" s="8">
        <v>101.49</v>
      </c>
      <c r="IO111" s="8">
        <v>97.23</v>
      </c>
      <c r="IP111" s="8">
        <v>105.13</v>
      </c>
      <c r="IQ111" s="8">
        <v>102.59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1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499</v>
      </c>
      <c r="C1" s="3" t="s">
        <v>500</v>
      </c>
      <c r="D1" s="3" t="s">
        <v>501</v>
      </c>
      <c r="E1" s="3" t="s">
        <v>502</v>
      </c>
      <c r="F1" s="3" t="s">
        <v>502</v>
      </c>
      <c r="G1" s="3" t="s">
        <v>503</v>
      </c>
      <c r="H1" s="3" t="s">
        <v>504</v>
      </c>
      <c r="I1" s="3" t="s">
        <v>505</v>
      </c>
      <c r="J1" s="3" t="s">
        <v>506</v>
      </c>
      <c r="K1" s="3" t="s">
        <v>507</v>
      </c>
      <c r="L1" s="3" t="s">
        <v>507</v>
      </c>
      <c r="M1" s="3" t="s">
        <v>508</v>
      </c>
      <c r="N1" s="3" t="s">
        <v>509</v>
      </c>
      <c r="O1" s="3" t="s">
        <v>510</v>
      </c>
      <c r="P1" s="3" t="s">
        <v>511</v>
      </c>
      <c r="Q1" s="3" t="s">
        <v>512</v>
      </c>
      <c r="R1" s="3" t="s">
        <v>513</v>
      </c>
      <c r="S1" s="3" t="s">
        <v>514</v>
      </c>
      <c r="T1" s="3" t="s">
        <v>515</v>
      </c>
      <c r="U1" s="3" t="s">
        <v>516</v>
      </c>
      <c r="V1" s="3" t="s">
        <v>517</v>
      </c>
      <c r="W1" s="3" t="s">
        <v>518</v>
      </c>
      <c r="X1" s="3" t="s">
        <v>519</v>
      </c>
      <c r="Y1" s="3" t="s">
        <v>520</v>
      </c>
      <c r="Z1" s="3" t="s">
        <v>521</v>
      </c>
      <c r="AA1" s="3" t="s">
        <v>522</v>
      </c>
      <c r="AB1" s="3" t="s">
        <v>523</v>
      </c>
      <c r="AC1" s="3" t="s">
        <v>524</v>
      </c>
      <c r="AD1" s="3" t="s">
        <v>525</v>
      </c>
      <c r="AE1" s="3" t="s">
        <v>526</v>
      </c>
      <c r="AF1" s="3" t="s">
        <v>527</v>
      </c>
      <c r="AG1" s="3" t="s">
        <v>528</v>
      </c>
      <c r="AH1" s="3" t="s">
        <v>529</v>
      </c>
      <c r="AI1" s="3" t="s">
        <v>530</v>
      </c>
      <c r="AJ1" s="3" t="s">
        <v>531</v>
      </c>
      <c r="AK1" s="3" t="s">
        <v>532</v>
      </c>
      <c r="AL1" s="3" t="s">
        <v>533</v>
      </c>
      <c r="AM1" s="3" t="s">
        <v>534</v>
      </c>
      <c r="AN1" s="3" t="s">
        <v>535</v>
      </c>
      <c r="AO1" s="3" t="s">
        <v>536</v>
      </c>
      <c r="AP1" s="3" t="s">
        <v>537</v>
      </c>
      <c r="AQ1" s="3" t="s">
        <v>538</v>
      </c>
      <c r="AR1" s="3" t="s">
        <v>539</v>
      </c>
      <c r="AS1" s="3" t="s">
        <v>540</v>
      </c>
      <c r="AT1" s="3" t="s">
        <v>541</v>
      </c>
      <c r="AU1" s="3" t="s">
        <v>542</v>
      </c>
      <c r="AV1" s="3" t="s">
        <v>543</v>
      </c>
      <c r="AW1" s="3" t="s">
        <v>544</v>
      </c>
      <c r="AX1" s="3" t="s">
        <v>545</v>
      </c>
      <c r="AY1" s="3" t="s">
        <v>546</v>
      </c>
      <c r="AZ1" s="3" t="s">
        <v>547</v>
      </c>
      <c r="BA1" s="3" t="s">
        <v>548</v>
      </c>
      <c r="BB1" s="3" t="s">
        <v>549</v>
      </c>
      <c r="BC1" s="3" t="s">
        <v>550</v>
      </c>
      <c r="BD1" s="3" t="s">
        <v>550</v>
      </c>
      <c r="BE1" s="3" t="s">
        <v>551</v>
      </c>
      <c r="BF1" s="3" t="s">
        <v>552</v>
      </c>
      <c r="BG1" s="3" t="s">
        <v>553</v>
      </c>
      <c r="BH1" s="3" t="s">
        <v>554</v>
      </c>
      <c r="BI1" s="3" t="s">
        <v>555</v>
      </c>
      <c r="BJ1" s="3" t="s">
        <v>556</v>
      </c>
      <c r="BK1" s="3" t="s">
        <v>557</v>
      </c>
      <c r="BL1" s="3" t="s">
        <v>558</v>
      </c>
      <c r="BM1" s="3" t="s">
        <v>559</v>
      </c>
      <c r="BN1" s="3" t="s">
        <v>560</v>
      </c>
      <c r="BO1" s="3" t="s">
        <v>561</v>
      </c>
      <c r="BP1" s="3" t="s">
        <v>562</v>
      </c>
      <c r="BQ1" s="3" t="s">
        <v>563</v>
      </c>
      <c r="BR1" s="3" t="s">
        <v>564</v>
      </c>
      <c r="BS1" s="3" t="s">
        <v>564</v>
      </c>
      <c r="BT1" s="3" t="s">
        <v>565</v>
      </c>
      <c r="BU1" s="3" t="s">
        <v>565</v>
      </c>
      <c r="BV1" s="3" t="s">
        <v>566</v>
      </c>
      <c r="BW1" s="3" t="s">
        <v>567</v>
      </c>
      <c r="BX1" s="3" t="s">
        <v>568</v>
      </c>
      <c r="BY1" s="3" t="s">
        <v>569</v>
      </c>
      <c r="BZ1" s="3" t="s">
        <v>570</v>
      </c>
      <c r="CA1" s="3" t="s">
        <v>571</v>
      </c>
      <c r="CB1" s="3" t="s">
        <v>572</v>
      </c>
      <c r="CC1" s="3" t="s">
        <v>573</v>
      </c>
      <c r="CD1" s="3" t="s">
        <v>574</v>
      </c>
      <c r="CE1" s="3" t="s">
        <v>575</v>
      </c>
      <c r="CF1" s="3" t="s">
        <v>576</v>
      </c>
      <c r="CG1" s="3" t="s">
        <v>577</v>
      </c>
      <c r="CH1" s="3" t="s">
        <v>577</v>
      </c>
      <c r="CI1" s="3" t="s">
        <v>578</v>
      </c>
      <c r="CJ1" s="3" t="s">
        <v>579</v>
      </c>
      <c r="CK1" s="3" t="s">
        <v>580</v>
      </c>
      <c r="CL1" s="3" t="s">
        <v>581</v>
      </c>
      <c r="CM1" s="3" t="s">
        <v>582</v>
      </c>
      <c r="CN1" s="3" t="s">
        <v>583</v>
      </c>
      <c r="CO1" s="3" t="s">
        <v>584</v>
      </c>
      <c r="CP1" s="3" t="s">
        <v>585</v>
      </c>
      <c r="CQ1" s="3" t="s">
        <v>586</v>
      </c>
      <c r="CR1" s="3" t="s">
        <v>587</v>
      </c>
      <c r="CS1" s="3" t="s">
        <v>588</v>
      </c>
      <c r="CT1" s="3" t="s">
        <v>589</v>
      </c>
      <c r="CU1" s="3" t="s">
        <v>590</v>
      </c>
      <c r="CV1" s="3" t="s">
        <v>591</v>
      </c>
      <c r="CW1" s="3" t="s">
        <v>592</v>
      </c>
      <c r="CX1" s="3" t="s">
        <v>593</v>
      </c>
      <c r="CY1" s="3" t="s">
        <v>594</v>
      </c>
      <c r="CZ1" s="3" t="s">
        <v>595</v>
      </c>
      <c r="DA1" s="3" t="s">
        <v>596</v>
      </c>
      <c r="DB1" s="3" t="s">
        <v>597</v>
      </c>
      <c r="DC1" s="3" t="s">
        <v>598</v>
      </c>
      <c r="DD1" s="3" t="s">
        <v>599</v>
      </c>
      <c r="DE1" s="3" t="s">
        <v>600</v>
      </c>
      <c r="DF1" s="3" t="s">
        <v>601</v>
      </c>
      <c r="DG1" s="3" t="s">
        <v>602</v>
      </c>
      <c r="DH1" s="3" t="s">
        <v>603</v>
      </c>
      <c r="DI1" s="3" t="s">
        <v>604</v>
      </c>
      <c r="DJ1" s="3" t="s">
        <v>605</v>
      </c>
      <c r="DK1" s="3" t="s">
        <v>605</v>
      </c>
      <c r="DL1" s="3" t="s">
        <v>606</v>
      </c>
      <c r="DM1" s="3" t="s">
        <v>606</v>
      </c>
      <c r="DN1" s="3" t="s">
        <v>607</v>
      </c>
      <c r="DO1" s="3" t="s">
        <v>608</v>
      </c>
      <c r="DP1" s="3" t="s">
        <v>609</v>
      </c>
      <c r="DQ1" s="3" t="s">
        <v>610</v>
      </c>
      <c r="DR1" s="3" t="s">
        <v>611</v>
      </c>
      <c r="DS1" s="3" t="s">
        <v>612</v>
      </c>
      <c r="DT1" s="3" t="s">
        <v>613</v>
      </c>
      <c r="DU1" s="3" t="s">
        <v>614</v>
      </c>
      <c r="DV1" s="3" t="s">
        <v>615</v>
      </c>
      <c r="DW1" s="3" t="s">
        <v>616</v>
      </c>
      <c r="DX1" s="3" t="s">
        <v>617</v>
      </c>
      <c r="DY1" s="3" t="s">
        <v>618</v>
      </c>
      <c r="DZ1" s="3" t="s">
        <v>619</v>
      </c>
      <c r="EA1" s="3" t="s">
        <v>620</v>
      </c>
      <c r="EB1" s="3" t="s">
        <v>621</v>
      </c>
      <c r="EC1" s="3" t="s">
        <v>622</v>
      </c>
      <c r="ED1" s="3" t="s">
        <v>623</v>
      </c>
      <c r="EE1" s="3" t="s">
        <v>624</v>
      </c>
      <c r="EF1" s="3" t="s">
        <v>625</v>
      </c>
      <c r="EG1" s="3" t="s">
        <v>626</v>
      </c>
      <c r="EH1" s="3" t="s">
        <v>626</v>
      </c>
      <c r="EI1" s="3" t="s">
        <v>627</v>
      </c>
      <c r="EJ1" s="3" t="s">
        <v>628</v>
      </c>
      <c r="EK1" s="3" t="s">
        <v>629</v>
      </c>
      <c r="EL1" s="3" t="s">
        <v>630</v>
      </c>
      <c r="EM1" s="3" t="s">
        <v>631</v>
      </c>
      <c r="EN1" s="3" t="s">
        <v>631</v>
      </c>
      <c r="EO1" s="3" t="s">
        <v>632</v>
      </c>
      <c r="EP1" s="3" t="s">
        <v>633</v>
      </c>
      <c r="EQ1" s="3" t="s">
        <v>634</v>
      </c>
      <c r="ER1" s="3" t="s">
        <v>635</v>
      </c>
      <c r="ES1" s="3" t="s">
        <v>636</v>
      </c>
      <c r="ET1" s="3" t="s">
        <v>637</v>
      </c>
      <c r="EU1" s="3" t="s">
        <v>638</v>
      </c>
      <c r="EV1" s="3" t="s">
        <v>639</v>
      </c>
      <c r="EW1" s="3" t="s">
        <v>640</v>
      </c>
      <c r="EX1" s="3" t="s">
        <v>641</v>
      </c>
      <c r="EY1" s="3" t="s">
        <v>642</v>
      </c>
      <c r="EZ1" s="3" t="s">
        <v>643</v>
      </c>
      <c r="FA1" s="3" t="s">
        <v>644</v>
      </c>
      <c r="FB1" s="3" t="s">
        <v>645</v>
      </c>
      <c r="FC1" s="3" t="s">
        <v>646</v>
      </c>
      <c r="FD1" s="3" t="s">
        <v>647</v>
      </c>
      <c r="FE1" s="3" t="s">
        <v>648</v>
      </c>
      <c r="FF1" s="3" t="s">
        <v>649</v>
      </c>
      <c r="FG1" s="3" t="s">
        <v>650</v>
      </c>
      <c r="FH1" s="3" t="s">
        <v>651</v>
      </c>
      <c r="FI1" s="3" t="s">
        <v>652</v>
      </c>
      <c r="FJ1" s="3" t="s">
        <v>653</v>
      </c>
      <c r="FK1" s="3" t="s">
        <v>654</v>
      </c>
      <c r="FL1" s="3" t="s">
        <v>655</v>
      </c>
      <c r="FM1" s="3" t="s">
        <v>656</v>
      </c>
      <c r="FN1" s="3" t="s">
        <v>657</v>
      </c>
      <c r="FO1" s="3" t="s">
        <v>658</v>
      </c>
      <c r="FP1" s="3" t="s">
        <v>659</v>
      </c>
      <c r="FQ1" s="3" t="s">
        <v>660</v>
      </c>
      <c r="FR1" s="3" t="s">
        <v>661</v>
      </c>
      <c r="FS1" s="3" t="s">
        <v>662</v>
      </c>
      <c r="FT1" s="3" t="s">
        <v>663</v>
      </c>
      <c r="FU1" s="3" t="s">
        <v>664</v>
      </c>
      <c r="FV1" s="3" t="s">
        <v>665</v>
      </c>
      <c r="FW1" s="3" t="s">
        <v>666</v>
      </c>
      <c r="FX1" s="3" t="s">
        <v>667</v>
      </c>
      <c r="FY1" s="3" t="s">
        <v>668</v>
      </c>
      <c r="FZ1" s="3" t="s">
        <v>669</v>
      </c>
      <c r="GA1" s="3" t="s">
        <v>670</v>
      </c>
      <c r="GB1" s="3" t="s">
        <v>671</v>
      </c>
      <c r="GC1" s="3" t="s">
        <v>672</v>
      </c>
      <c r="GD1" s="3" t="s">
        <v>673</v>
      </c>
      <c r="GE1" s="3" t="s">
        <v>674</v>
      </c>
      <c r="GF1" s="3" t="s">
        <v>674</v>
      </c>
      <c r="GG1" s="3" t="s">
        <v>675</v>
      </c>
      <c r="GH1" s="3" t="s">
        <v>676</v>
      </c>
      <c r="GI1" s="3" t="s">
        <v>677</v>
      </c>
      <c r="GJ1" s="3" t="s">
        <v>678</v>
      </c>
      <c r="GK1" s="3" t="s">
        <v>679</v>
      </c>
      <c r="GL1" s="3" t="s">
        <v>680</v>
      </c>
      <c r="GM1" s="3" t="s">
        <v>681</v>
      </c>
      <c r="GN1" s="3" t="s">
        <v>682</v>
      </c>
      <c r="GO1" s="3" t="s">
        <v>683</v>
      </c>
      <c r="GP1" s="3" t="s">
        <v>684</v>
      </c>
      <c r="GQ1" s="3" t="s">
        <v>685</v>
      </c>
      <c r="GR1" s="3" t="s">
        <v>686</v>
      </c>
      <c r="GS1" s="3" t="s">
        <v>687</v>
      </c>
      <c r="GT1" s="3" t="s">
        <v>688</v>
      </c>
      <c r="GU1" s="3" t="s">
        <v>688</v>
      </c>
      <c r="GV1" s="3" t="s">
        <v>689</v>
      </c>
      <c r="GW1" s="3" t="s">
        <v>689</v>
      </c>
      <c r="GX1" s="3" t="s">
        <v>690</v>
      </c>
      <c r="GY1" s="3" t="s">
        <v>691</v>
      </c>
      <c r="GZ1" s="3" t="s">
        <v>692</v>
      </c>
      <c r="HA1" s="3" t="s">
        <v>693</v>
      </c>
      <c r="HB1" s="3" t="s">
        <v>694</v>
      </c>
      <c r="HC1" s="3" t="s">
        <v>695</v>
      </c>
      <c r="HD1" s="3" t="s">
        <v>696</v>
      </c>
      <c r="HE1" s="3" t="s">
        <v>697</v>
      </c>
      <c r="HF1" s="3" t="s">
        <v>698</v>
      </c>
      <c r="HG1" s="3" t="s">
        <v>699</v>
      </c>
      <c r="HH1" s="3" t="s">
        <v>700</v>
      </c>
      <c r="HI1" s="3" t="s">
        <v>701</v>
      </c>
      <c r="HJ1" s="3" t="s">
        <v>701</v>
      </c>
      <c r="HK1" s="3" t="s">
        <v>702</v>
      </c>
      <c r="HL1" s="3" t="s">
        <v>703</v>
      </c>
      <c r="HM1" s="3" t="s">
        <v>704</v>
      </c>
      <c r="HN1" s="3" t="s">
        <v>705</v>
      </c>
      <c r="HO1" s="3" t="s">
        <v>706</v>
      </c>
      <c r="HP1" s="3" t="s">
        <v>707</v>
      </c>
      <c r="HQ1" s="3" t="s">
        <v>708</v>
      </c>
      <c r="HR1" s="3" t="s">
        <v>709</v>
      </c>
      <c r="HS1" s="3" t="s">
        <v>710</v>
      </c>
      <c r="HT1" s="3" t="s">
        <v>711</v>
      </c>
      <c r="HU1" s="3" t="s">
        <v>712</v>
      </c>
      <c r="HV1" s="3" t="s">
        <v>713</v>
      </c>
      <c r="HW1" s="3" t="s">
        <v>714</v>
      </c>
      <c r="HX1" s="3" t="s">
        <v>715</v>
      </c>
      <c r="HY1" s="3" t="s">
        <v>716</v>
      </c>
      <c r="HZ1" s="3" t="s">
        <v>717</v>
      </c>
      <c r="IA1" s="3" t="s">
        <v>718</v>
      </c>
      <c r="IB1" s="3" t="s">
        <v>719</v>
      </c>
      <c r="IC1" s="3" t="s">
        <v>720</v>
      </c>
      <c r="ID1" s="3" t="s">
        <v>721</v>
      </c>
      <c r="IE1" s="3" t="s">
        <v>722</v>
      </c>
      <c r="IF1" s="3" t="s">
        <v>723</v>
      </c>
      <c r="IG1" s="3" t="s">
        <v>724</v>
      </c>
      <c r="IH1" s="3" t="s">
        <v>725</v>
      </c>
      <c r="II1" s="3" t="s">
        <v>726</v>
      </c>
      <c r="IJ1" s="3" t="s">
        <v>727</v>
      </c>
      <c r="IK1" s="3" t="s">
        <v>728</v>
      </c>
      <c r="IL1" s="3" t="s">
        <v>729</v>
      </c>
      <c r="IM1" s="3" t="s">
        <v>729</v>
      </c>
      <c r="IN1" s="3" t="s">
        <v>730</v>
      </c>
      <c r="IO1" s="3" t="s">
        <v>730</v>
      </c>
      <c r="IP1" s="3" t="s">
        <v>731</v>
      </c>
      <c r="IQ1" s="3" t="s">
        <v>732</v>
      </c>
    </row>
    <row r="2" spans="1:251" x14ac:dyDescent="0.2">
      <c r="A2" s="4" t="s">
        <v>236</v>
      </c>
      <c r="B2" s="7" t="s">
        <v>245</v>
      </c>
      <c r="C2" s="7" t="s">
        <v>245</v>
      </c>
      <c r="D2" s="7" t="s">
        <v>245</v>
      </c>
      <c r="E2" s="7" t="s">
        <v>245</v>
      </c>
      <c r="F2" s="7" t="s">
        <v>245</v>
      </c>
      <c r="G2" s="7" t="s">
        <v>245</v>
      </c>
      <c r="H2" s="7" t="s">
        <v>245</v>
      </c>
      <c r="I2" s="7" t="s">
        <v>245</v>
      </c>
      <c r="J2" s="7" t="s">
        <v>245</v>
      </c>
      <c r="K2" s="7" t="s">
        <v>245</v>
      </c>
      <c r="L2" s="7" t="s">
        <v>245</v>
      </c>
      <c r="M2" s="7" t="s">
        <v>245</v>
      </c>
      <c r="N2" s="7" t="s">
        <v>245</v>
      </c>
      <c r="O2" s="7" t="s">
        <v>245</v>
      </c>
      <c r="P2" s="7" t="s">
        <v>245</v>
      </c>
      <c r="Q2" s="7" t="s">
        <v>245</v>
      </c>
      <c r="R2" s="7" t="s">
        <v>245</v>
      </c>
      <c r="S2" s="7" t="s">
        <v>245</v>
      </c>
      <c r="T2" s="7" t="s">
        <v>245</v>
      </c>
      <c r="U2" s="7" t="s">
        <v>245</v>
      </c>
      <c r="V2" s="7" t="s">
        <v>245</v>
      </c>
      <c r="W2" s="7" t="s">
        <v>245</v>
      </c>
      <c r="X2" s="7" t="s">
        <v>245</v>
      </c>
      <c r="Y2" s="7" t="s">
        <v>245</v>
      </c>
      <c r="Z2" s="7" t="s">
        <v>245</v>
      </c>
      <c r="AA2" s="7" t="s">
        <v>245</v>
      </c>
      <c r="AB2" s="7" t="s">
        <v>245</v>
      </c>
      <c r="AC2" s="7" t="s">
        <v>245</v>
      </c>
      <c r="AD2" s="7" t="s">
        <v>245</v>
      </c>
      <c r="AE2" s="7" t="s">
        <v>245</v>
      </c>
      <c r="AF2" s="7" t="s">
        <v>245</v>
      </c>
      <c r="AG2" s="7" t="s">
        <v>245</v>
      </c>
      <c r="AH2" s="7" t="s">
        <v>245</v>
      </c>
      <c r="AI2" s="7" t="s">
        <v>245</v>
      </c>
      <c r="AJ2" s="7" t="s">
        <v>245</v>
      </c>
      <c r="AK2" s="7" t="s">
        <v>245</v>
      </c>
      <c r="AL2" s="7" t="s">
        <v>245</v>
      </c>
      <c r="AM2" s="7" t="s">
        <v>245</v>
      </c>
      <c r="AN2" s="7" t="s">
        <v>245</v>
      </c>
      <c r="AO2" s="7" t="s">
        <v>245</v>
      </c>
      <c r="AP2" s="7" t="s">
        <v>245</v>
      </c>
      <c r="AQ2" s="7" t="s">
        <v>245</v>
      </c>
      <c r="AR2" s="7" t="s">
        <v>245</v>
      </c>
      <c r="AS2" s="7" t="s">
        <v>245</v>
      </c>
      <c r="AT2" s="7" t="s">
        <v>245</v>
      </c>
      <c r="AU2" s="7" t="s">
        <v>245</v>
      </c>
      <c r="AV2" s="7" t="s">
        <v>245</v>
      </c>
      <c r="AW2" s="7" t="s">
        <v>245</v>
      </c>
      <c r="AX2" s="7" t="s">
        <v>245</v>
      </c>
      <c r="AY2" s="7" t="s">
        <v>245</v>
      </c>
      <c r="AZ2" s="7" t="s">
        <v>245</v>
      </c>
      <c r="BA2" s="7" t="s">
        <v>245</v>
      </c>
      <c r="BB2" s="7" t="s">
        <v>245</v>
      </c>
      <c r="BC2" s="7" t="s">
        <v>245</v>
      </c>
      <c r="BD2" s="7" t="s">
        <v>245</v>
      </c>
      <c r="BE2" s="7" t="s">
        <v>245</v>
      </c>
      <c r="BF2" s="7" t="s">
        <v>245</v>
      </c>
      <c r="BG2" s="7" t="s">
        <v>245</v>
      </c>
      <c r="BH2" s="7" t="s">
        <v>245</v>
      </c>
      <c r="BI2" s="7" t="s">
        <v>245</v>
      </c>
      <c r="BJ2" s="7" t="s">
        <v>245</v>
      </c>
      <c r="BK2" s="7" t="s">
        <v>245</v>
      </c>
      <c r="BL2" s="7" t="s">
        <v>245</v>
      </c>
      <c r="BM2" s="7" t="s">
        <v>245</v>
      </c>
      <c r="BN2" s="7" t="s">
        <v>245</v>
      </c>
      <c r="BO2" s="7" t="s">
        <v>245</v>
      </c>
      <c r="BP2" s="7" t="s">
        <v>245</v>
      </c>
      <c r="BQ2" s="7" t="s">
        <v>245</v>
      </c>
      <c r="BR2" s="7" t="s">
        <v>245</v>
      </c>
      <c r="BS2" s="7" t="s">
        <v>245</v>
      </c>
      <c r="BT2" s="7" t="s">
        <v>245</v>
      </c>
      <c r="BU2" s="7" t="s">
        <v>245</v>
      </c>
      <c r="BV2" s="7" t="s">
        <v>245</v>
      </c>
      <c r="BW2" s="7" t="s">
        <v>245</v>
      </c>
      <c r="BX2" s="7" t="s">
        <v>245</v>
      </c>
      <c r="BY2" s="7" t="s">
        <v>245</v>
      </c>
      <c r="BZ2" s="7" t="s">
        <v>245</v>
      </c>
      <c r="CA2" s="7" t="s">
        <v>245</v>
      </c>
      <c r="CB2" s="7" t="s">
        <v>245</v>
      </c>
      <c r="CC2" s="7" t="s">
        <v>245</v>
      </c>
      <c r="CD2" s="7" t="s">
        <v>245</v>
      </c>
      <c r="CE2" s="7" t="s">
        <v>245</v>
      </c>
      <c r="CF2" s="7" t="s">
        <v>245</v>
      </c>
      <c r="CG2" s="7" t="s">
        <v>245</v>
      </c>
      <c r="CH2" s="7" t="s">
        <v>245</v>
      </c>
      <c r="CI2" s="7" t="s">
        <v>245</v>
      </c>
      <c r="CJ2" s="7" t="s">
        <v>245</v>
      </c>
      <c r="CK2" s="7" t="s">
        <v>245</v>
      </c>
      <c r="CL2" s="7" t="s">
        <v>245</v>
      </c>
      <c r="CM2" s="7" t="s">
        <v>245</v>
      </c>
      <c r="CN2" s="7" t="s">
        <v>245</v>
      </c>
      <c r="CO2" s="7" t="s">
        <v>245</v>
      </c>
      <c r="CP2" s="7" t="s">
        <v>245</v>
      </c>
      <c r="CQ2" s="7" t="s">
        <v>245</v>
      </c>
      <c r="CR2" s="7" t="s">
        <v>245</v>
      </c>
      <c r="CS2" s="7" t="s">
        <v>245</v>
      </c>
      <c r="CT2" s="7" t="s">
        <v>245</v>
      </c>
      <c r="CU2" s="7" t="s">
        <v>245</v>
      </c>
      <c r="CV2" s="7" t="s">
        <v>245</v>
      </c>
      <c r="CW2" s="7" t="s">
        <v>245</v>
      </c>
      <c r="CX2" s="7" t="s">
        <v>245</v>
      </c>
      <c r="CY2" s="7" t="s">
        <v>245</v>
      </c>
      <c r="CZ2" s="7" t="s">
        <v>245</v>
      </c>
      <c r="DA2" s="7" t="s">
        <v>245</v>
      </c>
      <c r="DB2" s="7" t="s">
        <v>245</v>
      </c>
      <c r="DC2" s="7" t="s">
        <v>245</v>
      </c>
      <c r="DD2" s="7" t="s">
        <v>245</v>
      </c>
      <c r="DE2" s="7" t="s">
        <v>245</v>
      </c>
      <c r="DF2" s="7" t="s">
        <v>245</v>
      </c>
      <c r="DG2" s="7" t="s">
        <v>245</v>
      </c>
      <c r="DH2" s="7" t="s">
        <v>245</v>
      </c>
      <c r="DI2" s="7" t="s">
        <v>245</v>
      </c>
      <c r="DJ2" s="7" t="s">
        <v>245</v>
      </c>
      <c r="DK2" s="7" t="s">
        <v>245</v>
      </c>
      <c r="DL2" s="7" t="s">
        <v>245</v>
      </c>
      <c r="DM2" s="7" t="s">
        <v>245</v>
      </c>
      <c r="DN2" s="7" t="s">
        <v>245</v>
      </c>
      <c r="DO2" s="7" t="s">
        <v>245</v>
      </c>
      <c r="DP2" s="7" t="s">
        <v>245</v>
      </c>
      <c r="DQ2" s="7" t="s">
        <v>245</v>
      </c>
      <c r="DR2" s="7" t="s">
        <v>245</v>
      </c>
      <c r="DS2" s="7" t="s">
        <v>245</v>
      </c>
      <c r="DT2" s="7" t="s">
        <v>245</v>
      </c>
      <c r="DU2" s="7" t="s">
        <v>245</v>
      </c>
      <c r="DV2" s="7" t="s">
        <v>245</v>
      </c>
      <c r="DW2" s="7" t="s">
        <v>245</v>
      </c>
      <c r="DX2" s="7" t="s">
        <v>245</v>
      </c>
      <c r="DY2" s="7" t="s">
        <v>245</v>
      </c>
      <c r="DZ2" s="7" t="s">
        <v>245</v>
      </c>
      <c r="EA2" s="7" t="s">
        <v>245</v>
      </c>
      <c r="EB2" s="7" t="s">
        <v>245</v>
      </c>
      <c r="EC2" s="7" t="s">
        <v>245</v>
      </c>
      <c r="ED2" s="7" t="s">
        <v>245</v>
      </c>
      <c r="EE2" s="7" t="s">
        <v>245</v>
      </c>
      <c r="EF2" s="7" t="s">
        <v>245</v>
      </c>
      <c r="EG2" s="7" t="s">
        <v>245</v>
      </c>
      <c r="EH2" s="7" t="s">
        <v>245</v>
      </c>
      <c r="EI2" s="7" t="s">
        <v>245</v>
      </c>
      <c r="EJ2" s="7" t="s">
        <v>245</v>
      </c>
      <c r="EK2" s="7" t="s">
        <v>245</v>
      </c>
      <c r="EL2" s="7" t="s">
        <v>245</v>
      </c>
      <c r="EM2" s="7" t="s">
        <v>245</v>
      </c>
      <c r="EN2" s="7" t="s">
        <v>245</v>
      </c>
      <c r="EO2" s="7" t="s">
        <v>245</v>
      </c>
      <c r="EP2" s="7" t="s">
        <v>245</v>
      </c>
      <c r="EQ2" s="7" t="s">
        <v>245</v>
      </c>
      <c r="ER2" s="7" t="s">
        <v>245</v>
      </c>
      <c r="ES2" s="7" t="s">
        <v>245</v>
      </c>
      <c r="ET2" s="7" t="s">
        <v>245</v>
      </c>
      <c r="EU2" s="7" t="s">
        <v>245</v>
      </c>
      <c r="EV2" s="7" t="s">
        <v>245</v>
      </c>
      <c r="EW2" s="7" t="s">
        <v>245</v>
      </c>
      <c r="EX2" s="7" t="s">
        <v>245</v>
      </c>
      <c r="EY2" s="7" t="s">
        <v>245</v>
      </c>
      <c r="EZ2" s="7" t="s">
        <v>245</v>
      </c>
      <c r="FA2" s="7" t="s">
        <v>245</v>
      </c>
      <c r="FB2" s="7" t="s">
        <v>245</v>
      </c>
      <c r="FC2" s="7" t="s">
        <v>245</v>
      </c>
      <c r="FD2" s="7" t="s">
        <v>245</v>
      </c>
      <c r="FE2" s="7" t="s">
        <v>245</v>
      </c>
      <c r="FF2" s="7" t="s">
        <v>245</v>
      </c>
      <c r="FG2" s="7" t="s">
        <v>245</v>
      </c>
      <c r="FH2" s="7" t="s">
        <v>245</v>
      </c>
      <c r="FI2" s="7" t="s">
        <v>245</v>
      </c>
      <c r="FJ2" s="7" t="s">
        <v>245</v>
      </c>
      <c r="FK2" s="7" t="s">
        <v>245</v>
      </c>
      <c r="FL2" s="7" t="s">
        <v>245</v>
      </c>
      <c r="FM2" s="7" t="s">
        <v>245</v>
      </c>
      <c r="FN2" s="7" t="s">
        <v>245</v>
      </c>
      <c r="FO2" s="7" t="s">
        <v>245</v>
      </c>
      <c r="FP2" s="7" t="s">
        <v>245</v>
      </c>
      <c r="FQ2" s="7" t="s">
        <v>245</v>
      </c>
      <c r="FR2" s="7" t="s">
        <v>245</v>
      </c>
      <c r="FS2" s="7" t="s">
        <v>245</v>
      </c>
      <c r="FT2" s="7" t="s">
        <v>245</v>
      </c>
      <c r="FU2" s="7" t="s">
        <v>245</v>
      </c>
      <c r="FV2" s="7" t="s">
        <v>245</v>
      </c>
      <c r="FW2" s="7" t="s">
        <v>245</v>
      </c>
      <c r="FX2" s="7" t="s">
        <v>245</v>
      </c>
      <c r="FY2" s="7" t="s">
        <v>245</v>
      </c>
      <c r="FZ2" s="7" t="s">
        <v>245</v>
      </c>
      <c r="GA2" s="7" t="s">
        <v>245</v>
      </c>
      <c r="GB2" s="7" t="s">
        <v>245</v>
      </c>
      <c r="GC2" s="7" t="s">
        <v>245</v>
      </c>
      <c r="GD2" s="7" t="s">
        <v>245</v>
      </c>
      <c r="GE2" s="7" t="s">
        <v>245</v>
      </c>
      <c r="GF2" s="7" t="s">
        <v>245</v>
      </c>
      <c r="GG2" s="7" t="s">
        <v>245</v>
      </c>
      <c r="GH2" s="7" t="s">
        <v>245</v>
      </c>
      <c r="GI2" s="7" t="s">
        <v>245</v>
      </c>
      <c r="GJ2" s="7" t="s">
        <v>245</v>
      </c>
      <c r="GK2" s="7" t="s">
        <v>245</v>
      </c>
      <c r="GL2" s="7" t="s">
        <v>245</v>
      </c>
      <c r="GM2" s="7" t="s">
        <v>245</v>
      </c>
      <c r="GN2" s="7" t="s">
        <v>245</v>
      </c>
      <c r="GO2" s="7" t="s">
        <v>245</v>
      </c>
      <c r="GP2" s="7" t="s">
        <v>245</v>
      </c>
      <c r="GQ2" s="7" t="s">
        <v>245</v>
      </c>
      <c r="GR2" s="7" t="s">
        <v>245</v>
      </c>
      <c r="GS2" s="7" t="s">
        <v>245</v>
      </c>
      <c r="GT2" s="7" t="s">
        <v>245</v>
      </c>
      <c r="GU2" s="7" t="s">
        <v>245</v>
      </c>
      <c r="GV2" s="7" t="s">
        <v>245</v>
      </c>
      <c r="GW2" s="7" t="s">
        <v>245</v>
      </c>
      <c r="GX2" s="7" t="s">
        <v>245</v>
      </c>
      <c r="GY2" s="7" t="s">
        <v>245</v>
      </c>
      <c r="GZ2" s="7" t="s">
        <v>245</v>
      </c>
      <c r="HA2" s="7" t="s">
        <v>245</v>
      </c>
      <c r="HB2" s="7" t="s">
        <v>245</v>
      </c>
      <c r="HC2" s="7" t="s">
        <v>245</v>
      </c>
      <c r="HD2" s="7" t="s">
        <v>245</v>
      </c>
      <c r="HE2" s="7" t="s">
        <v>245</v>
      </c>
      <c r="HF2" s="7" t="s">
        <v>245</v>
      </c>
      <c r="HG2" s="7" t="s">
        <v>245</v>
      </c>
      <c r="HH2" s="7" t="s">
        <v>245</v>
      </c>
      <c r="HI2" s="7" t="s">
        <v>245</v>
      </c>
      <c r="HJ2" s="7" t="s">
        <v>245</v>
      </c>
      <c r="HK2" s="7" t="s">
        <v>245</v>
      </c>
      <c r="HL2" s="7" t="s">
        <v>245</v>
      </c>
      <c r="HM2" s="7" t="s">
        <v>245</v>
      </c>
      <c r="HN2" s="7" t="s">
        <v>245</v>
      </c>
      <c r="HO2" s="7" t="s">
        <v>245</v>
      </c>
      <c r="HP2" s="7" t="s">
        <v>245</v>
      </c>
      <c r="HQ2" s="7" t="s">
        <v>245</v>
      </c>
      <c r="HR2" s="7" t="s">
        <v>245</v>
      </c>
      <c r="HS2" s="7" t="s">
        <v>245</v>
      </c>
      <c r="HT2" s="7" t="s">
        <v>245</v>
      </c>
      <c r="HU2" s="7" t="s">
        <v>245</v>
      </c>
      <c r="HV2" s="7" t="s">
        <v>245</v>
      </c>
      <c r="HW2" s="7" t="s">
        <v>245</v>
      </c>
      <c r="HX2" s="7" t="s">
        <v>245</v>
      </c>
      <c r="HY2" s="7" t="s">
        <v>245</v>
      </c>
      <c r="HZ2" s="7" t="s">
        <v>245</v>
      </c>
      <c r="IA2" s="7" t="s">
        <v>245</v>
      </c>
      <c r="IB2" s="7" t="s">
        <v>245</v>
      </c>
      <c r="IC2" s="7" t="s">
        <v>245</v>
      </c>
      <c r="ID2" s="7" t="s">
        <v>245</v>
      </c>
      <c r="IE2" s="7" t="s">
        <v>245</v>
      </c>
      <c r="IF2" s="7" t="s">
        <v>245</v>
      </c>
      <c r="IG2" s="7" t="s">
        <v>245</v>
      </c>
      <c r="IH2" s="7" t="s">
        <v>245</v>
      </c>
      <c r="II2" s="7" t="s">
        <v>245</v>
      </c>
      <c r="IJ2" s="7" t="s">
        <v>245</v>
      </c>
      <c r="IK2" s="7" t="s">
        <v>245</v>
      </c>
      <c r="IL2" s="7" t="s">
        <v>245</v>
      </c>
      <c r="IM2" s="7" t="s">
        <v>245</v>
      </c>
      <c r="IN2" s="7" t="s">
        <v>245</v>
      </c>
      <c r="IO2" s="7" t="s">
        <v>245</v>
      </c>
      <c r="IP2" s="7" t="s">
        <v>245</v>
      </c>
      <c r="IQ2" s="7" t="s">
        <v>245</v>
      </c>
    </row>
    <row r="3" spans="1:251" x14ac:dyDescent="0.2">
      <c r="A3" s="4" t="s">
        <v>237</v>
      </c>
      <c r="B3" s="7" t="s">
        <v>246</v>
      </c>
      <c r="C3" s="7" t="s">
        <v>246</v>
      </c>
      <c r="D3" s="7" t="s">
        <v>246</v>
      </c>
      <c r="E3" s="7" t="s">
        <v>246</v>
      </c>
      <c r="F3" s="7" t="s">
        <v>246</v>
      </c>
      <c r="G3" s="7" t="s">
        <v>246</v>
      </c>
      <c r="H3" s="7" t="s">
        <v>246</v>
      </c>
      <c r="I3" s="7" t="s">
        <v>246</v>
      </c>
      <c r="J3" s="7" t="s">
        <v>246</v>
      </c>
      <c r="K3" s="7" t="s">
        <v>246</v>
      </c>
      <c r="L3" s="7" t="s">
        <v>246</v>
      </c>
      <c r="M3" s="7" t="s">
        <v>246</v>
      </c>
      <c r="N3" s="7" t="s">
        <v>246</v>
      </c>
      <c r="O3" s="7" t="s">
        <v>246</v>
      </c>
      <c r="P3" s="7" t="s">
        <v>246</v>
      </c>
      <c r="Q3" s="7" t="s">
        <v>246</v>
      </c>
      <c r="R3" s="7" t="s">
        <v>246</v>
      </c>
      <c r="S3" s="7" t="s">
        <v>246</v>
      </c>
      <c r="T3" s="7" t="s">
        <v>246</v>
      </c>
      <c r="U3" s="7" t="s">
        <v>246</v>
      </c>
      <c r="V3" s="7" t="s">
        <v>246</v>
      </c>
      <c r="W3" s="7" t="s">
        <v>246</v>
      </c>
      <c r="X3" s="7" t="s">
        <v>246</v>
      </c>
      <c r="Y3" s="7" t="s">
        <v>246</v>
      </c>
      <c r="Z3" s="7" t="s">
        <v>246</v>
      </c>
      <c r="AA3" s="7" t="s">
        <v>246</v>
      </c>
      <c r="AB3" s="7" t="s">
        <v>246</v>
      </c>
      <c r="AC3" s="7" t="s">
        <v>246</v>
      </c>
      <c r="AD3" s="7" t="s">
        <v>246</v>
      </c>
      <c r="AE3" s="7" t="s">
        <v>246</v>
      </c>
      <c r="AF3" s="7" t="s">
        <v>246</v>
      </c>
      <c r="AG3" s="7" t="s">
        <v>246</v>
      </c>
      <c r="AH3" s="7" t="s">
        <v>246</v>
      </c>
      <c r="AI3" s="7" t="s">
        <v>246</v>
      </c>
      <c r="AJ3" s="7" t="s">
        <v>246</v>
      </c>
      <c r="AK3" s="7" t="s">
        <v>246</v>
      </c>
      <c r="AL3" s="7" t="s">
        <v>246</v>
      </c>
      <c r="AM3" s="7" t="s">
        <v>246</v>
      </c>
      <c r="AN3" s="7" t="s">
        <v>246</v>
      </c>
      <c r="AO3" s="7" t="s">
        <v>246</v>
      </c>
      <c r="AP3" s="7" t="s">
        <v>246</v>
      </c>
      <c r="AQ3" s="7" t="s">
        <v>246</v>
      </c>
      <c r="AR3" s="7" t="s">
        <v>246</v>
      </c>
      <c r="AS3" s="7" t="s">
        <v>246</v>
      </c>
      <c r="AT3" s="7" t="s">
        <v>246</v>
      </c>
      <c r="AU3" s="7" t="s">
        <v>246</v>
      </c>
      <c r="AV3" s="7" t="s">
        <v>246</v>
      </c>
      <c r="AW3" s="7" t="s">
        <v>246</v>
      </c>
      <c r="AX3" s="7" t="s">
        <v>246</v>
      </c>
      <c r="AY3" s="7" t="s">
        <v>246</v>
      </c>
      <c r="AZ3" s="7" t="s">
        <v>246</v>
      </c>
      <c r="BA3" s="7" t="s">
        <v>246</v>
      </c>
      <c r="BB3" s="7" t="s">
        <v>246</v>
      </c>
      <c r="BC3" s="7" t="s">
        <v>246</v>
      </c>
      <c r="BD3" s="7" t="s">
        <v>246</v>
      </c>
      <c r="BE3" s="7" t="s">
        <v>246</v>
      </c>
      <c r="BF3" s="7" t="s">
        <v>246</v>
      </c>
      <c r="BG3" s="7" t="s">
        <v>246</v>
      </c>
      <c r="BH3" s="7" t="s">
        <v>246</v>
      </c>
      <c r="BI3" s="7" t="s">
        <v>246</v>
      </c>
      <c r="BJ3" s="7" t="s">
        <v>246</v>
      </c>
      <c r="BK3" s="7" t="s">
        <v>246</v>
      </c>
      <c r="BL3" s="7" t="s">
        <v>246</v>
      </c>
      <c r="BM3" s="7" t="s">
        <v>246</v>
      </c>
      <c r="BN3" s="7" t="s">
        <v>246</v>
      </c>
      <c r="BO3" s="7" t="s">
        <v>246</v>
      </c>
      <c r="BP3" s="7" t="s">
        <v>246</v>
      </c>
      <c r="BQ3" s="7" t="s">
        <v>246</v>
      </c>
      <c r="BR3" s="7" t="s">
        <v>246</v>
      </c>
      <c r="BS3" s="7" t="s">
        <v>246</v>
      </c>
      <c r="BT3" s="7" t="s">
        <v>246</v>
      </c>
      <c r="BU3" s="7" t="s">
        <v>246</v>
      </c>
      <c r="BV3" s="7" t="s">
        <v>246</v>
      </c>
      <c r="BW3" s="7" t="s">
        <v>246</v>
      </c>
      <c r="BX3" s="7" t="s">
        <v>246</v>
      </c>
      <c r="BY3" s="7" t="s">
        <v>246</v>
      </c>
      <c r="BZ3" s="7" t="s">
        <v>246</v>
      </c>
      <c r="CA3" s="7" t="s">
        <v>246</v>
      </c>
      <c r="CB3" s="7" t="s">
        <v>246</v>
      </c>
      <c r="CC3" s="7" t="s">
        <v>246</v>
      </c>
      <c r="CD3" s="7" t="s">
        <v>246</v>
      </c>
      <c r="CE3" s="7" t="s">
        <v>246</v>
      </c>
      <c r="CF3" s="7" t="s">
        <v>246</v>
      </c>
      <c r="CG3" s="7" t="s">
        <v>246</v>
      </c>
      <c r="CH3" s="7" t="s">
        <v>246</v>
      </c>
      <c r="CI3" s="7" t="s">
        <v>246</v>
      </c>
      <c r="CJ3" s="7" t="s">
        <v>246</v>
      </c>
      <c r="CK3" s="7" t="s">
        <v>246</v>
      </c>
      <c r="CL3" s="7" t="s">
        <v>246</v>
      </c>
      <c r="CM3" s="7" t="s">
        <v>246</v>
      </c>
      <c r="CN3" s="7" t="s">
        <v>246</v>
      </c>
      <c r="CO3" s="7" t="s">
        <v>246</v>
      </c>
      <c r="CP3" s="7" t="s">
        <v>246</v>
      </c>
      <c r="CQ3" s="7" t="s">
        <v>246</v>
      </c>
      <c r="CR3" s="7" t="s">
        <v>246</v>
      </c>
      <c r="CS3" s="7" t="s">
        <v>246</v>
      </c>
      <c r="CT3" s="7" t="s">
        <v>246</v>
      </c>
      <c r="CU3" s="7" t="s">
        <v>246</v>
      </c>
      <c r="CV3" s="7" t="s">
        <v>246</v>
      </c>
      <c r="CW3" s="7" t="s">
        <v>246</v>
      </c>
      <c r="CX3" s="7" t="s">
        <v>246</v>
      </c>
      <c r="CY3" s="7" t="s">
        <v>246</v>
      </c>
      <c r="CZ3" s="7" t="s">
        <v>246</v>
      </c>
      <c r="DA3" s="7" t="s">
        <v>246</v>
      </c>
      <c r="DB3" s="7" t="s">
        <v>246</v>
      </c>
      <c r="DC3" s="7" t="s">
        <v>246</v>
      </c>
      <c r="DD3" s="7" t="s">
        <v>246</v>
      </c>
      <c r="DE3" s="7" t="s">
        <v>246</v>
      </c>
      <c r="DF3" s="7" t="s">
        <v>246</v>
      </c>
      <c r="DG3" s="7" t="s">
        <v>246</v>
      </c>
      <c r="DH3" s="7" t="s">
        <v>246</v>
      </c>
      <c r="DI3" s="7" t="s">
        <v>246</v>
      </c>
      <c r="DJ3" s="7" t="s">
        <v>246</v>
      </c>
      <c r="DK3" s="7" t="s">
        <v>246</v>
      </c>
      <c r="DL3" s="7" t="s">
        <v>246</v>
      </c>
      <c r="DM3" s="7" t="s">
        <v>246</v>
      </c>
      <c r="DN3" s="7" t="s">
        <v>246</v>
      </c>
      <c r="DO3" s="7" t="s">
        <v>246</v>
      </c>
      <c r="DP3" s="7" t="s">
        <v>246</v>
      </c>
      <c r="DQ3" s="7" t="s">
        <v>246</v>
      </c>
      <c r="DR3" s="7" t="s">
        <v>246</v>
      </c>
      <c r="DS3" s="7" t="s">
        <v>246</v>
      </c>
      <c r="DT3" s="7" t="s">
        <v>246</v>
      </c>
      <c r="DU3" s="7" t="s">
        <v>246</v>
      </c>
      <c r="DV3" s="7" t="s">
        <v>246</v>
      </c>
      <c r="DW3" s="7" t="s">
        <v>246</v>
      </c>
      <c r="DX3" s="7" t="s">
        <v>246</v>
      </c>
      <c r="DY3" s="7" t="s">
        <v>246</v>
      </c>
      <c r="DZ3" s="7" t="s">
        <v>246</v>
      </c>
      <c r="EA3" s="7" t="s">
        <v>246</v>
      </c>
      <c r="EB3" s="7" t="s">
        <v>246</v>
      </c>
      <c r="EC3" s="7" t="s">
        <v>246</v>
      </c>
      <c r="ED3" s="7" t="s">
        <v>246</v>
      </c>
      <c r="EE3" s="7" t="s">
        <v>246</v>
      </c>
      <c r="EF3" s="7" t="s">
        <v>246</v>
      </c>
      <c r="EG3" s="7" t="s">
        <v>246</v>
      </c>
      <c r="EH3" s="7" t="s">
        <v>246</v>
      </c>
      <c r="EI3" s="7" t="s">
        <v>246</v>
      </c>
      <c r="EJ3" s="7" t="s">
        <v>246</v>
      </c>
      <c r="EK3" s="7" t="s">
        <v>246</v>
      </c>
      <c r="EL3" s="7" t="s">
        <v>246</v>
      </c>
      <c r="EM3" s="7" t="s">
        <v>246</v>
      </c>
      <c r="EN3" s="7" t="s">
        <v>246</v>
      </c>
      <c r="EO3" s="7" t="s">
        <v>246</v>
      </c>
      <c r="EP3" s="7" t="s">
        <v>246</v>
      </c>
      <c r="EQ3" s="7" t="s">
        <v>246</v>
      </c>
      <c r="ER3" s="7" t="s">
        <v>246</v>
      </c>
      <c r="ES3" s="7" t="s">
        <v>246</v>
      </c>
      <c r="ET3" s="7" t="s">
        <v>246</v>
      </c>
      <c r="EU3" s="7" t="s">
        <v>246</v>
      </c>
      <c r="EV3" s="7" t="s">
        <v>246</v>
      </c>
      <c r="EW3" s="7" t="s">
        <v>246</v>
      </c>
      <c r="EX3" s="7" t="s">
        <v>246</v>
      </c>
      <c r="EY3" s="7" t="s">
        <v>246</v>
      </c>
      <c r="EZ3" s="7" t="s">
        <v>246</v>
      </c>
      <c r="FA3" s="7" t="s">
        <v>246</v>
      </c>
      <c r="FB3" s="7" t="s">
        <v>246</v>
      </c>
      <c r="FC3" s="7" t="s">
        <v>246</v>
      </c>
      <c r="FD3" s="7" t="s">
        <v>246</v>
      </c>
      <c r="FE3" s="7" t="s">
        <v>246</v>
      </c>
      <c r="FF3" s="7" t="s">
        <v>246</v>
      </c>
      <c r="FG3" s="7" t="s">
        <v>246</v>
      </c>
      <c r="FH3" s="7" t="s">
        <v>246</v>
      </c>
      <c r="FI3" s="7" t="s">
        <v>246</v>
      </c>
      <c r="FJ3" s="7" t="s">
        <v>246</v>
      </c>
      <c r="FK3" s="7" t="s">
        <v>246</v>
      </c>
      <c r="FL3" s="7" t="s">
        <v>246</v>
      </c>
      <c r="FM3" s="7" t="s">
        <v>246</v>
      </c>
      <c r="FN3" s="7" t="s">
        <v>246</v>
      </c>
      <c r="FO3" s="7" t="s">
        <v>246</v>
      </c>
      <c r="FP3" s="7" t="s">
        <v>246</v>
      </c>
      <c r="FQ3" s="7" t="s">
        <v>246</v>
      </c>
      <c r="FR3" s="7" t="s">
        <v>246</v>
      </c>
      <c r="FS3" s="7" t="s">
        <v>246</v>
      </c>
      <c r="FT3" s="7" t="s">
        <v>246</v>
      </c>
      <c r="FU3" s="7" t="s">
        <v>246</v>
      </c>
      <c r="FV3" s="7" t="s">
        <v>246</v>
      </c>
      <c r="FW3" s="7" t="s">
        <v>246</v>
      </c>
      <c r="FX3" s="7" t="s">
        <v>246</v>
      </c>
      <c r="FY3" s="7" t="s">
        <v>246</v>
      </c>
      <c r="FZ3" s="7" t="s">
        <v>246</v>
      </c>
      <c r="GA3" s="7" t="s">
        <v>246</v>
      </c>
      <c r="GB3" s="7" t="s">
        <v>246</v>
      </c>
      <c r="GC3" s="7" t="s">
        <v>246</v>
      </c>
      <c r="GD3" s="7" t="s">
        <v>246</v>
      </c>
      <c r="GE3" s="7" t="s">
        <v>246</v>
      </c>
      <c r="GF3" s="7" t="s">
        <v>246</v>
      </c>
      <c r="GG3" s="7" t="s">
        <v>246</v>
      </c>
      <c r="GH3" s="7" t="s">
        <v>246</v>
      </c>
      <c r="GI3" s="7" t="s">
        <v>246</v>
      </c>
      <c r="GJ3" s="7" t="s">
        <v>246</v>
      </c>
      <c r="GK3" s="7" t="s">
        <v>246</v>
      </c>
      <c r="GL3" s="7" t="s">
        <v>246</v>
      </c>
      <c r="GM3" s="7" t="s">
        <v>246</v>
      </c>
      <c r="GN3" s="7" t="s">
        <v>246</v>
      </c>
      <c r="GO3" s="7" t="s">
        <v>246</v>
      </c>
      <c r="GP3" s="7" t="s">
        <v>246</v>
      </c>
      <c r="GQ3" s="7" t="s">
        <v>246</v>
      </c>
      <c r="GR3" s="7" t="s">
        <v>246</v>
      </c>
      <c r="GS3" s="7" t="s">
        <v>246</v>
      </c>
      <c r="GT3" s="7" t="s">
        <v>246</v>
      </c>
      <c r="GU3" s="7" t="s">
        <v>246</v>
      </c>
      <c r="GV3" s="7" t="s">
        <v>246</v>
      </c>
      <c r="GW3" s="7" t="s">
        <v>246</v>
      </c>
      <c r="GX3" s="7" t="s">
        <v>246</v>
      </c>
      <c r="GY3" s="7" t="s">
        <v>246</v>
      </c>
      <c r="GZ3" s="7" t="s">
        <v>246</v>
      </c>
      <c r="HA3" s="7" t="s">
        <v>246</v>
      </c>
      <c r="HB3" s="7" t="s">
        <v>246</v>
      </c>
      <c r="HC3" s="7" t="s">
        <v>246</v>
      </c>
      <c r="HD3" s="7" t="s">
        <v>246</v>
      </c>
      <c r="HE3" s="7" t="s">
        <v>246</v>
      </c>
      <c r="HF3" s="7" t="s">
        <v>246</v>
      </c>
      <c r="HG3" s="7" t="s">
        <v>246</v>
      </c>
      <c r="HH3" s="7" t="s">
        <v>246</v>
      </c>
      <c r="HI3" s="7" t="s">
        <v>246</v>
      </c>
      <c r="HJ3" s="7" t="s">
        <v>246</v>
      </c>
      <c r="HK3" s="7" t="s">
        <v>246</v>
      </c>
      <c r="HL3" s="7" t="s">
        <v>246</v>
      </c>
      <c r="HM3" s="7" t="s">
        <v>246</v>
      </c>
      <c r="HN3" s="7" t="s">
        <v>246</v>
      </c>
      <c r="HO3" s="7" t="s">
        <v>246</v>
      </c>
      <c r="HP3" s="7" t="s">
        <v>246</v>
      </c>
      <c r="HQ3" s="7" t="s">
        <v>246</v>
      </c>
      <c r="HR3" s="7" t="s">
        <v>246</v>
      </c>
      <c r="HS3" s="7" t="s">
        <v>246</v>
      </c>
      <c r="HT3" s="7" t="s">
        <v>246</v>
      </c>
      <c r="HU3" s="7" t="s">
        <v>246</v>
      </c>
      <c r="HV3" s="7" t="s">
        <v>246</v>
      </c>
      <c r="HW3" s="7" t="s">
        <v>246</v>
      </c>
      <c r="HX3" s="7" t="s">
        <v>246</v>
      </c>
      <c r="HY3" s="7" t="s">
        <v>246</v>
      </c>
      <c r="HZ3" s="7" t="s">
        <v>246</v>
      </c>
      <c r="IA3" s="7" t="s">
        <v>246</v>
      </c>
      <c r="IB3" s="7" t="s">
        <v>246</v>
      </c>
      <c r="IC3" s="7" t="s">
        <v>246</v>
      </c>
      <c r="ID3" s="7" t="s">
        <v>246</v>
      </c>
      <c r="IE3" s="7" t="s">
        <v>246</v>
      </c>
      <c r="IF3" s="7" t="s">
        <v>246</v>
      </c>
      <c r="IG3" s="7" t="s">
        <v>246</v>
      </c>
      <c r="IH3" s="7" t="s">
        <v>246</v>
      </c>
      <c r="II3" s="7" t="s">
        <v>246</v>
      </c>
      <c r="IJ3" s="7" t="s">
        <v>246</v>
      </c>
      <c r="IK3" s="7" t="s">
        <v>246</v>
      </c>
      <c r="IL3" s="7" t="s">
        <v>246</v>
      </c>
      <c r="IM3" s="7" t="s">
        <v>246</v>
      </c>
      <c r="IN3" s="7" t="s">
        <v>246</v>
      </c>
      <c r="IO3" s="7" t="s">
        <v>246</v>
      </c>
      <c r="IP3" s="7" t="s">
        <v>246</v>
      </c>
      <c r="IQ3" s="7" t="s">
        <v>246</v>
      </c>
    </row>
    <row r="4" spans="1:251" x14ac:dyDescent="0.2">
      <c r="A4" s="4" t="s">
        <v>238</v>
      </c>
      <c r="B4" s="7" t="s">
        <v>247</v>
      </c>
      <c r="C4" s="7" t="s">
        <v>247</v>
      </c>
      <c r="D4" s="7" t="s">
        <v>247</v>
      </c>
      <c r="E4" s="7" t="s">
        <v>247</v>
      </c>
      <c r="F4" s="7" t="s">
        <v>247</v>
      </c>
      <c r="G4" s="7" t="s">
        <v>247</v>
      </c>
      <c r="H4" s="7" t="s">
        <v>247</v>
      </c>
      <c r="I4" s="7" t="s">
        <v>247</v>
      </c>
      <c r="J4" s="7" t="s">
        <v>247</v>
      </c>
      <c r="K4" s="7" t="s">
        <v>247</v>
      </c>
      <c r="L4" s="7" t="s">
        <v>247</v>
      </c>
      <c r="M4" s="7" t="s">
        <v>247</v>
      </c>
      <c r="N4" s="7" t="s">
        <v>247</v>
      </c>
      <c r="O4" s="7" t="s">
        <v>247</v>
      </c>
      <c r="P4" s="7" t="s">
        <v>247</v>
      </c>
      <c r="Q4" s="7" t="s">
        <v>247</v>
      </c>
      <c r="R4" s="7" t="s">
        <v>247</v>
      </c>
      <c r="S4" s="7" t="s">
        <v>247</v>
      </c>
      <c r="T4" s="7" t="s">
        <v>247</v>
      </c>
      <c r="U4" s="7" t="s">
        <v>247</v>
      </c>
      <c r="V4" s="7" t="s">
        <v>247</v>
      </c>
      <c r="W4" s="7" t="s">
        <v>247</v>
      </c>
      <c r="X4" s="7" t="s">
        <v>247</v>
      </c>
      <c r="Y4" s="7" t="s">
        <v>247</v>
      </c>
      <c r="Z4" s="7" t="s">
        <v>247</v>
      </c>
      <c r="AA4" s="7" t="s">
        <v>247</v>
      </c>
      <c r="AB4" s="7" t="s">
        <v>247</v>
      </c>
      <c r="AC4" s="7" t="s">
        <v>247</v>
      </c>
      <c r="AD4" s="7" t="s">
        <v>247</v>
      </c>
      <c r="AE4" s="7" t="s">
        <v>247</v>
      </c>
      <c r="AF4" s="7" t="s">
        <v>247</v>
      </c>
      <c r="AG4" s="7" t="s">
        <v>247</v>
      </c>
      <c r="AH4" s="7" t="s">
        <v>247</v>
      </c>
      <c r="AI4" s="7" t="s">
        <v>247</v>
      </c>
      <c r="AJ4" s="7" t="s">
        <v>247</v>
      </c>
      <c r="AK4" s="7" t="s">
        <v>247</v>
      </c>
      <c r="AL4" s="7" t="s">
        <v>247</v>
      </c>
      <c r="AM4" s="7" t="s">
        <v>247</v>
      </c>
      <c r="AN4" s="7" t="s">
        <v>247</v>
      </c>
      <c r="AO4" s="7" t="s">
        <v>247</v>
      </c>
      <c r="AP4" s="7" t="s">
        <v>247</v>
      </c>
      <c r="AQ4" s="7" t="s">
        <v>247</v>
      </c>
      <c r="AR4" s="7" t="s">
        <v>247</v>
      </c>
      <c r="AS4" s="7" t="s">
        <v>247</v>
      </c>
      <c r="AT4" s="7" t="s">
        <v>247</v>
      </c>
      <c r="AU4" s="7" t="s">
        <v>247</v>
      </c>
      <c r="AV4" s="7" t="s">
        <v>247</v>
      </c>
      <c r="AW4" s="7" t="s">
        <v>247</v>
      </c>
      <c r="AX4" s="7" t="s">
        <v>247</v>
      </c>
      <c r="AY4" s="7" t="s">
        <v>247</v>
      </c>
      <c r="AZ4" s="7" t="s">
        <v>247</v>
      </c>
      <c r="BA4" s="7" t="s">
        <v>247</v>
      </c>
      <c r="BB4" s="7" t="s">
        <v>247</v>
      </c>
      <c r="BC4" s="7" t="s">
        <v>247</v>
      </c>
      <c r="BD4" s="7" t="s">
        <v>247</v>
      </c>
      <c r="BE4" s="7" t="s">
        <v>247</v>
      </c>
      <c r="BF4" s="7" t="s">
        <v>247</v>
      </c>
      <c r="BG4" s="7" t="s">
        <v>247</v>
      </c>
      <c r="BH4" s="7" t="s">
        <v>247</v>
      </c>
      <c r="BI4" s="7" t="s">
        <v>247</v>
      </c>
      <c r="BJ4" s="7" t="s">
        <v>247</v>
      </c>
      <c r="BK4" s="7" t="s">
        <v>247</v>
      </c>
      <c r="BL4" s="7" t="s">
        <v>247</v>
      </c>
      <c r="BM4" s="7" t="s">
        <v>247</v>
      </c>
      <c r="BN4" s="7" t="s">
        <v>247</v>
      </c>
      <c r="BO4" s="7" t="s">
        <v>247</v>
      </c>
      <c r="BP4" s="7" t="s">
        <v>247</v>
      </c>
      <c r="BQ4" s="7" t="s">
        <v>247</v>
      </c>
      <c r="BR4" s="7" t="s">
        <v>247</v>
      </c>
      <c r="BS4" s="7" t="s">
        <v>247</v>
      </c>
      <c r="BT4" s="7" t="s">
        <v>247</v>
      </c>
      <c r="BU4" s="7" t="s">
        <v>247</v>
      </c>
      <c r="BV4" s="7" t="s">
        <v>247</v>
      </c>
      <c r="BW4" s="7" t="s">
        <v>247</v>
      </c>
      <c r="BX4" s="7" t="s">
        <v>247</v>
      </c>
      <c r="BY4" s="7" t="s">
        <v>247</v>
      </c>
      <c r="BZ4" s="7" t="s">
        <v>247</v>
      </c>
      <c r="CA4" s="7" t="s">
        <v>247</v>
      </c>
      <c r="CB4" s="7" t="s">
        <v>247</v>
      </c>
      <c r="CC4" s="7" t="s">
        <v>247</v>
      </c>
      <c r="CD4" s="7" t="s">
        <v>247</v>
      </c>
      <c r="CE4" s="7" t="s">
        <v>247</v>
      </c>
      <c r="CF4" s="7" t="s">
        <v>247</v>
      </c>
      <c r="CG4" s="7" t="s">
        <v>247</v>
      </c>
      <c r="CH4" s="7" t="s">
        <v>247</v>
      </c>
      <c r="CI4" s="7" t="s">
        <v>247</v>
      </c>
      <c r="CJ4" s="7" t="s">
        <v>247</v>
      </c>
      <c r="CK4" s="7" t="s">
        <v>247</v>
      </c>
      <c r="CL4" s="7" t="s">
        <v>247</v>
      </c>
      <c r="CM4" s="7" t="s">
        <v>247</v>
      </c>
      <c r="CN4" s="7" t="s">
        <v>247</v>
      </c>
      <c r="CO4" s="7" t="s">
        <v>247</v>
      </c>
      <c r="CP4" s="7" t="s">
        <v>247</v>
      </c>
      <c r="CQ4" s="7" t="s">
        <v>247</v>
      </c>
      <c r="CR4" s="7" t="s">
        <v>247</v>
      </c>
      <c r="CS4" s="7" t="s">
        <v>247</v>
      </c>
      <c r="CT4" s="7" t="s">
        <v>247</v>
      </c>
      <c r="CU4" s="7" t="s">
        <v>247</v>
      </c>
      <c r="CV4" s="7" t="s">
        <v>247</v>
      </c>
      <c r="CW4" s="7" t="s">
        <v>247</v>
      </c>
      <c r="CX4" s="7" t="s">
        <v>247</v>
      </c>
      <c r="CY4" s="7" t="s">
        <v>247</v>
      </c>
      <c r="CZ4" s="7" t="s">
        <v>247</v>
      </c>
      <c r="DA4" s="7" t="s">
        <v>247</v>
      </c>
      <c r="DB4" s="7" t="s">
        <v>247</v>
      </c>
      <c r="DC4" s="7" t="s">
        <v>247</v>
      </c>
      <c r="DD4" s="7" t="s">
        <v>247</v>
      </c>
      <c r="DE4" s="7" t="s">
        <v>247</v>
      </c>
      <c r="DF4" s="7" t="s">
        <v>247</v>
      </c>
      <c r="DG4" s="7" t="s">
        <v>247</v>
      </c>
      <c r="DH4" s="7" t="s">
        <v>247</v>
      </c>
      <c r="DI4" s="7" t="s">
        <v>247</v>
      </c>
      <c r="DJ4" s="7" t="s">
        <v>247</v>
      </c>
      <c r="DK4" s="7" t="s">
        <v>247</v>
      </c>
      <c r="DL4" s="7" t="s">
        <v>247</v>
      </c>
      <c r="DM4" s="7" t="s">
        <v>247</v>
      </c>
      <c r="DN4" s="7" t="s">
        <v>247</v>
      </c>
      <c r="DO4" s="7" t="s">
        <v>247</v>
      </c>
      <c r="DP4" s="7" t="s">
        <v>247</v>
      </c>
      <c r="DQ4" s="7" t="s">
        <v>247</v>
      </c>
      <c r="DR4" s="7" t="s">
        <v>247</v>
      </c>
      <c r="DS4" s="7" t="s">
        <v>247</v>
      </c>
      <c r="DT4" s="7" t="s">
        <v>247</v>
      </c>
      <c r="DU4" s="7" t="s">
        <v>247</v>
      </c>
      <c r="DV4" s="7" t="s">
        <v>247</v>
      </c>
      <c r="DW4" s="7" t="s">
        <v>247</v>
      </c>
      <c r="DX4" s="7" t="s">
        <v>247</v>
      </c>
      <c r="DY4" s="7" t="s">
        <v>247</v>
      </c>
      <c r="DZ4" s="7" t="s">
        <v>247</v>
      </c>
      <c r="EA4" s="7" t="s">
        <v>247</v>
      </c>
      <c r="EB4" s="7" t="s">
        <v>247</v>
      </c>
      <c r="EC4" s="7" t="s">
        <v>247</v>
      </c>
      <c r="ED4" s="7" t="s">
        <v>247</v>
      </c>
      <c r="EE4" s="7" t="s">
        <v>247</v>
      </c>
      <c r="EF4" s="7" t="s">
        <v>247</v>
      </c>
      <c r="EG4" s="7" t="s">
        <v>247</v>
      </c>
      <c r="EH4" s="7" t="s">
        <v>247</v>
      </c>
      <c r="EI4" s="7" t="s">
        <v>247</v>
      </c>
      <c r="EJ4" s="7" t="s">
        <v>247</v>
      </c>
      <c r="EK4" s="7" t="s">
        <v>247</v>
      </c>
      <c r="EL4" s="7" t="s">
        <v>247</v>
      </c>
      <c r="EM4" s="7" t="s">
        <v>247</v>
      </c>
      <c r="EN4" s="7" t="s">
        <v>247</v>
      </c>
      <c r="EO4" s="7" t="s">
        <v>247</v>
      </c>
      <c r="EP4" s="7" t="s">
        <v>247</v>
      </c>
      <c r="EQ4" s="7" t="s">
        <v>247</v>
      </c>
      <c r="ER4" s="7" t="s">
        <v>247</v>
      </c>
      <c r="ES4" s="7" t="s">
        <v>247</v>
      </c>
      <c r="ET4" s="7" t="s">
        <v>247</v>
      </c>
      <c r="EU4" s="7" t="s">
        <v>247</v>
      </c>
      <c r="EV4" s="7" t="s">
        <v>247</v>
      </c>
      <c r="EW4" s="7" t="s">
        <v>247</v>
      </c>
      <c r="EX4" s="7" t="s">
        <v>247</v>
      </c>
      <c r="EY4" s="7" t="s">
        <v>247</v>
      </c>
      <c r="EZ4" s="7" t="s">
        <v>247</v>
      </c>
      <c r="FA4" s="7" t="s">
        <v>247</v>
      </c>
      <c r="FB4" s="7" t="s">
        <v>247</v>
      </c>
      <c r="FC4" s="7" t="s">
        <v>247</v>
      </c>
      <c r="FD4" s="7" t="s">
        <v>247</v>
      </c>
      <c r="FE4" s="7" t="s">
        <v>247</v>
      </c>
      <c r="FF4" s="7" t="s">
        <v>247</v>
      </c>
      <c r="FG4" s="7" t="s">
        <v>247</v>
      </c>
      <c r="FH4" s="7" t="s">
        <v>247</v>
      </c>
      <c r="FI4" s="7" t="s">
        <v>247</v>
      </c>
      <c r="FJ4" s="7" t="s">
        <v>247</v>
      </c>
      <c r="FK4" s="7" t="s">
        <v>247</v>
      </c>
      <c r="FL4" s="7" t="s">
        <v>247</v>
      </c>
      <c r="FM4" s="7" t="s">
        <v>247</v>
      </c>
      <c r="FN4" s="7" t="s">
        <v>247</v>
      </c>
      <c r="FO4" s="7" t="s">
        <v>247</v>
      </c>
      <c r="FP4" s="7" t="s">
        <v>247</v>
      </c>
      <c r="FQ4" s="7" t="s">
        <v>247</v>
      </c>
      <c r="FR4" s="7" t="s">
        <v>247</v>
      </c>
      <c r="FS4" s="7" t="s">
        <v>247</v>
      </c>
      <c r="FT4" s="7" t="s">
        <v>247</v>
      </c>
      <c r="FU4" s="7" t="s">
        <v>247</v>
      </c>
      <c r="FV4" s="7" t="s">
        <v>247</v>
      </c>
      <c r="FW4" s="7" t="s">
        <v>247</v>
      </c>
      <c r="FX4" s="7" t="s">
        <v>247</v>
      </c>
      <c r="FY4" s="7" t="s">
        <v>247</v>
      </c>
      <c r="FZ4" s="7" t="s">
        <v>247</v>
      </c>
      <c r="GA4" s="7" t="s">
        <v>247</v>
      </c>
      <c r="GB4" s="7" t="s">
        <v>247</v>
      </c>
      <c r="GC4" s="7" t="s">
        <v>247</v>
      </c>
      <c r="GD4" s="7" t="s">
        <v>247</v>
      </c>
      <c r="GE4" s="7" t="s">
        <v>247</v>
      </c>
      <c r="GF4" s="7" t="s">
        <v>247</v>
      </c>
      <c r="GG4" s="7" t="s">
        <v>247</v>
      </c>
      <c r="GH4" s="7" t="s">
        <v>247</v>
      </c>
      <c r="GI4" s="7" t="s">
        <v>247</v>
      </c>
      <c r="GJ4" s="7" t="s">
        <v>247</v>
      </c>
      <c r="GK4" s="7" t="s">
        <v>247</v>
      </c>
      <c r="GL4" s="7" t="s">
        <v>247</v>
      </c>
      <c r="GM4" s="7" t="s">
        <v>247</v>
      </c>
      <c r="GN4" s="7" t="s">
        <v>247</v>
      </c>
      <c r="GO4" s="7" t="s">
        <v>247</v>
      </c>
      <c r="GP4" s="7" t="s">
        <v>247</v>
      </c>
      <c r="GQ4" s="7" t="s">
        <v>247</v>
      </c>
      <c r="GR4" s="7" t="s">
        <v>247</v>
      </c>
      <c r="GS4" s="7" t="s">
        <v>247</v>
      </c>
      <c r="GT4" s="7" t="s">
        <v>247</v>
      </c>
      <c r="GU4" s="7" t="s">
        <v>247</v>
      </c>
      <c r="GV4" s="7" t="s">
        <v>247</v>
      </c>
      <c r="GW4" s="7" t="s">
        <v>247</v>
      </c>
      <c r="GX4" s="7" t="s">
        <v>247</v>
      </c>
      <c r="GY4" s="7" t="s">
        <v>247</v>
      </c>
      <c r="GZ4" s="7" t="s">
        <v>247</v>
      </c>
      <c r="HA4" s="7" t="s">
        <v>247</v>
      </c>
      <c r="HB4" s="7" t="s">
        <v>247</v>
      </c>
      <c r="HC4" s="7" t="s">
        <v>247</v>
      </c>
      <c r="HD4" s="7" t="s">
        <v>247</v>
      </c>
      <c r="HE4" s="7" t="s">
        <v>247</v>
      </c>
      <c r="HF4" s="7" t="s">
        <v>247</v>
      </c>
      <c r="HG4" s="7" t="s">
        <v>247</v>
      </c>
      <c r="HH4" s="7" t="s">
        <v>247</v>
      </c>
      <c r="HI4" s="7" t="s">
        <v>247</v>
      </c>
      <c r="HJ4" s="7" t="s">
        <v>247</v>
      </c>
      <c r="HK4" s="7" t="s">
        <v>247</v>
      </c>
      <c r="HL4" s="7" t="s">
        <v>247</v>
      </c>
      <c r="HM4" s="7" t="s">
        <v>247</v>
      </c>
      <c r="HN4" s="7" t="s">
        <v>247</v>
      </c>
      <c r="HO4" s="7" t="s">
        <v>247</v>
      </c>
      <c r="HP4" s="7" t="s">
        <v>247</v>
      </c>
      <c r="HQ4" s="7" t="s">
        <v>247</v>
      </c>
      <c r="HR4" s="7" t="s">
        <v>247</v>
      </c>
      <c r="HS4" s="7" t="s">
        <v>247</v>
      </c>
      <c r="HT4" s="7" t="s">
        <v>247</v>
      </c>
      <c r="HU4" s="7" t="s">
        <v>247</v>
      </c>
      <c r="HV4" s="7" t="s">
        <v>247</v>
      </c>
      <c r="HW4" s="7" t="s">
        <v>247</v>
      </c>
      <c r="HX4" s="7" t="s">
        <v>247</v>
      </c>
      <c r="HY4" s="7" t="s">
        <v>247</v>
      </c>
      <c r="HZ4" s="7" t="s">
        <v>247</v>
      </c>
      <c r="IA4" s="7" t="s">
        <v>247</v>
      </c>
      <c r="IB4" s="7" t="s">
        <v>247</v>
      </c>
      <c r="IC4" s="7" t="s">
        <v>247</v>
      </c>
      <c r="ID4" s="7" t="s">
        <v>247</v>
      </c>
      <c r="IE4" s="7" t="s">
        <v>247</v>
      </c>
      <c r="IF4" s="7" t="s">
        <v>247</v>
      </c>
      <c r="IG4" s="7" t="s">
        <v>247</v>
      </c>
      <c r="IH4" s="7" t="s">
        <v>247</v>
      </c>
      <c r="II4" s="7" t="s">
        <v>247</v>
      </c>
      <c r="IJ4" s="7" t="s">
        <v>247</v>
      </c>
      <c r="IK4" s="7" t="s">
        <v>247</v>
      </c>
      <c r="IL4" s="7" t="s">
        <v>247</v>
      </c>
      <c r="IM4" s="7" t="s">
        <v>247</v>
      </c>
      <c r="IN4" s="7" t="s">
        <v>247</v>
      </c>
      <c r="IO4" s="7" t="s">
        <v>247</v>
      </c>
      <c r="IP4" s="7" t="s">
        <v>247</v>
      </c>
      <c r="IQ4" s="7" t="s">
        <v>247</v>
      </c>
    </row>
    <row r="5" spans="1:251" x14ac:dyDescent="0.2">
      <c r="A5" s="4" t="s">
        <v>239</v>
      </c>
      <c r="B5" s="7" t="s">
        <v>248</v>
      </c>
      <c r="C5" s="7" t="s">
        <v>248</v>
      </c>
      <c r="D5" s="7" t="s">
        <v>248</v>
      </c>
      <c r="E5" s="7" t="s">
        <v>248</v>
      </c>
      <c r="F5" s="7" t="s">
        <v>248</v>
      </c>
      <c r="G5" s="7" t="s">
        <v>248</v>
      </c>
      <c r="H5" s="7" t="s">
        <v>248</v>
      </c>
      <c r="I5" s="7" t="s">
        <v>248</v>
      </c>
      <c r="J5" s="7" t="s">
        <v>248</v>
      </c>
      <c r="K5" s="7" t="s">
        <v>248</v>
      </c>
      <c r="L5" s="7" t="s">
        <v>248</v>
      </c>
      <c r="M5" s="7" t="s">
        <v>248</v>
      </c>
      <c r="N5" s="7" t="s">
        <v>248</v>
      </c>
      <c r="O5" s="7" t="s">
        <v>248</v>
      </c>
      <c r="P5" s="7" t="s">
        <v>248</v>
      </c>
      <c r="Q5" s="7" t="s">
        <v>248</v>
      </c>
      <c r="R5" s="7" t="s">
        <v>248</v>
      </c>
      <c r="S5" s="7" t="s">
        <v>248</v>
      </c>
      <c r="T5" s="7" t="s">
        <v>248</v>
      </c>
      <c r="U5" s="7" t="s">
        <v>248</v>
      </c>
      <c r="V5" s="7" t="s">
        <v>248</v>
      </c>
      <c r="W5" s="7" t="s">
        <v>248</v>
      </c>
      <c r="X5" s="7" t="s">
        <v>248</v>
      </c>
      <c r="Y5" s="7" t="s">
        <v>248</v>
      </c>
      <c r="Z5" s="7" t="s">
        <v>248</v>
      </c>
      <c r="AA5" s="7" t="s">
        <v>248</v>
      </c>
      <c r="AB5" s="7" t="s">
        <v>248</v>
      </c>
      <c r="AC5" s="7" t="s">
        <v>248</v>
      </c>
      <c r="AD5" s="7" t="s">
        <v>248</v>
      </c>
      <c r="AE5" s="7" t="s">
        <v>248</v>
      </c>
      <c r="AF5" s="7" t="s">
        <v>248</v>
      </c>
      <c r="AG5" s="7" t="s">
        <v>248</v>
      </c>
      <c r="AH5" s="7" t="s">
        <v>248</v>
      </c>
      <c r="AI5" s="7" t="s">
        <v>248</v>
      </c>
      <c r="AJ5" s="7" t="s">
        <v>248</v>
      </c>
      <c r="AK5" s="7" t="s">
        <v>248</v>
      </c>
      <c r="AL5" s="7" t="s">
        <v>248</v>
      </c>
      <c r="AM5" s="7" t="s">
        <v>248</v>
      </c>
      <c r="AN5" s="7" t="s">
        <v>248</v>
      </c>
      <c r="AO5" s="7" t="s">
        <v>248</v>
      </c>
      <c r="AP5" s="7" t="s">
        <v>248</v>
      </c>
      <c r="AQ5" s="7" t="s">
        <v>248</v>
      </c>
      <c r="AR5" s="7" t="s">
        <v>248</v>
      </c>
      <c r="AS5" s="7" t="s">
        <v>248</v>
      </c>
      <c r="AT5" s="7" t="s">
        <v>248</v>
      </c>
      <c r="AU5" s="7" t="s">
        <v>248</v>
      </c>
      <c r="AV5" s="7" t="s">
        <v>248</v>
      </c>
      <c r="AW5" s="7" t="s">
        <v>248</v>
      </c>
      <c r="AX5" s="7" t="s">
        <v>248</v>
      </c>
      <c r="AY5" s="7" t="s">
        <v>248</v>
      </c>
      <c r="AZ5" s="7" t="s">
        <v>248</v>
      </c>
      <c r="BA5" s="7" t="s">
        <v>248</v>
      </c>
      <c r="BB5" s="7" t="s">
        <v>248</v>
      </c>
      <c r="BC5" s="7" t="s">
        <v>248</v>
      </c>
      <c r="BD5" s="7" t="s">
        <v>248</v>
      </c>
      <c r="BE5" s="7" t="s">
        <v>248</v>
      </c>
      <c r="BF5" s="7" t="s">
        <v>248</v>
      </c>
      <c r="BG5" s="7" t="s">
        <v>248</v>
      </c>
      <c r="BH5" s="7" t="s">
        <v>248</v>
      </c>
      <c r="BI5" s="7" t="s">
        <v>248</v>
      </c>
      <c r="BJ5" s="7" t="s">
        <v>248</v>
      </c>
      <c r="BK5" s="7" t="s">
        <v>248</v>
      </c>
      <c r="BL5" s="7" t="s">
        <v>248</v>
      </c>
      <c r="BM5" s="7" t="s">
        <v>248</v>
      </c>
      <c r="BN5" s="7" t="s">
        <v>248</v>
      </c>
      <c r="BO5" s="7" t="s">
        <v>248</v>
      </c>
      <c r="BP5" s="7" t="s">
        <v>248</v>
      </c>
      <c r="BQ5" s="7" t="s">
        <v>248</v>
      </c>
      <c r="BR5" s="7" t="s">
        <v>248</v>
      </c>
      <c r="BS5" s="7" t="s">
        <v>248</v>
      </c>
      <c r="BT5" s="7" t="s">
        <v>248</v>
      </c>
      <c r="BU5" s="7" t="s">
        <v>248</v>
      </c>
      <c r="BV5" s="7" t="s">
        <v>248</v>
      </c>
      <c r="BW5" s="7" t="s">
        <v>248</v>
      </c>
      <c r="BX5" s="7" t="s">
        <v>248</v>
      </c>
      <c r="BY5" s="7" t="s">
        <v>248</v>
      </c>
      <c r="BZ5" s="7" t="s">
        <v>248</v>
      </c>
      <c r="CA5" s="7" t="s">
        <v>248</v>
      </c>
      <c r="CB5" s="7" t="s">
        <v>248</v>
      </c>
      <c r="CC5" s="7" t="s">
        <v>248</v>
      </c>
      <c r="CD5" s="7" t="s">
        <v>248</v>
      </c>
      <c r="CE5" s="7" t="s">
        <v>248</v>
      </c>
      <c r="CF5" s="7" t="s">
        <v>248</v>
      </c>
      <c r="CG5" s="7" t="s">
        <v>248</v>
      </c>
      <c r="CH5" s="7" t="s">
        <v>248</v>
      </c>
      <c r="CI5" s="7" t="s">
        <v>248</v>
      </c>
      <c r="CJ5" s="7" t="s">
        <v>248</v>
      </c>
      <c r="CK5" s="7" t="s">
        <v>248</v>
      </c>
      <c r="CL5" s="7" t="s">
        <v>248</v>
      </c>
      <c r="CM5" s="7" t="s">
        <v>248</v>
      </c>
      <c r="CN5" s="7" t="s">
        <v>248</v>
      </c>
      <c r="CO5" s="7" t="s">
        <v>248</v>
      </c>
      <c r="CP5" s="7" t="s">
        <v>248</v>
      </c>
      <c r="CQ5" s="7" t="s">
        <v>248</v>
      </c>
      <c r="CR5" s="7" t="s">
        <v>248</v>
      </c>
      <c r="CS5" s="7" t="s">
        <v>248</v>
      </c>
      <c r="CT5" s="7" t="s">
        <v>248</v>
      </c>
      <c r="CU5" s="7" t="s">
        <v>248</v>
      </c>
      <c r="CV5" s="7" t="s">
        <v>248</v>
      </c>
      <c r="CW5" s="7" t="s">
        <v>248</v>
      </c>
      <c r="CX5" s="7" t="s">
        <v>248</v>
      </c>
      <c r="CY5" s="7" t="s">
        <v>248</v>
      </c>
      <c r="CZ5" s="7" t="s">
        <v>248</v>
      </c>
      <c r="DA5" s="7" t="s">
        <v>248</v>
      </c>
      <c r="DB5" s="7" t="s">
        <v>248</v>
      </c>
      <c r="DC5" s="7" t="s">
        <v>248</v>
      </c>
      <c r="DD5" s="7" t="s">
        <v>248</v>
      </c>
      <c r="DE5" s="7" t="s">
        <v>248</v>
      </c>
      <c r="DF5" s="7" t="s">
        <v>248</v>
      </c>
      <c r="DG5" s="7" t="s">
        <v>248</v>
      </c>
      <c r="DH5" s="7" t="s">
        <v>248</v>
      </c>
      <c r="DI5" s="7" t="s">
        <v>248</v>
      </c>
      <c r="DJ5" s="7" t="s">
        <v>248</v>
      </c>
      <c r="DK5" s="7" t="s">
        <v>248</v>
      </c>
      <c r="DL5" s="7" t="s">
        <v>248</v>
      </c>
      <c r="DM5" s="7" t="s">
        <v>248</v>
      </c>
      <c r="DN5" s="7" t="s">
        <v>248</v>
      </c>
      <c r="DO5" s="7" t="s">
        <v>248</v>
      </c>
      <c r="DP5" s="7" t="s">
        <v>248</v>
      </c>
      <c r="DQ5" s="7" t="s">
        <v>248</v>
      </c>
      <c r="DR5" s="7" t="s">
        <v>248</v>
      </c>
      <c r="DS5" s="7" t="s">
        <v>248</v>
      </c>
      <c r="DT5" s="7" t="s">
        <v>248</v>
      </c>
      <c r="DU5" s="7" t="s">
        <v>248</v>
      </c>
      <c r="DV5" s="7" t="s">
        <v>248</v>
      </c>
      <c r="DW5" s="7" t="s">
        <v>248</v>
      </c>
      <c r="DX5" s="7" t="s">
        <v>248</v>
      </c>
      <c r="DY5" s="7" t="s">
        <v>248</v>
      </c>
      <c r="DZ5" s="7" t="s">
        <v>248</v>
      </c>
      <c r="EA5" s="7" t="s">
        <v>248</v>
      </c>
      <c r="EB5" s="7" t="s">
        <v>248</v>
      </c>
      <c r="EC5" s="7" t="s">
        <v>248</v>
      </c>
      <c r="ED5" s="7" t="s">
        <v>248</v>
      </c>
      <c r="EE5" s="7" t="s">
        <v>248</v>
      </c>
      <c r="EF5" s="7" t="s">
        <v>248</v>
      </c>
      <c r="EG5" s="7" t="s">
        <v>248</v>
      </c>
      <c r="EH5" s="7" t="s">
        <v>248</v>
      </c>
      <c r="EI5" s="7" t="s">
        <v>248</v>
      </c>
      <c r="EJ5" s="7" t="s">
        <v>248</v>
      </c>
      <c r="EK5" s="7" t="s">
        <v>248</v>
      </c>
      <c r="EL5" s="7" t="s">
        <v>248</v>
      </c>
      <c r="EM5" s="7" t="s">
        <v>248</v>
      </c>
      <c r="EN5" s="7" t="s">
        <v>248</v>
      </c>
      <c r="EO5" s="7" t="s">
        <v>248</v>
      </c>
      <c r="EP5" s="7" t="s">
        <v>248</v>
      </c>
      <c r="EQ5" s="7" t="s">
        <v>248</v>
      </c>
      <c r="ER5" s="7" t="s">
        <v>248</v>
      </c>
      <c r="ES5" s="7" t="s">
        <v>248</v>
      </c>
      <c r="ET5" s="7" t="s">
        <v>248</v>
      </c>
      <c r="EU5" s="7" t="s">
        <v>248</v>
      </c>
      <c r="EV5" s="7" t="s">
        <v>248</v>
      </c>
      <c r="EW5" s="7" t="s">
        <v>248</v>
      </c>
      <c r="EX5" s="7" t="s">
        <v>248</v>
      </c>
      <c r="EY5" s="7" t="s">
        <v>248</v>
      </c>
      <c r="EZ5" s="7" t="s">
        <v>248</v>
      </c>
      <c r="FA5" s="7" t="s">
        <v>248</v>
      </c>
      <c r="FB5" s="7" t="s">
        <v>248</v>
      </c>
      <c r="FC5" s="7" t="s">
        <v>248</v>
      </c>
      <c r="FD5" s="7" t="s">
        <v>248</v>
      </c>
      <c r="FE5" s="7" t="s">
        <v>248</v>
      </c>
      <c r="FF5" s="7" t="s">
        <v>248</v>
      </c>
      <c r="FG5" s="7" t="s">
        <v>248</v>
      </c>
      <c r="FH5" s="7" t="s">
        <v>248</v>
      </c>
      <c r="FI5" s="7" t="s">
        <v>248</v>
      </c>
      <c r="FJ5" s="7" t="s">
        <v>248</v>
      </c>
      <c r="FK5" s="7" t="s">
        <v>248</v>
      </c>
      <c r="FL5" s="7" t="s">
        <v>248</v>
      </c>
      <c r="FM5" s="7" t="s">
        <v>248</v>
      </c>
      <c r="FN5" s="7" t="s">
        <v>248</v>
      </c>
      <c r="FO5" s="7" t="s">
        <v>248</v>
      </c>
      <c r="FP5" s="7" t="s">
        <v>248</v>
      </c>
      <c r="FQ5" s="7" t="s">
        <v>248</v>
      </c>
      <c r="FR5" s="7" t="s">
        <v>248</v>
      </c>
      <c r="FS5" s="7" t="s">
        <v>248</v>
      </c>
      <c r="FT5" s="7" t="s">
        <v>248</v>
      </c>
      <c r="FU5" s="7" t="s">
        <v>248</v>
      </c>
      <c r="FV5" s="7" t="s">
        <v>248</v>
      </c>
      <c r="FW5" s="7" t="s">
        <v>248</v>
      </c>
      <c r="FX5" s="7" t="s">
        <v>248</v>
      </c>
      <c r="FY5" s="7" t="s">
        <v>248</v>
      </c>
      <c r="FZ5" s="7" t="s">
        <v>248</v>
      </c>
      <c r="GA5" s="7" t="s">
        <v>248</v>
      </c>
      <c r="GB5" s="7" t="s">
        <v>248</v>
      </c>
      <c r="GC5" s="7" t="s">
        <v>248</v>
      </c>
      <c r="GD5" s="7" t="s">
        <v>248</v>
      </c>
      <c r="GE5" s="7" t="s">
        <v>248</v>
      </c>
      <c r="GF5" s="7" t="s">
        <v>248</v>
      </c>
      <c r="GG5" s="7" t="s">
        <v>248</v>
      </c>
      <c r="GH5" s="7" t="s">
        <v>248</v>
      </c>
      <c r="GI5" s="7" t="s">
        <v>248</v>
      </c>
      <c r="GJ5" s="7" t="s">
        <v>248</v>
      </c>
      <c r="GK5" s="7" t="s">
        <v>248</v>
      </c>
      <c r="GL5" s="7" t="s">
        <v>248</v>
      </c>
      <c r="GM5" s="7" t="s">
        <v>248</v>
      </c>
      <c r="GN5" s="7" t="s">
        <v>248</v>
      </c>
      <c r="GO5" s="7" t="s">
        <v>248</v>
      </c>
      <c r="GP5" s="7" t="s">
        <v>248</v>
      </c>
      <c r="GQ5" s="7" t="s">
        <v>248</v>
      </c>
      <c r="GR5" s="7" t="s">
        <v>248</v>
      </c>
      <c r="GS5" s="7" t="s">
        <v>248</v>
      </c>
      <c r="GT5" s="7" t="s">
        <v>248</v>
      </c>
      <c r="GU5" s="7" t="s">
        <v>248</v>
      </c>
      <c r="GV5" s="7" t="s">
        <v>248</v>
      </c>
      <c r="GW5" s="7" t="s">
        <v>248</v>
      </c>
      <c r="GX5" s="7" t="s">
        <v>248</v>
      </c>
      <c r="GY5" s="7" t="s">
        <v>248</v>
      </c>
      <c r="GZ5" s="7" t="s">
        <v>248</v>
      </c>
      <c r="HA5" s="7" t="s">
        <v>248</v>
      </c>
      <c r="HB5" s="7" t="s">
        <v>248</v>
      </c>
      <c r="HC5" s="7" t="s">
        <v>248</v>
      </c>
      <c r="HD5" s="7" t="s">
        <v>248</v>
      </c>
      <c r="HE5" s="7" t="s">
        <v>248</v>
      </c>
      <c r="HF5" s="7" t="s">
        <v>248</v>
      </c>
      <c r="HG5" s="7" t="s">
        <v>248</v>
      </c>
      <c r="HH5" s="7" t="s">
        <v>248</v>
      </c>
      <c r="HI5" s="7" t="s">
        <v>248</v>
      </c>
      <c r="HJ5" s="7" t="s">
        <v>248</v>
      </c>
      <c r="HK5" s="7" t="s">
        <v>248</v>
      </c>
      <c r="HL5" s="7" t="s">
        <v>248</v>
      </c>
      <c r="HM5" s="7" t="s">
        <v>248</v>
      </c>
      <c r="HN5" s="7" t="s">
        <v>248</v>
      </c>
      <c r="HO5" s="7" t="s">
        <v>248</v>
      </c>
      <c r="HP5" s="7" t="s">
        <v>248</v>
      </c>
      <c r="HQ5" s="7" t="s">
        <v>248</v>
      </c>
      <c r="HR5" s="7" t="s">
        <v>248</v>
      </c>
      <c r="HS5" s="7" t="s">
        <v>248</v>
      </c>
      <c r="HT5" s="7" t="s">
        <v>248</v>
      </c>
      <c r="HU5" s="7" t="s">
        <v>248</v>
      </c>
      <c r="HV5" s="7" t="s">
        <v>248</v>
      </c>
      <c r="HW5" s="7" t="s">
        <v>248</v>
      </c>
      <c r="HX5" s="7" t="s">
        <v>248</v>
      </c>
      <c r="HY5" s="7" t="s">
        <v>248</v>
      </c>
      <c r="HZ5" s="7" t="s">
        <v>248</v>
      </c>
      <c r="IA5" s="7" t="s">
        <v>248</v>
      </c>
      <c r="IB5" s="7" t="s">
        <v>248</v>
      </c>
      <c r="IC5" s="7" t="s">
        <v>248</v>
      </c>
      <c r="ID5" s="7" t="s">
        <v>248</v>
      </c>
      <c r="IE5" s="7" t="s">
        <v>248</v>
      </c>
      <c r="IF5" s="7" t="s">
        <v>248</v>
      </c>
      <c r="IG5" s="7" t="s">
        <v>248</v>
      </c>
      <c r="IH5" s="7" t="s">
        <v>248</v>
      </c>
      <c r="II5" s="7" t="s">
        <v>248</v>
      </c>
      <c r="IJ5" s="7" t="s">
        <v>248</v>
      </c>
      <c r="IK5" s="7" t="s">
        <v>248</v>
      </c>
      <c r="IL5" s="7" t="s">
        <v>248</v>
      </c>
      <c r="IM5" s="7" t="s">
        <v>248</v>
      </c>
      <c r="IN5" s="7" t="s">
        <v>248</v>
      </c>
      <c r="IO5" s="7" t="s">
        <v>248</v>
      </c>
      <c r="IP5" s="7" t="s">
        <v>248</v>
      </c>
      <c r="IQ5" s="7" t="s">
        <v>248</v>
      </c>
    </row>
    <row r="6" spans="1:251" x14ac:dyDescent="0.2">
      <c r="A6" s="4" t="s">
        <v>240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>
        <v>1</v>
      </c>
      <c r="DU6" s="1">
        <v>1</v>
      </c>
      <c r="DV6" s="1">
        <v>1</v>
      </c>
      <c r="DW6" s="1">
        <v>1</v>
      </c>
      <c r="DX6" s="1">
        <v>1</v>
      </c>
      <c r="DY6" s="1">
        <v>1</v>
      </c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1</v>
      </c>
      <c r="EH6" s="1">
        <v>1</v>
      </c>
      <c r="EI6" s="1">
        <v>1</v>
      </c>
      <c r="EJ6" s="1">
        <v>1</v>
      </c>
      <c r="EK6" s="1">
        <v>1</v>
      </c>
      <c r="EL6" s="1">
        <v>1</v>
      </c>
      <c r="EM6" s="1">
        <v>1</v>
      </c>
      <c r="EN6" s="1">
        <v>1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>
        <v>1</v>
      </c>
      <c r="EU6" s="1">
        <v>1</v>
      </c>
      <c r="EV6" s="1">
        <v>1</v>
      </c>
      <c r="EW6" s="1">
        <v>1</v>
      </c>
      <c r="EX6" s="1">
        <v>1</v>
      </c>
      <c r="EY6" s="1">
        <v>1</v>
      </c>
      <c r="EZ6" s="1">
        <v>1</v>
      </c>
      <c r="FA6" s="1">
        <v>1</v>
      </c>
      <c r="FB6" s="1">
        <v>1</v>
      </c>
      <c r="FC6" s="1">
        <v>1</v>
      </c>
      <c r="FD6" s="1">
        <v>1</v>
      </c>
      <c r="FE6" s="1">
        <v>1</v>
      </c>
      <c r="FF6" s="1">
        <v>1</v>
      </c>
      <c r="FG6" s="1">
        <v>1</v>
      </c>
      <c r="FH6" s="1">
        <v>1</v>
      </c>
      <c r="FI6" s="1">
        <v>1</v>
      </c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1</v>
      </c>
      <c r="FP6" s="1">
        <v>1</v>
      </c>
      <c r="FQ6" s="1">
        <v>1</v>
      </c>
      <c r="FR6" s="1">
        <v>1</v>
      </c>
      <c r="FS6" s="1">
        <v>1</v>
      </c>
      <c r="FT6" s="1">
        <v>1</v>
      </c>
      <c r="FU6" s="1">
        <v>1</v>
      </c>
      <c r="FV6" s="1">
        <v>1</v>
      </c>
      <c r="FW6" s="1">
        <v>1</v>
      </c>
      <c r="FX6" s="1">
        <v>1</v>
      </c>
      <c r="FY6" s="1">
        <v>1</v>
      </c>
      <c r="FZ6" s="1">
        <v>1</v>
      </c>
      <c r="GA6" s="1">
        <v>1</v>
      </c>
      <c r="GB6" s="1">
        <v>1</v>
      </c>
      <c r="GC6" s="1">
        <v>1</v>
      </c>
      <c r="GD6" s="1">
        <v>1</v>
      </c>
      <c r="GE6" s="1">
        <v>1</v>
      </c>
      <c r="GF6" s="1">
        <v>1</v>
      </c>
      <c r="GG6" s="1">
        <v>1</v>
      </c>
      <c r="GH6" s="1">
        <v>1</v>
      </c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 s="1">
        <v>1</v>
      </c>
      <c r="HH6" s="1">
        <v>1</v>
      </c>
      <c r="HI6" s="1">
        <v>1</v>
      </c>
      <c r="HJ6" s="1">
        <v>1</v>
      </c>
      <c r="HK6" s="1">
        <v>1</v>
      </c>
      <c r="HL6" s="1">
        <v>1</v>
      </c>
      <c r="HM6" s="1">
        <v>1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1</v>
      </c>
      <c r="HX6" s="1">
        <v>1</v>
      </c>
      <c r="HY6" s="1">
        <v>1</v>
      </c>
      <c r="HZ6" s="1">
        <v>1</v>
      </c>
      <c r="IA6" s="1">
        <v>1</v>
      </c>
      <c r="IB6" s="1">
        <v>1</v>
      </c>
      <c r="IC6" s="1">
        <v>1</v>
      </c>
      <c r="ID6" s="1">
        <v>1</v>
      </c>
      <c r="IE6" s="1">
        <v>1</v>
      </c>
      <c r="IF6" s="1">
        <v>1</v>
      </c>
      <c r="IG6" s="1">
        <v>1</v>
      </c>
      <c r="IH6" s="1">
        <v>1</v>
      </c>
      <c r="II6" s="1">
        <v>1</v>
      </c>
      <c r="IJ6" s="1">
        <v>1</v>
      </c>
      <c r="IK6" s="1">
        <v>1</v>
      </c>
      <c r="IL6" s="1">
        <v>1</v>
      </c>
      <c r="IM6" s="1">
        <v>1</v>
      </c>
      <c r="IN6" s="1">
        <v>1</v>
      </c>
      <c r="IO6" s="1">
        <v>1</v>
      </c>
      <c r="IP6" s="1">
        <v>1</v>
      </c>
      <c r="IQ6" s="1">
        <v>1</v>
      </c>
    </row>
    <row r="7" spans="1:251" s="6" customFormat="1" x14ac:dyDescent="0.2">
      <c r="A7" s="5" t="s">
        <v>241</v>
      </c>
      <c r="B7" s="6">
        <v>45383</v>
      </c>
      <c r="C7" s="6">
        <v>45383</v>
      </c>
      <c r="D7" s="6">
        <v>45383</v>
      </c>
      <c r="E7" s="6">
        <v>45383</v>
      </c>
      <c r="F7" s="6">
        <v>45383</v>
      </c>
      <c r="G7" s="6">
        <v>45383</v>
      </c>
      <c r="H7" s="6">
        <v>42979</v>
      </c>
      <c r="I7" s="6">
        <v>42979</v>
      </c>
      <c r="J7" s="6">
        <v>45383</v>
      </c>
      <c r="K7" s="6">
        <v>45383</v>
      </c>
      <c r="L7" s="6">
        <v>45383</v>
      </c>
      <c r="M7" s="6">
        <v>42979</v>
      </c>
      <c r="N7" s="6">
        <v>42979</v>
      </c>
      <c r="O7" s="6">
        <v>42979</v>
      </c>
      <c r="P7" s="6">
        <v>45383</v>
      </c>
      <c r="Q7" s="6">
        <v>45383</v>
      </c>
      <c r="R7" s="6">
        <v>42979</v>
      </c>
      <c r="S7" s="6">
        <v>42979</v>
      </c>
      <c r="T7" s="6">
        <v>42979</v>
      </c>
      <c r="U7" s="6">
        <v>42979</v>
      </c>
      <c r="V7" s="6">
        <v>42979</v>
      </c>
      <c r="W7" s="6">
        <v>42979</v>
      </c>
      <c r="X7" s="6">
        <v>42979</v>
      </c>
      <c r="Y7" s="6">
        <v>42979</v>
      </c>
      <c r="Z7" s="6">
        <v>42979</v>
      </c>
      <c r="AA7" s="6">
        <v>42979</v>
      </c>
      <c r="AB7" s="6">
        <v>42979</v>
      </c>
      <c r="AC7" s="6">
        <v>42979</v>
      </c>
      <c r="AD7" s="6">
        <v>42979</v>
      </c>
      <c r="AE7" s="6">
        <v>42979</v>
      </c>
      <c r="AF7" s="6">
        <v>42979</v>
      </c>
      <c r="AG7" s="6">
        <v>42979</v>
      </c>
      <c r="AH7" s="6">
        <v>42979</v>
      </c>
      <c r="AI7" s="6">
        <v>42979</v>
      </c>
      <c r="AJ7" s="6">
        <v>42979</v>
      </c>
      <c r="AK7" s="6">
        <v>42979</v>
      </c>
      <c r="AL7" s="6">
        <v>42979</v>
      </c>
      <c r="AM7" s="6">
        <v>42979</v>
      </c>
      <c r="AN7" s="6">
        <v>42979</v>
      </c>
      <c r="AO7" s="6">
        <v>42979</v>
      </c>
      <c r="AP7" s="6">
        <v>42979</v>
      </c>
      <c r="AQ7" s="6">
        <v>42979</v>
      </c>
      <c r="AR7" s="6">
        <v>42979</v>
      </c>
      <c r="AS7" s="6">
        <v>42979</v>
      </c>
      <c r="AT7" s="6">
        <v>42979</v>
      </c>
      <c r="AU7" s="6">
        <v>45383</v>
      </c>
      <c r="AV7" s="6">
        <v>45383</v>
      </c>
      <c r="AW7" s="6">
        <v>45383</v>
      </c>
      <c r="AX7" s="6">
        <v>45383</v>
      </c>
      <c r="AY7" s="6">
        <v>45383</v>
      </c>
      <c r="AZ7" s="6">
        <v>42979</v>
      </c>
      <c r="BA7" s="6">
        <v>45383</v>
      </c>
      <c r="BB7" s="6">
        <v>42979</v>
      </c>
      <c r="BC7" s="6">
        <v>42979</v>
      </c>
      <c r="BD7" s="6">
        <v>42979</v>
      </c>
      <c r="BE7" s="6">
        <v>45383</v>
      </c>
      <c r="BF7" s="6">
        <v>45383</v>
      </c>
      <c r="BG7" s="6">
        <v>45383</v>
      </c>
      <c r="BH7" s="6">
        <v>45383</v>
      </c>
      <c r="BI7" s="6">
        <v>45383</v>
      </c>
      <c r="BJ7" s="6">
        <v>45383</v>
      </c>
      <c r="BK7" s="6">
        <v>45383</v>
      </c>
      <c r="BL7" s="6">
        <v>45383</v>
      </c>
      <c r="BM7" s="6">
        <v>45383</v>
      </c>
      <c r="BN7" s="6">
        <v>45383</v>
      </c>
      <c r="BO7" s="6">
        <v>45383</v>
      </c>
      <c r="BP7" s="6">
        <v>45383</v>
      </c>
      <c r="BQ7" s="6">
        <v>45383</v>
      </c>
      <c r="BR7" s="6">
        <v>44743</v>
      </c>
      <c r="BS7" s="6">
        <v>44743</v>
      </c>
      <c r="BT7" s="6">
        <v>42979</v>
      </c>
      <c r="BU7" s="6">
        <v>42979</v>
      </c>
      <c r="BV7" s="6">
        <v>45383</v>
      </c>
      <c r="BW7" s="6">
        <v>45383</v>
      </c>
      <c r="BX7" s="6">
        <v>42979</v>
      </c>
      <c r="BY7" s="6">
        <v>45383</v>
      </c>
      <c r="BZ7" s="6">
        <v>45383</v>
      </c>
      <c r="CA7" s="6">
        <v>44470</v>
      </c>
      <c r="CB7" s="6">
        <v>44470</v>
      </c>
      <c r="CC7" s="6">
        <v>45383</v>
      </c>
      <c r="CD7" s="6">
        <v>45383</v>
      </c>
      <c r="CE7" s="6">
        <v>45383</v>
      </c>
      <c r="CF7" s="6">
        <v>45383</v>
      </c>
      <c r="CG7" s="6">
        <v>45383</v>
      </c>
      <c r="CH7" s="6">
        <v>45383</v>
      </c>
      <c r="CI7" s="6">
        <v>45383</v>
      </c>
      <c r="CJ7" s="6">
        <v>45383</v>
      </c>
      <c r="CK7" s="6">
        <v>45383</v>
      </c>
      <c r="CL7" s="6">
        <v>45383</v>
      </c>
      <c r="CM7" s="6">
        <v>45383</v>
      </c>
      <c r="CN7" s="6">
        <v>42979</v>
      </c>
      <c r="CO7" s="6">
        <v>42979</v>
      </c>
      <c r="CP7" s="6">
        <v>42979</v>
      </c>
      <c r="CQ7" s="6">
        <v>42979</v>
      </c>
      <c r="CR7" s="6">
        <v>45383</v>
      </c>
      <c r="CS7" s="6">
        <v>45383</v>
      </c>
      <c r="CT7" s="6">
        <v>45383</v>
      </c>
      <c r="CU7" s="6">
        <v>45383</v>
      </c>
      <c r="CV7" s="6">
        <v>45383</v>
      </c>
      <c r="CW7" s="6">
        <v>45383</v>
      </c>
      <c r="CX7" s="6">
        <v>45383</v>
      </c>
      <c r="CY7" s="6">
        <v>45383</v>
      </c>
      <c r="CZ7" s="6">
        <v>45383</v>
      </c>
      <c r="DA7" s="6">
        <v>45383</v>
      </c>
      <c r="DB7" s="6">
        <v>45383</v>
      </c>
      <c r="DC7" s="6">
        <v>45383</v>
      </c>
      <c r="DD7" s="6">
        <v>45383</v>
      </c>
      <c r="DE7" s="6">
        <v>45383</v>
      </c>
      <c r="DF7" s="6">
        <v>45383</v>
      </c>
      <c r="DG7" s="6">
        <v>42979</v>
      </c>
      <c r="DH7" s="6">
        <v>45383</v>
      </c>
      <c r="DI7" s="6">
        <v>45383</v>
      </c>
      <c r="DJ7" s="6">
        <v>45383</v>
      </c>
      <c r="DK7" s="6">
        <v>45383</v>
      </c>
      <c r="DL7" s="6">
        <v>45383</v>
      </c>
      <c r="DM7" s="6">
        <v>45383</v>
      </c>
      <c r="DN7" s="6">
        <v>44743</v>
      </c>
      <c r="DO7" s="6">
        <v>45383</v>
      </c>
      <c r="DP7" s="6">
        <v>45383</v>
      </c>
      <c r="DQ7" s="6">
        <v>45383</v>
      </c>
      <c r="DR7" s="6">
        <v>45383</v>
      </c>
      <c r="DS7" s="6">
        <v>45383</v>
      </c>
      <c r="DT7" s="6">
        <v>45383</v>
      </c>
      <c r="DU7" s="6">
        <v>45383</v>
      </c>
      <c r="DV7" s="6">
        <v>45383</v>
      </c>
      <c r="DW7" s="6">
        <v>42979</v>
      </c>
      <c r="DX7" s="6">
        <v>42979</v>
      </c>
      <c r="DY7" s="6">
        <v>42979</v>
      </c>
      <c r="DZ7" s="6">
        <v>45383</v>
      </c>
      <c r="EA7" s="6">
        <v>45383</v>
      </c>
      <c r="EB7" s="6">
        <v>45383</v>
      </c>
      <c r="EC7" s="6">
        <v>42979</v>
      </c>
      <c r="ED7" s="6">
        <v>45383</v>
      </c>
      <c r="EE7" s="6">
        <v>45383</v>
      </c>
      <c r="EF7" s="6">
        <v>45383</v>
      </c>
      <c r="EG7" s="6">
        <v>45383</v>
      </c>
      <c r="EH7" s="6">
        <v>45383</v>
      </c>
      <c r="EI7" s="6">
        <v>45383</v>
      </c>
      <c r="EJ7" s="6">
        <v>42979</v>
      </c>
      <c r="EK7" s="6">
        <v>42979</v>
      </c>
      <c r="EL7" s="6">
        <v>45383</v>
      </c>
      <c r="EM7" s="6">
        <v>45383</v>
      </c>
      <c r="EN7" s="6">
        <v>45383</v>
      </c>
      <c r="EO7" s="6">
        <v>42979</v>
      </c>
      <c r="EP7" s="6">
        <v>42979</v>
      </c>
      <c r="EQ7" s="6">
        <v>42979</v>
      </c>
      <c r="ER7" s="6">
        <v>45383</v>
      </c>
      <c r="ES7" s="6">
        <v>45383</v>
      </c>
      <c r="ET7" s="6">
        <v>42979</v>
      </c>
      <c r="EU7" s="6">
        <v>42979</v>
      </c>
      <c r="EV7" s="6">
        <v>42979</v>
      </c>
      <c r="EW7" s="6">
        <v>42979</v>
      </c>
      <c r="EX7" s="6">
        <v>42979</v>
      </c>
      <c r="EY7" s="6">
        <v>42979</v>
      </c>
      <c r="EZ7" s="6">
        <v>42979</v>
      </c>
      <c r="FA7" s="6">
        <v>42979</v>
      </c>
      <c r="FB7" s="6">
        <v>42979</v>
      </c>
      <c r="FC7" s="6">
        <v>42979</v>
      </c>
      <c r="FD7" s="6">
        <v>42979</v>
      </c>
      <c r="FE7" s="6">
        <v>42979</v>
      </c>
      <c r="FF7" s="6">
        <v>42979</v>
      </c>
      <c r="FG7" s="6">
        <v>42979</v>
      </c>
      <c r="FH7" s="6">
        <v>42979</v>
      </c>
      <c r="FI7" s="6">
        <v>42979</v>
      </c>
      <c r="FJ7" s="6">
        <v>42979</v>
      </c>
      <c r="FK7" s="6">
        <v>42979</v>
      </c>
      <c r="FL7" s="6">
        <v>42979</v>
      </c>
      <c r="FM7" s="6">
        <v>42979</v>
      </c>
      <c r="FN7" s="6">
        <v>42979</v>
      </c>
      <c r="FO7" s="6">
        <v>42979</v>
      </c>
      <c r="FP7" s="6">
        <v>42979</v>
      </c>
      <c r="FQ7" s="6">
        <v>42979</v>
      </c>
      <c r="FR7" s="6">
        <v>42979</v>
      </c>
      <c r="FS7" s="6">
        <v>42979</v>
      </c>
      <c r="FT7" s="6">
        <v>42979</v>
      </c>
      <c r="FU7" s="6">
        <v>42979</v>
      </c>
      <c r="FV7" s="6">
        <v>42979</v>
      </c>
      <c r="FW7" s="6">
        <v>45383</v>
      </c>
      <c r="FX7" s="6">
        <v>45383</v>
      </c>
      <c r="FY7" s="6">
        <v>45383</v>
      </c>
      <c r="FZ7" s="6">
        <v>45383</v>
      </c>
      <c r="GA7" s="6">
        <v>45383</v>
      </c>
      <c r="GB7" s="6">
        <v>42979</v>
      </c>
      <c r="GC7" s="6">
        <v>45383</v>
      </c>
      <c r="GD7" s="6">
        <v>42979</v>
      </c>
      <c r="GE7" s="6">
        <v>42979</v>
      </c>
      <c r="GF7" s="6">
        <v>42979</v>
      </c>
      <c r="GG7" s="6">
        <v>45383</v>
      </c>
      <c r="GH7" s="6">
        <v>45383</v>
      </c>
      <c r="GI7" s="6">
        <v>45383</v>
      </c>
      <c r="GJ7" s="6">
        <v>45383</v>
      </c>
      <c r="GK7" s="6">
        <v>45383</v>
      </c>
      <c r="GL7" s="6">
        <v>45383</v>
      </c>
      <c r="GM7" s="6">
        <v>45383</v>
      </c>
      <c r="GN7" s="6">
        <v>45383</v>
      </c>
      <c r="GO7" s="6">
        <v>45383</v>
      </c>
      <c r="GP7" s="6">
        <v>45383</v>
      </c>
      <c r="GQ7" s="6">
        <v>45383</v>
      </c>
      <c r="GR7" s="6">
        <v>45383</v>
      </c>
      <c r="GS7" s="6">
        <v>45383</v>
      </c>
      <c r="GT7" s="6">
        <v>44743</v>
      </c>
      <c r="GU7" s="6">
        <v>44743</v>
      </c>
      <c r="GV7" s="6">
        <v>42979</v>
      </c>
      <c r="GW7" s="6">
        <v>42979</v>
      </c>
      <c r="GX7" s="6">
        <v>45383</v>
      </c>
      <c r="GY7" s="6">
        <v>45383</v>
      </c>
      <c r="GZ7" s="6">
        <v>42979</v>
      </c>
      <c r="HA7" s="6">
        <v>45383</v>
      </c>
      <c r="HB7" s="6">
        <v>45383</v>
      </c>
      <c r="HC7" s="6">
        <v>44470</v>
      </c>
      <c r="HD7" s="6">
        <v>44470</v>
      </c>
      <c r="HE7" s="6">
        <v>45383</v>
      </c>
      <c r="HF7" s="6">
        <v>45383</v>
      </c>
      <c r="HG7" s="6">
        <v>45383</v>
      </c>
      <c r="HH7" s="6">
        <v>45383</v>
      </c>
      <c r="HI7" s="6">
        <v>45383</v>
      </c>
      <c r="HJ7" s="6">
        <v>45383</v>
      </c>
      <c r="HK7" s="6">
        <v>45383</v>
      </c>
      <c r="HL7" s="6">
        <v>45383</v>
      </c>
      <c r="HM7" s="6">
        <v>45383</v>
      </c>
      <c r="HN7" s="6">
        <v>45383</v>
      </c>
      <c r="HO7" s="6">
        <v>45383</v>
      </c>
      <c r="HP7" s="6">
        <v>42979</v>
      </c>
      <c r="HQ7" s="6">
        <v>42979</v>
      </c>
      <c r="HR7" s="6">
        <v>42979</v>
      </c>
      <c r="HS7" s="6">
        <v>42979</v>
      </c>
      <c r="HT7" s="6">
        <v>45383</v>
      </c>
      <c r="HU7" s="6">
        <v>45383</v>
      </c>
      <c r="HV7" s="6">
        <v>45383</v>
      </c>
      <c r="HW7" s="6">
        <v>45383</v>
      </c>
      <c r="HX7" s="6">
        <v>45383</v>
      </c>
      <c r="HY7" s="6">
        <v>45383</v>
      </c>
      <c r="HZ7" s="6">
        <v>45383</v>
      </c>
      <c r="IA7" s="6">
        <v>45383</v>
      </c>
      <c r="IB7" s="6">
        <v>45383</v>
      </c>
      <c r="IC7" s="6">
        <v>45383</v>
      </c>
      <c r="ID7" s="6">
        <v>45383</v>
      </c>
      <c r="IE7" s="6">
        <v>45383</v>
      </c>
      <c r="IF7" s="6">
        <v>45383</v>
      </c>
      <c r="IG7" s="6">
        <v>45383</v>
      </c>
      <c r="IH7" s="6">
        <v>45383</v>
      </c>
      <c r="II7" s="6">
        <v>42979</v>
      </c>
      <c r="IJ7" s="6">
        <v>45383</v>
      </c>
      <c r="IK7" s="6">
        <v>45383</v>
      </c>
      <c r="IL7" s="6">
        <v>45383</v>
      </c>
      <c r="IM7" s="6">
        <v>45383</v>
      </c>
      <c r="IN7" s="6">
        <v>45383</v>
      </c>
      <c r="IO7" s="6">
        <v>45383</v>
      </c>
      <c r="IP7" s="6">
        <v>44743</v>
      </c>
      <c r="IQ7" s="6">
        <v>45383</v>
      </c>
    </row>
    <row r="8" spans="1:251" s="6" customFormat="1" x14ac:dyDescent="0.2">
      <c r="A8" s="5" t="s">
        <v>242</v>
      </c>
      <c r="B8" s="6">
        <v>46023</v>
      </c>
      <c r="C8" s="6">
        <v>46023</v>
      </c>
      <c r="D8" s="6">
        <v>46023</v>
      </c>
      <c r="E8" s="6">
        <v>46023</v>
      </c>
      <c r="F8" s="6">
        <v>46023</v>
      </c>
      <c r="G8" s="6">
        <v>46023</v>
      </c>
      <c r="H8" s="6">
        <v>46023</v>
      </c>
      <c r="I8" s="6">
        <v>46023</v>
      </c>
      <c r="J8" s="6">
        <v>46023</v>
      </c>
      <c r="K8" s="6">
        <v>46023</v>
      </c>
      <c r="L8" s="6">
        <v>46023</v>
      </c>
      <c r="M8" s="6">
        <v>46023</v>
      </c>
      <c r="N8" s="6">
        <v>46023</v>
      </c>
      <c r="O8" s="6">
        <v>46023</v>
      </c>
      <c r="P8" s="6">
        <v>46023</v>
      </c>
      <c r="Q8" s="6">
        <v>46023</v>
      </c>
      <c r="R8" s="6">
        <v>46023</v>
      </c>
      <c r="S8" s="6">
        <v>46023</v>
      </c>
      <c r="T8" s="6">
        <v>46023</v>
      </c>
      <c r="U8" s="6">
        <v>46023</v>
      </c>
      <c r="V8" s="6">
        <v>46023</v>
      </c>
      <c r="W8" s="6">
        <v>46023</v>
      </c>
      <c r="X8" s="6">
        <v>46023</v>
      </c>
      <c r="Y8" s="6">
        <v>46023</v>
      </c>
      <c r="Z8" s="6">
        <v>46023</v>
      </c>
      <c r="AA8" s="6">
        <v>46023</v>
      </c>
      <c r="AB8" s="6">
        <v>46023</v>
      </c>
      <c r="AC8" s="6">
        <v>46023</v>
      </c>
      <c r="AD8" s="6">
        <v>46023</v>
      </c>
      <c r="AE8" s="6">
        <v>46023</v>
      </c>
      <c r="AF8" s="6">
        <v>46023</v>
      </c>
      <c r="AG8" s="6">
        <v>46023</v>
      </c>
      <c r="AH8" s="6">
        <v>46023</v>
      </c>
      <c r="AI8" s="6">
        <v>46023</v>
      </c>
      <c r="AJ8" s="6">
        <v>46023</v>
      </c>
      <c r="AK8" s="6">
        <v>46023</v>
      </c>
      <c r="AL8" s="6">
        <v>46023</v>
      </c>
      <c r="AM8" s="6">
        <v>46023</v>
      </c>
      <c r="AN8" s="6">
        <v>46023</v>
      </c>
      <c r="AO8" s="6">
        <v>46023</v>
      </c>
      <c r="AP8" s="6">
        <v>46023</v>
      </c>
      <c r="AQ8" s="6">
        <v>46023</v>
      </c>
      <c r="AR8" s="6">
        <v>46023</v>
      </c>
      <c r="AS8" s="6">
        <v>46023</v>
      </c>
      <c r="AT8" s="6">
        <v>46023</v>
      </c>
      <c r="AU8" s="6">
        <v>46023</v>
      </c>
      <c r="AV8" s="6">
        <v>46023</v>
      </c>
      <c r="AW8" s="6">
        <v>46023</v>
      </c>
      <c r="AX8" s="6">
        <v>46023</v>
      </c>
      <c r="AY8" s="6">
        <v>46023</v>
      </c>
      <c r="AZ8" s="6">
        <v>46023</v>
      </c>
      <c r="BA8" s="6">
        <v>46023</v>
      </c>
      <c r="BB8" s="6">
        <v>46023</v>
      </c>
      <c r="BC8" s="6">
        <v>46023</v>
      </c>
      <c r="BD8" s="6">
        <v>46023</v>
      </c>
      <c r="BE8" s="6">
        <v>46023</v>
      </c>
      <c r="BF8" s="6">
        <v>46023</v>
      </c>
      <c r="BG8" s="6">
        <v>46023</v>
      </c>
      <c r="BH8" s="6">
        <v>46023</v>
      </c>
      <c r="BI8" s="6">
        <v>46023</v>
      </c>
      <c r="BJ8" s="6">
        <v>46023</v>
      </c>
      <c r="BK8" s="6">
        <v>46023</v>
      </c>
      <c r="BL8" s="6">
        <v>46023</v>
      </c>
      <c r="BM8" s="6">
        <v>46023</v>
      </c>
      <c r="BN8" s="6">
        <v>46023</v>
      </c>
      <c r="BO8" s="6">
        <v>46023</v>
      </c>
      <c r="BP8" s="6">
        <v>46023</v>
      </c>
      <c r="BQ8" s="6">
        <v>46023</v>
      </c>
      <c r="BR8" s="6">
        <v>46023</v>
      </c>
      <c r="BS8" s="6">
        <v>46023</v>
      </c>
      <c r="BT8" s="6">
        <v>46023</v>
      </c>
      <c r="BU8" s="6">
        <v>46023</v>
      </c>
      <c r="BV8" s="6">
        <v>46023</v>
      </c>
      <c r="BW8" s="6">
        <v>46023</v>
      </c>
      <c r="BX8" s="6">
        <v>46023</v>
      </c>
      <c r="BY8" s="6">
        <v>46023</v>
      </c>
      <c r="BZ8" s="6">
        <v>46023</v>
      </c>
      <c r="CA8" s="6">
        <v>46023</v>
      </c>
      <c r="CB8" s="6">
        <v>46023</v>
      </c>
      <c r="CC8" s="6">
        <v>46023</v>
      </c>
      <c r="CD8" s="6">
        <v>46023</v>
      </c>
      <c r="CE8" s="6">
        <v>46023</v>
      </c>
      <c r="CF8" s="6">
        <v>46023</v>
      </c>
      <c r="CG8" s="6">
        <v>46023</v>
      </c>
      <c r="CH8" s="6">
        <v>46023</v>
      </c>
      <c r="CI8" s="6">
        <v>46023</v>
      </c>
      <c r="CJ8" s="6">
        <v>46023</v>
      </c>
      <c r="CK8" s="6">
        <v>46023</v>
      </c>
      <c r="CL8" s="6">
        <v>46023</v>
      </c>
      <c r="CM8" s="6">
        <v>46023</v>
      </c>
      <c r="CN8" s="6">
        <v>46023</v>
      </c>
      <c r="CO8" s="6">
        <v>46023</v>
      </c>
      <c r="CP8" s="6">
        <v>46023</v>
      </c>
      <c r="CQ8" s="6">
        <v>46023</v>
      </c>
      <c r="CR8" s="6">
        <v>46023</v>
      </c>
      <c r="CS8" s="6">
        <v>46023</v>
      </c>
      <c r="CT8" s="6">
        <v>46023</v>
      </c>
      <c r="CU8" s="6">
        <v>46023</v>
      </c>
      <c r="CV8" s="6">
        <v>46023</v>
      </c>
      <c r="CW8" s="6">
        <v>46023</v>
      </c>
      <c r="CX8" s="6">
        <v>46023</v>
      </c>
      <c r="CY8" s="6">
        <v>46023</v>
      </c>
      <c r="CZ8" s="6">
        <v>46023</v>
      </c>
      <c r="DA8" s="6">
        <v>46023</v>
      </c>
      <c r="DB8" s="6">
        <v>46023</v>
      </c>
      <c r="DC8" s="6">
        <v>46023</v>
      </c>
      <c r="DD8" s="6">
        <v>46023</v>
      </c>
      <c r="DE8" s="6">
        <v>46023</v>
      </c>
      <c r="DF8" s="6">
        <v>46023</v>
      </c>
      <c r="DG8" s="6">
        <v>46023</v>
      </c>
      <c r="DH8" s="6">
        <v>46023</v>
      </c>
      <c r="DI8" s="6">
        <v>46023</v>
      </c>
      <c r="DJ8" s="6">
        <v>46023</v>
      </c>
      <c r="DK8" s="6">
        <v>46023</v>
      </c>
      <c r="DL8" s="6">
        <v>46023</v>
      </c>
      <c r="DM8" s="6">
        <v>46023</v>
      </c>
      <c r="DN8" s="6">
        <v>46023</v>
      </c>
      <c r="DO8" s="6">
        <v>46023</v>
      </c>
      <c r="DP8" s="6">
        <v>46023</v>
      </c>
      <c r="DQ8" s="6">
        <v>46023</v>
      </c>
      <c r="DR8" s="6">
        <v>46023</v>
      </c>
      <c r="DS8" s="6">
        <v>46023</v>
      </c>
      <c r="DT8" s="6">
        <v>46023</v>
      </c>
      <c r="DU8" s="6">
        <v>46023</v>
      </c>
      <c r="DV8" s="6">
        <v>46023</v>
      </c>
      <c r="DW8" s="6">
        <v>46023</v>
      </c>
      <c r="DX8" s="6">
        <v>46023</v>
      </c>
      <c r="DY8" s="6">
        <v>46023</v>
      </c>
      <c r="DZ8" s="6">
        <v>46023</v>
      </c>
      <c r="EA8" s="6">
        <v>46023</v>
      </c>
      <c r="EB8" s="6">
        <v>46023</v>
      </c>
      <c r="EC8" s="6">
        <v>46023</v>
      </c>
      <c r="ED8" s="6">
        <v>46023</v>
      </c>
      <c r="EE8" s="6">
        <v>46023</v>
      </c>
      <c r="EF8" s="6">
        <v>46023</v>
      </c>
      <c r="EG8" s="6">
        <v>46023</v>
      </c>
      <c r="EH8" s="6">
        <v>46023</v>
      </c>
      <c r="EI8" s="6">
        <v>46023</v>
      </c>
      <c r="EJ8" s="6">
        <v>46023</v>
      </c>
      <c r="EK8" s="6">
        <v>46023</v>
      </c>
      <c r="EL8" s="6">
        <v>46023</v>
      </c>
      <c r="EM8" s="6">
        <v>46023</v>
      </c>
      <c r="EN8" s="6">
        <v>46023</v>
      </c>
      <c r="EO8" s="6">
        <v>46023</v>
      </c>
      <c r="EP8" s="6">
        <v>46023</v>
      </c>
      <c r="EQ8" s="6">
        <v>46023</v>
      </c>
      <c r="ER8" s="6">
        <v>46023</v>
      </c>
      <c r="ES8" s="6">
        <v>46023</v>
      </c>
      <c r="ET8" s="6">
        <v>46023</v>
      </c>
      <c r="EU8" s="6">
        <v>46023</v>
      </c>
      <c r="EV8" s="6">
        <v>46023</v>
      </c>
      <c r="EW8" s="6">
        <v>46023</v>
      </c>
      <c r="EX8" s="6">
        <v>46023</v>
      </c>
      <c r="EY8" s="6">
        <v>46023</v>
      </c>
      <c r="EZ8" s="6">
        <v>46023</v>
      </c>
      <c r="FA8" s="6">
        <v>46023</v>
      </c>
      <c r="FB8" s="6">
        <v>46023</v>
      </c>
      <c r="FC8" s="6">
        <v>46023</v>
      </c>
      <c r="FD8" s="6">
        <v>46023</v>
      </c>
      <c r="FE8" s="6">
        <v>46023</v>
      </c>
      <c r="FF8" s="6">
        <v>46023</v>
      </c>
      <c r="FG8" s="6">
        <v>46023</v>
      </c>
      <c r="FH8" s="6">
        <v>46023</v>
      </c>
      <c r="FI8" s="6">
        <v>46023</v>
      </c>
      <c r="FJ8" s="6">
        <v>46023</v>
      </c>
      <c r="FK8" s="6">
        <v>46023</v>
      </c>
      <c r="FL8" s="6">
        <v>46023</v>
      </c>
      <c r="FM8" s="6">
        <v>46023</v>
      </c>
      <c r="FN8" s="6">
        <v>46023</v>
      </c>
      <c r="FO8" s="6">
        <v>46023</v>
      </c>
      <c r="FP8" s="6">
        <v>46023</v>
      </c>
      <c r="FQ8" s="6">
        <v>46023</v>
      </c>
      <c r="FR8" s="6">
        <v>46023</v>
      </c>
      <c r="FS8" s="6">
        <v>46023</v>
      </c>
      <c r="FT8" s="6">
        <v>46023</v>
      </c>
      <c r="FU8" s="6">
        <v>46023</v>
      </c>
      <c r="FV8" s="6">
        <v>46023</v>
      </c>
      <c r="FW8" s="6">
        <v>46023</v>
      </c>
      <c r="FX8" s="6">
        <v>46023</v>
      </c>
      <c r="FY8" s="6">
        <v>46023</v>
      </c>
      <c r="FZ8" s="6">
        <v>46023</v>
      </c>
      <c r="GA8" s="6">
        <v>46023</v>
      </c>
      <c r="GB8" s="6">
        <v>46023</v>
      </c>
      <c r="GC8" s="6">
        <v>46023</v>
      </c>
      <c r="GD8" s="6">
        <v>46023</v>
      </c>
      <c r="GE8" s="6">
        <v>46023</v>
      </c>
      <c r="GF8" s="6">
        <v>46023</v>
      </c>
      <c r="GG8" s="6">
        <v>46023</v>
      </c>
      <c r="GH8" s="6">
        <v>46023</v>
      </c>
      <c r="GI8" s="6">
        <v>46023</v>
      </c>
      <c r="GJ8" s="6">
        <v>46023</v>
      </c>
      <c r="GK8" s="6">
        <v>46023</v>
      </c>
      <c r="GL8" s="6">
        <v>46023</v>
      </c>
      <c r="GM8" s="6">
        <v>46023</v>
      </c>
      <c r="GN8" s="6">
        <v>46023</v>
      </c>
      <c r="GO8" s="6">
        <v>46023</v>
      </c>
      <c r="GP8" s="6">
        <v>46023</v>
      </c>
      <c r="GQ8" s="6">
        <v>46023</v>
      </c>
      <c r="GR8" s="6">
        <v>46023</v>
      </c>
      <c r="GS8" s="6">
        <v>46023</v>
      </c>
      <c r="GT8" s="6">
        <v>46023</v>
      </c>
      <c r="GU8" s="6">
        <v>46023</v>
      </c>
      <c r="GV8" s="6">
        <v>46023</v>
      </c>
      <c r="GW8" s="6">
        <v>46023</v>
      </c>
      <c r="GX8" s="6">
        <v>46023</v>
      </c>
      <c r="GY8" s="6">
        <v>46023</v>
      </c>
      <c r="GZ8" s="6">
        <v>46023</v>
      </c>
      <c r="HA8" s="6">
        <v>46023</v>
      </c>
      <c r="HB8" s="6">
        <v>46023</v>
      </c>
      <c r="HC8" s="6">
        <v>46023</v>
      </c>
      <c r="HD8" s="6">
        <v>46023</v>
      </c>
      <c r="HE8" s="6">
        <v>46023</v>
      </c>
      <c r="HF8" s="6">
        <v>46023</v>
      </c>
      <c r="HG8" s="6">
        <v>46023</v>
      </c>
      <c r="HH8" s="6">
        <v>46023</v>
      </c>
      <c r="HI8" s="6">
        <v>46023</v>
      </c>
      <c r="HJ8" s="6">
        <v>46023</v>
      </c>
      <c r="HK8" s="6">
        <v>46023</v>
      </c>
      <c r="HL8" s="6">
        <v>46023</v>
      </c>
      <c r="HM8" s="6">
        <v>46023</v>
      </c>
      <c r="HN8" s="6">
        <v>46023</v>
      </c>
      <c r="HO8" s="6">
        <v>46023</v>
      </c>
      <c r="HP8" s="6">
        <v>46023</v>
      </c>
      <c r="HQ8" s="6">
        <v>46023</v>
      </c>
      <c r="HR8" s="6">
        <v>46023</v>
      </c>
      <c r="HS8" s="6">
        <v>46023</v>
      </c>
      <c r="HT8" s="6">
        <v>46023</v>
      </c>
      <c r="HU8" s="6">
        <v>46023</v>
      </c>
      <c r="HV8" s="6">
        <v>46023</v>
      </c>
      <c r="HW8" s="6">
        <v>46023</v>
      </c>
      <c r="HX8" s="6">
        <v>46023</v>
      </c>
      <c r="HY8" s="6">
        <v>46023</v>
      </c>
      <c r="HZ8" s="6">
        <v>46023</v>
      </c>
      <c r="IA8" s="6">
        <v>46023</v>
      </c>
      <c r="IB8" s="6">
        <v>46023</v>
      </c>
      <c r="IC8" s="6">
        <v>46023</v>
      </c>
      <c r="ID8" s="6">
        <v>46023</v>
      </c>
      <c r="IE8" s="6">
        <v>46023</v>
      </c>
      <c r="IF8" s="6">
        <v>46023</v>
      </c>
      <c r="IG8" s="6">
        <v>46023</v>
      </c>
      <c r="IH8" s="6">
        <v>46023</v>
      </c>
      <c r="II8" s="6">
        <v>46023</v>
      </c>
      <c r="IJ8" s="6">
        <v>46023</v>
      </c>
      <c r="IK8" s="6">
        <v>46023</v>
      </c>
      <c r="IL8" s="6">
        <v>46023</v>
      </c>
      <c r="IM8" s="6">
        <v>46023</v>
      </c>
      <c r="IN8" s="6">
        <v>46023</v>
      </c>
      <c r="IO8" s="6">
        <v>46023</v>
      </c>
      <c r="IP8" s="6">
        <v>46023</v>
      </c>
      <c r="IQ8" s="6">
        <v>46023</v>
      </c>
    </row>
    <row r="9" spans="1:251" x14ac:dyDescent="0.2">
      <c r="A9" s="4" t="s">
        <v>243</v>
      </c>
      <c r="B9" s="1">
        <v>22</v>
      </c>
      <c r="C9" s="1">
        <v>22</v>
      </c>
      <c r="D9" s="1">
        <v>22</v>
      </c>
      <c r="E9" s="1">
        <v>22</v>
      </c>
      <c r="F9" s="1">
        <v>22</v>
      </c>
      <c r="G9" s="1">
        <v>22</v>
      </c>
      <c r="H9" s="1">
        <v>101</v>
      </c>
      <c r="I9" s="1">
        <v>101</v>
      </c>
      <c r="J9" s="1">
        <v>22</v>
      </c>
      <c r="K9" s="1">
        <v>22</v>
      </c>
      <c r="L9" s="1">
        <v>22</v>
      </c>
      <c r="M9" s="1">
        <v>101</v>
      </c>
      <c r="N9" s="1">
        <v>101</v>
      </c>
      <c r="O9" s="1">
        <v>101</v>
      </c>
      <c r="P9" s="1">
        <v>22</v>
      </c>
      <c r="Q9" s="1">
        <v>22</v>
      </c>
      <c r="R9" s="1">
        <v>101</v>
      </c>
      <c r="S9" s="1">
        <v>101</v>
      </c>
      <c r="T9" s="1">
        <v>101</v>
      </c>
      <c r="U9" s="1">
        <v>101</v>
      </c>
      <c r="V9" s="1">
        <v>101</v>
      </c>
      <c r="W9" s="1">
        <v>101</v>
      </c>
      <c r="X9" s="1">
        <v>101</v>
      </c>
      <c r="Y9" s="1">
        <v>101</v>
      </c>
      <c r="Z9" s="1">
        <v>101</v>
      </c>
      <c r="AA9" s="1">
        <v>101</v>
      </c>
      <c r="AB9" s="1">
        <v>101</v>
      </c>
      <c r="AC9" s="1">
        <v>101</v>
      </c>
      <c r="AD9" s="1">
        <v>101</v>
      </c>
      <c r="AE9" s="1">
        <v>101</v>
      </c>
      <c r="AF9" s="1">
        <v>101</v>
      </c>
      <c r="AG9" s="1">
        <v>101</v>
      </c>
      <c r="AH9" s="1">
        <v>101</v>
      </c>
      <c r="AI9" s="1">
        <v>101</v>
      </c>
      <c r="AJ9" s="1">
        <v>101</v>
      </c>
      <c r="AK9" s="1">
        <v>101</v>
      </c>
      <c r="AL9" s="1">
        <v>101</v>
      </c>
      <c r="AM9" s="1">
        <v>101</v>
      </c>
      <c r="AN9" s="1">
        <v>101</v>
      </c>
      <c r="AO9" s="1">
        <v>101</v>
      </c>
      <c r="AP9" s="1">
        <v>101</v>
      </c>
      <c r="AQ9" s="1">
        <v>101</v>
      </c>
      <c r="AR9" s="1">
        <v>101</v>
      </c>
      <c r="AS9" s="1">
        <v>101</v>
      </c>
      <c r="AT9" s="1">
        <v>101</v>
      </c>
      <c r="AU9" s="1">
        <v>22</v>
      </c>
      <c r="AV9" s="1">
        <v>22</v>
      </c>
      <c r="AW9" s="1">
        <v>22</v>
      </c>
      <c r="AX9" s="1">
        <v>22</v>
      </c>
      <c r="AY9" s="1">
        <v>22</v>
      </c>
      <c r="AZ9" s="1">
        <v>101</v>
      </c>
      <c r="BA9" s="1">
        <v>22</v>
      </c>
      <c r="BB9" s="1">
        <v>101</v>
      </c>
      <c r="BC9" s="1">
        <v>101</v>
      </c>
      <c r="BD9" s="1">
        <v>101</v>
      </c>
      <c r="BE9" s="1">
        <v>22</v>
      </c>
      <c r="BF9" s="1">
        <v>22</v>
      </c>
      <c r="BG9" s="1">
        <v>22</v>
      </c>
      <c r="BH9" s="1">
        <v>22</v>
      </c>
      <c r="BI9" s="1">
        <v>22</v>
      </c>
      <c r="BJ9" s="1">
        <v>22</v>
      </c>
      <c r="BK9" s="1">
        <v>22</v>
      </c>
      <c r="BL9" s="1">
        <v>22</v>
      </c>
      <c r="BM9" s="1">
        <v>22</v>
      </c>
      <c r="BN9" s="1">
        <v>22</v>
      </c>
      <c r="BO9" s="1">
        <v>22</v>
      </c>
      <c r="BP9" s="1">
        <v>22</v>
      </c>
      <c r="BQ9" s="1">
        <v>22</v>
      </c>
      <c r="BR9" s="1">
        <v>43</v>
      </c>
      <c r="BS9" s="1">
        <v>43</v>
      </c>
      <c r="BT9" s="1">
        <v>101</v>
      </c>
      <c r="BU9" s="1">
        <v>101</v>
      </c>
      <c r="BV9" s="1">
        <v>22</v>
      </c>
      <c r="BW9" s="1">
        <v>22</v>
      </c>
      <c r="BX9" s="1">
        <v>101</v>
      </c>
      <c r="BY9" s="1">
        <v>22</v>
      </c>
      <c r="BZ9" s="1">
        <v>22</v>
      </c>
      <c r="CA9" s="1">
        <v>52</v>
      </c>
      <c r="CB9" s="1">
        <v>52</v>
      </c>
      <c r="CC9" s="1">
        <v>22</v>
      </c>
      <c r="CD9" s="1">
        <v>22</v>
      </c>
      <c r="CE9" s="1">
        <v>22</v>
      </c>
      <c r="CF9" s="1">
        <v>22</v>
      </c>
      <c r="CG9" s="1">
        <v>22</v>
      </c>
      <c r="CH9" s="1">
        <v>22</v>
      </c>
      <c r="CI9" s="1">
        <v>22</v>
      </c>
      <c r="CJ9" s="1">
        <v>22</v>
      </c>
      <c r="CK9" s="1">
        <v>22</v>
      </c>
      <c r="CL9" s="1">
        <v>22</v>
      </c>
      <c r="CM9" s="1">
        <v>22</v>
      </c>
      <c r="CN9" s="1">
        <v>101</v>
      </c>
      <c r="CO9" s="1">
        <v>101</v>
      </c>
      <c r="CP9" s="1">
        <v>101</v>
      </c>
      <c r="CQ9" s="1">
        <v>101</v>
      </c>
      <c r="CR9" s="1">
        <v>22</v>
      </c>
      <c r="CS9" s="1">
        <v>22</v>
      </c>
      <c r="CT9" s="1">
        <v>22</v>
      </c>
      <c r="CU9" s="1">
        <v>22</v>
      </c>
      <c r="CV9" s="1">
        <v>22</v>
      </c>
      <c r="CW9" s="1">
        <v>22</v>
      </c>
      <c r="CX9" s="1">
        <v>22</v>
      </c>
      <c r="CY9" s="1">
        <v>22</v>
      </c>
      <c r="CZ9" s="1">
        <v>22</v>
      </c>
      <c r="DA9" s="1">
        <v>22</v>
      </c>
      <c r="DB9" s="1">
        <v>22</v>
      </c>
      <c r="DC9" s="1">
        <v>22</v>
      </c>
      <c r="DD9" s="1">
        <v>22</v>
      </c>
      <c r="DE9" s="1">
        <v>22</v>
      </c>
      <c r="DF9" s="1">
        <v>22</v>
      </c>
      <c r="DG9" s="1">
        <v>101</v>
      </c>
      <c r="DH9" s="1">
        <v>22</v>
      </c>
      <c r="DI9" s="1">
        <v>22</v>
      </c>
      <c r="DJ9" s="1">
        <v>22</v>
      </c>
      <c r="DK9" s="1">
        <v>22</v>
      </c>
      <c r="DL9" s="1">
        <v>22</v>
      </c>
      <c r="DM9" s="1">
        <v>22</v>
      </c>
      <c r="DN9" s="1">
        <v>43</v>
      </c>
      <c r="DO9" s="1">
        <v>22</v>
      </c>
      <c r="DP9" s="1">
        <v>22</v>
      </c>
      <c r="DQ9" s="1">
        <v>22</v>
      </c>
      <c r="DR9" s="1">
        <v>22</v>
      </c>
      <c r="DS9" s="1">
        <v>22</v>
      </c>
      <c r="DT9" s="1">
        <v>22</v>
      </c>
      <c r="DU9" s="1">
        <v>22</v>
      </c>
      <c r="DV9" s="1">
        <v>22</v>
      </c>
      <c r="DW9" s="1">
        <v>101</v>
      </c>
      <c r="DX9" s="1">
        <v>101</v>
      </c>
      <c r="DY9" s="1">
        <v>101</v>
      </c>
      <c r="DZ9" s="1">
        <v>22</v>
      </c>
      <c r="EA9" s="1">
        <v>22</v>
      </c>
      <c r="EB9" s="1">
        <v>22</v>
      </c>
      <c r="EC9" s="1">
        <v>101</v>
      </c>
      <c r="ED9" s="1">
        <v>22</v>
      </c>
      <c r="EE9" s="1">
        <v>22</v>
      </c>
      <c r="EF9" s="1">
        <v>22</v>
      </c>
      <c r="EG9" s="1">
        <v>22</v>
      </c>
      <c r="EH9" s="1">
        <v>22</v>
      </c>
      <c r="EI9" s="1">
        <v>22</v>
      </c>
      <c r="EJ9" s="1">
        <v>101</v>
      </c>
      <c r="EK9" s="1">
        <v>101</v>
      </c>
      <c r="EL9" s="1">
        <v>22</v>
      </c>
      <c r="EM9" s="1">
        <v>22</v>
      </c>
      <c r="EN9" s="1">
        <v>22</v>
      </c>
      <c r="EO9" s="1">
        <v>101</v>
      </c>
      <c r="EP9" s="1">
        <v>101</v>
      </c>
      <c r="EQ9" s="1">
        <v>101</v>
      </c>
      <c r="ER9" s="1">
        <v>22</v>
      </c>
      <c r="ES9" s="1">
        <v>22</v>
      </c>
      <c r="ET9" s="1">
        <v>101</v>
      </c>
      <c r="EU9" s="1">
        <v>101</v>
      </c>
      <c r="EV9" s="1">
        <v>101</v>
      </c>
      <c r="EW9" s="1">
        <v>101</v>
      </c>
      <c r="EX9" s="1">
        <v>101</v>
      </c>
      <c r="EY9" s="1">
        <v>101</v>
      </c>
      <c r="EZ9" s="1">
        <v>101</v>
      </c>
      <c r="FA9" s="1">
        <v>101</v>
      </c>
      <c r="FB9" s="1">
        <v>101</v>
      </c>
      <c r="FC9" s="1">
        <v>101</v>
      </c>
      <c r="FD9" s="1">
        <v>101</v>
      </c>
      <c r="FE9" s="1">
        <v>101</v>
      </c>
      <c r="FF9" s="1">
        <v>101</v>
      </c>
      <c r="FG9" s="1">
        <v>101</v>
      </c>
      <c r="FH9" s="1">
        <v>101</v>
      </c>
      <c r="FI9" s="1">
        <v>101</v>
      </c>
      <c r="FJ9" s="1">
        <v>101</v>
      </c>
      <c r="FK9" s="1">
        <v>101</v>
      </c>
      <c r="FL9" s="1">
        <v>101</v>
      </c>
      <c r="FM9" s="1">
        <v>101</v>
      </c>
      <c r="FN9" s="1">
        <v>101</v>
      </c>
      <c r="FO9" s="1">
        <v>101</v>
      </c>
      <c r="FP9" s="1">
        <v>101</v>
      </c>
      <c r="FQ9" s="1">
        <v>101</v>
      </c>
      <c r="FR9" s="1">
        <v>101</v>
      </c>
      <c r="FS9" s="1">
        <v>101</v>
      </c>
      <c r="FT9" s="1">
        <v>101</v>
      </c>
      <c r="FU9" s="1">
        <v>101</v>
      </c>
      <c r="FV9" s="1">
        <v>101</v>
      </c>
      <c r="FW9" s="1">
        <v>22</v>
      </c>
      <c r="FX9" s="1">
        <v>22</v>
      </c>
      <c r="FY9" s="1">
        <v>22</v>
      </c>
      <c r="FZ9" s="1">
        <v>22</v>
      </c>
      <c r="GA9" s="1">
        <v>22</v>
      </c>
      <c r="GB9" s="1">
        <v>101</v>
      </c>
      <c r="GC9" s="1">
        <v>22</v>
      </c>
      <c r="GD9" s="1">
        <v>101</v>
      </c>
      <c r="GE9" s="1">
        <v>101</v>
      </c>
      <c r="GF9" s="1">
        <v>101</v>
      </c>
      <c r="GG9" s="1">
        <v>22</v>
      </c>
      <c r="GH9" s="1">
        <v>22</v>
      </c>
      <c r="GI9" s="1">
        <v>22</v>
      </c>
      <c r="GJ9" s="1">
        <v>22</v>
      </c>
      <c r="GK9" s="1">
        <v>22</v>
      </c>
      <c r="GL9" s="1">
        <v>22</v>
      </c>
      <c r="GM9" s="1">
        <v>22</v>
      </c>
      <c r="GN9" s="1">
        <v>22</v>
      </c>
      <c r="GO9" s="1">
        <v>22</v>
      </c>
      <c r="GP9" s="1">
        <v>22</v>
      </c>
      <c r="GQ9" s="1">
        <v>22</v>
      </c>
      <c r="GR9" s="1">
        <v>22</v>
      </c>
      <c r="GS9" s="1">
        <v>22</v>
      </c>
      <c r="GT9" s="1">
        <v>43</v>
      </c>
      <c r="GU9" s="1">
        <v>43</v>
      </c>
      <c r="GV9" s="1">
        <v>101</v>
      </c>
      <c r="GW9" s="1">
        <v>101</v>
      </c>
      <c r="GX9" s="1">
        <v>22</v>
      </c>
      <c r="GY9" s="1">
        <v>22</v>
      </c>
      <c r="GZ9" s="1">
        <v>101</v>
      </c>
      <c r="HA9" s="1">
        <v>22</v>
      </c>
      <c r="HB9" s="1">
        <v>22</v>
      </c>
      <c r="HC9" s="1">
        <v>52</v>
      </c>
      <c r="HD9" s="1">
        <v>52</v>
      </c>
      <c r="HE9" s="1">
        <v>22</v>
      </c>
      <c r="HF9" s="1">
        <v>22</v>
      </c>
      <c r="HG9" s="1">
        <v>22</v>
      </c>
      <c r="HH9" s="1">
        <v>22</v>
      </c>
      <c r="HI9" s="1">
        <v>22</v>
      </c>
      <c r="HJ9" s="1">
        <v>22</v>
      </c>
      <c r="HK9" s="1">
        <v>22</v>
      </c>
      <c r="HL9" s="1">
        <v>22</v>
      </c>
      <c r="HM9" s="1">
        <v>22</v>
      </c>
      <c r="HN9" s="1">
        <v>22</v>
      </c>
      <c r="HO9" s="1">
        <v>22</v>
      </c>
      <c r="HP9" s="1">
        <v>101</v>
      </c>
      <c r="HQ9" s="1">
        <v>101</v>
      </c>
      <c r="HR9" s="1">
        <v>101</v>
      </c>
      <c r="HS9" s="1">
        <v>101</v>
      </c>
      <c r="HT9" s="1">
        <v>22</v>
      </c>
      <c r="HU9" s="1">
        <v>22</v>
      </c>
      <c r="HV9" s="1">
        <v>22</v>
      </c>
      <c r="HW9" s="1">
        <v>22</v>
      </c>
      <c r="HX9" s="1">
        <v>22</v>
      </c>
      <c r="HY9" s="1">
        <v>22</v>
      </c>
      <c r="HZ9" s="1">
        <v>22</v>
      </c>
      <c r="IA9" s="1">
        <v>22</v>
      </c>
      <c r="IB9" s="1">
        <v>22</v>
      </c>
      <c r="IC9" s="1">
        <v>22</v>
      </c>
      <c r="ID9" s="1">
        <v>22</v>
      </c>
      <c r="IE9" s="1">
        <v>22</v>
      </c>
      <c r="IF9" s="1">
        <v>22</v>
      </c>
      <c r="IG9" s="1">
        <v>22</v>
      </c>
      <c r="IH9" s="1">
        <v>22</v>
      </c>
      <c r="II9" s="1">
        <v>101</v>
      </c>
      <c r="IJ9" s="1">
        <v>22</v>
      </c>
      <c r="IK9" s="1">
        <v>22</v>
      </c>
      <c r="IL9" s="1">
        <v>22</v>
      </c>
      <c r="IM9" s="1">
        <v>22</v>
      </c>
      <c r="IN9" s="1">
        <v>22</v>
      </c>
      <c r="IO9" s="1">
        <v>22</v>
      </c>
      <c r="IP9" s="1">
        <v>43</v>
      </c>
      <c r="IQ9" s="1">
        <v>22</v>
      </c>
    </row>
    <row r="10" spans="1:251" x14ac:dyDescent="0.2">
      <c r="A10" s="4" t="s">
        <v>244</v>
      </c>
      <c r="B10" s="7" t="s">
        <v>733</v>
      </c>
      <c r="C10" s="7" t="s">
        <v>734</v>
      </c>
      <c r="D10" s="7" t="s">
        <v>735</v>
      </c>
      <c r="E10" s="7" t="s">
        <v>736</v>
      </c>
      <c r="F10" s="7" t="s">
        <v>737</v>
      </c>
      <c r="G10" s="7" t="s">
        <v>738</v>
      </c>
      <c r="H10" s="7" t="s">
        <v>739</v>
      </c>
      <c r="I10" s="7" t="s">
        <v>740</v>
      </c>
      <c r="J10" s="7" t="s">
        <v>741</v>
      </c>
      <c r="K10" s="7" t="s">
        <v>742</v>
      </c>
      <c r="L10" s="7" t="s">
        <v>743</v>
      </c>
      <c r="M10" s="7" t="s">
        <v>744</v>
      </c>
      <c r="N10" s="7" t="s">
        <v>745</v>
      </c>
      <c r="O10" s="7" t="s">
        <v>746</v>
      </c>
      <c r="P10" s="7" t="s">
        <v>747</v>
      </c>
      <c r="Q10" s="7" t="s">
        <v>748</v>
      </c>
      <c r="R10" s="7" t="s">
        <v>749</v>
      </c>
      <c r="S10" s="7" t="s">
        <v>750</v>
      </c>
      <c r="T10" s="7" t="s">
        <v>751</v>
      </c>
      <c r="U10" s="7" t="s">
        <v>752</v>
      </c>
      <c r="V10" s="7" t="s">
        <v>753</v>
      </c>
      <c r="W10" s="7" t="s">
        <v>754</v>
      </c>
      <c r="X10" s="7" t="s">
        <v>755</v>
      </c>
      <c r="Y10" s="7" t="s">
        <v>756</v>
      </c>
      <c r="Z10" s="7" t="s">
        <v>757</v>
      </c>
      <c r="AA10" s="7" t="s">
        <v>758</v>
      </c>
      <c r="AB10" s="7" t="s">
        <v>759</v>
      </c>
      <c r="AC10" s="7" t="s">
        <v>760</v>
      </c>
      <c r="AD10" s="7" t="s">
        <v>761</v>
      </c>
      <c r="AE10" s="7" t="s">
        <v>762</v>
      </c>
      <c r="AF10" s="7" t="s">
        <v>763</v>
      </c>
      <c r="AG10" s="7" t="s">
        <v>764</v>
      </c>
      <c r="AH10" s="7" t="s">
        <v>765</v>
      </c>
      <c r="AI10" s="7" t="s">
        <v>766</v>
      </c>
      <c r="AJ10" s="7" t="s">
        <v>767</v>
      </c>
      <c r="AK10" s="7" t="s">
        <v>768</v>
      </c>
      <c r="AL10" s="7" t="s">
        <v>769</v>
      </c>
      <c r="AM10" s="7" t="s">
        <v>770</v>
      </c>
      <c r="AN10" s="7" t="s">
        <v>771</v>
      </c>
      <c r="AO10" s="7" t="s">
        <v>772</v>
      </c>
      <c r="AP10" s="7" t="s">
        <v>773</v>
      </c>
      <c r="AQ10" s="7" t="s">
        <v>774</v>
      </c>
      <c r="AR10" s="7" t="s">
        <v>775</v>
      </c>
      <c r="AS10" s="7" t="s">
        <v>776</v>
      </c>
      <c r="AT10" s="7" t="s">
        <v>777</v>
      </c>
      <c r="AU10" s="7" t="s">
        <v>778</v>
      </c>
      <c r="AV10" s="7" t="s">
        <v>779</v>
      </c>
      <c r="AW10" s="7" t="s">
        <v>780</v>
      </c>
      <c r="AX10" s="7" t="s">
        <v>781</v>
      </c>
      <c r="AY10" s="7" t="s">
        <v>782</v>
      </c>
      <c r="AZ10" s="7" t="s">
        <v>783</v>
      </c>
      <c r="BA10" s="7" t="s">
        <v>784</v>
      </c>
      <c r="BB10" s="7" t="s">
        <v>785</v>
      </c>
      <c r="BC10" s="7" t="s">
        <v>786</v>
      </c>
      <c r="BD10" s="7" t="s">
        <v>787</v>
      </c>
      <c r="BE10" s="7" t="s">
        <v>788</v>
      </c>
      <c r="BF10" s="7" t="s">
        <v>789</v>
      </c>
      <c r="BG10" s="7" t="s">
        <v>790</v>
      </c>
      <c r="BH10" s="7" t="s">
        <v>791</v>
      </c>
      <c r="BI10" s="7" t="s">
        <v>792</v>
      </c>
      <c r="BJ10" s="7" t="s">
        <v>793</v>
      </c>
      <c r="BK10" s="7" t="s">
        <v>794</v>
      </c>
      <c r="BL10" s="7" t="s">
        <v>795</v>
      </c>
      <c r="BM10" s="7" t="s">
        <v>796</v>
      </c>
      <c r="BN10" s="7" t="s">
        <v>797</v>
      </c>
      <c r="BO10" s="7" t="s">
        <v>798</v>
      </c>
      <c r="BP10" s="7" t="s">
        <v>799</v>
      </c>
      <c r="BQ10" s="7" t="s">
        <v>800</v>
      </c>
      <c r="BR10" s="7" t="s">
        <v>801</v>
      </c>
      <c r="BS10" s="7" t="s">
        <v>802</v>
      </c>
      <c r="BT10" s="7" t="s">
        <v>803</v>
      </c>
      <c r="BU10" s="7" t="s">
        <v>804</v>
      </c>
      <c r="BV10" s="7" t="s">
        <v>805</v>
      </c>
      <c r="BW10" s="7" t="s">
        <v>806</v>
      </c>
      <c r="BX10" s="7" t="s">
        <v>807</v>
      </c>
      <c r="BY10" s="7" t="s">
        <v>808</v>
      </c>
      <c r="BZ10" s="7" t="s">
        <v>809</v>
      </c>
      <c r="CA10" s="7" t="s">
        <v>810</v>
      </c>
      <c r="CB10" s="7" t="s">
        <v>811</v>
      </c>
      <c r="CC10" s="7" t="s">
        <v>812</v>
      </c>
      <c r="CD10" s="7" t="s">
        <v>813</v>
      </c>
      <c r="CE10" s="7" t="s">
        <v>814</v>
      </c>
      <c r="CF10" s="7" t="s">
        <v>815</v>
      </c>
      <c r="CG10" s="7" t="s">
        <v>816</v>
      </c>
      <c r="CH10" s="7" t="s">
        <v>817</v>
      </c>
      <c r="CI10" s="7" t="s">
        <v>818</v>
      </c>
      <c r="CJ10" s="7" t="s">
        <v>819</v>
      </c>
      <c r="CK10" s="7" t="s">
        <v>820</v>
      </c>
      <c r="CL10" s="7" t="s">
        <v>821</v>
      </c>
      <c r="CM10" s="7" t="s">
        <v>822</v>
      </c>
      <c r="CN10" s="7" t="s">
        <v>823</v>
      </c>
      <c r="CO10" s="7" t="s">
        <v>824</v>
      </c>
      <c r="CP10" s="7" t="s">
        <v>825</v>
      </c>
      <c r="CQ10" s="7" t="s">
        <v>826</v>
      </c>
      <c r="CR10" s="7" t="s">
        <v>827</v>
      </c>
      <c r="CS10" s="7" t="s">
        <v>828</v>
      </c>
      <c r="CT10" s="7" t="s">
        <v>829</v>
      </c>
      <c r="CU10" s="7" t="s">
        <v>830</v>
      </c>
      <c r="CV10" s="7" t="s">
        <v>831</v>
      </c>
      <c r="CW10" s="7" t="s">
        <v>832</v>
      </c>
      <c r="CX10" s="7" t="s">
        <v>833</v>
      </c>
      <c r="CY10" s="7" t="s">
        <v>834</v>
      </c>
      <c r="CZ10" s="7" t="s">
        <v>835</v>
      </c>
      <c r="DA10" s="7" t="s">
        <v>836</v>
      </c>
      <c r="DB10" s="7" t="s">
        <v>837</v>
      </c>
      <c r="DC10" s="7" t="s">
        <v>838</v>
      </c>
      <c r="DD10" s="7" t="s">
        <v>839</v>
      </c>
      <c r="DE10" s="7" t="s">
        <v>840</v>
      </c>
      <c r="DF10" s="7" t="s">
        <v>841</v>
      </c>
      <c r="DG10" s="7" t="s">
        <v>842</v>
      </c>
      <c r="DH10" s="7" t="s">
        <v>843</v>
      </c>
      <c r="DI10" s="7" t="s">
        <v>844</v>
      </c>
      <c r="DJ10" s="7" t="s">
        <v>845</v>
      </c>
      <c r="DK10" s="7" t="s">
        <v>846</v>
      </c>
      <c r="DL10" s="7" t="s">
        <v>847</v>
      </c>
      <c r="DM10" s="7" t="s">
        <v>848</v>
      </c>
      <c r="DN10" s="7" t="s">
        <v>849</v>
      </c>
      <c r="DO10" s="7" t="s">
        <v>850</v>
      </c>
      <c r="DP10" s="7" t="s">
        <v>851</v>
      </c>
      <c r="DQ10" s="7" t="s">
        <v>852</v>
      </c>
      <c r="DR10" s="7" t="s">
        <v>853</v>
      </c>
      <c r="DS10" s="7" t="s">
        <v>854</v>
      </c>
      <c r="DT10" s="7" t="s">
        <v>855</v>
      </c>
      <c r="DU10" s="7" t="s">
        <v>856</v>
      </c>
      <c r="DV10" s="7" t="s">
        <v>857</v>
      </c>
      <c r="DW10" s="7" t="s">
        <v>858</v>
      </c>
      <c r="DX10" s="7" t="s">
        <v>859</v>
      </c>
      <c r="DY10" s="7" t="s">
        <v>860</v>
      </c>
      <c r="DZ10" s="7" t="s">
        <v>861</v>
      </c>
      <c r="EA10" s="7" t="s">
        <v>862</v>
      </c>
      <c r="EB10" s="7" t="s">
        <v>863</v>
      </c>
      <c r="EC10" s="7" t="s">
        <v>864</v>
      </c>
      <c r="ED10" s="7" t="s">
        <v>865</v>
      </c>
      <c r="EE10" s="7" t="s">
        <v>866</v>
      </c>
      <c r="EF10" s="7" t="s">
        <v>867</v>
      </c>
      <c r="EG10" s="7" t="s">
        <v>868</v>
      </c>
      <c r="EH10" s="7" t="s">
        <v>869</v>
      </c>
      <c r="EI10" s="7" t="s">
        <v>870</v>
      </c>
      <c r="EJ10" s="7" t="s">
        <v>871</v>
      </c>
      <c r="EK10" s="7" t="s">
        <v>872</v>
      </c>
      <c r="EL10" s="7" t="s">
        <v>873</v>
      </c>
      <c r="EM10" s="7" t="s">
        <v>874</v>
      </c>
      <c r="EN10" s="7" t="s">
        <v>875</v>
      </c>
      <c r="EO10" s="7" t="s">
        <v>876</v>
      </c>
      <c r="EP10" s="7" t="s">
        <v>877</v>
      </c>
      <c r="EQ10" s="7" t="s">
        <v>878</v>
      </c>
      <c r="ER10" s="7" t="s">
        <v>879</v>
      </c>
      <c r="ES10" s="7" t="s">
        <v>880</v>
      </c>
      <c r="ET10" s="7" t="s">
        <v>881</v>
      </c>
      <c r="EU10" s="7" t="s">
        <v>882</v>
      </c>
      <c r="EV10" s="7" t="s">
        <v>883</v>
      </c>
      <c r="EW10" s="7" t="s">
        <v>884</v>
      </c>
      <c r="EX10" s="7" t="s">
        <v>885</v>
      </c>
      <c r="EY10" s="7" t="s">
        <v>886</v>
      </c>
      <c r="EZ10" s="7" t="s">
        <v>887</v>
      </c>
      <c r="FA10" s="7" t="s">
        <v>888</v>
      </c>
      <c r="FB10" s="7" t="s">
        <v>889</v>
      </c>
      <c r="FC10" s="7" t="s">
        <v>890</v>
      </c>
      <c r="FD10" s="7" t="s">
        <v>891</v>
      </c>
      <c r="FE10" s="7" t="s">
        <v>892</v>
      </c>
      <c r="FF10" s="7" t="s">
        <v>893</v>
      </c>
      <c r="FG10" s="7" t="s">
        <v>894</v>
      </c>
      <c r="FH10" s="7" t="s">
        <v>895</v>
      </c>
      <c r="FI10" s="7" t="s">
        <v>896</v>
      </c>
      <c r="FJ10" s="7" t="s">
        <v>897</v>
      </c>
      <c r="FK10" s="7" t="s">
        <v>898</v>
      </c>
      <c r="FL10" s="7" t="s">
        <v>899</v>
      </c>
      <c r="FM10" s="7" t="s">
        <v>900</v>
      </c>
      <c r="FN10" s="7" t="s">
        <v>901</v>
      </c>
      <c r="FO10" s="7" t="s">
        <v>902</v>
      </c>
      <c r="FP10" s="7" t="s">
        <v>903</v>
      </c>
      <c r="FQ10" s="7" t="s">
        <v>904</v>
      </c>
      <c r="FR10" s="7" t="s">
        <v>905</v>
      </c>
      <c r="FS10" s="7" t="s">
        <v>906</v>
      </c>
      <c r="FT10" s="7" t="s">
        <v>907</v>
      </c>
      <c r="FU10" s="7" t="s">
        <v>908</v>
      </c>
      <c r="FV10" s="7" t="s">
        <v>909</v>
      </c>
      <c r="FW10" s="7" t="s">
        <v>910</v>
      </c>
      <c r="FX10" s="7" t="s">
        <v>911</v>
      </c>
      <c r="FY10" s="7" t="s">
        <v>912</v>
      </c>
      <c r="FZ10" s="7" t="s">
        <v>913</v>
      </c>
      <c r="GA10" s="7" t="s">
        <v>914</v>
      </c>
      <c r="GB10" s="7" t="s">
        <v>915</v>
      </c>
      <c r="GC10" s="7" t="s">
        <v>916</v>
      </c>
      <c r="GD10" s="7" t="s">
        <v>917</v>
      </c>
      <c r="GE10" s="7" t="s">
        <v>918</v>
      </c>
      <c r="GF10" s="7" t="s">
        <v>919</v>
      </c>
      <c r="GG10" s="7" t="s">
        <v>920</v>
      </c>
      <c r="GH10" s="7" t="s">
        <v>921</v>
      </c>
      <c r="GI10" s="7" t="s">
        <v>922</v>
      </c>
      <c r="GJ10" s="7" t="s">
        <v>923</v>
      </c>
      <c r="GK10" s="7" t="s">
        <v>924</v>
      </c>
      <c r="GL10" s="7" t="s">
        <v>925</v>
      </c>
      <c r="GM10" s="7" t="s">
        <v>926</v>
      </c>
      <c r="GN10" s="7" t="s">
        <v>927</v>
      </c>
      <c r="GO10" s="7" t="s">
        <v>928</v>
      </c>
      <c r="GP10" s="7" t="s">
        <v>929</v>
      </c>
      <c r="GQ10" s="7" t="s">
        <v>930</v>
      </c>
      <c r="GR10" s="7" t="s">
        <v>931</v>
      </c>
      <c r="GS10" s="7" t="s">
        <v>932</v>
      </c>
      <c r="GT10" s="7" t="s">
        <v>933</v>
      </c>
      <c r="GU10" s="7" t="s">
        <v>934</v>
      </c>
      <c r="GV10" s="7" t="s">
        <v>935</v>
      </c>
      <c r="GW10" s="7" t="s">
        <v>936</v>
      </c>
      <c r="GX10" s="7" t="s">
        <v>937</v>
      </c>
      <c r="GY10" s="7" t="s">
        <v>938</v>
      </c>
      <c r="GZ10" s="7" t="s">
        <v>939</v>
      </c>
      <c r="HA10" s="7" t="s">
        <v>940</v>
      </c>
      <c r="HB10" s="7" t="s">
        <v>941</v>
      </c>
      <c r="HC10" s="7" t="s">
        <v>942</v>
      </c>
      <c r="HD10" s="7" t="s">
        <v>943</v>
      </c>
      <c r="HE10" s="7" t="s">
        <v>944</v>
      </c>
      <c r="HF10" s="7" t="s">
        <v>945</v>
      </c>
      <c r="HG10" s="7" t="s">
        <v>946</v>
      </c>
      <c r="HH10" s="7" t="s">
        <v>947</v>
      </c>
      <c r="HI10" s="7" t="s">
        <v>948</v>
      </c>
      <c r="HJ10" s="7" t="s">
        <v>949</v>
      </c>
      <c r="HK10" s="7" t="s">
        <v>950</v>
      </c>
      <c r="HL10" s="7" t="s">
        <v>951</v>
      </c>
      <c r="HM10" s="7" t="s">
        <v>952</v>
      </c>
      <c r="HN10" s="7" t="s">
        <v>953</v>
      </c>
      <c r="HO10" s="7" t="s">
        <v>954</v>
      </c>
      <c r="HP10" s="7" t="s">
        <v>955</v>
      </c>
      <c r="HQ10" s="7" t="s">
        <v>956</v>
      </c>
      <c r="HR10" s="7" t="s">
        <v>957</v>
      </c>
      <c r="HS10" s="7" t="s">
        <v>958</v>
      </c>
      <c r="HT10" s="7" t="s">
        <v>959</v>
      </c>
      <c r="HU10" s="7" t="s">
        <v>960</v>
      </c>
      <c r="HV10" s="7" t="s">
        <v>961</v>
      </c>
      <c r="HW10" s="7" t="s">
        <v>962</v>
      </c>
      <c r="HX10" s="7" t="s">
        <v>963</v>
      </c>
      <c r="HY10" s="7" t="s">
        <v>964</v>
      </c>
      <c r="HZ10" s="7" t="s">
        <v>965</v>
      </c>
      <c r="IA10" s="7" t="s">
        <v>966</v>
      </c>
      <c r="IB10" s="7" t="s">
        <v>967</v>
      </c>
      <c r="IC10" s="7" t="s">
        <v>968</v>
      </c>
      <c r="ID10" s="7" t="s">
        <v>969</v>
      </c>
      <c r="IE10" s="7" t="s">
        <v>970</v>
      </c>
      <c r="IF10" s="7" t="s">
        <v>971</v>
      </c>
      <c r="IG10" s="7" t="s">
        <v>972</v>
      </c>
      <c r="IH10" s="7" t="s">
        <v>973</v>
      </c>
      <c r="II10" s="7" t="s">
        <v>974</v>
      </c>
      <c r="IJ10" s="7" t="s">
        <v>975</v>
      </c>
      <c r="IK10" s="7" t="s">
        <v>976</v>
      </c>
      <c r="IL10" s="7" t="s">
        <v>977</v>
      </c>
      <c r="IM10" s="7" t="s">
        <v>978</v>
      </c>
      <c r="IN10" s="7" t="s">
        <v>979</v>
      </c>
      <c r="IO10" s="7" t="s">
        <v>980</v>
      </c>
      <c r="IP10" s="7" t="s">
        <v>981</v>
      </c>
      <c r="IQ10" s="7" t="s">
        <v>982</v>
      </c>
    </row>
    <row r="11" spans="1:251" x14ac:dyDescent="0.2">
      <c r="A11" s="9">
        <v>42979</v>
      </c>
      <c r="H11" s="8">
        <v>73.06</v>
      </c>
      <c r="I11" s="8">
        <v>74.180000000000007</v>
      </c>
      <c r="M11" s="8">
        <v>82.43</v>
      </c>
      <c r="N11" s="8">
        <v>96.97</v>
      </c>
      <c r="O11" s="8">
        <v>81.27</v>
      </c>
      <c r="R11" s="8">
        <v>72.92</v>
      </c>
      <c r="S11" s="8">
        <v>71.849999999999994</v>
      </c>
      <c r="T11" s="8">
        <v>73.62</v>
      </c>
      <c r="U11" s="8">
        <v>72.36</v>
      </c>
      <c r="V11" s="8">
        <v>75.87</v>
      </c>
      <c r="W11" s="8">
        <v>75.19</v>
      </c>
      <c r="X11" s="8">
        <v>68.599999999999994</v>
      </c>
      <c r="Y11" s="8">
        <v>76.59</v>
      </c>
      <c r="Z11" s="8">
        <v>68.78</v>
      </c>
      <c r="AA11" s="8">
        <v>80.290000000000006</v>
      </c>
      <c r="AB11" s="8">
        <v>78.209999999999994</v>
      </c>
      <c r="AC11" s="8">
        <v>77.64</v>
      </c>
      <c r="AD11" s="8">
        <v>72.19</v>
      </c>
      <c r="AE11" s="8">
        <v>71.86</v>
      </c>
      <c r="AF11" s="8">
        <v>71.180000000000007</v>
      </c>
      <c r="AG11" s="8">
        <v>73.349999999999994</v>
      </c>
      <c r="AH11" s="8">
        <v>72.739999999999995</v>
      </c>
      <c r="AI11" s="8">
        <v>69.03</v>
      </c>
      <c r="AJ11" s="8">
        <v>75.84</v>
      </c>
      <c r="AK11" s="8">
        <v>73.81</v>
      </c>
      <c r="AL11" s="8">
        <v>62.52</v>
      </c>
      <c r="AM11" s="8">
        <v>80.41</v>
      </c>
      <c r="AN11" s="8">
        <v>80.55</v>
      </c>
      <c r="AO11" s="8">
        <v>64.489999999999995</v>
      </c>
      <c r="AP11" s="8">
        <v>72.22</v>
      </c>
      <c r="AQ11" s="8">
        <v>77.900000000000006</v>
      </c>
      <c r="AR11" s="8">
        <v>72.459999999999994</v>
      </c>
      <c r="AS11" s="8">
        <v>69.81</v>
      </c>
      <c r="AT11" s="8">
        <v>73.11</v>
      </c>
      <c r="AZ11" s="8">
        <v>75.88</v>
      </c>
      <c r="BB11" s="8">
        <v>76.42</v>
      </c>
      <c r="BC11" s="8">
        <v>41.51</v>
      </c>
      <c r="BD11" s="8">
        <v>41.51</v>
      </c>
      <c r="BT11" s="8">
        <v>65.56</v>
      </c>
      <c r="BU11" s="8">
        <v>65.56</v>
      </c>
      <c r="BX11" s="8">
        <v>70.33</v>
      </c>
      <c r="CN11" s="8">
        <v>83.94</v>
      </c>
      <c r="CO11" s="8">
        <v>80.06</v>
      </c>
      <c r="CP11" s="8">
        <v>86.49</v>
      </c>
      <c r="CQ11" s="8">
        <v>83.16</v>
      </c>
      <c r="DG11" s="8">
        <v>67.84</v>
      </c>
      <c r="DW11" s="8">
        <v>74.150000000000006</v>
      </c>
      <c r="DX11" s="8">
        <v>66.430000000000007</v>
      </c>
      <c r="DY11" s="8">
        <v>65.17</v>
      </c>
      <c r="EC11" s="8">
        <v>73.680000000000007</v>
      </c>
      <c r="EJ11" s="8">
        <v>69.31</v>
      </c>
      <c r="EK11" s="8">
        <v>74.52</v>
      </c>
      <c r="EO11" s="8">
        <v>79.180000000000007</v>
      </c>
      <c r="EP11" s="8">
        <v>96.97</v>
      </c>
      <c r="EQ11" s="8">
        <v>75.88</v>
      </c>
      <c r="ET11" s="8">
        <v>73.48</v>
      </c>
      <c r="EU11" s="8">
        <v>72.239999999999995</v>
      </c>
      <c r="EV11" s="8">
        <v>74.19</v>
      </c>
      <c r="EW11" s="8">
        <v>73.849999999999994</v>
      </c>
      <c r="EX11" s="8">
        <v>75.69</v>
      </c>
      <c r="EY11" s="8">
        <v>72.75</v>
      </c>
      <c r="EZ11" s="8">
        <v>66.47</v>
      </c>
      <c r="FA11" s="8">
        <v>73.59</v>
      </c>
      <c r="FB11" s="8">
        <v>67.64</v>
      </c>
      <c r="FC11" s="8">
        <v>78.709999999999994</v>
      </c>
      <c r="FD11" s="8">
        <v>73.94</v>
      </c>
      <c r="FE11" s="8">
        <v>75.180000000000007</v>
      </c>
      <c r="FF11" s="8">
        <v>70.709999999999994</v>
      </c>
      <c r="FG11" s="8">
        <v>70.58</v>
      </c>
      <c r="FH11" s="8">
        <v>68.59</v>
      </c>
      <c r="FI11" s="8">
        <v>73.02</v>
      </c>
      <c r="FJ11" s="8">
        <v>70.38</v>
      </c>
      <c r="FK11" s="8">
        <v>66.5</v>
      </c>
      <c r="FL11" s="8">
        <v>73.38</v>
      </c>
      <c r="FM11" s="8">
        <v>73.89</v>
      </c>
      <c r="FN11" s="8">
        <v>64.180000000000007</v>
      </c>
      <c r="FO11" s="8">
        <v>80.59</v>
      </c>
      <c r="FP11" s="8">
        <v>80.41</v>
      </c>
      <c r="FQ11" s="8">
        <v>64.34</v>
      </c>
      <c r="FR11" s="8">
        <v>72.64</v>
      </c>
      <c r="FS11" s="8">
        <v>77.19</v>
      </c>
      <c r="FT11" s="8">
        <v>75.760000000000005</v>
      </c>
      <c r="FU11" s="8">
        <v>70.09</v>
      </c>
      <c r="FV11" s="8">
        <v>77.599999999999994</v>
      </c>
      <c r="GB11" s="8">
        <v>74.680000000000007</v>
      </c>
      <c r="GD11" s="8">
        <v>78.97</v>
      </c>
      <c r="GE11" s="8">
        <v>41.1</v>
      </c>
      <c r="GF11" s="8">
        <v>41.1</v>
      </c>
      <c r="GV11" s="8">
        <v>62.74</v>
      </c>
      <c r="GW11" s="8">
        <v>62.74</v>
      </c>
      <c r="GZ11" s="8">
        <v>80.709999999999994</v>
      </c>
      <c r="HP11" s="8">
        <v>81.739999999999995</v>
      </c>
      <c r="HQ11" s="8">
        <v>79.849999999999994</v>
      </c>
      <c r="HR11" s="8">
        <v>87.81</v>
      </c>
      <c r="HS11" s="8">
        <v>78.319999999999993</v>
      </c>
      <c r="II11" s="8">
        <v>71.930000000000007</v>
      </c>
    </row>
    <row r="12" spans="1:251" x14ac:dyDescent="0.2">
      <c r="A12" s="9">
        <v>43009</v>
      </c>
      <c r="H12" s="8">
        <v>73.06</v>
      </c>
      <c r="I12" s="8">
        <v>74.180000000000007</v>
      </c>
      <c r="M12" s="8">
        <v>82.21</v>
      </c>
      <c r="N12" s="8">
        <v>94.3</v>
      </c>
      <c r="O12" s="8">
        <v>81.27</v>
      </c>
      <c r="R12" s="8">
        <v>73.62</v>
      </c>
      <c r="S12" s="8">
        <v>72.86</v>
      </c>
      <c r="T12" s="8">
        <v>74.400000000000006</v>
      </c>
      <c r="U12" s="8">
        <v>71.34</v>
      </c>
      <c r="V12" s="8">
        <v>76.650000000000006</v>
      </c>
      <c r="W12" s="8">
        <v>75.39</v>
      </c>
      <c r="X12" s="8">
        <v>68.77</v>
      </c>
      <c r="Y12" s="8">
        <v>76.81</v>
      </c>
      <c r="Z12" s="8">
        <v>69.17</v>
      </c>
      <c r="AA12" s="8">
        <v>80.34</v>
      </c>
      <c r="AB12" s="8">
        <v>77.69</v>
      </c>
      <c r="AC12" s="8">
        <v>78.75</v>
      </c>
      <c r="AD12" s="8">
        <v>72.650000000000006</v>
      </c>
      <c r="AE12" s="8">
        <v>72</v>
      </c>
      <c r="AF12" s="8">
        <v>72.11</v>
      </c>
      <c r="AG12" s="8">
        <v>73.81</v>
      </c>
      <c r="AH12" s="8">
        <v>77.72</v>
      </c>
      <c r="AI12" s="8">
        <v>77.55</v>
      </c>
      <c r="AJ12" s="8">
        <v>77.33</v>
      </c>
      <c r="AK12" s="8">
        <v>74.02</v>
      </c>
      <c r="AL12" s="8">
        <v>62.48</v>
      </c>
      <c r="AM12" s="8">
        <v>80.72</v>
      </c>
      <c r="AN12" s="8">
        <v>81.14</v>
      </c>
      <c r="AO12" s="8">
        <v>65.38</v>
      </c>
      <c r="AP12" s="8">
        <v>72.27</v>
      </c>
      <c r="AQ12" s="8">
        <v>78.02</v>
      </c>
      <c r="AR12" s="8">
        <v>72.680000000000007</v>
      </c>
      <c r="AS12" s="8">
        <v>70.25</v>
      </c>
      <c r="AT12" s="8">
        <v>73.27</v>
      </c>
      <c r="AZ12" s="8">
        <v>76.48</v>
      </c>
      <c r="BB12" s="8">
        <v>76.52</v>
      </c>
      <c r="BC12" s="8">
        <v>43.09</v>
      </c>
      <c r="BD12" s="8">
        <v>43.09</v>
      </c>
      <c r="BT12" s="8">
        <v>65.5</v>
      </c>
      <c r="BU12" s="8">
        <v>65.5</v>
      </c>
      <c r="BX12" s="8">
        <v>70.33</v>
      </c>
      <c r="CN12" s="8">
        <v>83.09</v>
      </c>
      <c r="CO12" s="8">
        <v>80.459999999999994</v>
      </c>
      <c r="CP12" s="8">
        <v>84.51</v>
      </c>
      <c r="CQ12" s="8">
        <v>82.8</v>
      </c>
      <c r="DG12" s="8">
        <v>70.349999999999994</v>
      </c>
      <c r="DW12" s="8">
        <v>73.510000000000005</v>
      </c>
      <c r="DX12" s="8">
        <v>68.599999999999994</v>
      </c>
      <c r="DY12" s="8">
        <v>62.13</v>
      </c>
      <c r="EC12" s="8">
        <v>72.650000000000006</v>
      </c>
      <c r="EJ12" s="8">
        <v>69.31</v>
      </c>
      <c r="EK12" s="8">
        <v>74.52</v>
      </c>
      <c r="EO12" s="8">
        <v>78.73</v>
      </c>
      <c r="EP12" s="8">
        <v>94.3</v>
      </c>
      <c r="EQ12" s="8">
        <v>75.88</v>
      </c>
      <c r="ET12" s="8">
        <v>73.92</v>
      </c>
      <c r="EU12" s="8">
        <v>72.930000000000007</v>
      </c>
      <c r="EV12" s="8">
        <v>74.58</v>
      </c>
      <c r="EW12" s="8">
        <v>72.88</v>
      </c>
      <c r="EX12" s="8">
        <v>76.63</v>
      </c>
      <c r="EY12" s="8">
        <v>72.819999999999993</v>
      </c>
      <c r="EZ12" s="8">
        <v>66.48</v>
      </c>
      <c r="FA12" s="8">
        <v>73.3</v>
      </c>
      <c r="FB12" s="8">
        <v>67.8</v>
      </c>
      <c r="FC12" s="8">
        <v>78.67</v>
      </c>
      <c r="FD12" s="8">
        <v>73.790000000000006</v>
      </c>
      <c r="FE12" s="8">
        <v>76.22</v>
      </c>
      <c r="FF12" s="8">
        <v>71.19</v>
      </c>
      <c r="FG12" s="8">
        <v>70.739999999999995</v>
      </c>
      <c r="FH12" s="8">
        <v>69.41</v>
      </c>
      <c r="FI12" s="8">
        <v>73.540000000000006</v>
      </c>
      <c r="FJ12" s="8">
        <v>73.459999999999994</v>
      </c>
      <c r="FK12" s="8">
        <v>73.3</v>
      </c>
      <c r="FL12" s="8">
        <v>73.22</v>
      </c>
      <c r="FM12" s="8">
        <v>74.069999999999993</v>
      </c>
      <c r="FN12" s="8">
        <v>64.39</v>
      </c>
      <c r="FO12" s="8">
        <v>80.91</v>
      </c>
      <c r="FP12" s="8">
        <v>80.89</v>
      </c>
      <c r="FQ12" s="8">
        <v>64.88</v>
      </c>
      <c r="FR12" s="8">
        <v>72.66</v>
      </c>
      <c r="FS12" s="8">
        <v>77.37</v>
      </c>
      <c r="FT12" s="8">
        <v>75.87</v>
      </c>
      <c r="FU12" s="8">
        <v>70.58</v>
      </c>
      <c r="FV12" s="8">
        <v>77.569999999999993</v>
      </c>
      <c r="GB12" s="8">
        <v>75.56</v>
      </c>
      <c r="GD12" s="8">
        <v>79.5</v>
      </c>
      <c r="GE12" s="8">
        <v>42.19</v>
      </c>
      <c r="GF12" s="8">
        <v>42.19</v>
      </c>
      <c r="GV12" s="8">
        <v>62.71</v>
      </c>
      <c r="GW12" s="8">
        <v>62.71</v>
      </c>
      <c r="GZ12" s="8">
        <v>80.709999999999994</v>
      </c>
      <c r="HP12" s="8">
        <v>81.05</v>
      </c>
      <c r="HQ12" s="8">
        <v>80.489999999999995</v>
      </c>
      <c r="HR12" s="8">
        <v>86.17</v>
      </c>
      <c r="HS12" s="8">
        <v>78.06</v>
      </c>
      <c r="II12" s="8">
        <v>71.84</v>
      </c>
    </row>
    <row r="13" spans="1:251" x14ac:dyDescent="0.2">
      <c r="A13" s="9">
        <v>43040</v>
      </c>
      <c r="H13" s="8">
        <v>73.06</v>
      </c>
      <c r="I13" s="8">
        <v>74.180000000000007</v>
      </c>
      <c r="M13" s="8">
        <v>82.21</v>
      </c>
      <c r="N13" s="8">
        <v>94.32</v>
      </c>
      <c r="O13" s="8">
        <v>81.27</v>
      </c>
      <c r="R13" s="8">
        <v>73.92</v>
      </c>
      <c r="S13" s="8">
        <v>73.11</v>
      </c>
      <c r="T13" s="8">
        <v>74.61</v>
      </c>
      <c r="U13" s="8">
        <v>72.819999999999993</v>
      </c>
      <c r="V13" s="8">
        <v>76.28</v>
      </c>
      <c r="W13" s="8">
        <v>75.72</v>
      </c>
      <c r="X13" s="8">
        <v>68.38</v>
      </c>
      <c r="Y13" s="8">
        <v>76.84</v>
      </c>
      <c r="Z13" s="8">
        <v>69.760000000000005</v>
      </c>
      <c r="AA13" s="8">
        <v>81.28</v>
      </c>
      <c r="AB13" s="8">
        <v>78.59</v>
      </c>
      <c r="AC13" s="8">
        <v>79.11</v>
      </c>
      <c r="AD13" s="8">
        <v>72.48</v>
      </c>
      <c r="AE13" s="8">
        <v>72.17</v>
      </c>
      <c r="AF13" s="8">
        <v>72.05</v>
      </c>
      <c r="AG13" s="8">
        <v>73.099999999999994</v>
      </c>
      <c r="AH13" s="8">
        <v>82.28</v>
      </c>
      <c r="AI13" s="8">
        <v>81.819999999999993</v>
      </c>
      <c r="AJ13" s="8">
        <v>82.14</v>
      </c>
      <c r="AK13" s="8">
        <v>74.14</v>
      </c>
      <c r="AL13" s="8">
        <v>62.68</v>
      </c>
      <c r="AM13" s="8">
        <v>80.31</v>
      </c>
      <c r="AN13" s="8">
        <v>81.47</v>
      </c>
      <c r="AO13" s="8">
        <v>66.28</v>
      </c>
      <c r="AP13" s="8">
        <v>71.84</v>
      </c>
      <c r="AQ13" s="8">
        <v>78.739999999999995</v>
      </c>
      <c r="AR13" s="8">
        <v>72.72</v>
      </c>
      <c r="AS13" s="8">
        <v>70.98</v>
      </c>
      <c r="AT13" s="8">
        <v>73.12</v>
      </c>
      <c r="AZ13" s="8">
        <v>76.7</v>
      </c>
      <c r="BB13" s="8">
        <v>76</v>
      </c>
      <c r="BC13" s="8">
        <v>43.27</v>
      </c>
      <c r="BD13" s="8">
        <v>43.27</v>
      </c>
      <c r="BT13" s="8">
        <v>66.48</v>
      </c>
      <c r="BU13" s="8">
        <v>66.48</v>
      </c>
      <c r="BX13" s="8">
        <v>70.33</v>
      </c>
      <c r="CN13" s="8">
        <v>83.33</v>
      </c>
      <c r="CO13" s="8">
        <v>79.34</v>
      </c>
      <c r="CP13" s="8">
        <v>85.17</v>
      </c>
      <c r="CQ13" s="8">
        <v>83.05</v>
      </c>
      <c r="DG13" s="8">
        <v>74.39</v>
      </c>
      <c r="DW13" s="8">
        <v>71.3</v>
      </c>
      <c r="DX13" s="8">
        <v>65.53</v>
      </c>
      <c r="DY13" s="8">
        <v>61.18</v>
      </c>
      <c r="EC13" s="8">
        <v>73.23</v>
      </c>
      <c r="EJ13" s="8">
        <v>69.31</v>
      </c>
      <c r="EK13" s="8">
        <v>74.52</v>
      </c>
      <c r="EO13" s="8">
        <v>78.739999999999995</v>
      </c>
      <c r="EP13" s="8">
        <v>94.32</v>
      </c>
      <c r="EQ13" s="8">
        <v>75.88</v>
      </c>
      <c r="ET13" s="8">
        <v>74.3</v>
      </c>
      <c r="EU13" s="8">
        <v>73.319999999999993</v>
      </c>
      <c r="EV13" s="8">
        <v>74.819999999999993</v>
      </c>
      <c r="EW13" s="8">
        <v>74.63</v>
      </c>
      <c r="EX13" s="8">
        <v>76.430000000000007</v>
      </c>
      <c r="EY13" s="8">
        <v>73.23</v>
      </c>
      <c r="EZ13" s="8">
        <v>66.709999999999994</v>
      </c>
      <c r="FA13" s="8">
        <v>73.760000000000005</v>
      </c>
      <c r="FB13" s="8">
        <v>68.040000000000006</v>
      </c>
      <c r="FC13" s="8">
        <v>78.98</v>
      </c>
      <c r="FD13" s="8">
        <v>74.48</v>
      </c>
      <c r="FE13" s="8">
        <v>76.72</v>
      </c>
      <c r="FF13" s="8">
        <v>71.23</v>
      </c>
      <c r="FG13" s="8">
        <v>71.13</v>
      </c>
      <c r="FH13" s="8">
        <v>69.53</v>
      </c>
      <c r="FI13" s="8">
        <v>73.06</v>
      </c>
      <c r="FJ13" s="8">
        <v>76.09</v>
      </c>
      <c r="FK13" s="8">
        <v>76.56</v>
      </c>
      <c r="FL13" s="8">
        <v>75.28</v>
      </c>
      <c r="FM13" s="8">
        <v>74.209999999999994</v>
      </c>
      <c r="FN13" s="8">
        <v>64.06</v>
      </c>
      <c r="FO13" s="8">
        <v>80.63</v>
      </c>
      <c r="FP13" s="8">
        <v>81.19</v>
      </c>
      <c r="FQ13" s="8">
        <v>65.56</v>
      </c>
      <c r="FR13" s="8">
        <v>72.39</v>
      </c>
      <c r="FS13" s="8">
        <v>78.14</v>
      </c>
      <c r="FT13" s="8">
        <v>76.17</v>
      </c>
      <c r="FU13" s="8">
        <v>71.260000000000005</v>
      </c>
      <c r="FV13" s="8">
        <v>77.73</v>
      </c>
      <c r="GB13" s="8">
        <v>75.89</v>
      </c>
      <c r="GD13" s="8">
        <v>79.56</v>
      </c>
      <c r="GE13" s="8">
        <v>42.33</v>
      </c>
      <c r="GF13" s="8">
        <v>42.33</v>
      </c>
      <c r="GV13" s="8">
        <v>62.71</v>
      </c>
      <c r="GW13" s="8">
        <v>62.71</v>
      </c>
      <c r="GZ13" s="8">
        <v>80.709999999999994</v>
      </c>
      <c r="HP13" s="8">
        <v>81.31</v>
      </c>
      <c r="HQ13" s="8">
        <v>79.33</v>
      </c>
      <c r="HR13" s="8">
        <v>86.57</v>
      </c>
      <c r="HS13" s="8">
        <v>78.459999999999994</v>
      </c>
      <c r="II13" s="8">
        <v>76.2</v>
      </c>
    </row>
    <row r="14" spans="1:251" x14ac:dyDescent="0.2">
      <c r="A14" s="9">
        <v>43070</v>
      </c>
      <c r="H14" s="8">
        <v>73.06</v>
      </c>
      <c r="I14" s="8">
        <v>74.180000000000007</v>
      </c>
      <c r="M14" s="8">
        <v>81.87</v>
      </c>
      <c r="N14" s="8">
        <v>93.49</v>
      </c>
      <c r="O14" s="8">
        <v>80.97</v>
      </c>
      <c r="R14" s="8">
        <v>74.5</v>
      </c>
      <c r="S14" s="8">
        <v>74.03</v>
      </c>
      <c r="T14" s="8">
        <v>74.05</v>
      </c>
      <c r="U14" s="8">
        <v>75.98</v>
      </c>
      <c r="V14" s="8">
        <v>78.55</v>
      </c>
      <c r="W14" s="8">
        <v>75.14</v>
      </c>
      <c r="X14" s="8">
        <v>67.77</v>
      </c>
      <c r="Y14" s="8">
        <v>76.75</v>
      </c>
      <c r="Z14" s="8">
        <v>68.59</v>
      </c>
      <c r="AA14" s="8">
        <v>80.58</v>
      </c>
      <c r="AB14" s="8">
        <v>78.349999999999994</v>
      </c>
      <c r="AC14" s="8">
        <v>78.16</v>
      </c>
      <c r="AD14" s="8">
        <v>73.260000000000005</v>
      </c>
      <c r="AE14" s="8">
        <v>72.790000000000006</v>
      </c>
      <c r="AF14" s="8">
        <v>72.41</v>
      </c>
      <c r="AG14" s="8">
        <v>74.45</v>
      </c>
      <c r="AH14" s="8">
        <v>82.48</v>
      </c>
      <c r="AI14" s="8">
        <v>82.61</v>
      </c>
      <c r="AJ14" s="8">
        <v>81.77</v>
      </c>
      <c r="AK14" s="8">
        <v>74.72</v>
      </c>
      <c r="AL14" s="8">
        <v>62.81</v>
      </c>
      <c r="AM14" s="8">
        <v>80.22</v>
      </c>
      <c r="AN14" s="8">
        <v>80.34</v>
      </c>
      <c r="AO14" s="8">
        <v>67.31</v>
      </c>
      <c r="AP14" s="8">
        <v>73.040000000000006</v>
      </c>
      <c r="AQ14" s="8">
        <v>79.209999999999994</v>
      </c>
      <c r="AR14" s="8">
        <v>71.72</v>
      </c>
      <c r="AS14" s="8">
        <v>70.61</v>
      </c>
      <c r="AT14" s="8">
        <v>71.95</v>
      </c>
      <c r="AZ14" s="8">
        <v>73.319999999999993</v>
      </c>
      <c r="BB14" s="8">
        <v>76.099999999999994</v>
      </c>
      <c r="BC14" s="8">
        <v>43.46</v>
      </c>
      <c r="BD14" s="8">
        <v>43.46</v>
      </c>
      <c r="BT14" s="8">
        <v>66.62</v>
      </c>
      <c r="BU14" s="8">
        <v>66.62</v>
      </c>
      <c r="BX14" s="8">
        <v>70.33</v>
      </c>
      <c r="CN14" s="8">
        <v>83.69</v>
      </c>
      <c r="CO14" s="8">
        <v>80.489999999999995</v>
      </c>
      <c r="CP14" s="8">
        <v>86.44</v>
      </c>
      <c r="CQ14" s="8">
        <v>82.63</v>
      </c>
      <c r="DG14" s="8">
        <v>75.52</v>
      </c>
      <c r="DW14" s="8">
        <v>80.36</v>
      </c>
      <c r="DX14" s="8">
        <v>72.5</v>
      </c>
      <c r="DY14" s="8">
        <v>70.17</v>
      </c>
      <c r="EC14" s="8">
        <v>72.989999999999995</v>
      </c>
      <c r="EJ14" s="8">
        <v>69.31</v>
      </c>
      <c r="EK14" s="8">
        <v>74.52</v>
      </c>
      <c r="EO14" s="8">
        <v>79.150000000000006</v>
      </c>
      <c r="EP14" s="8">
        <v>93.49</v>
      </c>
      <c r="EQ14" s="8">
        <v>76.540000000000006</v>
      </c>
      <c r="ET14" s="8">
        <v>74.709999999999994</v>
      </c>
      <c r="EU14" s="8">
        <v>73.69</v>
      </c>
      <c r="EV14" s="8">
        <v>74.52</v>
      </c>
      <c r="EW14" s="8">
        <v>77.12</v>
      </c>
      <c r="EX14" s="8">
        <v>78.290000000000006</v>
      </c>
      <c r="EY14" s="8">
        <v>72.86</v>
      </c>
      <c r="EZ14" s="8">
        <v>66.16</v>
      </c>
      <c r="FA14" s="8">
        <v>74.400000000000006</v>
      </c>
      <c r="FB14" s="8">
        <v>67.260000000000005</v>
      </c>
      <c r="FC14" s="8">
        <v>78.650000000000006</v>
      </c>
      <c r="FD14" s="8">
        <v>73.98</v>
      </c>
      <c r="FE14" s="8">
        <v>76.05</v>
      </c>
      <c r="FF14" s="8">
        <v>71.73</v>
      </c>
      <c r="FG14" s="8">
        <v>71.56</v>
      </c>
      <c r="FH14" s="8">
        <v>69.53</v>
      </c>
      <c r="FI14" s="8">
        <v>74.14</v>
      </c>
      <c r="FJ14" s="8">
        <v>76.040000000000006</v>
      </c>
      <c r="FK14" s="8">
        <v>77.599999999999994</v>
      </c>
      <c r="FL14" s="8">
        <v>74.290000000000006</v>
      </c>
      <c r="FM14" s="8">
        <v>74.91</v>
      </c>
      <c r="FN14" s="8">
        <v>63.24</v>
      </c>
      <c r="FO14" s="8">
        <v>80.52</v>
      </c>
      <c r="FP14" s="8">
        <v>80.83</v>
      </c>
      <c r="FQ14" s="8">
        <v>67.2</v>
      </c>
      <c r="FR14" s="8">
        <v>73.53</v>
      </c>
      <c r="FS14" s="8">
        <v>78.819999999999993</v>
      </c>
      <c r="FT14" s="8">
        <v>74.930000000000007</v>
      </c>
      <c r="FU14" s="8">
        <v>71.03</v>
      </c>
      <c r="FV14" s="8">
        <v>76.150000000000006</v>
      </c>
      <c r="GB14" s="8">
        <v>73.290000000000006</v>
      </c>
      <c r="GD14" s="8">
        <v>78.66</v>
      </c>
      <c r="GE14" s="8">
        <v>43.54</v>
      </c>
      <c r="GF14" s="8">
        <v>43.54</v>
      </c>
      <c r="GV14" s="8">
        <v>63.93</v>
      </c>
      <c r="GW14" s="8">
        <v>63.93</v>
      </c>
      <c r="GZ14" s="8">
        <v>80.709999999999994</v>
      </c>
      <c r="HP14" s="8">
        <v>81.760000000000005</v>
      </c>
      <c r="HQ14" s="8">
        <v>80.510000000000005</v>
      </c>
      <c r="HR14" s="8">
        <v>87.77</v>
      </c>
      <c r="HS14" s="8">
        <v>78.28</v>
      </c>
      <c r="II14" s="8">
        <v>78.39</v>
      </c>
    </row>
    <row r="15" spans="1:251" x14ac:dyDescent="0.2">
      <c r="A15" s="9">
        <v>43101</v>
      </c>
      <c r="H15" s="8">
        <v>73.06</v>
      </c>
      <c r="I15" s="8">
        <v>74.180000000000007</v>
      </c>
      <c r="M15" s="8">
        <v>81.87</v>
      </c>
      <c r="N15" s="8">
        <v>93.51</v>
      </c>
      <c r="O15" s="8">
        <v>80.97</v>
      </c>
      <c r="R15" s="8">
        <v>74.47</v>
      </c>
      <c r="S15" s="8">
        <v>73.81</v>
      </c>
      <c r="T15" s="8">
        <v>75.209999999999994</v>
      </c>
      <c r="U15" s="8">
        <v>72.64</v>
      </c>
      <c r="V15" s="8">
        <v>76.7</v>
      </c>
      <c r="W15" s="8">
        <v>75.819999999999993</v>
      </c>
      <c r="X15" s="8">
        <v>68.819999999999993</v>
      </c>
      <c r="Y15" s="8">
        <v>76.95</v>
      </c>
      <c r="Z15" s="8">
        <v>69.430000000000007</v>
      </c>
      <c r="AA15" s="8">
        <v>81.510000000000005</v>
      </c>
      <c r="AB15" s="8">
        <v>77.69</v>
      </c>
      <c r="AC15" s="8">
        <v>79.92</v>
      </c>
      <c r="AD15" s="8">
        <v>72.959999999999994</v>
      </c>
      <c r="AE15" s="8">
        <v>72.040000000000006</v>
      </c>
      <c r="AF15" s="8">
        <v>72.52</v>
      </c>
      <c r="AG15" s="8">
        <v>74.38</v>
      </c>
      <c r="AH15" s="8">
        <v>81.67</v>
      </c>
      <c r="AI15" s="8">
        <v>79.31</v>
      </c>
      <c r="AJ15" s="8">
        <v>83.37</v>
      </c>
      <c r="AK15" s="8">
        <v>74.78</v>
      </c>
      <c r="AL15" s="8">
        <v>62.13</v>
      </c>
      <c r="AM15" s="8">
        <v>80.27</v>
      </c>
      <c r="AN15" s="8">
        <v>82.01</v>
      </c>
      <c r="AO15" s="8">
        <v>66.58</v>
      </c>
      <c r="AP15" s="8">
        <v>73.239999999999995</v>
      </c>
      <c r="AQ15" s="8">
        <v>78.77</v>
      </c>
      <c r="AR15" s="8">
        <v>72.88</v>
      </c>
      <c r="AS15" s="8">
        <v>72.510000000000005</v>
      </c>
      <c r="AT15" s="8">
        <v>72.92</v>
      </c>
      <c r="AZ15" s="8">
        <v>77</v>
      </c>
      <c r="BB15" s="8">
        <v>78.13</v>
      </c>
      <c r="BC15" s="8">
        <v>43.62</v>
      </c>
      <c r="BD15" s="8">
        <v>43.62</v>
      </c>
      <c r="BT15" s="8">
        <v>66.510000000000005</v>
      </c>
      <c r="BU15" s="8">
        <v>66.510000000000005</v>
      </c>
      <c r="BX15" s="8">
        <v>70.33</v>
      </c>
      <c r="CN15" s="8">
        <v>83.95</v>
      </c>
      <c r="CO15" s="8">
        <v>79.09</v>
      </c>
      <c r="CP15" s="8">
        <v>86.75</v>
      </c>
      <c r="CQ15" s="8">
        <v>83.21</v>
      </c>
      <c r="DG15" s="8">
        <v>73.930000000000007</v>
      </c>
      <c r="DW15" s="8">
        <v>76.569999999999993</v>
      </c>
      <c r="DX15" s="8">
        <v>71.19</v>
      </c>
      <c r="DY15" s="8">
        <v>64.959999999999994</v>
      </c>
      <c r="EC15" s="8">
        <v>73.31</v>
      </c>
      <c r="EJ15" s="8">
        <v>69.31</v>
      </c>
      <c r="EK15" s="8">
        <v>74.52</v>
      </c>
      <c r="EO15" s="8">
        <v>79.16</v>
      </c>
      <c r="EP15" s="8">
        <v>93.51</v>
      </c>
      <c r="EQ15" s="8">
        <v>76.540000000000006</v>
      </c>
      <c r="ET15" s="8">
        <v>74.709999999999994</v>
      </c>
      <c r="EU15" s="8">
        <v>73.53</v>
      </c>
      <c r="EV15" s="8">
        <v>75.55</v>
      </c>
      <c r="EW15" s="8">
        <v>74.66</v>
      </c>
      <c r="EX15" s="8">
        <v>76.510000000000005</v>
      </c>
      <c r="EY15" s="8">
        <v>73.27</v>
      </c>
      <c r="EZ15" s="8">
        <v>66.959999999999994</v>
      </c>
      <c r="FA15" s="8">
        <v>74.09</v>
      </c>
      <c r="FB15" s="8">
        <v>67.28</v>
      </c>
      <c r="FC15" s="8">
        <v>79.53</v>
      </c>
      <c r="FD15" s="8">
        <v>73.86</v>
      </c>
      <c r="FE15" s="8">
        <v>76.98</v>
      </c>
      <c r="FF15" s="8">
        <v>71.650000000000006</v>
      </c>
      <c r="FG15" s="8">
        <v>71.14</v>
      </c>
      <c r="FH15" s="8">
        <v>69.66</v>
      </c>
      <c r="FI15" s="8">
        <v>74.28</v>
      </c>
      <c r="FJ15" s="8">
        <v>76.819999999999993</v>
      </c>
      <c r="FK15" s="8">
        <v>76.44</v>
      </c>
      <c r="FL15" s="8">
        <v>76.75</v>
      </c>
      <c r="FM15" s="8">
        <v>74.98</v>
      </c>
      <c r="FN15" s="8">
        <v>63.16</v>
      </c>
      <c r="FO15" s="8">
        <v>80.47</v>
      </c>
      <c r="FP15" s="8">
        <v>82.1</v>
      </c>
      <c r="FQ15" s="8">
        <v>66.63</v>
      </c>
      <c r="FR15" s="8">
        <v>73.540000000000006</v>
      </c>
      <c r="FS15" s="8">
        <v>78.69</v>
      </c>
      <c r="FT15" s="8">
        <v>76.239999999999995</v>
      </c>
      <c r="FU15" s="8">
        <v>72.73</v>
      </c>
      <c r="FV15" s="8">
        <v>77.319999999999993</v>
      </c>
      <c r="GB15" s="8">
        <v>75.849999999999994</v>
      </c>
      <c r="GD15" s="8">
        <v>79.98</v>
      </c>
      <c r="GE15" s="8">
        <v>43.64</v>
      </c>
      <c r="GF15" s="8">
        <v>43.64</v>
      </c>
      <c r="GV15" s="8">
        <v>64.19</v>
      </c>
      <c r="GW15" s="8">
        <v>64.19</v>
      </c>
      <c r="GZ15" s="8">
        <v>80.709999999999994</v>
      </c>
      <c r="HP15" s="8">
        <v>82.08</v>
      </c>
      <c r="HQ15" s="8">
        <v>79.33</v>
      </c>
      <c r="HR15" s="8">
        <v>88.05</v>
      </c>
      <c r="HS15" s="8">
        <v>78.87</v>
      </c>
      <c r="II15" s="8">
        <v>75.349999999999994</v>
      </c>
    </row>
    <row r="16" spans="1:251" x14ac:dyDescent="0.2">
      <c r="A16" s="9">
        <v>43132</v>
      </c>
      <c r="H16" s="8">
        <v>75.55</v>
      </c>
      <c r="I16" s="8">
        <v>74.89</v>
      </c>
      <c r="M16" s="8">
        <v>81.87</v>
      </c>
      <c r="N16" s="8">
        <v>93.53</v>
      </c>
      <c r="O16" s="8">
        <v>80.97</v>
      </c>
      <c r="R16" s="8">
        <v>73.67</v>
      </c>
      <c r="S16" s="8">
        <v>73.489999999999995</v>
      </c>
      <c r="T16" s="8">
        <v>74.040000000000006</v>
      </c>
      <c r="U16" s="8">
        <v>72.680000000000007</v>
      </c>
      <c r="V16" s="8">
        <v>74.69</v>
      </c>
      <c r="W16" s="8">
        <v>75.69</v>
      </c>
      <c r="X16" s="8">
        <v>68.83</v>
      </c>
      <c r="Y16" s="8">
        <v>77.41</v>
      </c>
      <c r="Z16" s="8">
        <v>69</v>
      </c>
      <c r="AA16" s="8">
        <v>81.569999999999993</v>
      </c>
      <c r="AB16" s="8">
        <v>77.78</v>
      </c>
      <c r="AC16" s="8">
        <v>78.510000000000005</v>
      </c>
      <c r="AD16" s="8">
        <v>72.790000000000006</v>
      </c>
      <c r="AE16" s="8">
        <v>71.959999999999994</v>
      </c>
      <c r="AF16" s="8">
        <v>72.680000000000007</v>
      </c>
      <c r="AG16" s="8">
        <v>73.8</v>
      </c>
      <c r="AH16" s="8">
        <v>82.71</v>
      </c>
      <c r="AI16" s="8">
        <v>80.69</v>
      </c>
      <c r="AJ16" s="8">
        <v>84.08</v>
      </c>
      <c r="AK16" s="8">
        <v>74.180000000000007</v>
      </c>
      <c r="AL16" s="8">
        <v>62.07</v>
      </c>
      <c r="AM16" s="8">
        <v>79.08</v>
      </c>
      <c r="AN16" s="8">
        <v>81.849999999999994</v>
      </c>
      <c r="AO16" s="8">
        <v>66.36</v>
      </c>
      <c r="AP16" s="8">
        <v>72.62</v>
      </c>
      <c r="AQ16" s="8">
        <v>77.89</v>
      </c>
      <c r="AR16" s="8">
        <v>72.540000000000006</v>
      </c>
      <c r="AS16" s="8">
        <v>70.61</v>
      </c>
      <c r="AT16" s="8">
        <v>73</v>
      </c>
      <c r="AZ16" s="8">
        <v>77.430000000000007</v>
      </c>
      <c r="BB16" s="8">
        <v>78.98</v>
      </c>
      <c r="BC16" s="8">
        <v>43.11</v>
      </c>
      <c r="BD16" s="8">
        <v>43.11</v>
      </c>
      <c r="BT16" s="8">
        <v>66.58</v>
      </c>
      <c r="BU16" s="8">
        <v>66.58</v>
      </c>
      <c r="BX16" s="8">
        <v>70.33</v>
      </c>
      <c r="CN16" s="8">
        <v>83.1</v>
      </c>
      <c r="CO16" s="8">
        <v>79.069999999999993</v>
      </c>
      <c r="CP16" s="8">
        <v>84.89</v>
      </c>
      <c r="CQ16" s="8">
        <v>82.86</v>
      </c>
      <c r="DG16" s="8">
        <v>73.599999999999994</v>
      </c>
      <c r="DW16" s="8">
        <v>71.900000000000006</v>
      </c>
      <c r="DX16" s="8">
        <v>66.3</v>
      </c>
      <c r="DY16" s="8">
        <v>61.49</v>
      </c>
      <c r="EC16" s="8">
        <v>72.459999999999994</v>
      </c>
      <c r="EJ16" s="8">
        <v>71.63</v>
      </c>
      <c r="EK16" s="8">
        <v>75.55</v>
      </c>
      <c r="EO16" s="8">
        <v>79.16</v>
      </c>
      <c r="EP16" s="8">
        <v>93.53</v>
      </c>
      <c r="EQ16" s="8">
        <v>76.540000000000006</v>
      </c>
      <c r="ET16" s="8">
        <v>73.97</v>
      </c>
      <c r="EU16" s="8">
        <v>73.319999999999993</v>
      </c>
      <c r="EV16" s="8">
        <v>74.459999999999994</v>
      </c>
      <c r="EW16" s="8">
        <v>74.010000000000005</v>
      </c>
      <c r="EX16" s="8">
        <v>75.16</v>
      </c>
      <c r="EY16" s="8">
        <v>72.97</v>
      </c>
      <c r="EZ16" s="8">
        <v>66.930000000000007</v>
      </c>
      <c r="FA16" s="8">
        <v>73.91</v>
      </c>
      <c r="FB16" s="8">
        <v>67.45</v>
      </c>
      <c r="FC16" s="8">
        <v>79.209999999999994</v>
      </c>
      <c r="FD16" s="8">
        <v>73.790000000000006</v>
      </c>
      <c r="FE16" s="8">
        <v>75.33</v>
      </c>
      <c r="FF16" s="8">
        <v>71.44</v>
      </c>
      <c r="FG16" s="8">
        <v>70.87</v>
      </c>
      <c r="FH16" s="8">
        <v>69.75</v>
      </c>
      <c r="FI16" s="8">
        <v>73.86</v>
      </c>
      <c r="FJ16" s="8">
        <v>76.900000000000006</v>
      </c>
      <c r="FK16" s="8">
        <v>77.05</v>
      </c>
      <c r="FL16" s="8">
        <v>76.36</v>
      </c>
      <c r="FM16" s="8">
        <v>74.2</v>
      </c>
      <c r="FN16" s="8">
        <v>64.319999999999993</v>
      </c>
      <c r="FO16" s="8">
        <v>79.430000000000007</v>
      </c>
      <c r="FP16" s="8">
        <v>81.400000000000006</v>
      </c>
      <c r="FQ16" s="8">
        <v>65.66</v>
      </c>
      <c r="FR16" s="8">
        <v>72.959999999999994</v>
      </c>
      <c r="FS16" s="8">
        <v>77.2</v>
      </c>
      <c r="FT16" s="8">
        <v>76.069999999999993</v>
      </c>
      <c r="FU16" s="8">
        <v>71.28</v>
      </c>
      <c r="FV16" s="8">
        <v>77.59</v>
      </c>
      <c r="GB16" s="8">
        <v>75.23</v>
      </c>
      <c r="GD16" s="8">
        <v>80.45</v>
      </c>
      <c r="GE16" s="8">
        <v>42.25</v>
      </c>
      <c r="GF16" s="8">
        <v>42.25</v>
      </c>
      <c r="GV16" s="8">
        <v>64.19</v>
      </c>
      <c r="GW16" s="8">
        <v>64.19</v>
      </c>
      <c r="GZ16" s="8">
        <v>80.709999999999994</v>
      </c>
      <c r="HP16" s="8">
        <v>81.400000000000006</v>
      </c>
      <c r="HQ16" s="8">
        <v>79.17</v>
      </c>
      <c r="HR16" s="8">
        <v>86.73</v>
      </c>
      <c r="HS16" s="8">
        <v>78.540000000000006</v>
      </c>
      <c r="II16" s="8">
        <v>76.48</v>
      </c>
    </row>
    <row r="17" spans="1:243" x14ac:dyDescent="0.2">
      <c r="A17" s="9">
        <v>43160</v>
      </c>
      <c r="H17" s="8">
        <v>75.55</v>
      </c>
      <c r="I17" s="8">
        <v>74.89</v>
      </c>
      <c r="M17" s="8">
        <v>82.33</v>
      </c>
      <c r="N17" s="8">
        <v>93.55</v>
      </c>
      <c r="O17" s="8">
        <v>81.47</v>
      </c>
      <c r="R17" s="8">
        <v>73.84</v>
      </c>
      <c r="S17" s="8">
        <v>73.5</v>
      </c>
      <c r="T17" s="8">
        <v>74.290000000000006</v>
      </c>
      <c r="U17" s="8">
        <v>71.16</v>
      </c>
      <c r="V17" s="8">
        <v>77.099999999999994</v>
      </c>
      <c r="W17" s="8">
        <v>75.489999999999995</v>
      </c>
      <c r="X17" s="8">
        <v>68.45</v>
      </c>
      <c r="Y17" s="8">
        <v>78.010000000000005</v>
      </c>
      <c r="Z17" s="8">
        <v>69.53</v>
      </c>
      <c r="AA17" s="8">
        <v>80.81</v>
      </c>
      <c r="AB17" s="8">
        <v>77.97</v>
      </c>
      <c r="AC17" s="8">
        <v>77.400000000000006</v>
      </c>
      <c r="AD17" s="8">
        <v>72.91</v>
      </c>
      <c r="AE17" s="8">
        <v>72.180000000000007</v>
      </c>
      <c r="AF17" s="8">
        <v>72.709999999999994</v>
      </c>
      <c r="AG17" s="8">
        <v>73.88</v>
      </c>
      <c r="AH17" s="8">
        <v>81.33</v>
      </c>
      <c r="AI17" s="8">
        <v>79.17</v>
      </c>
      <c r="AJ17" s="8">
        <v>82.86</v>
      </c>
      <c r="AK17" s="8">
        <v>74</v>
      </c>
      <c r="AL17" s="8">
        <v>62.7</v>
      </c>
      <c r="AM17" s="8">
        <v>80.36</v>
      </c>
      <c r="AN17" s="8">
        <v>81.75</v>
      </c>
      <c r="AO17" s="8">
        <v>66.099999999999994</v>
      </c>
      <c r="AP17" s="8">
        <v>72.2</v>
      </c>
      <c r="AQ17" s="8">
        <v>77.62</v>
      </c>
      <c r="AR17" s="8">
        <v>72.67</v>
      </c>
      <c r="AS17" s="8">
        <v>71.599999999999994</v>
      </c>
      <c r="AT17" s="8">
        <v>72.89</v>
      </c>
      <c r="AZ17" s="8">
        <v>77.27</v>
      </c>
      <c r="BB17" s="8">
        <v>78.19</v>
      </c>
      <c r="BC17" s="8">
        <v>43.64</v>
      </c>
      <c r="BD17" s="8">
        <v>43.64</v>
      </c>
      <c r="BT17" s="8">
        <v>66.87</v>
      </c>
      <c r="BU17" s="8">
        <v>66.87</v>
      </c>
      <c r="BX17" s="8">
        <v>70.33</v>
      </c>
      <c r="CN17" s="8">
        <v>83.8</v>
      </c>
      <c r="CO17" s="8">
        <v>79.540000000000006</v>
      </c>
      <c r="CP17" s="8">
        <v>85.61</v>
      </c>
      <c r="CQ17" s="8">
        <v>83.6</v>
      </c>
      <c r="DG17" s="8">
        <v>73.489999999999995</v>
      </c>
      <c r="DW17" s="8">
        <v>71.53</v>
      </c>
      <c r="DX17" s="8">
        <v>67.3</v>
      </c>
      <c r="DY17" s="8">
        <v>59.96</v>
      </c>
      <c r="EC17" s="8">
        <v>72.239999999999995</v>
      </c>
      <c r="EJ17" s="8">
        <v>71.63</v>
      </c>
      <c r="EK17" s="8">
        <v>75.55</v>
      </c>
      <c r="EO17" s="8">
        <v>79.5</v>
      </c>
      <c r="EP17" s="8">
        <v>93.55</v>
      </c>
      <c r="EQ17" s="8">
        <v>76.959999999999994</v>
      </c>
      <c r="ET17" s="8">
        <v>74.03</v>
      </c>
      <c r="EU17" s="8">
        <v>73.36</v>
      </c>
      <c r="EV17" s="8">
        <v>74.239999999999995</v>
      </c>
      <c r="EW17" s="8">
        <v>73.25</v>
      </c>
      <c r="EX17" s="8">
        <v>77.260000000000005</v>
      </c>
      <c r="EY17" s="8">
        <v>73.06</v>
      </c>
      <c r="EZ17" s="8">
        <v>67.069999999999993</v>
      </c>
      <c r="FA17" s="8">
        <v>74.7</v>
      </c>
      <c r="FB17" s="8">
        <v>67.5</v>
      </c>
      <c r="FC17" s="8">
        <v>79.14</v>
      </c>
      <c r="FD17" s="8">
        <v>73.98</v>
      </c>
      <c r="FE17" s="8">
        <v>74.73</v>
      </c>
      <c r="FF17" s="8">
        <v>71.61</v>
      </c>
      <c r="FG17" s="8">
        <v>71.14</v>
      </c>
      <c r="FH17" s="8">
        <v>69.59</v>
      </c>
      <c r="FI17" s="8">
        <v>74.23</v>
      </c>
      <c r="FJ17" s="8">
        <v>75.180000000000007</v>
      </c>
      <c r="FK17" s="8">
        <v>74.17</v>
      </c>
      <c r="FL17" s="8">
        <v>75.67</v>
      </c>
      <c r="FM17" s="8">
        <v>74.06</v>
      </c>
      <c r="FN17" s="8">
        <v>64.680000000000007</v>
      </c>
      <c r="FO17" s="8">
        <v>80.459999999999994</v>
      </c>
      <c r="FP17" s="8">
        <v>81.42</v>
      </c>
      <c r="FQ17" s="8">
        <v>65.53</v>
      </c>
      <c r="FR17" s="8">
        <v>72.69</v>
      </c>
      <c r="FS17" s="8">
        <v>76.849999999999994</v>
      </c>
      <c r="FT17" s="8">
        <v>75.98</v>
      </c>
      <c r="FU17" s="8">
        <v>71.19</v>
      </c>
      <c r="FV17" s="8">
        <v>77.5</v>
      </c>
      <c r="GB17" s="8">
        <v>75</v>
      </c>
      <c r="GD17" s="8">
        <v>80.72</v>
      </c>
      <c r="GE17" s="8">
        <v>42.93</v>
      </c>
      <c r="GF17" s="8">
        <v>42.93</v>
      </c>
      <c r="GV17" s="8">
        <v>64.22</v>
      </c>
      <c r="GW17" s="8">
        <v>64.22</v>
      </c>
      <c r="GZ17" s="8">
        <v>80.709999999999994</v>
      </c>
      <c r="HP17" s="8">
        <v>81.73</v>
      </c>
      <c r="HQ17" s="8">
        <v>79.39</v>
      </c>
      <c r="HR17" s="8">
        <v>87.19</v>
      </c>
      <c r="HS17" s="8">
        <v>78.81</v>
      </c>
      <c r="II17" s="8">
        <v>76.349999999999994</v>
      </c>
    </row>
    <row r="18" spans="1:243" x14ac:dyDescent="0.2">
      <c r="A18" s="9">
        <v>43191</v>
      </c>
      <c r="H18" s="8">
        <v>75.55</v>
      </c>
      <c r="I18" s="8">
        <v>74.89</v>
      </c>
      <c r="M18" s="8">
        <v>82.33</v>
      </c>
      <c r="N18" s="8">
        <v>93.57</v>
      </c>
      <c r="O18" s="8">
        <v>81.47</v>
      </c>
      <c r="R18" s="8">
        <v>73.53</v>
      </c>
      <c r="S18" s="8">
        <v>72.739999999999995</v>
      </c>
      <c r="T18" s="8">
        <v>74.2</v>
      </c>
      <c r="U18" s="8">
        <v>71.319999999999993</v>
      </c>
      <c r="V18" s="8">
        <v>77.14</v>
      </c>
      <c r="W18" s="8">
        <v>75.87</v>
      </c>
      <c r="X18" s="8">
        <v>68.22</v>
      </c>
      <c r="Y18" s="8">
        <v>77.319999999999993</v>
      </c>
      <c r="Z18" s="8">
        <v>71.52</v>
      </c>
      <c r="AA18" s="8">
        <v>81.180000000000007</v>
      </c>
      <c r="AB18" s="8">
        <v>78.14</v>
      </c>
      <c r="AC18" s="8">
        <v>79.48</v>
      </c>
      <c r="AD18" s="8">
        <v>73.260000000000005</v>
      </c>
      <c r="AE18" s="8">
        <v>72.489999999999995</v>
      </c>
      <c r="AF18" s="8">
        <v>73.09</v>
      </c>
      <c r="AG18" s="8">
        <v>74.27</v>
      </c>
      <c r="AH18" s="8">
        <v>79.36</v>
      </c>
      <c r="AI18" s="8">
        <v>77.08</v>
      </c>
      <c r="AJ18" s="8">
        <v>81.02</v>
      </c>
      <c r="AK18" s="8">
        <v>74.010000000000005</v>
      </c>
      <c r="AL18" s="8">
        <v>63.29</v>
      </c>
      <c r="AM18" s="8">
        <v>78.209999999999994</v>
      </c>
      <c r="AN18" s="8">
        <v>80.900000000000006</v>
      </c>
      <c r="AO18" s="8">
        <v>67.209999999999994</v>
      </c>
      <c r="AP18" s="8">
        <v>73.010000000000005</v>
      </c>
      <c r="AQ18" s="8">
        <v>76.75</v>
      </c>
      <c r="AR18" s="8">
        <v>72.91</v>
      </c>
      <c r="AS18" s="8">
        <v>70.099999999999994</v>
      </c>
      <c r="AT18" s="8">
        <v>73.61</v>
      </c>
      <c r="AZ18" s="8">
        <v>77.489999999999995</v>
      </c>
      <c r="BB18" s="8">
        <v>77.680000000000007</v>
      </c>
      <c r="BC18" s="8">
        <v>44.22</v>
      </c>
      <c r="BD18" s="8">
        <v>44.22</v>
      </c>
      <c r="BT18" s="8">
        <v>66.680000000000007</v>
      </c>
      <c r="BU18" s="8">
        <v>66.680000000000007</v>
      </c>
      <c r="BX18" s="8">
        <v>70.33</v>
      </c>
      <c r="CN18" s="8">
        <v>83.35</v>
      </c>
      <c r="CO18" s="8">
        <v>78.52</v>
      </c>
      <c r="CP18" s="8">
        <v>84.63</v>
      </c>
      <c r="CQ18" s="8">
        <v>83.63</v>
      </c>
      <c r="DG18" s="8">
        <v>77.260000000000005</v>
      </c>
      <c r="DW18" s="8">
        <v>75.02</v>
      </c>
      <c r="DX18" s="8">
        <v>68.47</v>
      </c>
      <c r="DY18" s="8">
        <v>64.790000000000006</v>
      </c>
      <c r="EC18" s="8">
        <v>72.69</v>
      </c>
      <c r="EJ18" s="8">
        <v>71.63</v>
      </c>
      <c r="EK18" s="8">
        <v>75.55</v>
      </c>
      <c r="EO18" s="8">
        <v>79.510000000000005</v>
      </c>
      <c r="EP18" s="8">
        <v>93.57</v>
      </c>
      <c r="EQ18" s="8">
        <v>76.959999999999994</v>
      </c>
      <c r="ET18" s="8">
        <v>73.8</v>
      </c>
      <c r="EU18" s="8">
        <v>72.59</v>
      </c>
      <c r="EV18" s="8">
        <v>74.47</v>
      </c>
      <c r="EW18" s="8">
        <v>72.69</v>
      </c>
      <c r="EX18" s="8">
        <v>77.400000000000006</v>
      </c>
      <c r="EY18" s="8">
        <v>73.69</v>
      </c>
      <c r="EZ18" s="8">
        <v>67.17</v>
      </c>
      <c r="FA18" s="8">
        <v>74.34</v>
      </c>
      <c r="FB18" s="8">
        <v>69.510000000000005</v>
      </c>
      <c r="FC18" s="8">
        <v>79.540000000000006</v>
      </c>
      <c r="FD18" s="8">
        <v>74.239999999999995</v>
      </c>
      <c r="FE18" s="8">
        <v>77.25</v>
      </c>
      <c r="FF18" s="8">
        <v>71.92</v>
      </c>
      <c r="FG18" s="8">
        <v>71.209999999999994</v>
      </c>
      <c r="FH18" s="8">
        <v>70.22</v>
      </c>
      <c r="FI18" s="8">
        <v>74.510000000000005</v>
      </c>
      <c r="FJ18" s="8">
        <v>73.790000000000006</v>
      </c>
      <c r="FK18" s="8">
        <v>72.150000000000006</v>
      </c>
      <c r="FL18" s="8">
        <v>74.84</v>
      </c>
      <c r="FM18" s="8">
        <v>74.03</v>
      </c>
      <c r="FN18" s="8">
        <v>64.84</v>
      </c>
      <c r="FO18" s="8">
        <v>78.55</v>
      </c>
      <c r="FP18" s="8">
        <v>80.599999999999994</v>
      </c>
      <c r="FQ18" s="8">
        <v>66.45</v>
      </c>
      <c r="FR18" s="8">
        <v>73.430000000000007</v>
      </c>
      <c r="FS18" s="8">
        <v>75.95</v>
      </c>
      <c r="FT18" s="8">
        <v>76.55</v>
      </c>
      <c r="FU18" s="8">
        <v>70.33</v>
      </c>
      <c r="FV18" s="8">
        <v>78.569999999999993</v>
      </c>
      <c r="GB18" s="8">
        <v>75.739999999999995</v>
      </c>
      <c r="GD18" s="8">
        <v>80.349999999999994</v>
      </c>
      <c r="GE18" s="8">
        <v>43.4</v>
      </c>
      <c r="GF18" s="8">
        <v>43.4</v>
      </c>
      <c r="GV18" s="8">
        <v>64.08</v>
      </c>
      <c r="GW18" s="8">
        <v>64.08</v>
      </c>
      <c r="GZ18" s="8">
        <v>80.709999999999994</v>
      </c>
      <c r="HP18" s="8">
        <v>81.239999999999995</v>
      </c>
      <c r="HQ18" s="8">
        <v>78.87</v>
      </c>
      <c r="HR18" s="8">
        <v>86.06</v>
      </c>
      <c r="HS18" s="8">
        <v>78.75</v>
      </c>
      <c r="II18" s="8">
        <v>80.05</v>
      </c>
    </row>
    <row r="19" spans="1:243" x14ac:dyDescent="0.2">
      <c r="A19" s="9">
        <v>43221</v>
      </c>
      <c r="H19" s="8">
        <v>75.55</v>
      </c>
      <c r="I19" s="8">
        <v>74.89</v>
      </c>
      <c r="M19" s="8">
        <v>82.33</v>
      </c>
      <c r="N19" s="8">
        <v>93.59</v>
      </c>
      <c r="O19" s="8">
        <v>81.47</v>
      </c>
      <c r="R19" s="8">
        <v>73.42</v>
      </c>
      <c r="S19" s="8">
        <v>73.349999999999994</v>
      </c>
      <c r="T19" s="8">
        <v>73.37</v>
      </c>
      <c r="U19" s="8">
        <v>72.010000000000005</v>
      </c>
      <c r="V19" s="8">
        <v>76.650000000000006</v>
      </c>
      <c r="W19" s="8">
        <v>75.510000000000005</v>
      </c>
      <c r="X19" s="8">
        <v>67.650000000000006</v>
      </c>
      <c r="Y19" s="8">
        <v>76.650000000000006</v>
      </c>
      <c r="Z19" s="8">
        <v>70.87</v>
      </c>
      <c r="AA19" s="8">
        <v>80.59</v>
      </c>
      <c r="AB19" s="8">
        <v>78.87</v>
      </c>
      <c r="AC19" s="8">
        <v>79.069999999999993</v>
      </c>
      <c r="AD19" s="8">
        <v>73.010000000000005</v>
      </c>
      <c r="AE19" s="8">
        <v>71.83</v>
      </c>
      <c r="AF19" s="8">
        <v>73.209999999999994</v>
      </c>
      <c r="AG19" s="8">
        <v>74.23</v>
      </c>
      <c r="AH19" s="8">
        <v>77.930000000000007</v>
      </c>
      <c r="AI19" s="8">
        <v>76.52</v>
      </c>
      <c r="AJ19" s="8">
        <v>78.75</v>
      </c>
      <c r="AK19" s="8">
        <v>73.39</v>
      </c>
      <c r="AL19" s="8">
        <v>62.84</v>
      </c>
      <c r="AM19" s="8">
        <v>80.260000000000005</v>
      </c>
      <c r="AN19" s="8">
        <v>80.47</v>
      </c>
      <c r="AO19" s="8">
        <v>66.38</v>
      </c>
      <c r="AP19" s="8">
        <v>72.28</v>
      </c>
      <c r="AQ19" s="8">
        <v>75.73</v>
      </c>
      <c r="AR19" s="8">
        <v>72.989999999999995</v>
      </c>
      <c r="AS19" s="8">
        <v>69.38</v>
      </c>
      <c r="AT19" s="8">
        <v>73.900000000000006</v>
      </c>
      <c r="AZ19" s="8">
        <v>77.38</v>
      </c>
      <c r="BB19" s="8">
        <v>77.150000000000006</v>
      </c>
      <c r="BC19" s="8">
        <v>44.6</v>
      </c>
      <c r="BD19" s="8">
        <v>44.6</v>
      </c>
      <c r="BT19" s="8">
        <v>66.78</v>
      </c>
      <c r="BU19" s="8">
        <v>66.78</v>
      </c>
      <c r="BX19" s="8">
        <v>70.33</v>
      </c>
      <c r="CN19" s="8">
        <v>83.09</v>
      </c>
      <c r="CO19" s="8">
        <v>77.08</v>
      </c>
      <c r="CP19" s="8">
        <v>84.51</v>
      </c>
      <c r="CQ19" s="8">
        <v>83.52</v>
      </c>
      <c r="DG19" s="8">
        <v>80.12</v>
      </c>
      <c r="DW19" s="8">
        <v>71.52</v>
      </c>
      <c r="DX19" s="8">
        <v>65.63</v>
      </c>
      <c r="DY19" s="8">
        <v>61.46</v>
      </c>
      <c r="EC19" s="8">
        <v>72.8</v>
      </c>
      <c r="EJ19" s="8">
        <v>71.63</v>
      </c>
      <c r="EK19" s="8">
        <v>75.55</v>
      </c>
      <c r="EO19" s="8">
        <v>79.510000000000005</v>
      </c>
      <c r="EP19" s="8">
        <v>93.59</v>
      </c>
      <c r="EQ19" s="8">
        <v>76.959999999999994</v>
      </c>
      <c r="ET19" s="8">
        <v>73.599999999999994</v>
      </c>
      <c r="EU19" s="8">
        <v>73.09</v>
      </c>
      <c r="EV19" s="8">
        <v>73.430000000000007</v>
      </c>
      <c r="EW19" s="8">
        <v>73.89</v>
      </c>
      <c r="EX19" s="8">
        <v>76.86</v>
      </c>
      <c r="EY19" s="8">
        <v>73.239999999999995</v>
      </c>
      <c r="EZ19" s="8">
        <v>66.27</v>
      </c>
      <c r="FA19" s="8">
        <v>73.38</v>
      </c>
      <c r="FB19" s="8">
        <v>68.790000000000006</v>
      </c>
      <c r="FC19" s="8">
        <v>78.94</v>
      </c>
      <c r="FD19" s="8">
        <v>74.430000000000007</v>
      </c>
      <c r="FE19" s="8">
        <v>77.64</v>
      </c>
      <c r="FF19" s="8">
        <v>71.77</v>
      </c>
      <c r="FG19" s="8">
        <v>71.08</v>
      </c>
      <c r="FH19" s="8">
        <v>70.17</v>
      </c>
      <c r="FI19" s="8">
        <v>74.25</v>
      </c>
      <c r="FJ19" s="8">
        <v>72.87</v>
      </c>
      <c r="FK19" s="8">
        <v>71.87</v>
      </c>
      <c r="FL19" s="8">
        <v>73.349999999999994</v>
      </c>
      <c r="FM19" s="8">
        <v>73.430000000000007</v>
      </c>
      <c r="FN19" s="8">
        <v>63.67</v>
      </c>
      <c r="FO19" s="8">
        <v>80.05</v>
      </c>
      <c r="FP19" s="8">
        <v>80.290000000000006</v>
      </c>
      <c r="FQ19" s="8">
        <v>65.81</v>
      </c>
      <c r="FR19" s="8">
        <v>72.680000000000007</v>
      </c>
      <c r="FS19" s="8">
        <v>75.180000000000007</v>
      </c>
      <c r="FT19" s="8">
        <v>76.37</v>
      </c>
      <c r="FU19" s="8">
        <v>69.180000000000007</v>
      </c>
      <c r="FV19" s="8">
        <v>78.73</v>
      </c>
      <c r="GB19" s="8">
        <v>75.72</v>
      </c>
      <c r="GD19" s="8">
        <v>79.900000000000006</v>
      </c>
      <c r="GE19" s="8">
        <v>43.82</v>
      </c>
      <c r="GF19" s="8">
        <v>43.82</v>
      </c>
      <c r="GV19" s="8">
        <v>64.08</v>
      </c>
      <c r="GW19" s="8">
        <v>64.08</v>
      </c>
      <c r="GZ19" s="8">
        <v>80.709999999999994</v>
      </c>
      <c r="HP19" s="8">
        <v>81.19</v>
      </c>
      <c r="HQ19" s="8">
        <v>77.69</v>
      </c>
      <c r="HR19" s="8">
        <v>86.16</v>
      </c>
      <c r="HS19" s="8">
        <v>78.78</v>
      </c>
      <c r="II19" s="8">
        <v>82.42</v>
      </c>
    </row>
    <row r="20" spans="1:243" x14ac:dyDescent="0.2">
      <c r="A20" s="9">
        <v>43252</v>
      </c>
      <c r="H20" s="8">
        <v>75.55</v>
      </c>
      <c r="I20" s="8">
        <v>74.89</v>
      </c>
      <c r="M20" s="8">
        <v>82.55</v>
      </c>
      <c r="N20" s="8">
        <v>93.6</v>
      </c>
      <c r="O20" s="8">
        <v>81.709999999999994</v>
      </c>
      <c r="R20" s="8">
        <v>73.430000000000007</v>
      </c>
      <c r="S20" s="8">
        <v>73.260000000000005</v>
      </c>
      <c r="T20" s="8">
        <v>73.59</v>
      </c>
      <c r="U20" s="8">
        <v>72.2</v>
      </c>
      <c r="V20" s="8">
        <v>75.81</v>
      </c>
      <c r="W20" s="8">
        <v>75.290000000000006</v>
      </c>
      <c r="X20" s="8">
        <v>67.06</v>
      </c>
      <c r="Y20" s="8">
        <v>75.459999999999994</v>
      </c>
      <c r="Z20" s="8">
        <v>70.900000000000006</v>
      </c>
      <c r="AA20" s="8">
        <v>81.41</v>
      </c>
      <c r="AB20" s="8">
        <v>77.760000000000005</v>
      </c>
      <c r="AC20" s="8">
        <v>80.31</v>
      </c>
      <c r="AD20" s="8">
        <v>73.12</v>
      </c>
      <c r="AE20" s="8">
        <v>72.040000000000006</v>
      </c>
      <c r="AF20" s="8">
        <v>72.88</v>
      </c>
      <c r="AG20" s="8">
        <v>74.58</v>
      </c>
      <c r="AH20" s="8">
        <v>79.72</v>
      </c>
      <c r="AI20" s="8">
        <v>78.900000000000006</v>
      </c>
      <c r="AJ20" s="8">
        <v>79.95</v>
      </c>
      <c r="AK20" s="8">
        <v>73.52</v>
      </c>
      <c r="AL20" s="8">
        <v>63.13</v>
      </c>
      <c r="AM20" s="8">
        <v>79.150000000000006</v>
      </c>
      <c r="AN20" s="8">
        <v>80.81</v>
      </c>
      <c r="AO20" s="8">
        <v>65.680000000000007</v>
      </c>
      <c r="AP20" s="8">
        <v>72.209999999999994</v>
      </c>
      <c r="AQ20" s="8">
        <v>76.52</v>
      </c>
      <c r="AR20" s="8">
        <v>72.66</v>
      </c>
      <c r="AS20" s="8">
        <v>69.38</v>
      </c>
      <c r="AT20" s="8">
        <v>73.48</v>
      </c>
      <c r="AZ20" s="8">
        <v>77.63</v>
      </c>
      <c r="BB20" s="8">
        <v>76.849999999999994</v>
      </c>
      <c r="BC20" s="8">
        <v>44.53</v>
      </c>
      <c r="BD20" s="8">
        <v>44.53</v>
      </c>
      <c r="BT20" s="8">
        <v>66.83</v>
      </c>
      <c r="BU20" s="8">
        <v>66.83</v>
      </c>
      <c r="BX20" s="8">
        <v>70.33</v>
      </c>
      <c r="CN20" s="8">
        <v>83.05</v>
      </c>
      <c r="CO20" s="8">
        <v>77.44</v>
      </c>
      <c r="CP20" s="8">
        <v>84.9</v>
      </c>
      <c r="CQ20" s="8">
        <v>83.11</v>
      </c>
      <c r="DG20" s="8">
        <v>80.09</v>
      </c>
      <c r="DW20" s="8">
        <v>72.86</v>
      </c>
      <c r="DX20" s="8">
        <v>65.3</v>
      </c>
      <c r="DY20" s="8">
        <v>64</v>
      </c>
      <c r="EC20" s="8">
        <v>71.89</v>
      </c>
      <c r="EJ20" s="8">
        <v>71.63</v>
      </c>
      <c r="EK20" s="8">
        <v>75.55</v>
      </c>
      <c r="EO20" s="8">
        <v>80.03</v>
      </c>
      <c r="EP20" s="8">
        <v>93.6</v>
      </c>
      <c r="EQ20" s="8">
        <v>77.58</v>
      </c>
      <c r="ET20" s="8">
        <v>73.64</v>
      </c>
      <c r="EU20" s="8">
        <v>73.34</v>
      </c>
      <c r="EV20" s="8">
        <v>73.540000000000006</v>
      </c>
      <c r="EW20" s="8">
        <v>73.59</v>
      </c>
      <c r="EX20" s="8">
        <v>76.099999999999994</v>
      </c>
      <c r="EY20" s="8">
        <v>73.23</v>
      </c>
      <c r="EZ20" s="8">
        <v>66.06</v>
      </c>
      <c r="FA20" s="8">
        <v>72.77</v>
      </c>
      <c r="FB20" s="8">
        <v>68.760000000000005</v>
      </c>
      <c r="FC20" s="8">
        <v>79.45</v>
      </c>
      <c r="FD20" s="8">
        <v>73.930000000000007</v>
      </c>
      <c r="FE20" s="8">
        <v>78.650000000000006</v>
      </c>
      <c r="FF20" s="8">
        <v>71.81</v>
      </c>
      <c r="FG20" s="8">
        <v>70.989999999999995</v>
      </c>
      <c r="FH20" s="8">
        <v>69.989999999999995</v>
      </c>
      <c r="FI20" s="8">
        <v>74.680000000000007</v>
      </c>
      <c r="FJ20" s="8">
        <v>76.069999999999993</v>
      </c>
      <c r="FK20" s="8">
        <v>74.72</v>
      </c>
      <c r="FL20" s="8">
        <v>76.86</v>
      </c>
      <c r="FM20" s="8">
        <v>73.400000000000006</v>
      </c>
      <c r="FN20" s="8">
        <v>64.540000000000006</v>
      </c>
      <c r="FO20" s="8">
        <v>79.41</v>
      </c>
      <c r="FP20" s="8">
        <v>80.180000000000007</v>
      </c>
      <c r="FQ20" s="8">
        <v>64.709999999999994</v>
      </c>
      <c r="FR20" s="8">
        <v>72.48</v>
      </c>
      <c r="FS20" s="8">
        <v>75.7</v>
      </c>
      <c r="FT20" s="8">
        <v>75.900000000000006</v>
      </c>
      <c r="FU20" s="8">
        <v>69.069999999999993</v>
      </c>
      <c r="FV20" s="8">
        <v>78.14</v>
      </c>
      <c r="GB20" s="8">
        <v>76.62</v>
      </c>
      <c r="GD20" s="8">
        <v>79.92</v>
      </c>
      <c r="GE20" s="8">
        <v>43.78</v>
      </c>
      <c r="GF20" s="8">
        <v>43.78</v>
      </c>
      <c r="GV20" s="8">
        <v>64.099999999999994</v>
      </c>
      <c r="GW20" s="8">
        <v>64.099999999999994</v>
      </c>
      <c r="GZ20" s="8">
        <v>80.709999999999994</v>
      </c>
      <c r="HP20" s="8">
        <v>81.05</v>
      </c>
      <c r="HQ20" s="8">
        <v>77.56</v>
      </c>
      <c r="HR20" s="8">
        <v>86.55</v>
      </c>
      <c r="HS20" s="8">
        <v>78.290000000000006</v>
      </c>
      <c r="II20" s="8">
        <v>82.16</v>
      </c>
    </row>
    <row r="21" spans="1:243" x14ac:dyDescent="0.2">
      <c r="A21" s="9">
        <v>43282</v>
      </c>
      <c r="H21" s="8">
        <v>75.55</v>
      </c>
      <c r="I21" s="8">
        <v>74.89</v>
      </c>
      <c r="M21" s="8">
        <v>82.55</v>
      </c>
      <c r="N21" s="8">
        <v>93.63</v>
      </c>
      <c r="O21" s="8">
        <v>81.709999999999994</v>
      </c>
      <c r="R21" s="8">
        <v>73.72</v>
      </c>
      <c r="S21" s="8">
        <v>73.8</v>
      </c>
      <c r="T21" s="8">
        <v>74.099999999999994</v>
      </c>
      <c r="U21" s="8">
        <v>71.23</v>
      </c>
      <c r="V21" s="8">
        <v>75.22</v>
      </c>
      <c r="W21" s="8">
        <v>75.36</v>
      </c>
      <c r="X21" s="8">
        <v>66.66</v>
      </c>
      <c r="Y21" s="8">
        <v>75.95</v>
      </c>
      <c r="Z21" s="8">
        <v>70.930000000000007</v>
      </c>
      <c r="AA21" s="8">
        <v>82.5</v>
      </c>
      <c r="AB21" s="8">
        <v>77.33</v>
      </c>
      <c r="AC21" s="8">
        <v>80.05</v>
      </c>
      <c r="AD21" s="8">
        <v>73.150000000000006</v>
      </c>
      <c r="AE21" s="8">
        <v>71.91</v>
      </c>
      <c r="AF21" s="8">
        <v>73.209999999999994</v>
      </c>
      <c r="AG21" s="8">
        <v>74.569999999999993</v>
      </c>
      <c r="AH21" s="8">
        <v>80.34</v>
      </c>
      <c r="AI21" s="8">
        <v>81.72</v>
      </c>
      <c r="AJ21" s="8">
        <v>78.430000000000007</v>
      </c>
      <c r="AK21" s="8">
        <v>73.989999999999995</v>
      </c>
      <c r="AL21" s="8">
        <v>62.66</v>
      </c>
      <c r="AM21" s="8">
        <v>80.319999999999993</v>
      </c>
      <c r="AN21" s="8">
        <v>81.010000000000005</v>
      </c>
      <c r="AO21" s="8">
        <v>67.09</v>
      </c>
      <c r="AP21" s="8">
        <v>72.67</v>
      </c>
      <c r="AQ21" s="8">
        <v>76.900000000000006</v>
      </c>
      <c r="AR21" s="8">
        <v>73.14</v>
      </c>
      <c r="AS21" s="8">
        <v>71.13</v>
      </c>
      <c r="AT21" s="8">
        <v>73.62</v>
      </c>
      <c r="AZ21" s="8">
        <v>77.61</v>
      </c>
      <c r="BB21" s="8">
        <v>76.86</v>
      </c>
      <c r="BC21" s="8">
        <v>44.55</v>
      </c>
      <c r="BD21" s="8">
        <v>44.55</v>
      </c>
      <c r="BT21" s="8">
        <v>67.040000000000006</v>
      </c>
      <c r="BU21" s="8">
        <v>67.040000000000006</v>
      </c>
      <c r="BX21" s="8">
        <v>70.33</v>
      </c>
      <c r="CN21" s="8">
        <v>83.25</v>
      </c>
      <c r="CO21" s="8">
        <v>78.540000000000006</v>
      </c>
      <c r="CP21" s="8">
        <v>84.96</v>
      </c>
      <c r="CQ21" s="8">
        <v>83.2</v>
      </c>
      <c r="DG21" s="8">
        <v>78.92</v>
      </c>
      <c r="DW21" s="8">
        <v>79.5</v>
      </c>
      <c r="DX21" s="8">
        <v>70.23</v>
      </c>
      <c r="DY21" s="8">
        <v>70.77</v>
      </c>
      <c r="EC21" s="8">
        <v>72.459999999999994</v>
      </c>
      <c r="EJ21" s="8">
        <v>71.63</v>
      </c>
      <c r="EK21" s="8">
        <v>75.55</v>
      </c>
      <c r="EO21" s="8">
        <v>80.03</v>
      </c>
      <c r="EP21" s="8">
        <v>93.63</v>
      </c>
      <c r="EQ21" s="8">
        <v>77.58</v>
      </c>
      <c r="ET21" s="8">
        <v>74.010000000000005</v>
      </c>
      <c r="EU21" s="8">
        <v>74.06</v>
      </c>
      <c r="EV21" s="8">
        <v>74.06</v>
      </c>
      <c r="EW21" s="8">
        <v>72.66</v>
      </c>
      <c r="EX21" s="8">
        <v>75.52</v>
      </c>
      <c r="EY21" s="8">
        <v>73.290000000000006</v>
      </c>
      <c r="EZ21" s="8">
        <v>65.84</v>
      </c>
      <c r="FA21" s="8">
        <v>72.94</v>
      </c>
      <c r="FB21" s="8">
        <v>68.599999999999994</v>
      </c>
      <c r="FC21" s="8">
        <v>80.290000000000006</v>
      </c>
      <c r="FD21" s="8">
        <v>73.64</v>
      </c>
      <c r="FE21" s="8">
        <v>78.709999999999994</v>
      </c>
      <c r="FF21" s="8">
        <v>71.959999999999994</v>
      </c>
      <c r="FG21" s="8">
        <v>70.95</v>
      </c>
      <c r="FH21" s="8">
        <v>70.25</v>
      </c>
      <c r="FI21" s="8">
        <v>74.97</v>
      </c>
      <c r="FJ21" s="8">
        <v>75.010000000000005</v>
      </c>
      <c r="FK21" s="8">
        <v>75.2</v>
      </c>
      <c r="FL21" s="8">
        <v>74.459999999999994</v>
      </c>
      <c r="FM21" s="8">
        <v>73.88</v>
      </c>
      <c r="FN21" s="8">
        <v>64.260000000000005</v>
      </c>
      <c r="FO21" s="8">
        <v>80.02</v>
      </c>
      <c r="FP21" s="8">
        <v>80.5</v>
      </c>
      <c r="FQ21" s="8">
        <v>66.239999999999995</v>
      </c>
      <c r="FR21" s="8">
        <v>72.989999999999995</v>
      </c>
      <c r="FS21" s="8">
        <v>76.03</v>
      </c>
      <c r="FT21" s="8">
        <v>76.63</v>
      </c>
      <c r="FU21" s="8">
        <v>70.98</v>
      </c>
      <c r="FV21" s="8">
        <v>78.459999999999994</v>
      </c>
      <c r="GB21" s="8">
        <v>76.77</v>
      </c>
      <c r="GD21" s="8">
        <v>79.97</v>
      </c>
      <c r="GE21" s="8">
        <v>43.82</v>
      </c>
      <c r="GF21" s="8">
        <v>43.82</v>
      </c>
      <c r="GV21" s="8">
        <v>63.55</v>
      </c>
      <c r="GW21" s="8">
        <v>63.55</v>
      </c>
      <c r="GZ21" s="8">
        <v>80.709999999999994</v>
      </c>
      <c r="HP21" s="8">
        <v>81.239999999999995</v>
      </c>
      <c r="HQ21" s="8">
        <v>78.72</v>
      </c>
      <c r="HR21" s="8">
        <v>86.49</v>
      </c>
      <c r="HS21" s="8">
        <v>78.47</v>
      </c>
      <c r="II21" s="8">
        <v>81.56</v>
      </c>
    </row>
    <row r="22" spans="1:243" x14ac:dyDescent="0.2">
      <c r="A22" s="9">
        <v>43313</v>
      </c>
      <c r="H22" s="8">
        <v>75.55</v>
      </c>
      <c r="I22" s="8">
        <v>75.11</v>
      </c>
      <c r="M22" s="8">
        <v>82.56</v>
      </c>
      <c r="N22" s="8">
        <v>93.66</v>
      </c>
      <c r="O22" s="8">
        <v>81.709999999999994</v>
      </c>
      <c r="R22" s="8">
        <v>73.59</v>
      </c>
      <c r="S22" s="8">
        <v>74.02</v>
      </c>
      <c r="T22" s="8">
        <v>73.290000000000006</v>
      </c>
      <c r="U22" s="8">
        <v>72.400000000000006</v>
      </c>
      <c r="V22" s="8">
        <v>75.63</v>
      </c>
      <c r="W22" s="8">
        <v>76.08</v>
      </c>
      <c r="X22" s="8">
        <v>69.209999999999994</v>
      </c>
      <c r="Y22" s="8">
        <v>76.099999999999994</v>
      </c>
      <c r="Z22" s="8">
        <v>72.819999999999993</v>
      </c>
      <c r="AA22" s="8">
        <v>81.53</v>
      </c>
      <c r="AB22" s="8">
        <v>77.739999999999995</v>
      </c>
      <c r="AC22" s="8">
        <v>79.92</v>
      </c>
      <c r="AD22" s="8">
        <v>72.78</v>
      </c>
      <c r="AE22" s="8">
        <v>71.53</v>
      </c>
      <c r="AF22" s="8">
        <v>73</v>
      </c>
      <c r="AG22" s="8">
        <v>74.08</v>
      </c>
      <c r="AH22" s="8">
        <v>80.650000000000006</v>
      </c>
      <c r="AI22" s="8">
        <v>79.150000000000006</v>
      </c>
      <c r="AJ22" s="8">
        <v>81.52</v>
      </c>
      <c r="AK22" s="8">
        <v>74.239999999999995</v>
      </c>
      <c r="AL22" s="8">
        <v>62.35</v>
      </c>
      <c r="AM22" s="8">
        <v>79.83</v>
      </c>
      <c r="AN22" s="8">
        <v>80.88</v>
      </c>
      <c r="AO22" s="8">
        <v>67.45</v>
      </c>
      <c r="AP22" s="8">
        <v>73.290000000000006</v>
      </c>
      <c r="AQ22" s="8">
        <v>77.010000000000005</v>
      </c>
      <c r="AR22" s="8">
        <v>73.14</v>
      </c>
      <c r="AS22" s="8">
        <v>70.040000000000006</v>
      </c>
      <c r="AT22" s="8">
        <v>73.91</v>
      </c>
      <c r="AZ22" s="8">
        <v>77.930000000000007</v>
      </c>
      <c r="BB22" s="8">
        <v>79.94</v>
      </c>
      <c r="BC22" s="8">
        <v>44.63</v>
      </c>
      <c r="BD22" s="8">
        <v>44.63</v>
      </c>
      <c r="BT22" s="8">
        <v>66.92</v>
      </c>
      <c r="BU22" s="8">
        <v>66.92</v>
      </c>
      <c r="BX22" s="8">
        <v>70.33</v>
      </c>
      <c r="CN22" s="8">
        <v>83.01</v>
      </c>
      <c r="CO22" s="8">
        <v>78.03</v>
      </c>
      <c r="CP22" s="8">
        <v>84.45</v>
      </c>
      <c r="CQ22" s="8">
        <v>83.2</v>
      </c>
      <c r="DG22" s="8">
        <v>78.540000000000006</v>
      </c>
      <c r="DW22" s="8">
        <v>73.81</v>
      </c>
      <c r="DX22" s="8">
        <v>67.81</v>
      </c>
      <c r="DY22" s="8">
        <v>63.34</v>
      </c>
      <c r="EC22" s="8">
        <v>72.52</v>
      </c>
      <c r="EJ22" s="8">
        <v>71.63</v>
      </c>
      <c r="EK22" s="8">
        <v>75.510000000000005</v>
      </c>
      <c r="EO22" s="8">
        <v>80.040000000000006</v>
      </c>
      <c r="EP22" s="8">
        <v>93.66</v>
      </c>
      <c r="EQ22" s="8">
        <v>77.58</v>
      </c>
      <c r="ET22" s="8">
        <v>74</v>
      </c>
      <c r="EU22" s="8">
        <v>74.28</v>
      </c>
      <c r="EV22" s="8">
        <v>73.59</v>
      </c>
      <c r="EW22" s="8">
        <v>73.94</v>
      </c>
      <c r="EX22" s="8">
        <v>75.56</v>
      </c>
      <c r="EY22" s="8">
        <v>73.78</v>
      </c>
      <c r="EZ22" s="8">
        <v>67.02</v>
      </c>
      <c r="FA22" s="8">
        <v>72.739999999999995</v>
      </c>
      <c r="FB22" s="8">
        <v>70.290000000000006</v>
      </c>
      <c r="FC22" s="8">
        <v>80.150000000000006</v>
      </c>
      <c r="FD22" s="8">
        <v>74.14</v>
      </c>
      <c r="FE22" s="8">
        <v>78.62</v>
      </c>
      <c r="FF22" s="8">
        <v>71.73</v>
      </c>
      <c r="FG22" s="8">
        <v>70.52</v>
      </c>
      <c r="FH22" s="8">
        <v>70.48</v>
      </c>
      <c r="FI22" s="8">
        <v>74.489999999999995</v>
      </c>
      <c r="FJ22" s="8">
        <v>75.95</v>
      </c>
      <c r="FK22" s="8">
        <v>74.3</v>
      </c>
      <c r="FL22" s="8">
        <v>76.98</v>
      </c>
      <c r="FM22" s="8">
        <v>73.98</v>
      </c>
      <c r="FN22" s="8">
        <v>64.209999999999994</v>
      </c>
      <c r="FO22" s="8">
        <v>80.2</v>
      </c>
      <c r="FP22" s="8">
        <v>80.319999999999993</v>
      </c>
      <c r="FQ22" s="8">
        <v>66.599999999999994</v>
      </c>
      <c r="FR22" s="8">
        <v>73.239999999999995</v>
      </c>
      <c r="FS22" s="8">
        <v>75.959999999999994</v>
      </c>
      <c r="FT22" s="8">
        <v>76.97</v>
      </c>
      <c r="FU22" s="8">
        <v>70.39</v>
      </c>
      <c r="FV22" s="8">
        <v>79.12</v>
      </c>
      <c r="GB22" s="8">
        <v>76.31</v>
      </c>
      <c r="GD22" s="8">
        <v>81.290000000000006</v>
      </c>
      <c r="GE22" s="8">
        <v>43.91</v>
      </c>
      <c r="GF22" s="8">
        <v>43.91</v>
      </c>
      <c r="GV22" s="8">
        <v>63.56</v>
      </c>
      <c r="GW22" s="8">
        <v>63.56</v>
      </c>
      <c r="GZ22" s="8">
        <v>80.709999999999994</v>
      </c>
      <c r="HP22" s="8">
        <v>80.87</v>
      </c>
      <c r="HQ22" s="8">
        <v>78.17</v>
      </c>
      <c r="HR22" s="8">
        <v>85.87</v>
      </c>
      <c r="HS22" s="8">
        <v>78.31</v>
      </c>
      <c r="II22" s="8">
        <v>79.709999999999994</v>
      </c>
    </row>
    <row r="23" spans="1:243" x14ac:dyDescent="0.2">
      <c r="A23" s="9">
        <v>43344</v>
      </c>
      <c r="H23" s="8">
        <v>75.55</v>
      </c>
      <c r="I23" s="8">
        <v>75.11</v>
      </c>
      <c r="M23" s="8">
        <v>82.8</v>
      </c>
      <c r="N23" s="8">
        <v>93.69</v>
      </c>
      <c r="O23" s="8">
        <v>81.97</v>
      </c>
      <c r="R23" s="8">
        <v>73.66</v>
      </c>
      <c r="S23" s="8">
        <v>73.77</v>
      </c>
      <c r="T23" s="8">
        <v>73.52</v>
      </c>
      <c r="U23" s="8">
        <v>73.17</v>
      </c>
      <c r="V23" s="8">
        <v>75.47</v>
      </c>
      <c r="W23" s="8">
        <v>76.349999999999994</v>
      </c>
      <c r="X23" s="8">
        <v>69.67</v>
      </c>
      <c r="Y23" s="8">
        <v>76.38</v>
      </c>
      <c r="Z23" s="8">
        <v>74.36</v>
      </c>
      <c r="AA23" s="8">
        <v>81.709999999999994</v>
      </c>
      <c r="AB23" s="8">
        <v>77.5</v>
      </c>
      <c r="AC23" s="8">
        <v>79.73</v>
      </c>
      <c r="AD23" s="8">
        <v>73.010000000000005</v>
      </c>
      <c r="AE23" s="8">
        <v>72.290000000000006</v>
      </c>
      <c r="AF23" s="8">
        <v>72.83</v>
      </c>
      <c r="AG23" s="8">
        <v>73.95</v>
      </c>
      <c r="AH23" s="8">
        <v>79.959999999999994</v>
      </c>
      <c r="AI23" s="8">
        <v>78.56</v>
      </c>
      <c r="AJ23" s="8">
        <v>80.75</v>
      </c>
      <c r="AK23" s="8">
        <v>73.349999999999994</v>
      </c>
      <c r="AL23" s="8">
        <v>62.27</v>
      </c>
      <c r="AM23" s="8">
        <v>79.92</v>
      </c>
      <c r="AN23" s="8">
        <v>79.05</v>
      </c>
      <c r="AO23" s="8">
        <v>67.25</v>
      </c>
      <c r="AP23" s="8">
        <v>71.98</v>
      </c>
      <c r="AQ23" s="8">
        <v>76.55</v>
      </c>
      <c r="AR23" s="8">
        <v>72.209999999999994</v>
      </c>
      <c r="AS23" s="8">
        <v>70.17</v>
      </c>
      <c r="AT23" s="8">
        <v>72.7</v>
      </c>
      <c r="AZ23" s="8">
        <v>77.790000000000006</v>
      </c>
      <c r="BB23" s="8">
        <v>78.02</v>
      </c>
      <c r="BC23" s="8">
        <v>46.94</v>
      </c>
      <c r="BD23" s="8">
        <v>46.94</v>
      </c>
      <c r="BT23" s="8">
        <v>67.11</v>
      </c>
      <c r="BU23" s="8">
        <v>67.11</v>
      </c>
      <c r="BX23" s="8">
        <v>72.2</v>
      </c>
      <c r="CN23" s="8">
        <v>82.74</v>
      </c>
      <c r="CO23" s="8">
        <v>77.59</v>
      </c>
      <c r="CP23" s="8">
        <v>84.41</v>
      </c>
      <c r="CQ23" s="8">
        <v>82.82</v>
      </c>
      <c r="DG23" s="8">
        <v>82.16</v>
      </c>
      <c r="DW23" s="8">
        <v>77.16</v>
      </c>
      <c r="DX23" s="8">
        <v>70.83</v>
      </c>
      <c r="DY23" s="8">
        <v>66.28</v>
      </c>
      <c r="EC23" s="8">
        <v>72.959999999999994</v>
      </c>
      <c r="EJ23" s="8">
        <v>71.63</v>
      </c>
      <c r="EK23" s="8">
        <v>75.510000000000005</v>
      </c>
      <c r="EO23" s="8">
        <v>80.84</v>
      </c>
      <c r="EP23" s="8">
        <v>93.69</v>
      </c>
      <c r="EQ23" s="8">
        <v>78.540000000000006</v>
      </c>
      <c r="ET23" s="8">
        <v>74.17</v>
      </c>
      <c r="EU23" s="8">
        <v>74.39</v>
      </c>
      <c r="EV23" s="8">
        <v>73.790000000000006</v>
      </c>
      <c r="EW23" s="8">
        <v>74.62</v>
      </c>
      <c r="EX23" s="8">
        <v>75.3</v>
      </c>
      <c r="EY23" s="8">
        <v>74.06</v>
      </c>
      <c r="EZ23" s="8">
        <v>67.16</v>
      </c>
      <c r="FA23" s="8">
        <v>73.13</v>
      </c>
      <c r="FB23" s="8">
        <v>72.08</v>
      </c>
      <c r="FC23" s="8">
        <v>80.59</v>
      </c>
      <c r="FD23" s="8">
        <v>74.400000000000006</v>
      </c>
      <c r="FE23" s="8">
        <v>77.75</v>
      </c>
      <c r="FF23" s="8">
        <v>71.72</v>
      </c>
      <c r="FG23" s="8">
        <v>70.98</v>
      </c>
      <c r="FH23" s="8">
        <v>70.040000000000006</v>
      </c>
      <c r="FI23" s="8">
        <v>74.34</v>
      </c>
      <c r="FJ23" s="8">
        <v>75.510000000000005</v>
      </c>
      <c r="FK23" s="8">
        <v>73.510000000000005</v>
      </c>
      <c r="FL23" s="8">
        <v>76.86</v>
      </c>
      <c r="FM23" s="8">
        <v>73.08</v>
      </c>
      <c r="FN23" s="8">
        <v>63.8</v>
      </c>
      <c r="FO23" s="8">
        <v>79.84</v>
      </c>
      <c r="FP23" s="8">
        <v>78.66</v>
      </c>
      <c r="FQ23" s="8">
        <v>66.400000000000006</v>
      </c>
      <c r="FR23" s="8">
        <v>71.97</v>
      </c>
      <c r="FS23" s="8">
        <v>75.59</v>
      </c>
      <c r="FT23" s="8">
        <v>75.83</v>
      </c>
      <c r="FU23" s="8">
        <v>70.47</v>
      </c>
      <c r="FV23" s="8">
        <v>77.55</v>
      </c>
      <c r="GB23" s="8">
        <v>76.39</v>
      </c>
      <c r="GD23" s="8">
        <v>80.510000000000005</v>
      </c>
      <c r="GE23" s="8">
        <v>45.75</v>
      </c>
      <c r="GF23" s="8">
        <v>45.75</v>
      </c>
      <c r="GV23" s="8">
        <v>63.57</v>
      </c>
      <c r="GW23" s="8">
        <v>63.57</v>
      </c>
      <c r="GZ23" s="8">
        <v>75.11</v>
      </c>
      <c r="HP23" s="8">
        <v>80.650000000000006</v>
      </c>
      <c r="HQ23" s="8">
        <v>77.66</v>
      </c>
      <c r="HR23" s="8">
        <v>86</v>
      </c>
      <c r="HS23" s="8">
        <v>77.900000000000006</v>
      </c>
      <c r="II23" s="8">
        <v>86.61</v>
      </c>
    </row>
    <row r="24" spans="1:243" x14ac:dyDescent="0.2">
      <c r="A24" s="9">
        <v>43374</v>
      </c>
      <c r="H24" s="8">
        <v>75.55</v>
      </c>
      <c r="I24" s="8">
        <v>75.11</v>
      </c>
      <c r="M24" s="8">
        <v>82.8</v>
      </c>
      <c r="N24" s="8">
        <v>93.71</v>
      </c>
      <c r="O24" s="8">
        <v>81.97</v>
      </c>
      <c r="R24" s="8">
        <v>74.27</v>
      </c>
      <c r="S24" s="8">
        <v>73.900000000000006</v>
      </c>
      <c r="T24" s="8">
        <v>74.73</v>
      </c>
      <c r="U24" s="8">
        <v>74.05</v>
      </c>
      <c r="V24" s="8">
        <v>74.89</v>
      </c>
      <c r="W24" s="8">
        <v>76.790000000000006</v>
      </c>
      <c r="X24" s="8">
        <v>69.98</v>
      </c>
      <c r="Y24" s="8">
        <v>76.45</v>
      </c>
      <c r="Z24" s="8">
        <v>77.680000000000007</v>
      </c>
      <c r="AA24" s="8">
        <v>81.45</v>
      </c>
      <c r="AB24" s="8">
        <v>77.22</v>
      </c>
      <c r="AC24" s="8">
        <v>80.849999999999994</v>
      </c>
      <c r="AD24" s="8">
        <v>73.239999999999995</v>
      </c>
      <c r="AE24" s="8">
        <v>72.680000000000007</v>
      </c>
      <c r="AF24" s="8">
        <v>73.05</v>
      </c>
      <c r="AG24" s="8">
        <v>73.989999999999995</v>
      </c>
      <c r="AH24" s="8">
        <v>82.68</v>
      </c>
      <c r="AI24" s="8">
        <v>84.4</v>
      </c>
      <c r="AJ24" s="8">
        <v>80.58</v>
      </c>
      <c r="AK24" s="8">
        <v>74.040000000000006</v>
      </c>
      <c r="AL24" s="8">
        <v>62.75</v>
      </c>
      <c r="AM24" s="8">
        <v>79.8</v>
      </c>
      <c r="AN24" s="8">
        <v>81.2</v>
      </c>
      <c r="AO24" s="8">
        <v>67.92</v>
      </c>
      <c r="AP24" s="8">
        <v>72.47</v>
      </c>
      <c r="AQ24" s="8">
        <v>77.13</v>
      </c>
      <c r="AR24" s="8">
        <v>72.11</v>
      </c>
      <c r="AS24" s="8">
        <v>70.290000000000006</v>
      </c>
      <c r="AT24" s="8">
        <v>72.53</v>
      </c>
      <c r="AZ24" s="8">
        <v>78.55</v>
      </c>
      <c r="BB24" s="8">
        <v>78.83</v>
      </c>
      <c r="BC24" s="8">
        <v>49.46</v>
      </c>
      <c r="BD24" s="8">
        <v>49.46</v>
      </c>
      <c r="BT24" s="8">
        <v>66.97</v>
      </c>
      <c r="BU24" s="8">
        <v>66.97</v>
      </c>
      <c r="BX24" s="8">
        <v>72.2</v>
      </c>
      <c r="CN24" s="8">
        <v>82.13</v>
      </c>
      <c r="CO24" s="8">
        <v>78.69</v>
      </c>
      <c r="CP24" s="8">
        <v>82.74</v>
      </c>
      <c r="CQ24" s="8">
        <v>82.56</v>
      </c>
      <c r="DG24" s="8">
        <v>85.27</v>
      </c>
      <c r="DW24" s="8">
        <v>76.98</v>
      </c>
      <c r="DX24" s="8">
        <v>71.31</v>
      </c>
      <c r="DY24" s="8">
        <v>65.510000000000005</v>
      </c>
      <c r="EC24" s="8">
        <v>71.86</v>
      </c>
      <c r="EJ24" s="8">
        <v>71.63</v>
      </c>
      <c r="EK24" s="8">
        <v>75.510000000000005</v>
      </c>
      <c r="EO24" s="8">
        <v>80.849999999999994</v>
      </c>
      <c r="EP24" s="8">
        <v>93.71</v>
      </c>
      <c r="EQ24" s="8">
        <v>78.540000000000006</v>
      </c>
      <c r="ET24" s="8">
        <v>74.81</v>
      </c>
      <c r="EU24" s="8">
        <v>74.5</v>
      </c>
      <c r="EV24" s="8">
        <v>75.03</v>
      </c>
      <c r="EW24" s="8">
        <v>75.290000000000006</v>
      </c>
      <c r="EX24" s="8">
        <v>75.38</v>
      </c>
      <c r="EY24" s="8">
        <v>74.36</v>
      </c>
      <c r="EZ24" s="8">
        <v>67.680000000000007</v>
      </c>
      <c r="FA24" s="8">
        <v>72.48</v>
      </c>
      <c r="FB24" s="8">
        <v>74.25</v>
      </c>
      <c r="FC24" s="8">
        <v>80.45</v>
      </c>
      <c r="FD24" s="8">
        <v>73.92</v>
      </c>
      <c r="FE24" s="8">
        <v>79.069999999999993</v>
      </c>
      <c r="FF24" s="8">
        <v>71.72</v>
      </c>
      <c r="FG24" s="8">
        <v>71.23</v>
      </c>
      <c r="FH24" s="8">
        <v>70.22</v>
      </c>
      <c r="FI24" s="8">
        <v>73.84</v>
      </c>
      <c r="FJ24" s="8">
        <v>76.63</v>
      </c>
      <c r="FK24" s="8">
        <v>77.650000000000006</v>
      </c>
      <c r="FL24" s="8">
        <v>75.37</v>
      </c>
      <c r="FM24" s="8">
        <v>73.849999999999994</v>
      </c>
      <c r="FN24" s="8">
        <v>63.83</v>
      </c>
      <c r="FO24" s="8">
        <v>79.989999999999995</v>
      </c>
      <c r="FP24" s="8">
        <v>80.37</v>
      </c>
      <c r="FQ24" s="8">
        <v>67.010000000000005</v>
      </c>
      <c r="FR24" s="8">
        <v>72.489999999999995</v>
      </c>
      <c r="FS24" s="8">
        <v>76.67</v>
      </c>
      <c r="FT24" s="8">
        <v>75.540000000000006</v>
      </c>
      <c r="FU24" s="8">
        <v>70.510000000000005</v>
      </c>
      <c r="FV24" s="8">
        <v>77.16</v>
      </c>
      <c r="GB24" s="8">
        <v>76.53</v>
      </c>
      <c r="GD24" s="8">
        <v>81.08</v>
      </c>
      <c r="GE24" s="8">
        <v>48.1</v>
      </c>
      <c r="GF24" s="8">
        <v>48.1</v>
      </c>
      <c r="GV24" s="8">
        <v>63.87</v>
      </c>
      <c r="GW24" s="8">
        <v>63.87</v>
      </c>
      <c r="GZ24" s="8">
        <v>75.11</v>
      </c>
      <c r="HP24" s="8">
        <v>80.14</v>
      </c>
      <c r="HQ24" s="8">
        <v>78.849999999999994</v>
      </c>
      <c r="HR24" s="8">
        <v>84.5</v>
      </c>
      <c r="HS24" s="8">
        <v>77.77</v>
      </c>
      <c r="II24" s="8">
        <v>90.26</v>
      </c>
    </row>
    <row r="25" spans="1:243" x14ac:dyDescent="0.2">
      <c r="A25" s="9">
        <v>43405</v>
      </c>
      <c r="H25" s="8">
        <v>75.55</v>
      </c>
      <c r="I25" s="8">
        <v>75.11</v>
      </c>
      <c r="M25" s="8">
        <v>82.8</v>
      </c>
      <c r="N25" s="8">
        <v>93.73</v>
      </c>
      <c r="O25" s="8">
        <v>81.97</v>
      </c>
      <c r="R25" s="8">
        <v>73.930000000000007</v>
      </c>
      <c r="S25" s="8">
        <v>73.55</v>
      </c>
      <c r="T25" s="8">
        <v>74.17</v>
      </c>
      <c r="U25" s="8">
        <v>74.760000000000005</v>
      </c>
      <c r="V25" s="8">
        <v>74.61</v>
      </c>
      <c r="W25" s="8">
        <v>77.209999999999994</v>
      </c>
      <c r="X25" s="8">
        <v>69.900000000000006</v>
      </c>
      <c r="Y25" s="8">
        <v>76.78</v>
      </c>
      <c r="Z25" s="8">
        <v>77.680000000000007</v>
      </c>
      <c r="AA25" s="8">
        <v>82.23</v>
      </c>
      <c r="AB25" s="8">
        <v>78.489999999999995</v>
      </c>
      <c r="AC25" s="8">
        <v>81</v>
      </c>
      <c r="AD25" s="8">
        <v>73.540000000000006</v>
      </c>
      <c r="AE25" s="8">
        <v>73.349999999999994</v>
      </c>
      <c r="AF25" s="8">
        <v>73.47</v>
      </c>
      <c r="AG25" s="8">
        <v>73.680000000000007</v>
      </c>
      <c r="AH25" s="8">
        <v>82.64</v>
      </c>
      <c r="AI25" s="8">
        <v>84.78</v>
      </c>
      <c r="AJ25" s="8">
        <v>80.16</v>
      </c>
      <c r="AK25" s="8">
        <v>73.94</v>
      </c>
      <c r="AL25" s="8">
        <v>62.75</v>
      </c>
      <c r="AM25" s="8">
        <v>79.510000000000005</v>
      </c>
      <c r="AN25" s="8">
        <v>81.02</v>
      </c>
      <c r="AO25" s="8">
        <v>67.67</v>
      </c>
      <c r="AP25" s="8">
        <v>72.02</v>
      </c>
      <c r="AQ25" s="8">
        <v>77.650000000000006</v>
      </c>
      <c r="AR25" s="8">
        <v>78.55</v>
      </c>
      <c r="AS25" s="8">
        <v>71.55</v>
      </c>
      <c r="AT25" s="8">
        <v>80.290000000000006</v>
      </c>
      <c r="AZ25" s="8">
        <v>77.52</v>
      </c>
      <c r="BB25" s="8">
        <v>77.27</v>
      </c>
      <c r="BC25" s="8">
        <v>50.27</v>
      </c>
      <c r="BD25" s="8">
        <v>50.27</v>
      </c>
      <c r="BT25" s="8">
        <v>67.02</v>
      </c>
      <c r="BU25" s="8">
        <v>67.02</v>
      </c>
      <c r="BX25" s="8">
        <v>72.2</v>
      </c>
      <c r="CN25" s="8">
        <v>82.72</v>
      </c>
      <c r="CO25" s="8">
        <v>78.38</v>
      </c>
      <c r="CP25" s="8">
        <v>83.41</v>
      </c>
      <c r="CQ25" s="8">
        <v>83.29</v>
      </c>
      <c r="DG25" s="8">
        <v>73.680000000000007</v>
      </c>
      <c r="DW25" s="8">
        <v>73.900000000000006</v>
      </c>
      <c r="DX25" s="8">
        <v>69.290000000000006</v>
      </c>
      <c r="DY25" s="8">
        <v>62.1</v>
      </c>
      <c r="EC25" s="8">
        <v>73.94</v>
      </c>
      <c r="EJ25" s="8">
        <v>71.63</v>
      </c>
      <c r="EK25" s="8">
        <v>75.510000000000005</v>
      </c>
      <c r="EO25" s="8">
        <v>80.849999999999994</v>
      </c>
      <c r="EP25" s="8">
        <v>93.73</v>
      </c>
      <c r="EQ25" s="8">
        <v>78.540000000000006</v>
      </c>
      <c r="ET25" s="8">
        <v>74.540000000000006</v>
      </c>
      <c r="EU25" s="8">
        <v>74.459999999999994</v>
      </c>
      <c r="EV25" s="8">
        <v>74.459999999999994</v>
      </c>
      <c r="EW25" s="8">
        <v>75.83</v>
      </c>
      <c r="EX25" s="8">
        <v>74.94</v>
      </c>
      <c r="EY25" s="8">
        <v>74.790000000000006</v>
      </c>
      <c r="EZ25" s="8">
        <v>67.84</v>
      </c>
      <c r="FA25" s="8">
        <v>73.790000000000006</v>
      </c>
      <c r="FB25" s="8">
        <v>74.13</v>
      </c>
      <c r="FC25" s="8">
        <v>81.06</v>
      </c>
      <c r="FD25" s="8">
        <v>74.52</v>
      </c>
      <c r="FE25" s="8">
        <v>78.930000000000007</v>
      </c>
      <c r="FF25" s="8">
        <v>72.010000000000005</v>
      </c>
      <c r="FG25" s="8">
        <v>71.61</v>
      </c>
      <c r="FH25" s="8">
        <v>70.52</v>
      </c>
      <c r="FI25" s="8">
        <v>74</v>
      </c>
      <c r="FJ25" s="8">
        <v>75.489999999999995</v>
      </c>
      <c r="FK25" s="8">
        <v>77.23</v>
      </c>
      <c r="FL25" s="8">
        <v>73.61</v>
      </c>
      <c r="FM25" s="8">
        <v>73.930000000000007</v>
      </c>
      <c r="FN25" s="8">
        <v>63.66</v>
      </c>
      <c r="FO25" s="8">
        <v>79.73</v>
      </c>
      <c r="FP25" s="8">
        <v>80.569999999999993</v>
      </c>
      <c r="FQ25" s="8">
        <v>66.95</v>
      </c>
      <c r="FR25" s="8">
        <v>72.39</v>
      </c>
      <c r="FS25" s="8">
        <v>77.150000000000006</v>
      </c>
      <c r="FT25" s="8">
        <v>76.05</v>
      </c>
      <c r="FU25" s="8">
        <v>71.62</v>
      </c>
      <c r="FV25" s="8">
        <v>77.459999999999994</v>
      </c>
      <c r="GB25" s="8">
        <v>75.81</v>
      </c>
      <c r="GD25" s="8">
        <v>80.13</v>
      </c>
      <c r="GE25" s="8">
        <v>48.75</v>
      </c>
      <c r="GF25" s="8">
        <v>48.75</v>
      </c>
      <c r="GV25" s="8">
        <v>63.91</v>
      </c>
      <c r="GW25" s="8">
        <v>63.91</v>
      </c>
      <c r="GZ25" s="8">
        <v>75.11</v>
      </c>
      <c r="HP25" s="8">
        <v>80.67</v>
      </c>
      <c r="HQ25" s="8">
        <v>78.319999999999993</v>
      </c>
      <c r="HR25" s="8">
        <v>84.95</v>
      </c>
      <c r="HS25" s="8">
        <v>78.53</v>
      </c>
      <c r="II25" s="8">
        <v>82.74</v>
      </c>
    </row>
    <row r="26" spans="1:243" x14ac:dyDescent="0.2">
      <c r="A26" s="9">
        <v>43435</v>
      </c>
      <c r="H26" s="8">
        <v>75.55</v>
      </c>
      <c r="I26" s="8">
        <v>75.11</v>
      </c>
      <c r="M26" s="8">
        <v>82.45</v>
      </c>
      <c r="N26" s="8">
        <v>93.74</v>
      </c>
      <c r="O26" s="8">
        <v>81.58</v>
      </c>
      <c r="R26" s="8">
        <v>74.92</v>
      </c>
      <c r="S26" s="8">
        <v>75.12</v>
      </c>
      <c r="T26" s="8">
        <v>74.14</v>
      </c>
      <c r="U26" s="8">
        <v>76.45</v>
      </c>
      <c r="V26" s="8">
        <v>77.56</v>
      </c>
      <c r="W26" s="8">
        <v>77.36</v>
      </c>
      <c r="X26" s="8">
        <v>70.099999999999994</v>
      </c>
      <c r="Y26" s="8">
        <v>77.11</v>
      </c>
      <c r="Z26" s="8">
        <v>78.290000000000006</v>
      </c>
      <c r="AA26" s="8">
        <v>82.88</v>
      </c>
      <c r="AB26" s="8">
        <v>77.94</v>
      </c>
      <c r="AC26" s="8">
        <v>80.790000000000006</v>
      </c>
      <c r="AD26" s="8">
        <v>74.5</v>
      </c>
      <c r="AE26" s="8">
        <v>74.5</v>
      </c>
      <c r="AF26" s="8">
        <v>73.510000000000005</v>
      </c>
      <c r="AG26" s="8">
        <v>75.16</v>
      </c>
      <c r="AH26" s="8">
        <v>83.04</v>
      </c>
      <c r="AI26" s="8">
        <v>83.62</v>
      </c>
      <c r="AJ26" s="8">
        <v>81.98</v>
      </c>
      <c r="AK26" s="8">
        <v>74.599999999999994</v>
      </c>
      <c r="AL26" s="8">
        <v>63</v>
      </c>
      <c r="AM26" s="8">
        <v>80.150000000000006</v>
      </c>
      <c r="AN26" s="8">
        <v>79.69</v>
      </c>
      <c r="AO26" s="8">
        <v>68.37</v>
      </c>
      <c r="AP26" s="8">
        <v>72.900000000000006</v>
      </c>
      <c r="AQ26" s="8">
        <v>78.88</v>
      </c>
      <c r="AR26" s="8">
        <v>78</v>
      </c>
      <c r="AS26" s="8">
        <v>72.33</v>
      </c>
      <c r="AT26" s="8">
        <v>79.400000000000006</v>
      </c>
      <c r="AZ26" s="8">
        <v>77.84</v>
      </c>
      <c r="BB26" s="8">
        <v>76.959999999999994</v>
      </c>
      <c r="BC26" s="8">
        <v>50</v>
      </c>
      <c r="BD26" s="8">
        <v>50</v>
      </c>
      <c r="BT26" s="8">
        <v>66.92</v>
      </c>
      <c r="BU26" s="8">
        <v>66.92</v>
      </c>
      <c r="BX26" s="8">
        <v>72.2</v>
      </c>
      <c r="CN26" s="8">
        <v>82.85</v>
      </c>
      <c r="CO26" s="8">
        <v>80.150000000000006</v>
      </c>
      <c r="CP26" s="8">
        <v>84.52</v>
      </c>
      <c r="CQ26" s="8">
        <v>82.41</v>
      </c>
      <c r="DG26" s="8">
        <v>72.8</v>
      </c>
      <c r="DW26" s="8">
        <v>83.92</v>
      </c>
      <c r="DX26" s="8">
        <v>79.61</v>
      </c>
      <c r="DY26" s="8">
        <v>69.650000000000006</v>
      </c>
      <c r="EC26" s="8">
        <v>73.88</v>
      </c>
      <c r="EJ26" s="8">
        <v>71.63</v>
      </c>
      <c r="EK26" s="8">
        <v>75.510000000000005</v>
      </c>
      <c r="EO26" s="8">
        <v>80.489999999999995</v>
      </c>
      <c r="EP26" s="8">
        <v>93.74</v>
      </c>
      <c r="EQ26" s="8">
        <v>78.099999999999994</v>
      </c>
      <c r="ET26" s="8">
        <v>75.38</v>
      </c>
      <c r="EU26" s="8">
        <v>75.48</v>
      </c>
      <c r="EV26" s="8">
        <v>74.489999999999995</v>
      </c>
      <c r="EW26" s="8">
        <v>77.7</v>
      </c>
      <c r="EX26" s="8">
        <v>77.73</v>
      </c>
      <c r="EY26" s="8">
        <v>75.25</v>
      </c>
      <c r="EZ26" s="8">
        <v>67.75</v>
      </c>
      <c r="FA26" s="8">
        <v>74.7</v>
      </c>
      <c r="FB26" s="8">
        <v>74.97</v>
      </c>
      <c r="FC26" s="8">
        <v>81.39</v>
      </c>
      <c r="FD26" s="8">
        <v>74.760000000000005</v>
      </c>
      <c r="FE26" s="8">
        <v>80.12</v>
      </c>
      <c r="FF26" s="8">
        <v>72.63</v>
      </c>
      <c r="FG26" s="8">
        <v>71.98</v>
      </c>
      <c r="FH26" s="8">
        <v>70.650000000000006</v>
      </c>
      <c r="FI26" s="8">
        <v>75.45</v>
      </c>
      <c r="FJ26" s="8">
        <v>76.69</v>
      </c>
      <c r="FK26" s="8">
        <v>76.63</v>
      </c>
      <c r="FL26" s="8">
        <v>76.36</v>
      </c>
      <c r="FM26" s="8">
        <v>74.45</v>
      </c>
      <c r="FN26" s="8">
        <v>63.69</v>
      </c>
      <c r="FO26" s="8">
        <v>80.39</v>
      </c>
      <c r="FP26" s="8">
        <v>79.489999999999995</v>
      </c>
      <c r="FQ26" s="8">
        <v>67.790000000000006</v>
      </c>
      <c r="FR26" s="8">
        <v>73.11</v>
      </c>
      <c r="FS26" s="8">
        <v>78.08</v>
      </c>
      <c r="FT26" s="8">
        <v>75.19</v>
      </c>
      <c r="FU26" s="8">
        <v>72.45</v>
      </c>
      <c r="FV26" s="8">
        <v>76.05</v>
      </c>
      <c r="GB26" s="8">
        <v>76.209999999999994</v>
      </c>
      <c r="GD26" s="8">
        <v>80.05</v>
      </c>
      <c r="GE26" s="8">
        <v>48.55</v>
      </c>
      <c r="GF26" s="8">
        <v>48.55</v>
      </c>
      <c r="GV26" s="8">
        <v>63.97</v>
      </c>
      <c r="GW26" s="8">
        <v>63.97</v>
      </c>
      <c r="GZ26" s="8">
        <v>75.11</v>
      </c>
      <c r="HP26" s="8">
        <v>80.86</v>
      </c>
      <c r="HQ26" s="8">
        <v>80.08</v>
      </c>
      <c r="HR26" s="8">
        <v>86.18</v>
      </c>
      <c r="HS26" s="8">
        <v>77.77</v>
      </c>
      <c r="II26" s="8">
        <v>71.790000000000006</v>
      </c>
    </row>
    <row r="27" spans="1:243" x14ac:dyDescent="0.2">
      <c r="A27" s="9">
        <v>43466</v>
      </c>
      <c r="H27" s="8">
        <v>75.55</v>
      </c>
      <c r="I27" s="8">
        <v>75.11</v>
      </c>
      <c r="M27" s="8">
        <v>82.46</v>
      </c>
      <c r="N27" s="8">
        <v>93.89</v>
      </c>
      <c r="O27" s="8">
        <v>81.58</v>
      </c>
      <c r="R27" s="8">
        <v>74.88</v>
      </c>
      <c r="S27" s="8">
        <v>74.650000000000006</v>
      </c>
      <c r="T27" s="8">
        <v>74.91</v>
      </c>
      <c r="U27" s="8">
        <v>75.319999999999993</v>
      </c>
      <c r="V27" s="8">
        <v>76.430000000000007</v>
      </c>
      <c r="W27" s="8">
        <v>78.400000000000006</v>
      </c>
      <c r="X27" s="8">
        <v>70.8</v>
      </c>
      <c r="Y27" s="8">
        <v>77.28</v>
      </c>
      <c r="Z27" s="8">
        <v>80.849999999999994</v>
      </c>
      <c r="AA27" s="8">
        <v>85.4</v>
      </c>
      <c r="AB27" s="8">
        <v>78.540000000000006</v>
      </c>
      <c r="AC27" s="8">
        <v>81.25</v>
      </c>
      <c r="AD27" s="8">
        <v>74.180000000000007</v>
      </c>
      <c r="AE27" s="8">
        <v>73.819999999999993</v>
      </c>
      <c r="AF27" s="8">
        <v>73.760000000000005</v>
      </c>
      <c r="AG27" s="8">
        <v>74.83</v>
      </c>
      <c r="AH27" s="8">
        <v>82.77</v>
      </c>
      <c r="AI27" s="8">
        <v>81.5</v>
      </c>
      <c r="AJ27" s="8">
        <v>83.42</v>
      </c>
      <c r="AK27" s="8">
        <v>74.900000000000006</v>
      </c>
      <c r="AL27" s="8">
        <v>62.9</v>
      </c>
      <c r="AM27" s="8">
        <v>80.14</v>
      </c>
      <c r="AN27" s="8">
        <v>81.290000000000006</v>
      </c>
      <c r="AO27" s="8">
        <v>68.37</v>
      </c>
      <c r="AP27" s="8">
        <v>73.47</v>
      </c>
      <c r="AQ27" s="8">
        <v>78.489999999999995</v>
      </c>
      <c r="AR27" s="8">
        <v>79.17</v>
      </c>
      <c r="AS27" s="8">
        <v>72.099999999999994</v>
      </c>
      <c r="AT27" s="8">
        <v>80.91</v>
      </c>
      <c r="AZ27" s="8">
        <v>78.73</v>
      </c>
      <c r="BB27" s="8">
        <v>78.16</v>
      </c>
      <c r="BC27" s="8">
        <v>49.7</v>
      </c>
      <c r="BD27" s="8">
        <v>49.7</v>
      </c>
      <c r="BT27" s="8">
        <v>66.36</v>
      </c>
      <c r="BU27" s="8">
        <v>66.36</v>
      </c>
      <c r="BX27" s="8">
        <v>72.2</v>
      </c>
      <c r="CN27" s="8">
        <v>82.63</v>
      </c>
      <c r="CO27" s="8">
        <v>78.22</v>
      </c>
      <c r="CP27" s="8">
        <v>85</v>
      </c>
      <c r="CQ27" s="8">
        <v>82.08</v>
      </c>
      <c r="DG27" s="8">
        <v>67.73</v>
      </c>
      <c r="DW27" s="8">
        <v>80.25</v>
      </c>
      <c r="DX27" s="8">
        <v>72.73</v>
      </c>
      <c r="DY27" s="8">
        <v>69.81</v>
      </c>
      <c r="EC27" s="8">
        <v>74.59</v>
      </c>
      <c r="EJ27" s="8">
        <v>71.63</v>
      </c>
      <c r="EK27" s="8">
        <v>75.510000000000005</v>
      </c>
      <c r="EO27" s="8">
        <v>80.52</v>
      </c>
      <c r="EP27" s="8">
        <v>93.89</v>
      </c>
      <c r="EQ27" s="8">
        <v>78.099999999999994</v>
      </c>
      <c r="ET27" s="8">
        <v>75.430000000000007</v>
      </c>
      <c r="EU27" s="8">
        <v>75.53</v>
      </c>
      <c r="EV27" s="8">
        <v>75</v>
      </c>
      <c r="EW27" s="8">
        <v>76.06</v>
      </c>
      <c r="EX27" s="8">
        <v>77.14</v>
      </c>
      <c r="EY27" s="8">
        <v>75.73</v>
      </c>
      <c r="EZ27" s="8">
        <v>68.41</v>
      </c>
      <c r="FA27" s="8">
        <v>74.23</v>
      </c>
      <c r="FB27" s="8">
        <v>76.58</v>
      </c>
      <c r="FC27" s="8">
        <v>82.91</v>
      </c>
      <c r="FD27" s="8">
        <v>74.58</v>
      </c>
      <c r="FE27" s="8">
        <v>80.040000000000006</v>
      </c>
      <c r="FF27" s="8">
        <v>72.540000000000006</v>
      </c>
      <c r="FG27" s="8">
        <v>71.77</v>
      </c>
      <c r="FH27" s="8">
        <v>70.989999999999995</v>
      </c>
      <c r="FI27" s="8">
        <v>75.069999999999993</v>
      </c>
      <c r="FJ27" s="8">
        <v>76.72</v>
      </c>
      <c r="FK27" s="8">
        <v>76</v>
      </c>
      <c r="FL27" s="8">
        <v>76.959999999999994</v>
      </c>
      <c r="FM27" s="8">
        <v>74.87</v>
      </c>
      <c r="FN27" s="8">
        <v>64.349999999999994</v>
      </c>
      <c r="FO27" s="8">
        <v>80.36</v>
      </c>
      <c r="FP27" s="8">
        <v>81.13</v>
      </c>
      <c r="FQ27" s="8">
        <v>67.61</v>
      </c>
      <c r="FR27" s="8">
        <v>73.650000000000006</v>
      </c>
      <c r="FS27" s="8">
        <v>77.98</v>
      </c>
      <c r="FT27" s="8">
        <v>76.3</v>
      </c>
      <c r="FU27" s="8">
        <v>72.34</v>
      </c>
      <c r="FV27" s="8">
        <v>77.56</v>
      </c>
      <c r="GB27" s="8">
        <v>77.72</v>
      </c>
      <c r="GD27" s="8">
        <v>80.23</v>
      </c>
      <c r="GE27" s="8">
        <v>48.35</v>
      </c>
      <c r="GF27" s="8">
        <v>48.35</v>
      </c>
      <c r="GV27" s="8">
        <v>64.16</v>
      </c>
      <c r="GW27" s="8">
        <v>64.16</v>
      </c>
      <c r="GZ27" s="8">
        <v>75.11</v>
      </c>
      <c r="HP27" s="8">
        <v>80.84</v>
      </c>
      <c r="HQ27" s="8">
        <v>78.12</v>
      </c>
      <c r="HR27" s="8">
        <v>86.58</v>
      </c>
      <c r="HS27" s="8">
        <v>77.78</v>
      </c>
      <c r="II27" s="8">
        <v>70.88</v>
      </c>
    </row>
    <row r="28" spans="1:243" x14ac:dyDescent="0.2">
      <c r="A28" s="9">
        <v>43497</v>
      </c>
      <c r="H28" s="8">
        <v>78.58</v>
      </c>
      <c r="I28" s="8">
        <v>76.239999999999995</v>
      </c>
      <c r="M28" s="8">
        <v>82.46</v>
      </c>
      <c r="N28" s="8">
        <v>93.91</v>
      </c>
      <c r="O28" s="8">
        <v>81.58</v>
      </c>
      <c r="R28" s="8">
        <v>75.23</v>
      </c>
      <c r="S28" s="8">
        <v>74.930000000000007</v>
      </c>
      <c r="T28" s="8">
        <v>75.260000000000005</v>
      </c>
      <c r="U28" s="8">
        <v>75.489999999999995</v>
      </c>
      <c r="V28" s="8">
        <v>77.3</v>
      </c>
      <c r="W28" s="8">
        <v>78.69</v>
      </c>
      <c r="X28" s="8">
        <v>71.27</v>
      </c>
      <c r="Y28" s="8">
        <v>77.739999999999995</v>
      </c>
      <c r="Z28" s="8">
        <v>80.12</v>
      </c>
      <c r="AA28" s="8">
        <v>85.5</v>
      </c>
      <c r="AB28" s="8">
        <v>79.489999999999995</v>
      </c>
      <c r="AC28" s="8">
        <v>81.08</v>
      </c>
      <c r="AD28" s="8">
        <v>73.8</v>
      </c>
      <c r="AE28" s="8">
        <v>72.89</v>
      </c>
      <c r="AF28" s="8">
        <v>74.42</v>
      </c>
      <c r="AG28" s="8">
        <v>74.319999999999993</v>
      </c>
      <c r="AH28" s="8">
        <v>88.31</v>
      </c>
      <c r="AI28" s="8">
        <v>89.59</v>
      </c>
      <c r="AJ28" s="8">
        <v>86.58</v>
      </c>
      <c r="AK28" s="8">
        <v>74.489999999999995</v>
      </c>
      <c r="AL28" s="8">
        <v>62.28</v>
      </c>
      <c r="AM28" s="8">
        <v>80.209999999999994</v>
      </c>
      <c r="AN28" s="8">
        <v>81.5</v>
      </c>
      <c r="AO28" s="8">
        <v>67.84</v>
      </c>
      <c r="AP28" s="8">
        <v>73.260000000000005</v>
      </c>
      <c r="AQ28" s="8">
        <v>77.540000000000006</v>
      </c>
      <c r="AR28" s="8">
        <v>79.5</v>
      </c>
      <c r="AS28" s="8">
        <v>72.08</v>
      </c>
      <c r="AT28" s="8">
        <v>81.34</v>
      </c>
      <c r="AZ28" s="8">
        <v>79.349999999999994</v>
      </c>
      <c r="BB28" s="8">
        <v>78.989999999999995</v>
      </c>
      <c r="BC28" s="8">
        <v>49.52</v>
      </c>
      <c r="BD28" s="8">
        <v>49.52</v>
      </c>
      <c r="BT28" s="8">
        <v>66.599999999999994</v>
      </c>
      <c r="BU28" s="8">
        <v>66.599999999999994</v>
      </c>
      <c r="BX28" s="8">
        <v>72.2</v>
      </c>
      <c r="CN28" s="8">
        <v>82.96</v>
      </c>
      <c r="CO28" s="8">
        <v>78.92</v>
      </c>
      <c r="CP28" s="8">
        <v>84.74</v>
      </c>
      <c r="CQ28" s="8">
        <v>82.72</v>
      </c>
      <c r="DG28" s="8">
        <v>70.400000000000006</v>
      </c>
      <c r="DW28" s="8">
        <v>73.33</v>
      </c>
      <c r="DX28" s="8">
        <v>67.41</v>
      </c>
      <c r="DY28" s="8">
        <v>62.9</v>
      </c>
      <c r="EC28" s="8">
        <v>73.260000000000005</v>
      </c>
      <c r="EJ28" s="8">
        <v>74.459999999999994</v>
      </c>
      <c r="EK28" s="8">
        <v>76.540000000000006</v>
      </c>
      <c r="EO28" s="8">
        <v>80.52</v>
      </c>
      <c r="EP28" s="8">
        <v>93.91</v>
      </c>
      <c r="EQ28" s="8">
        <v>78.099999999999994</v>
      </c>
      <c r="ET28" s="8">
        <v>75.739999999999995</v>
      </c>
      <c r="EU28" s="8">
        <v>75.680000000000007</v>
      </c>
      <c r="EV28" s="8">
        <v>75.510000000000005</v>
      </c>
      <c r="EW28" s="8">
        <v>76.52</v>
      </c>
      <c r="EX28" s="8">
        <v>77.08</v>
      </c>
      <c r="EY28" s="8">
        <v>76.14</v>
      </c>
      <c r="EZ28" s="8">
        <v>69.7</v>
      </c>
      <c r="FA28" s="8">
        <v>74.7</v>
      </c>
      <c r="FB28" s="8">
        <v>76.44</v>
      </c>
      <c r="FC28" s="8">
        <v>83.28</v>
      </c>
      <c r="FD28" s="8">
        <v>75.12</v>
      </c>
      <c r="FE28" s="8">
        <v>79.06</v>
      </c>
      <c r="FF28" s="8">
        <v>72.569999999999993</v>
      </c>
      <c r="FG28" s="8">
        <v>71.5</v>
      </c>
      <c r="FH28" s="8">
        <v>71.63</v>
      </c>
      <c r="FI28" s="8">
        <v>74.87</v>
      </c>
      <c r="FJ28" s="8">
        <v>81.99</v>
      </c>
      <c r="FK28" s="8">
        <v>84.57</v>
      </c>
      <c r="FL28" s="8">
        <v>79.36</v>
      </c>
      <c r="FM28" s="8">
        <v>74.37</v>
      </c>
      <c r="FN28" s="8">
        <v>64.14</v>
      </c>
      <c r="FO28" s="8">
        <v>80.34</v>
      </c>
      <c r="FP28" s="8">
        <v>80.959999999999994</v>
      </c>
      <c r="FQ28" s="8">
        <v>67.39</v>
      </c>
      <c r="FR28" s="8">
        <v>73.27</v>
      </c>
      <c r="FS28" s="8">
        <v>76.89</v>
      </c>
      <c r="FT28" s="8">
        <v>76.760000000000005</v>
      </c>
      <c r="FU28" s="8">
        <v>72.27</v>
      </c>
      <c r="FV28" s="8">
        <v>78.2</v>
      </c>
      <c r="GB28" s="8">
        <v>77.37</v>
      </c>
      <c r="GD28" s="8">
        <v>80.48</v>
      </c>
      <c r="GE28" s="8">
        <v>48.26</v>
      </c>
      <c r="GF28" s="8">
        <v>48.26</v>
      </c>
      <c r="GV28" s="8">
        <v>64.16</v>
      </c>
      <c r="GW28" s="8">
        <v>64.16</v>
      </c>
      <c r="GZ28" s="8">
        <v>75.11</v>
      </c>
      <c r="HP28" s="8">
        <v>81.12</v>
      </c>
      <c r="HQ28" s="8">
        <v>78.760000000000005</v>
      </c>
      <c r="HR28" s="8">
        <v>86.3</v>
      </c>
      <c r="HS28" s="8">
        <v>78.37</v>
      </c>
      <c r="II28" s="8">
        <v>76.2</v>
      </c>
    </row>
    <row r="29" spans="1:243" x14ac:dyDescent="0.2">
      <c r="A29" s="9">
        <v>43525</v>
      </c>
      <c r="H29" s="8">
        <v>78.58</v>
      </c>
      <c r="I29" s="8">
        <v>76.239999999999995</v>
      </c>
      <c r="M29" s="8">
        <v>81.99</v>
      </c>
      <c r="N29" s="8">
        <v>93.93</v>
      </c>
      <c r="O29" s="8">
        <v>81.06</v>
      </c>
      <c r="R29" s="8">
        <v>75.67</v>
      </c>
      <c r="S29" s="8">
        <v>76.14</v>
      </c>
      <c r="T29" s="8">
        <v>74.88</v>
      </c>
      <c r="U29" s="8">
        <v>76.83</v>
      </c>
      <c r="V29" s="8">
        <v>77.55</v>
      </c>
      <c r="W29" s="8">
        <v>78.459999999999994</v>
      </c>
      <c r="X29" s="8">
        <v>72.06</v>
      </c>
      <c r="Y29" s="8">
        <v>77.81</v>
      </c>
      <c r="Z29" s="8">
        <v>79.849999999999994</v>
      </c>
      <c r="AA29" s="8">
        <v>84.87</v>
      </c>
      <c r="AB29" s="8">
        <v>79.08</v>
      </c>
      <c r="AC29" s="8">
        <v>79.37</v>
      </c>
      <c r="AD29" s="8">
        <v>74.36</v>
      </c>
      <c r="AE29" s="8">
        <v>73.77</v>
      </c>
      <c r="AF29" s="8">
        <v>74.319999999999993</v>
      </c>
      <c r="AG29" s="8">
        <v>75.010000000000005</v>
      </c>
      <c r="AH29" s="8">
        <v>89.68</v>
      </c>
      <c r="AI29" s="8">
        <v>87.72</v>
      </c>
      <c r="AJ29" s="8">
        <v>90.93</v>
      </c>
      <c r="AK29" s="8">
        <v>74.17</v>
      </c>
      <c r="AL29" s="8">
        <v>62.67</v>
      </c>
      <c r="AM29" s="8">
        <v>80.489999999999995</v>
      </c>
      <c r="AN29" s="8">
        <v>81.38</v>
      </c>
      <c r="AO29" s="8">
        <v>66.84</v>
      </c>
      <c r="AP29" s="8">
        <v>73.28</v>
      </c>
      <c r="AQ29" s="8">
        <v>76.59</v>
      </c>
      <c r="AR29" s="8">
        <v>79.7</v>
      </c>
      <c r="AS29" s="8">
        <v>72.23</v>
      </c>
      <c r="AT29" s="8">
        <v>81.540000000000006</v>
      </c>
      <c r="AZ29" s="8">
        <v>78.2</v>
      </c>
      <c r="BB29" s="8">
        <v>80.02</v>
      </c>
      <c r="BC29" s="8">
        <v>49.79</v>
      </c>
      <c r="BD29" s="8">
        <v>49.79</v>
      </c>
      <c r="BT29" s="8">
        <v>67.150000000000006</v>
      </c>
      <c r="BU29" s="8">
        <v>67.150000000000006</v>
      </c>
      <c r="BX29" s="8">
        <v>72.2</v>
      </c>
      <c r="CN29" s="8">
        <v>82.97</v>
      </c>
      <c r="CO29" s="8">
        <v>79.22</v>
      </c>
      <c r="CP29" s="8">
        <v>84.29</v>
      </c>
      <c r="CQ29" s="8">
        <v>83</v>
      </c>
      <c r="DG29" s="8">
        <v>75.09</v>
      </c>
      <c r="DW29" s="8">
        <v>71.78</v>
      </c>
      <c r="DX29" s="8">
        <v>66.77</v>
      </c>
      <c r="DY29" s="8">
        <v>60.83</v>
      </c>
      <c r="EC29" s="8">
        <v>75.27</v>
      </c>
      <c r="EJ29" s="8">
        <v>74.459999999999994</v>
      </c>
      <c r="EK29" s="8">
        <v>76.540000000000006</v>
      </c>
      <c r="EO29" s="8">
        <v>80.84</v>
      </c>
      <c r="EP29" s="8">
        <v>93.93</v>
      </c>
      <c r="EQ29" s="8">
        <v>78.48</v>
      </c>
      <c r="ET29" s="8">
        <v>76.08</v>
      </c>
      <c r="EU29" s="8">
        <v>76.87</v>
      </c>
      <c r="EV29" s="8">
        <v>74.78</v>
      </c>
      <c r="EW29" s="8">
        <v>78.14</v>
      </c>
      <c r="EX29" s="8">
        <v>77.77</v>
      </c>
      <c r="EY29" s="8">
        <v>75.91</v>
      </c>
      <c r="EZ29" s="8">
        <v>70.12</v>
      </c>
      <c r="FA29" s="8">
        <v>74.38</v>
      </c>
      <c r="FB29" s="8">
        <v>77.31</v>
      </c>
      <c r="FC29" s="8">
        <v>82.96</v>
      </c>
      <c r="FD29" s="8">
        <v>74.47</v>
      </c>
      <c r="FE29" s="8">
        <v>77.760000000000005</v>
      </c>
      <c r="FF29" s="8">
        <v>72.84</v>
      </c>
      <c r="FG29" s="8">
        <v>72.14</v>
      </c>
      <c r="FH29" s="8">
        <v>71.34</v>
      </c>
      <c r="FI29" s="8">
        <v>75.22</v>
      </c>
      <c r="FJ29" s="8">
        <v>83.69</v>
      </c>
      <c r="FK29" s="8">
        <v>84.56</v>
      </c>
      <c r="FL29" s="8">
        <v>82.54</v>
      </c>
      <c r="FM29" s="8">
        <v>74.02</v>
      </c>
      <c r="FN29" s="8">
        <v>64.31</v>
      </c>
      <c r="FO29" s="8">
        <v>80.599999999999994</v>
      </c>
      <c r="FP29" s="8">
        <v>81.010000000000005</v>
      </c>
      <c r="FQ29" s="8">
        <v>66.31</v>
      </c>
      <c r="FR29" s="8">
        <v>73.16</v>
      </c>
      <c r="FS29" s="8">
        <v>75.930000000000007</v>
      </c>
      <c r="FT29" s="8">
        <v>77.12</v>
      </c>
      <c r="FU29" s="8">
        <v>72.02</v>
      </c>
      <c r="FV29" s="8">
        <v>78.760000000000005</v>
      </c>
      <c r="GB29" s="8">
        <v>76.739999999999995</v>
      </c>
      <c r="GD29" s="8">
        <v>80.87</v>
      </c>
      <c r="GE29" s="8">
        <v>48.57</v>
      </c>
      <c r="GF29" s="8">
        <v>48.57</v>
      </c>
      <c r="GV29" s="8">
        <v>64.19</v>
      </c>
      <c r="GW29" s="8">
        <v>64.19</v>
      </c>
      <c r="GZ29" s="8">
        <v>75.11</v>
      </c>
      <c r="HP29" s="8">
        <v>81.010000000000005</v>
      </c>
      <c r="HQ29" s="8">
        <v>79.099999999999994</v>
      </c>
      <c r="HR29" s="8">
        <v>85.84</v>
      </c>
      <c r="HS29" s="8">
        <v>78.42</v>
      </c>
      <c r="II29" s="8">
        <v>78.61</v>
      </c>
    </row>
    <row r="30" spans="1:243" x14ac:dyDescent="0.2">
      <c r="A30" s="9">
        <v>43556</v>
      </c>
      <c r="H30" s="8">
        <v>78.58</v>
      </c>
      <c r="I30" s="8">
        <v>76.239999999999995</v>
      </c>
      <c r="M30" s="8">
        <v>81.99</v>
      </c>
      <c r="N30" s="8">
        <v>93.95</v>
      </c>
      <c r="O30" s="8">
        <v>81.06</v>
      </c>
      <c r="R30" s="8">
        <v>75.819999999999993</v>
      </c>
      <c r="S30" s="8">
        <v>76.16</v>
      </c>
      <c r="T30" s="8">
        <v>74.92</v>
      </c>
      <c r="U30" s="8">
        <v>77.3</v>
      </c>
      <c r="V30" s="8">
        <v>78.53</v>
      </c>
      <c r="W30" s="8">
        <v>78.31</v>
      </c>
      <c r="X30" s="8">
        <v>71.84</v>
      </c>
      <c r="Y30" s="8">
        <v>77.58</v>
      </c>
      <c r="Z30" s="8">
        <v>80.13</v>
      </c>
      <c r="AA30" s="8">
        <v>84.87</v>
      </c>
      <c r="AB30" s="8">
        <v>78.91</v>
      </c>
      <c r="AC30" s="8">
        <v>79.02</v>
      </c>
      <c r="AD30" s="8">
        <v>74.87</v>
      </c>
      <c r="AE30" s="8">
        <v>75.03</v>
      </c>
      <c r="AF30" s="8">
        <v>73.78</v>
      </c>
      <c r="AG30" s="8">
        <v>75.42</v>
      </c>
      <c r="AH30" s="8">
        <v>83.73</v>
      </c>
      <c r="AI30" s="8">
        <v>79.319999999999993</v>
      </c>
      <c r="AJ30" s="8">
        <v>87.27</v>
      </c>
      <c r="AK30" s="8">
        <v>74.349999999999994</v>
      </c>
      <c r="AL30" s="8">
        <v>63.08</v>
      </c>
      <c r="AM30" s="8">
        <v>80.77</v>
      </c>
      <c r="AN30" s="8">
        <v>79.650000000000006</v>
      </c>
      <c r="AO30" s="8">
        <v>67.709999999999994</v>
      </c>
      <c r="AP30" s="8">
        <v>73.599999999999994</v>
      </c>
      <c r="AQ30" s="8">
        <v>77.05</v>
      </c>
      <c r="AR30" s="8">
        <v>78.92</v>
      </c>
      <c r="AS30" s="8">
        <v>70.97</v>
      </c>
      <c r="AT30" s="8">
        <v>80.89</v>
      </c>
      <c r="AZ30" s="8">
        <v>78.77</v>
      </c>
      <c r="BB30" s="8">
        <v>79.47</v>
      </c>
      <c r="BC30" s="8">
        <v>50.57</v>
      </c>
      <c r="BD30" s="8">
        <v>50.57</v>
      </c>
      <c r="BT30" s="8">
        <v>66.67</v>
      </c>
      <c r="BU30" s="8">
        <v>66.67</v>
      </c>
      <c r="BX30" s="8">
        <v>72.2</v>
      </c>
      <c r="CN30" s="8">
        <v>83.78</v>
      </c>
      <c r="CO30" s="8">
        <v>79.81</v>
      </c>
      <c r="CP30" s="8">
        <v>85.84</v>
      </c>
      <c r="CQ30" s="8">
        <v>83.35</v>
      </c>
      <c r="DG30" s="8">
        <v>78.69</v>
      </c>
      <c r="DW30" s="8">
        <v>78.819999999999993</v>
      </c>
      <c r="DX30" s="8">
        <v>71.040000000000006</v>
      </c>
      <c r="DY30" s="8">
        <v>68.94</v>
      </c>
      <c r="EC30" s="8">
        <v>76.930000000000007</v>
      </c>
      <c r="EJ30" s="8">
        <v>74.459999999999994</v>
      </c>
      <c r="EK30" s="8">
        <v>76.540000000000006</v>
      </c>
      <c r="EO30" s="8">
        <v>80.84</v>
      </c>
      <c r="EP30" s="8">
        <v>93.95</v>
      </c>
      <c r="EQ30" s="8">
        <v>78.48</v>
      </c>
      <c r="ET30" s="8">
        <v>76.44</v>
      </c>
      <c r="EU30" s="8">
        <v>77</v>
      </c>
      <c r="EV30" s="8">
        <v>75.22</v>
      </c>
      <c r="EW30" s="8">
        <v>78.05</v>
      </c>
      <c r="EX30" s="8">
        <v>79</v>
      </c>
      <c r="EY30" s="8">
        <v>75.91</v>
      </c>
      <c r="EZ30" s="8">
        <v>69.459999999999994</v>
      </c>
      <c r="FA30" s="8">
        <v>74.760000000000005</v>
      </c>
      <c r="FB30" s="8">
        <v>77.540000000000006</v>
      </c>
      <c r="FC30" s="8">
        <v>82.9</v>
      </c>
      <c r="FD30" s="8">
        <v>75.16</v>
      </c>
      <c r="FE30" s="8">
        <v>77.33</v>
      </c>
      <c r="FF30" s="8">
        <v>73.34</v>
      </c>
      <c r="FG30" s="8">
        <v>73.040000000000006</v>
      </c>
      <c r="FH30" s="8">
        <v>71.349999999999994</v>
      </c>
      <c r="FI30" s="8">
        <v>75.709999999999994</v>
      </c>
      <c r="FJ30" s="8">
        <v>77.73</v>
      </c>
      <c r="FK30" s="8">
        <v>74.66</v>
      </c>
      <c r="FL30" s="8">
        <v>79.989999999999995</v>
      </c>
      <c r="FM30" s="8">
        <v>74.3</v>
      </c>
      <c r="FN30" s="8">
        <v>64.849999999999994</v>
      </c>
      <c r="FO30" s="8">
        <v>80.819999999999993</v>
      </c>
      <c r="FP30" s="8">
        <v>79.86</v>
      </c>
      <c r="FQ30" s="8">
        <v>67.180000000000007</v>
      </c>
      <c r="FR30" s="8">
        <v>73.73</v>
      </c>
      <c r="FS30" s="8">
        <v>76.16</v>
      </c>
      <c r="FT30" s="8">
        <v>76.48</v>
      </c>
      <c r="FU30" s="8">
        <v>71.45</v>
      </c>
      <c r="FV30" s="8">
        <v>78.09</v>
      </c>
      <c r="GB30" s="8">
        <v>77.42</v>
      </c>
      <c r="GD30" s="8">
        <v>81.16</v>
      </c>
      <c r="GE30" s="8">
        <v>49.25</v>
      </c>
      <c r="GF30" s="8">
        <v>49.25</v>
      </c>
      <c r="GV30" s="8">
        <v>64.13</v>
      </c>
      <c r="GW30" s="8">
        <v>64.13</v>
      </c>
      <c r="GZ30" s="8">
        <v>75.11</v>
      </c>
      <c r="HP30" s="8">
        <v>81.849999999999994</v>
      </c>
      <c r="HQ30" s="8">
        <v>79.88</v>
      </c>
      <c r="HR30" s="8">
        <v>87.4</v>
      </c>
      <c r="HS30" s="8">
        <v>78.8</v>
      </c>
      <c r="II30" s="8">
        <v>83.19</v>
      </c>
    </row>
    <row r="31" spans="1:243" x14ac:dyDescent="0.2">
      <c r="A31" s="9">
        <v>43586</v>
      </c>
      <c r="H31" s="8">
        <v>78.58</v>
      </c>
      <c r="I31" s="8">
        <v>76.239999999999995</v>
      </c>
      <c r="M31" s="8">
        <v>81.99</v>
      </c>
      <c r="N31" s="8">
        <v>93.97</v>
      </c>
      <c r="O31" s="8">
        <v>81.06</v>
      </c>
      <c r="R31" s="8">
        <v>75.08</v>
      </c>
      <c r="S31" s="8">
        <v>75.61</v>
      </c>
      <c r="T31" s="8">
        <v>74.41</v>
      </c>
      <c r="U31" s="8">
        <v>74.78</v>
      </c>
      <c r="V31" s="8">
        <v>77.709999999999994</v>
      </c>
      <c r="W31" s="8">
        <v>78.680000000000007</v>
      </c>
      <c r="X31" s="8">
        <v>72.08</v>
      </c>
      <c r="Y31" s="8">
        <v>77.72</v>
      </c>
      <c r="Z31" s="8">
        <v>79.430000000000007</v>
      </c>
      <c r="AA31" s="8">
        <v>84.82</v>
      </c>
      <c r="AB31" s="8">
        <v>79.53</v>
      </c>
      <c r="AC31" s="8">
        <v>80.81</v>
      </c>
      <c r="AD31" s="8">
        <v>74.849999999999994</v>
      </c>
      <c r="AE31" s="8">
        <v>74.67</v>
      </c>
      <c r="AF31" s="8">
        <v>74.31</v>
      </c>
      <c r="AG31" s="8">
        <v>75.37</v>
      </c>
      <c r="AH31" s="8">
        <v>83.42</v>
      </c>
      <c r="AI31" s="8">
        <v>82.74</v>
      </c>
      <c r="AJ31" s="8">
        <v>83.53</v>
      </c>
      <c r="AK31" s="8">
        <v>73.75</v>
      </c>
      <c r="AL31" s="8">
        <v>62.99</v>
      </c>
      <c r="AM31" s="8">
        <v>80.39</v>
      </c>
      <c r="AN31" s="8">
        <v>80.12</v>
      </c>
      <c r="AO31" s="8">
        <v>66.959999999999994</v>
      </c>
      <c r="AP31" s="8">
        <v>73.19</v>
      </c>
      <c r="AQ31" s="8">
        <v>75.63</v>
      </c>
      <c r="AR31" s="8">
        <v>79.75</v>
      </c>
      <c r="AS31" s="8">
        <v>71.39</v>
      </c>
      <c r="AT31" s="8">
        <v>81.819999999999993</v>
      </c>
      <c r="AZ31" s="8">
        <v>79.47</v>
      </c>
      <c r="BB31" s="8">
        <v>79.569999999999993</v>
      </c>
      <c r="BC31" s="8">
        <v>51</v>
      </c>
      <c r="BD31" s="8">
        <v>51</v>
      </c>
      <c r="BT31" s="8">
        <v>66.290000000000006</v>
      </c>
      <c r="BU31" s="8">
        <v>66.290000000000006</v>
      </c>
      <c r="BX31" s="8">
        <v>72.2</v>
      </c>
      <c r="CN31" s="8">
        <v>83.62</v>
      </c>
      <c r="CO31" s="8">
        <v>79.3</v>
      </c>
      <c r="CP31" s="8">
        <v>85.72</v>
      </c>
      <c r="CQ31" s="8">
        <v>83.23</v>
      </c>
      <c r="DG31" s="8">
        <v>80.56</v>
      </c>
      <c r="DW31" s="8">
        <v>75.150000000000006</v>
      </c>
      <c r="DX31" s="8">
        <v>69.400000000000006</v>
      </c>
      <c r="DY31" s="8">
        <v>64.16</v>
      </c>
      <c r="EC31" s="8">
        <v>77.239999999999995</v>
      </c>
      <c r="EJ31" s="8">
        <v>74.459999999999994</v>
      </c>
      <c r="EK31" s="8">
        <v>76.540000000000006</v>
      </c>
      <c r="EO31" s="8">
        <v>80.84</v>
      </c>
      <c r="EP31" s="8">
        <v>93.97</v>
      </c>
      <c r="EQ31" s="8">
        <v>78.48</v>
      </c>
      <c r="ET31" s="8">
        <v>75.59</v>
      </c>
      <c r="EU31" s="8">
        <v>76.39</v>
      </c>
      <c r="EV31" s="8">
        <v>74.5</v>
      </c>
      <c r="EW31" s="8">
        <v>75.69</v>
      </c>
      <c r="EX31" s="8">
        <v>77.89</v>
      </c>
      <c r="EY31" s="8">
        <v>76.62</v>
      </c>
      <c r="EZ31" s="8">
        <v>70.13</v>
      </c>
      <c r="FA31" s="8">
        <v>74.760000000000005</v>
      </c>
      <c r="FB31" s="8">
        <v>78.430000000000007</v>
      </c>
      <c r="FC31" s="8">
        <v>83.33</v>
      </c>
      <c r="FD31" s="8">
        <v>75.75</v>
      </c>
      <c r="FE31" s="8">
        <v>79.319999999999993</v>
      </c>
      <c r="FF31" s="8">
        <v>73.28</v>
      </c>
      <c r="FG31" s="8">
        <v>72.95</v>
      </c>
      <c r="FH31" s="8">
        <v>71.569999999999993</v>
      </c>
      <c r="FI31" s="8">
        <v>75.39</v>
      </c>
      <c r="FJ31" s="8">
        <v>77.56</v>
      </c>
      <c r="FK31" s="8">
        <v>77.38</v>
      </c>
      <c r="FL31" s="8">
        <v>77.319999999999993</v>
      </c>
      <c r="FM31" s="8">
        <v>73.81</v>
      </c>
      <c r="FN31" s="8">
        <v>65</v>
      </c>
      <c r="FO31" s="8">
        <v>80.61</v>
      </c>
      <c r="FP31" s="8">
        <v>79.959999999999994</v>
      </c>
      <c r="FQ31" s="8">
        <v>66.56</v>
      </c>
      <c r="FR31" s="8">
        <v>73.459999999999994</v>
      </c>
      <c r="FS31" s="8">
        <v>74.88</v>
      </c>
      <c r="FT31" s="8">
        <v>76.97</v>
      </c>
      <c r="FU31" s="8">
        <v>71.05</v>
      </c>
      <c r="FV31" s="8">
        <v>78.88</v>
      </c>
      <c r="GB31" s="8">
        <v>77.05</v>
      </c>
      <c r="GD31" s="8">
        <v>81.28</v>
      </c>
      <c r="GE31" s="8">
        <v>49.66</v>
      </c>
      <c r="GF31" s="8">
        <v>49.66</v>
      </c>
      <c r="GV31" s="8">
        <v>64.2</v>
      </c>
      <c r="GW31" s="8">
        <v>64.2</v>
      </c>
      <c r="GZ31" s="8">
        <v>75.11</v>
      </c>
      <c r="HP31" s="8">
        <v>81.540000000000006</v>
      </c>
      <c r="HQ31" s="8">
        <v>78.930000000000007</v>
      </c>
      <c r="HR31" s="8">
        <v>86.93</v>
      </c>
      <c r="HS31" s="8">
        <v>78.7</v>
      </c>
      <c r="II31" s="8">
        <v>86.08</v>
      </c>
    </row>
    <row r="32" spans="1:243" x14ac:dyDescent="0.2">
      <c r="A32" s="9">
        <v>43617</v>
      </c>
      <c r="H32" s="8">
        <v>78.58</v>
      </c>
      <c r="I32" s="8">
        <v>76.239999999999995</v>
      </c>
      <c r="M32" s="8">
        <v>82.17</v>
      </c>
      <c r="N32" s="8">
        <v>92.08</v>
      </c>
      <c r="O32" s="8">
        <v>81.430000000000007</v>
      </c>
      <c r="R32" s="8">
        <v>75.81</v>
      </c>
      <c r="S32" s="8">
        <v>75.62</v>
      </c>
      <c r="T32" s="8">
        <v>76.209999999999994</v>
      </c>
      <c r="U32" s="8">
        <v>74.540000000000006</v>
      </c>
      <c r="V32" s="8">
        <v>77.02</v>
      </c>
      <c r="W32" s="8">
        <v>78.989999999999995</v>
      </c>
      <c r="X32" s="8">
        <v>72.23</v>
      </c>
      <c r="Y32" s="8">
        <v>78.27</v>
      </c>
      <c r="Z32" s="8">
        <v>79.8</v>
      </c>
      <c r="AA32" s="8">
        <v>85.62</v>
      </c>
      <c r="AB32" s="8">
        <v>79.400000000000006</v>
      </c>
      <c r="AC32" s="8">
        <v>81.010000000000005</v>
      </c>
      <c r="AD32" s="8">
        <v>75.260000000000005</v>
      </c>
      <c r="AE32" s="8">
        <v>75.12</v>
      </c>
      <c r="AF32" s="8">
        <v>74.430000000000007</v>
      </c>
      <c r="AG32" s="8">
        <v>75.98</v>
      </c>
      <c r="AH32" s="8">
        <v>81.760000000000005</v>
      </c>
      <c r="AI32" s="8">
        <v>81.11</v>
      </c>
      <c r="AJ32" s="8">
        <v>81.849999999999994</v>
      </c>
      <c r="AK32" s="8">
        <v>73.73</v>
      </c>
      <c r="AL32" s="8">
        <v>63.13</v>
      </c>
      <c r="AM32" s="8">
        <v>80.86</v>
      </c>
      <c r="AN32" s="8">
        <v>80.56</v>
      </c>
      <c r="AO32" s="8">
        <v>67.12</v>
      </c>
      <c r="AP32" s="8">
        <v>72.64</v>
      </c>
      <c r="AQ32" s="8">
        <v>76</v>
      </c>
      <c r="AR32" s="8">
        <v>78.709999999999994</v>
      </c>
      <c r="AS32" s="8">
        <v>69.739999999999995</v>
      </c>
      <c r="AT32" s="8">
        <v>80.94</v>
      </c>
      <c r="AZ32" s="8">
        <v>79.260000000000005</v>
      </c>
      <c r="BB32" s="8">
        <v>79.510000000000005</v>
      </c>
      <c r="BC32" s="8">
        <v>51.22</v>
      </c>
      <c r="BD32" s="8">
        <v>51.22</v>
      </c>
      <c r="BT32" s="8">
        <v>66.13</v>
      </c>
      <c r="BU32" s="8">
        <v>66.13</v>
      </c>
      <c r="BX32" s="8">
        <v>72.2</v>
      </c>
      <c r="CN32" s="8">
        <v>82.79</v>
      </c>
      <c r="CO32" s="8">
        <v>78.63</v>
      </c>
      <c r="CP32" s="8">
        <v>84.55</v>
      </c>
      <c r="CQ32" s="8">
        <v>82.6</v>
      </c>
      <c r="DG32" s="8">
        <v>76.760000000000005</v>
      </c>
      <c r="DW32" s="8">
        <v>77.55</v>
      </c>
      <c r="DX32" s="8">
        <v>70.33</v>
      </c>
      <c r="DY32" s="8">
        <v>67.41</v>
      </c>
      <c r="EC32" s="8">
        <v>76.58</v>
      </c>
      <c r="EJ32" s="8">
        <v>74.459999999999994</v>
      </c>
      <c r="EK32" s="8">
        <v>76.540000000000006</v>
      </c>
      <c r="EO32" s="8">
        <v>80.45</v>
      </c>
      <c r="EP32" s="8">
        <v>92.08</v>
      </c>
      <c r="EQ32" s="8">
        <v>78.39</v>
      </c>
      <c r="ET32" s="8">
        <v>76.27</v>
      </c>
      <c r="EU32" s="8">
        <v>76.349999999999994</v>
      </c>
      <c r="EV32" s="8">
        <v>76.2</v>
      </c>
      <c r="EW32" s="8">
        <v>75.94</v>
      </c>
      <c r="EX32" s="8">
        <v>77.3</v>
      </c>
      <c r="EY32" s="8">
        <v>77.31</v>
      </c>
      <c r="EZ32" s="8">
        <v>70.92</v>
      </c>
      <c r="FA32" s="8">
        <v>75.430000000000007</v>
      </c>
      <c r="FB32" s="8">
        <v>79.02</v>
      </c>
      <c r="FC32" s="8">
        <v>84.3</v>
      </c>
      <c r="FD32" s="8">
        <v>75.98</v>
      </c>
      <c r="FE32" s="8">
        <v>80.2</v>
      </c>
      <c r="FF32" s="8">
        <v>73.91</v>
      </c>
      <c r="FG32" s="8">
        <v>73.66</v>
      </c>
      <c r="FH32" s="8">
        <v>71.98</v>
      </c>
      <c r="FI32" s="8">
        <v>76.14</v>
      </c>
      <c r="FJ32" s="8">
        <v>77.260000000000005</v>
      </c>
      <c r="FK32" s="8">
        <v>76.86</v>
      </c>
      <c r="FL32" s="8">
        <v>77.209999999999994</v>
      </c>
      <c r="FM32" s="8">
        <v>73.930000000000007</v>
      </c>
      <c r="FN32" s="8">
        <v>65.760000000000005</v>
      </c>
      <c r="FO32" s="8">
        <v>80.98</v>
      </c>
      <c r="FP32" s="8">
        <v>80.52</v>
      </c>
      <c r="FQ32" s="8">
        <v>66.73</v>
      </c>
      <c r="FR32" s="8">
        <v>73.11</v>
      </c>
      <c r="FS32" s="8">
        <v>75.34</v>
      </c>
      <c r="FT32" s="8">
        <v>76.23</v>
      </c>
      <c r="FU32" s="8">
        <v>70.06</v>
      </c>
      <c r="FV32" s="8">
        <v>78.22</v>
      </c>
      <c r="GB32" s="8">
        <v>77.08</v>
      </c>
      <c r="GD32" s="8">
        <v>81.2</v>
      </c>
      <c r="GE32" s="8">
        <v>49.78</v>
      </c>
      <c r="GF32" s="8">
        <v>49.78</v>
      </c>
      <c r="GV32" s="8">
        <v>64.2</v>
      </c>
      <c r="GW32" s="8">
        <v>64.2</v>
      </c>
      <c r="GZ32" s="8">
        <v>75.11</v>
      </c>
      <c r="HP32" s="8">
        <v>80.67</v>
      </c>
      <c r="HQ32" s="8">
        <v>78.5</v>
      </c>
      <c r="HR32" s="8">
        <v>85.55</v>
      </c>
      <c r="HS32" s="8">
        <v>78.09</v>
      </c>
      <c r="II32" s="8">
        <v>79.290000000000006</v>
      </c>
    </row>
    <row r="33" spans="1:243" x14ac:dyDescent="0.2">
      <c r="A33" s="9">
        <v>43647</v>
      </c>
      <c r="H33" s="8">
        <v>78.58</v>
      </c>
      <c r="I33" s="8">
        <v>76.239999999999995</v>
      </c>
      <c r="M33" s="8">
        <v>82.22</v>
      </c>
      <c r="N33" s="8">
        <v>92.64</v>
      </c>
      <c r="O33" s="8">
        <v>81.430000000000007</v>
      </c>
      <c r="R33" s="8">
        <v>75.95</v>
      </c>
      <c r="S33" s="8">
        <v>75.790000000000006</v>
      </c>
      <c r="T33" s="8">
        <v>75.63</v>
      </c>
      <c r="U33" s="8">
        <v>77.819999999999993</v>
      </c>
      <c r="V33" s="8">
        <v>77.5</v>
      </c>
      <c r="W33" s="8">
        <v>79.31</v>
      </c>
      <c r="X33" s="8">
        <v>72.05</v>
      </c>
      <c r="Y33" s="8">
        <v>78.63</v>
      </c>
      <c r="Z33" s="8">
        <v>81.44</v>
      </c>
      <c r="AA33" s="8">
        <v>86.22</v>
      </c>
      <c r="AB33" s="8">
        <v>79.459999999999994</v>
      </c>
      <c r="AC33" s="8">
        <v>81.27</v>
      </c>
      <c r="AD33" s="8">
        <v>75.92</v>
      </c>
      <c r="AE33" s="8">
        <v>75.41</v>
      </c>
      <c r="AF33" s="8">
        <v>75.010000000000005</v>
      </c>
      <c r="AG33" s="8">
        <v>77.2</v>
      </c>
      <c r="AH33" s="8">
        <v>81.55</v>
      </c>
      <c r="AI33" s="8">
        <v>80.45</v>
      </c>
      <c r="AJ33" s="8">
        <v>82.06</v>
      </c>
      <c r="AK33" s="8">
        <v>74.510000000000005</v>
      </c>
      <c r="AL33" s="8">
        <v>64.98</v>
      </c>
      <c r="AM33" s="8">
        <v>80.099999999999994</v>
      </c>
      <c r="AN33" s="8">
        <v>80.83</v>
      </c>
      <c r="AO33" s="8">
        <v>67.87</v>
      </c>
      <c r="AP33" s="8">
        <v>73.58</v>
      </c>
      <c r="AQ33" s="8">
        <v>76.84</v>
      </c>
      <c r="AR33" s="8">
        <v>80.03</v>
      </c>
      <c r="AS33" s="8">
        <v>71.010000000000005</v>
      </c>
      <c r="AT33" s="8">
        <v>82.27</v>
      </c>
      <c r="AZ33" s="8">
        <v>80.08</v>
      </c>
      <c r="BB33" s="8">
        <v>80.14</v>
      </c>
      <c r="BC33" s="8">
        <v>51.63</v>
      </c>
      <c r="BD33" s="8">
        <v>51.63</v>
      </c>
      <c r="BT33" s="8">
        <v>66.3</v>
      </c>
      <c r="BU33" s="8">
        <v>66.3</v>
      </c>
      <c r="BX33" s="8">
        <v>72.2</v>
      </c>
      <c r="CN33" s="8">
        <v>83.9</v>
      </c>
      <c r="CO33" s="8">
        <v>80.45</v>
      </c>
      <c r="CP33" s="8">
        <v>85.98</v>
      </c>
      <c r="CQ33" s="8">
        <v>83.35</v>
      </c>
      <c r="DG33" s="8">
        <v>76.680000000000007</v>
      </c>
      <c r="DW33" s="8">
        <v>81.53</v>
      </c>
      <c r="DX33" s="8">
        <v>72.63</v>
      </c>
      <c r="DY33" s="8">
        <v>72.099999999999994</v>
      </c>
      <c r="EC33" s="8">
        <v>78</v>
      </c>
      <c r="EJ33" s="8">
        <v>74.459999999999994</v>
      </c>
      <c r="EK33" s="8">
        <v>76.540000000000006</v>
      </c>
      <c r="EO33" s="8">
        <v>80.540000000000006</v>
      </c>
      <c r="EP33" s="8">
        <v>92.64</v>
      </c>
      <c r="EQ33" s="8">
        <v>78.39</v>
      </c>
      <c r="ET33" s="8">
        <v>76.36</v>
      </c>
      <c r="EU33" s="8">
        <v>76.31</v>
      </c>
      <c r="EV33" s="8">
        <v>75.900000000000006</v>
      </c>
      <c r="EW33" s="8">
        <v>78.55</v>
      </c>
      <c r="EX33" s="8">
        <v>77.510000000000005</v>
      </c>
      <c r="EY33" s="8">
        <v>77.95</v>
      </c>
      <c r="EZ33" s="8">
        <v>71.34</v>
      </c>
      <c r="FA33" s="8">
        <v>76.52</v>
      </c>
      <c r="FB33" s="8">
        <v>79.67</v>
      </c>
      <c r="FC33" s="8">
        <v>84.75</v>
      </c>
      <c r="FD33" s="8">
        <v>77.040000000000006</v>
      </c>
      <c r="FE33" s="8">
        <v>80.400000000000006</v>
      </c>
      <c r="FF33" s="8">
        <v>74.7</v>
      </c>
      <c r="FG33" s="8">
        <v>74.209999999999994</v>
      </c>
      <c r="FH33" s="8">
        <v>72.84</v>
      </c>
      <c r="FI33" s="8">
        <v>77.180000000000007</v>
      </c>
      <c r="FJ33" s="8">
        <v>76.86</v>
      </c>
      <c r="FK33" s="8">
        <v>76.069999999999993</v>
      </c>
      <c r="FL33" s="8">
        <v>77.16</v>
      </c>
      <c r="FM33" s="8">
        <v>74.63</v>
      </c>
      <c r="FN33" s="8">
        <v>66.5</v>
      </c>
      <c r="FO33" s="8">
        <v>80.430000000000007</v>
      </c>
      <c r="FP33" s="8">
        <v>80.61</v>
      </c>
      <c r="FQ33" s="8">
        <v>67.16</v>
      </c>
      <c r="FR33" s="8">
        <v>74.14</v>
      </c>
      <c r="FS33" s="8">
        <v>76.14</v>
      </c>
      <c r="FT33" s="8">
        <v>77.77</v>
      </c>
      <c r="FU33" s="8">
        <v>70.84</v>
      </c>
      <c r="FV33" s="8">
        <v>80.010000000000005</v>
      </c>
      <c r="GB33" s="8">
        <v>77.42</v>
      </c>
      <c r="GD33" s="8">
        <v>81.34</v>
      </c>
      <c r="GE33" s="8">
        <v>50.25</v>
      </c>
      <c r="GF33" s="8">
        <v>50.25</v>
      </c>
      <c r="GV33" s="8">
        <v>64.02</v>
      </c>
      <c r="GW33" s="8">
        <v>64.02</v>
      </c>
      <c r="GZ33" s="8">
        <v>75.11</v>
      </c>
      <c r="HP33" s="8">
        <v>81.77</v>
      </c>
      <c r="HQ33" s="8">
        <v>80.510000000000005</v>
      </c>
      <c r="HR33" s="8">
        <v>87.18</v>
      </c>
      <c r="HS33" s="8">
        <v>78.69</v>
      </c>
      <c r="II33" s="8">
        <v>82.44</v>
      </c>
    </row>
    <row r="34" spans="1:243" x14ac:dyDescent="0.2">
      <c r="A34" s="9">
        <v>43678</v>
      </c>
      <c r="H34" s="8">
        <v>78.58</v>
      </c>
      <c r="I34" s="8">
        <v>76.27</v>
      </c>
      <c r="M34" s="8">
        <v>82.22</v>
      </c>
      <c r="N34" s="8">
        <v>92.66</v>
      </c>
      <c r="O34" s="8">
        <v>81.430000000000007</v>
      </c>
      <c r="R34" s="8">
        <v>76.95</v>
      </c>
      <c r="S34" s="8">
        <v>76.08</v>
      </c>
      <c r="T34" s="8">
        <v>77.319999999999993</v>
      </c>
      <c r="U34" s="8">
        <v>79.290000000000006</v>
      </c>
      <c r="V34" s="8">
        <v>77.58</v>
      </c>
      <c r="W34" s="8">
        <v>80.03</v>
      </c>
      <c r="X34" s="8">
        <v>72.599999999999994</v>
      </c>
      <c r="Y34" s="8">
        <v>79.47</v>
      </c>
      <c r="Z34" s="8">
        <v>82.1</v>
      </c>
      <c r="AA34" s="8">
        <v>86.89</v>
      </c>
      <c r="AB34" s="8">
        <v>80.94</v>
      </c>
      <c r="AC34" s="8">
        <v>81.319999999999993</v>
      </c>
      <c r="AD34" s="8">
        <v>76.900000000000006</v>
      </c>
      <c r="AE34" s="8">
        <v>77.5</v>
      </c>
      <c r="AF34" s="8">
        <v>76.23</v>
      </c>
      <c r="AG34" s="8">
        <v>76.489999999999995</v>
      </c>
      <c r="AH34" s="8">
        <v>81.38</v>
      </c>
      <c r="AI34" s="8">
        <v>80.27</v>
      </c>
      <c r="AJ34" s="8">
        <v>81.900000000000006</v>
      </c>
      <c r="AK34" s="8">
        <v>74.59</v>
      </c>
      <c r="AL34" s="8">
        <v>65.97</v>
      </c>
      <c r="AM34" s="8">
        <v>81.239999999999995</v>
      </c>
      <c r="AN34" s="8">
        <v>81.290000000000006</v>
      </c>
      <c r="AO34" s="8">
        <v>67.59</v>
      </c>
      <c r="AP34" s="8">
        <v>73.290000000000006</v>
      </c>
      <c r="AQ34" s="8">
        <v>76.98</v>
      </c>
      <c r="AR34" s="8">
        <v>79.599999999999994</v>
      </c>
      <c r="AS34" s="8">
        <v>70.97</v>
      </c>
      <c r="AT34" s="8">
        <v>81.75</v>
      </c>
      <c r="AZ34" s="8">
        <v>80.540000000000006</v>
      </c>
      <c r="BB34" s="8">
        <v>80.150000000000006</v>
      </c>
      <c r="BC34" s="8">
        <v>51.5</v>
      </c>
      <c r="BD34" s="8">
        <v>51.5</v>
      </c>
      <c r="BT34" s="8">
        <v>66.489999999999995</v>
      </c>
      <c r="BU34" s="8">
        <v>66.489999999999995</v>
      </c>
      <c r="BX34" s="8">
        <v>72.2</v>
      </c>
      <c r="CN34" s="8">
        <v>83.39</v>
      </c>
      <c r="CO34" s="8">
        <v>79.36</v>
      </c>
      <c r="CP34" s="8">
        <v>84.63</v>
      </c>
      <c r="CQ34" s="8">
        <v>83.53</v>
      </c>
      <c r="DG34" s="8">
        <v>75.42</v>
      </c>
      <c r="DW34" s="8">
        <v>78.38</v>
      </c>
      <c r="DX34" s="8">
        <v>70.39</v>
      </c>
      <c r="DY34" s="8">
        <v>68.790000000000006</v>
      </c>
      <c r="EC34" s="8">
        <v>77.650000000000006</v>
      </c>
      <c r="EJ34" s="8">
        <v>74.459999999999994</v>
      </c>
      <c r="EK34" s="8">
        <v>76.540000000000006</v>
      </c>
      <c r="EO34" s="8">
        <v>80.55</v>
      </c>
      <c r="EP34" s="8">
        <v>92.66</v>
      </c>
      <c r="EQ34" s="8">
        <v>78.39</v>
      </c>
      <c r="ET34" s="8">
        <v>77.38</v>
      </c>
      <c r="EU34" s="8">
        <v>76.62</v>
      </c>
      <c r="EV34" s="8">
        <v>77.680000000000007</v>
      </c>
      <c r="EW34" s="8">
        <v>79.87</v>
      </c>
      <c r="EX34" s="8">
        <v>77.84</v>
      </c>
      <c r="EY34" s="8">
        <v>78.67</v>
      </c>
      <c r="EZ34" s="8">
        <v>72.150000000000006</v>
      </c>
      <c r="FA34" s="8">
        <v>77.180000000000007</v>
      </c>
      <c r="FB34" s="8">
        <v>80.72</v>
      </c>
      <c r="FC34" s="8">
        <v>85.55</v>
      </c>
      <c r="FD34" s="8">
        <v>77.900000000000006</v>
      </c>
      <c r="FE34" s="8">
        <v>80.430000000000007</v>
      </c>
      <c r="FF34" s="8">
        <v>75.62</v>
      </c>
      <c r="FG34" s="8">
        <v>76.06</v>
      </c>
      <c r="FH34" s="8">
        <v>73.88</v>
      </c>
      <c r="FI34" s="8">
        <v>76.77</v>
      </c>
      <c r="FJ34" s="8">
        <v>75.81</v>
      </c>
      <c r="FK34" s="8">
        <v>74.349999999999994</v>
      </c>
      <c r="FL34" s="8">
        <v>76.680000000000007</v>
      </c>
      <c r="FM34" s="8">
        <v>74.569999999999993</v>
      </c>
      <c r="FN34" s="8">
        <v>66.53</v>
      </c>
      <c r="FO34" s="8">
        <v>81.44</v>
      </c>
      <c r="FP34" s="8">
        <v>80.98</v>
      </c>
      <c r="FQ34" s="8">
        <v>67.510000000000005</v>
      </c>
      <c r="FR34" s="8">
        <v>73.58</v>
      </c>
      <c r="FS34" s="8">
        <v>76.31</v>
      </c>
      <c r="FT34" s="8">
        <v>77.41</v>
      </c>
      <c r="FU34" s="8">
        <v>71.08</v>
      </c>
      <c r="FV34" s="8">
        <v>79.45</v>
      </c>
      <c r="GB34" s="8">
        <v>78.069999999999993</v>
      </c>
      <c r="GD34" s="8">
        <v>81.45</v>
      </c>
      <c r="GE34" s="8">
        <v>50.18</v>
      </c>
      <c r="GF34" s="8">
        <v>50.18</v>
      </c>
      <c r="GV34" s="8">
        <v>63.53</v>
      </c>
      <c r="GW34" s="8">
        <v>63.53</v>
      </c>
      <c r="GZ34" s="8">
        <v>75.11</v>
      </c>
      <c r="HP34" s="8">
        <v>81.349999999999994</v>
      </c>
      <c r="HQ34" s="8">
        <v>79.14</v>
      </c>
      <c r="HR34" s="8">
        <v>86.26</v>
      </c>
      <c r="HS34" s="8">
        <v>78.77</v>
      </c>
      <c r="II34" s="8">
        <v>80.400000000000006</v>
      </c>
    </row>
    <row r="35" spans="1:243" x14ac:dyDescent="0.2">
      <c r="A35" s="9">
        <v>43709</v>
      </c>
      <c r="H35" s="8">
        <v>78.58</v>
      </c>
      <c r="I35" s="8">
        <v>76.27</v>
      </c>
      <c r="M35" s="8">
        <v>82.63</v>
      </c>
      <c r="N35" s="8">
        <v>92.68</v>
      </c>
      <c r="O35" s="8">
        <v>81.87</v>
      </c>
      <c r="R35" s="8">
        <v>76.849999999999994</v>
      </c>
      <c r="S35" s="8">
        <v>75.63</v>
      </c>
      <c r="T35" s="8">
        <v>77.739999999999995</v>
      </c>
      <c r="U35" s="8">
        <v>77.94</v>
      </c>
      <c r="V35" s="8">
        <v>77.73</v>
      </c>
      <c r="W35" s="8">
        <v>80.88</v>
      </c>
      <c r="X35" s="8">
        <v>74.28</v>
      </c>
      <c r="Y35" s="8">
        <v>80.91</v>
      </c>
      <c r="Z35" s="8">
        <v>83.23</v>
      </c>
      <c r="AA35" s="8">
        <v>86.47</v>
      </c>
      <c r="AB35" s="8">
        <v>82.21</v>
      </c>
      <c r="AC35" s="8">
        <v>80.88</v>
      </c>
      <c r="AD35" s="8">
        <v>77.55</v>
      </c>
      <c r="AE35" s="8">
        <v>78.290000000000006</v>
      </c>
      <c r="AF35" s="8">
        <v>77.510000000000005</v>
      </c>
      <c r="AG35" s="8">
        <v>76.42</v>
      </c>
      <c r="AH35" s="8">
        <v>78.92</v>
      </c>
      <c r="AI35" s="8">
        <v>75.2</v>
      </c>
      <c r="AJ35" s="8">
        <v>81.87</v>
      </c>
      <c r="AK35" s="8">
        <v>74.180000000000007</v>
      </c>
      <c r="AL35" s="8">
        <v>65.89</v>
      </c>
      <c r="AM35" s="8">
        <v>80.56</v>
      </c>
      <c r="AN35" s="8">
        <v>79.87</v>
      </c>
      <c r="AO35" s="8">
        <v>67.45</v>
      </c>
      <c r="AP35" s="8">
        <v>72.78</v>
      </c>
      <c r="AQ35" s="8">
        <v>77.040000000000006</v>
      </c>
      <c r="AR35" s="8">
        <v>79.08</v>
      </c>
      <c r="AS35" s="8">
        <v>71.069999999999993</v>
      </c>
      <c r="AT35" s="8">
        <v>81.069999999999993</v>
      </c>
      <c r="AZ35" s="8">
        <v>79.88</v>
      </c>
      <c r="BB35" s="8">
        <v>79.81</v>
      </c>
      <c r="BC35" s="8">
        <v>54.56</v>
      </c>
      <c r="BD35" s="8">
        <v>54.56</v>
      </c>
      <c r="BT35" s="8">
        <v>66.709999999999994</v>
      </c>
      <c r="BU35" s="8">
        <v>66.709999999999994</v>
      </c>
      <c r="BX35" s="8">
        <v>74.069999999999993</v>
      </c>
      <c r="CN35" s="8">
        <v>83.02</v>
      </c>
      <c r="CO35" s="8">
        <v>78.959999999999994</v>
      </c>
      <c r="CP35" s="8">
        <v>84.75</v>
      </c>
      <c r="CQ35" s="8">
        <v>82.82</v>
      </c>
      <c r="DG35" s="8">
        <v>77.64</v>
      </c>
      <c r="DW35" s="8">
        <v>79.19</v>
      </c>
      <c r="DX35" s="8">
        <v>71.569999999999993</v>
      </c>
      <c r="DY35" s="8">
        <v>69.069999999999993</v>
      </c>
      <c r="EC35" s="8">
        <v>77.260000000000005</v>
      </c>
      <c r="EJ35" s="8">
        <v>74.459999999999994</v>
      </c>
      <c r="EK35" s="8">
        <v>76.540000000000006</v>
      </c>
      <c r="EO35" s="8">
        <v>80.67</v>
      </c>
      <c r="EP35" s="8">
        <v>92.68</v>
      </c>
      <c r="EQ35" s="8">
        <v>78.540000000000006</v>
      </c>
      <c r="ET35" s="8">
        <v>77.13</v>
      </c>
      <c r="EU35" s="8">
        <v>76.06</v>
      </c>
      <c r="EV35" s="8">
        <v>77.81</v>
      </c>
      <c r="EW35" s="8">
        <v>78.98</v>
      </c>
      <c r="EX35" s="8">
        <v>77.599999999999994</v>
      </c>
      <c r="EY35" s="8">
        <v>79.319999999999993</v>
      </c>
      <c r="EZ35" s="8">
        <v>73.16</v>
      </c>
      <c r="FA35" s="8">
        <v>78.16</v>
      </c>
      <c r="FB35" s="8">
        <v>81.47</v>
      </c>
      <c r="FC35" s="8">
        <v>85.25</v>
      </c>
      <c r="FD35" s="8">
        <v>79.17</v>
      </c>
      <c r="FE35" s="8">
        <v>80.31</v>
      </c>
      <c r="FF35" s="8">
        <v>76.17</v>
      </c>
      <c r="FG35" s="8">
        <v>76.819999999999993</v>
      </c>
      <c r="FH35" s="8">
        <v>74.760000000000005</v>
      </c>
      <c r="FI35" s="8">
        <v>76.69</v>
      </c>
      <c r="FJ35" s="8">
        <v>74.459999999999994</v>
      </c>
      <c r="FK35" s="8">
        <v>71</v>
      </c>
      <c r="FL35" s="8">
        <v>77.069999999999993</v>
      </c>
      <c r="FM35" s="8">
        <v>74.099999999999994</v>
      </c>
      <c r="FN35" s="8">
        <v>66.900000000000006</v>
      </c>
      <c r="FO35" s="8">
        <v>80.709999999999994</v>
      </c>
      <c r="FP35" s="8">
        <v>79.77</v>
      </c>
      <c r="FQ35" s="8">
        <v>66.84</v>
      </c>
      <c r="FR35" s="8">
        <v>72.97</v>
      </c>
      <c r="FS35" s="8">
        <v>76.37</v>
      </c>
      <c r="FT35" s="8">
        <v>76.319999999999993</v>
      </c>
      <c r="FU35" s="8">
        <v>70.94</v>
      </c>
      <c r="FV35" s="8">
        <v>78.05</v>
      </c>
      <c r="GB35" s="8">
        <v>77.75</v>
      </c>
      <c r="GD35" s="8">
        <v>81.25</v>
      </c>
      <c r="GE35" s="8">
        <v>53.15</v>
      </c>
      <c r="GF35" s="8">
        <v>53.15</v>
      </c>
      <c r="GV35" s="8">
        <v>63.66</v>
      </c>
      <c r="GW35" s="8">
        <v>63.66</v>
      </c>
      <c r="GZ35" s="8">
        <v>77.75</v>
      </c>
      <c r="HP35" s="8">
        <v>80.84</v>
      </c>
      <c r="HQ35" s="8">
        <v>78.94</v>
      </c>
      <c r="HR35" s="8">
        <v>85.99</v>
      </c>
      <c r="HS35" s="8">
        <v>78.05</v>
      </c>
      <c r="II35" s="8">
        <v>84.51</v>
      </c>
    </row>
    <row r="36" spans="1:243" x14ac:dyDescent="0.2">
      <c r="A36" s="9">
        <v>43739</v>
      </c>
      <c r="H36" s="8">
        <v>78.58</v>
      </c>
      <c r="I36" s="8">
        <v>76.27</v>
      </c>
      <c r="M36" s="8">
        <v>82.63</v>
      </c>
      <c r="N36" s="8">
        <v>92.7</v>
      </c>
      <c r="O36" s="8">
        <v>81.87</v>
      </c>
      <c r="R36" s="8">
        <v>76.97</v>
      </c>
      <c r="S36" s="8">
        <v>75.709999999999994</v>
      </c>
      <c r="T36" s="8">
        <v>77.98</v>
      </c>
      <c r="U36" s="8">
        <v>77.16</v>
      </c>
      <c r="V36" s="8">
        <v>78.47</v>
      </c>
      <c r="W36" s="8">
        <v>81.739999999999995</v>
      </c>
      <c r="X36" s="8">
        <v>75.3</v>
      </c>
      <c r="Y36" s="8">
        <v>83.2</v>
      </c>
      <c r="Z36" s="8">
        <v>83.68</v>
      </c>
      <c r="AA36" s="8">
        <v>85.61</v>
      </c>
      <c r="AB36" s="8">
        <v>83.4</v>
      </c>
      <c r="AC36" s="8">
        <v>81.77</v>
      </c>
      <c r="AD36" s="8">
        <v>77.349999999999994</v>
      </c>
      <c r="AE36" s="8">
        <v>77.91</v>
      </c>
      <c r="AF36" s="8">
        <v>77.91</v>
      </c>
      <c r="AG36" s="8">
        <v>75.94</v>
      </c>
      <c r="AH36" s="8">
        <v>80.430000000000007</v>
      </c>
      <c r="AI36" s="8">
        <v>78.680000000000007</v>
      </c>
      <c r="AJ36" s="8">
        <v>81.569999999999993</v>
      </c>
      <c r="AK36" s="8">
        <v>74.88</v>
      </c>
      <c r="AL36" s="8">
        <v>66.25</v>
      </c>
      <c r="AM36" s="8">
        <v>80.39</v>
      </c>
      <c r="AN36" s="8">
        <v>81.28</v>
      </c>
      <c r="AO36" s="8">
        <v>67.78</v>
      </c>
      <c r="AP36" s="8">
        <v>73.7</v>
      </c>
      <c r="AQ36" s="8">
        <v>77.5</v>
      </c>
      <c r="AR36" s="8">
        <v>78.739999999999995</v>
      </c>
      <c r="AS36" s="8">
        <v>70.680000000000007</v>
      </c>
      <c r="AT36" s="8">
        <v>80.739999999999995</v>
      </c>
      <c r="AZ36" s="8">
        <v>79.739999999999995</v>
      </c>
      <c r="BB36" s="8">
        <v>79.95</v>
      </c>
      <c r="BC36" s="8">
        <v>56.75</v>
      </c>
      <c r="BD36" s="8">
        <v>56.75</v>
      </c>
      <c r="BT36" s="8">
        <v>67.47</v>
      </c>
      <c r="BU36" s="8">
        <v>67.47</v>
      </c>
      <c r="BX36" s="8">
        <v>74.069999999999993</v>
      </c>
      <c r="CN36" s="8">
        <v>83.02</v>
      </c>
      <c r="CO36" s="8">
        <v>79.97</v>
      </c>
      <c r="CP36" s="8">
        <v>83.83</v>
      </c>
      <c r="CQ36" s="8">
        <v>83.23</v>
      </c>
      <c r="DG36" s="8">
        <v>82.35</v>
      </c>
      <c r="DW36" s="8">
        <v>79.900000000000006</v>
      </c>
      <c r="DX36" s="8">
        <v>73.33</v>
      </c>
      <c r="DY36" s="8">
        <v>68.7</v>
      </c>
      <c r="EC36" s="8">
        <v>77.23</v>
      </c>
      <c r="EJ36" s="8">
        <v>74.459999999999994</v>
      </c>
      <c r="EK36" s="8">
        <v>76.540000000000006</v>
      </c>
      <c r="EO36" s="8">
        <v>80.680000000000007</v>
      </c>
      <c r="EP36" s="8">
        <v>92.7</v>
      </c>
      <c r="EQ36" s="8">
        <v>78.540000000000006</v>
      </c>
      <c r="ET36" s="8">
        <v>77.22</v>
      </c>
      <c r="EU36" s="8">
        <v>76.17</v>
      </c>
      <c r="EV36" s="8">
        <v>77.87</v>
      </c>
      <c r="EW36" s="8">
        <v>78.36</v>
      </c>
      <c r="EX36" s="8">
        <v>78.319999999999993</v>
      </c>
      <c r="EY36" s="8">
        <v>79.91</v>
      </c>
      <c r="EZ36" s="8">
        <v>74.53</v>
      </c>
      <c r="FA36" s="8">
        <v>80.400000000000006</v>
      </c>
      <c r="FB36" s="8">
        <v>80.569999999999993</v>
      </c>
      <c r="FC36" s="8">
        <v>84.41</v>
      </c>
      <c r="FD36" s="8">
        <v>79.81</v>
      </c>
      <c r="FE36" s="8">
        <v>80.930000000000007</v>
      </c>
      <c r="FF36" s="8">
        <v>76.180000000000007</v>
      </c>
      <c r="FG36" s="8">
        <v>76.430000000000007</v>
      </c>
      <c r="FH36" s="8">
        <v>75.819999999999993</v>
      </c>
      <c r="FI36" s="8">
        <v>76.17</v>
      </c>
      <c r="FJ36" s="8">
        <v>76.63</v>
      </c>
      <c r="FK36" s="8">
        <v>75.95</v>
      </c>
      <c r="FL36" s="8">
        <v>76.88</v>
      </c>
      <c r="FM36" s="8">
        <v>74.819999999999993</v>
      </c>
      <c r="FN36" s="8">
        <v>66.88</v>
      </c>
      <c r="FO36" s="8">
        <v>80.849999999999994</v>
      </c>
      <c r="FP36" s="8">
        <v>80.77</v>
      </c>
      <c r="FQ36" s="8">
        <v>67.23</v>
      </c>
      <c r="FR36" s="8">
        <v>73.930000000000007</v>
      </c>
      <c r="FS36" s="8">
        <v>76.97</v>
      </c>
      <c r="FT36" s="8">
        <v>76.11</v>
      </c>
      <c r="FU36" s="8">
        <v>70.77</v>
      </c>
      <c r="FV36" s="8">
        <v>77.83</v>
      </c>
      <c r="GB36" s="8">
        <v>77.78</v>
      </c>
      <c r="GD36" s="8">
        <v>81.72</v>
      </c>
      <c r="GE36" s="8">
        <v>55.23</v>
      </c>
      <c r="GF36" s="8">
        <v>55.23</v>
      </c>
      <c r="GV36" s="8">
        <v>64.47</v>
      </c>
      <c r="GW36" s="8">
        <v>64.47</v>
      </c>
      <c r="GZ36" s="8">
        <v>77.75</v>
      </c>
      <c r="HP36" s="8">
        <v>81.150000000000006</v>
      </c>
      <c r="HQ36" s="8">
        <v>79.760000000000005</v>
      </c>
      <c r="HR36" s="8">
        <v>85.46</v>
      </c>
      <c r="HS36" s="8">
        <v>78.819999999999993</v>
      </c>
      <c r="II36" s="8">
        <v>84.72</v>
      </c>
    </row>
    <row r="37" spans="1:243" x14ac:dyDescent="0.2">
      <c r="A37" s="9">
        <v>43770</v>
      </c>
      <c r="H37" s="8">
        <v>78.58</v>
      </c>
      <c r="I37" s="8">
        <v>76.27</v>
      </c>
      <c r="M37" s="8">
        <v>82.67</v>
      </c>
      <c r="N37" s="8">
        <v>93.15</v>
      </c>
      <c r="O37" s="8">
        <v>81.87</v>
      </c>
      <c r="R37" s="8">
        <v>77.150000000000006</v>
      </c>
      <c r="S37" s="8">
        <v>75.69</v>
      </c>
      <c r="T37" s="8">
        <v>78.3</v>
      </c>
      <c r="U37" s="8">
        <v>78.67</v>
      </c>
      <c r="V37" s="8">
        <v>77.39</v>
      </c>
      <c r="W37" s="8">
        <v>81.459999999999994</v>
      </c>
      <c r="X37" s="8">
        <v>74.989999999999995</v>
      </c>
      <c r="Y37" s="8">
        <v>83.88</v>
      </c>
      <c r="Z37" s="8">
        <v>80.53</v>
      </c>
      <c r="AA37" s="8">
        <v>85.83</v>
      </c>
      <c r="AB37" s="8">
        <v>82.93</v>
      </c>
      <c r="AC37" s="8">
        <v>81.849999999999994</v>
      </c>
      <c r="AD37" s="8">
        <v>77.930000000000007</v>
      </c>
      <c r="AE37" s="8">
        <v>78.319999999999993</v>
      </c>
      <c r="AF37" s="8">
        <v>78.650000000000006</v>
      </c>
      <c r="AG37" s="8">
        <v>76.599999999999994</v>
      </c>
      <c r="AH37" s="8">
        <v>83.03</v>
      </c>
      <c r="AI37" s="8">
        <v>82.54</v>
      </c>
      <c r="AJ37" s="8">
        <v>83.03</v>
      </c>
      <c r="AK37" s="8">
        <v>75.73</v>
      </c>
      <c r="AL37" s="8">
        <v>66.47</v>
      </c>
      <c r="AM37" s="8">
        <v>80.319999999999993</v>
      </c>
      <c r="AN37" s="8">
        <v>81.599999999999994</v>
      </c>
      <c r="AO37" s="8">
        <v>68.040000000000006</v>
      </c>
      <c r="AP37" s="8">
        <v>74.42</v>
      </c>
      <c r="AQ37" s="8">
        <v>79.260000000000005</v>
      </c>
      <c r="AR37" s="8">
        <v>78.37</v>
      </c>
      <c r="AS37" s="8">
        <v>71.03</v>
      </c>
      <c r="AT37" s="8">
        <v>80.180000000000007</v>
      </c>
      <c r="AZ37" s="8">
        <v>79.41</v>
      </c>
      <c r="BB37" s="8">
        <v>79.61</v>
      </c>
      <c r="BC37" s="8">
        <v>57.2</v>
      </c>
      <c r="BD37" s="8">
        <v>57.2</v>
      </c>
      <c r="BT37" s="8">
        <v>66.760000000000005</v>
      </c>
      <c r="BU37" s="8">
        <v>66.760000000000005</v>
      </c>
      <c r="BX37" s="8">
        <v>74.069999999999993</v>
      </c>
      <c r="CN37" s="8">
        <v>83.89</v>
      </c>
      <c r="CO37" s="8">
        <v>80.25</v>
      </c>
      <c r="CP37" s="8">
        <v>85.18</v>
      </c>
      <c r="CQ37" s="8">
        <v>83.89</v>
      </c>
      <c r="DG37" s="8">
        <v>79.099999999999994</v>
      </c>
      <c r="DW37" s="8">
        <v>74.66</v>
      </c>
      <c r="DX37" s="8">
        <v>68.989999999999995</v>
      </c>
      <c r="DY37" s="8">
        <v>63.78</v>
      </c>
      <c r="EC37" s="8">
        <v>78.010000000000005</v>
      </c>
      <c r="EJ37" s="8">
        <v>74.459999999999994</v>
      </c>
      <c r="EK37" s="8">
        <v>76.540000000000006</v>
      </c>
      <c r="EO37" s="8">
        <v>80.75</v>
      </c>
      <c r="EP37" s="8">
        <v>93.15</v>
      </c>
      <c r="EQ37" s="8">
        <v>78.540000000000006</v>
      </c>
      <c r="ET37" s="8">
        <v>77.64</v>
      </c>
      <c r="EU37" s="8">
        <v>76.42</v>
      </c>
      <c r="EV37" s="8">
        <v>78.510000000000005</v>
      </c>
      <c r="EW37" s="8">
        <v>79.930000000000007</v>
      </c>
      <c r="EX37" s="8">
        <v>77.58</v>
      </c>
      <c r="EY37" s="8">
        <v>80.17</v>
      </c>
      <c r="EZ37" s="8">
        <v>74.31</v>
      </c>
      <c r="FA37" s="8">
        <v>81.63</v>
      </c>
      <c r="FB37" s="8">
        <v>80.06</v>
      </c>
      <c r="FC37" s="8">
        <v>85.11</v>
      </c>
      <c r="FD37" s="8">
        <v>80.37</v>
      </c>
      <c r="FE37" s="8">
        <v>80.53</v>
      </c>
      <c r="FF37" s="8">
        <v>76.75</v>
      </c>
      <c r="FG37" s="8">
        <v>76.88</v>
      </c>
      <c r="FH37" s="8">
        <v>76.52</v>
      </c>
      <c r="FI37" s="8">
        <v>76.760000000000005</v>
      </c>
      <c r="FJ37" s="8">
        <v>77.319999999999993</v>
      </c>
      <c r="FK37" s="8">
        <v>77.5</v>
      </c>
      <c r="FL37" s="8">
        <v>76.83</v>
      </c>
      <c r="FM37" s="8">
        <v>75.59</v>
      </c>
      <c r="FN37" s="8">
        <v>66.930000000000007</v>
      </c>
      <c r="FO37" s="8">
        <v>80.64</v>
      </c>
      <c r="FP37" s="8">
        <v>81.34</v>
      </c>
      <c r="FQ37" s="8">
        <v>67.36</v>
      </c>
      <c r="FR37" s="8">
        <v>74.44</v>
      </c>
      <c r="FS37" s="8">
        <v>78.8</v>
      </c>
      <c r="FT37" s="8">
        <v>76.14</v>
      </c>
      <c r="FU37" s="8">
        <v>71.069999999999993</v>
      </c>
      <c r="FV37" s="8">
        <v>77.78</v>
      </c>
      <c r="GB37" s="8">
        <v>77.91</v>
      </c>
      <c r="GD37" s="8">
        <v>80.69</v>
      </c>
      <c r="GE37" s="8">
        <v>55.68</v>
      </c>
      <c r="GF37" s="8">
        <v>55.68</v>
      </c>
      <c r="GV37" s="8">
        <v>64.510000000000005</v>
      </c>
      <c r="GW37" s="8">
        <v>64.510000000000005</v>
      </c>
      <c r="GZ37" s="8">
        <v>77.75</v>
      </c>
      <c r="HP37" s="8">
        <v>81.8</v>
      </c>
      <c r="HQ37" s="8">
        <v>80.25</v>
      </c>
      <c r="HR37" s="8">
        <v>86.59</v>
      </c>
      <c r="HS37" s="8">
        <v>79.19</v>
      </c>
      <c r="II37" s="8">
        <v>84.21</v>
      </c>
    </row>
    <row r="38" spans="1:243" x14ac:dyDescent="0.2">
      <c r="A38" s="9">
        <v>43800</v>
      </c>
      <c r="H38" s="8">
        <v>78.58</v>
      </c>
      <c r="I38" s="8">
        <v>76.27</v>
      </c>
      <c r="M38" s="8">
        <v>82.99</v>
      </c>
      <c r="N38" s="8">
        <v>94.33</v>
      </c>
      <c r="O38" s="8">
        <v>82.12</v>
      </c>
      <c r="R38" s="8">
        <v>78.03</v>
      </c>
      <c r="S38" s="8">
        <v>76.38</v>
      </c>
      <c r="T38" s="8">
        <v>78.64</v>
      </c>
      <c r="U38" s="8">
        <v>80.849999999999994</v>
      </c>
      <c r="V38" s="8">
        <v>80.45</v>
      </c>
      <c r="W38" s="8">
        <v>81.96</v>
      </c>
      <c r="X38" s="8">
        <v>76.27</v>
      </c>
      <c r="Y38" s="8">
        <v>83.07</v>
      </c>
      <c r="Z38" s="8">
        <v>80.959999999999994</v>
      </c>
      <c r="AA38" s="8">
        <v>86.04</v>
      </c>
      <c r="AB38" s="8">
        <v>83.94</v>
      </c>
      <c r="AC38" s="8">
        <v>82.32</v>
      </c>
      <c r="AD38" s="8">
        <v>78.75</v>
      </c>
      <c r="AE38" s="8">
        <v>79.430000000000007</v>
      </c>
      <c r="AF38" s="8">
        <v>78.599999999999994</v>
      </c>
      <c r="AG38" s="8">
        <v>77.8</v>
      </c>
      <c r="AH38" s="8">
        <v>87.29</v>
      </c>
      <c r="AI38" s="8">
        <v>88.78</v>
      </c>
      <c r="AJ38" s="8">
        <v>85.48</v>
      </c>
      <c r="AK38" s="8">
        <v>76.209999999999994</v>
      </c>
      <c r="AL38" s="8">
        <v>66.569999999999993</v>
      </c>
      <c r="AM38" s="8">
        <v>81.99</v>
      </c>
      <c r="AN38" s="8">
        <v>80.459999999999994</v>
      </c>
      <c r="AO38" s="8">
        <v>67.91</v>
      </c>
      <c r="AP38" s="8">
        <v>74.790000000000006</v>
      </c>
      <c r="AQ38" s="8">
        <v>80.62</v>
      </c>
      <c r="AR38" s="8">
        <v>77.8</v>
      </c>
      <c r="AS38" s="8">
        <v>72.12</v>
      </c>
      <c r="AT38" s="8">
        <v>79.2</v>
      </c>
      <c r="AZ38" s="8">
        <v>78.87</v>
      </c>
      <c r="BB38" s="8">
        <v>78.83</v>
      </c>
      <c r="BC38" s="8">
        <v>57.51</v>
      </c>
      <c r="BD38" s="8">
        <v>57.51</v>
      </c>
      <c r="BT38" s="8">
        <v>66.98</v>
      </c>
      <c r="BU38" s="8">
        <v>66.98</v>
      </c>
      <c r="BX38" s="8">
        <v>74.069999999999993</v>
      </c>
      <c r="CN38" s="8">
        <v>83.48</v>
      </c>
      <c r="CO38" s="8">
        <v>82.1</v>
      </c>
      <c r="CP38" s="8">
        <v>84.91</v>
      </c>
      <c r="CQ38" s="8">
        <v>82.93</v>
      </c>
      <c r="DG38" s="8">
        <v>79.48</v>
      </c>
      <c r="DW38" s="8">
        <v>85.8</v>
      </c>
      <c r="DX38" s="8">
        <v>80.3</v>
      </c>
      <c r="DY38" s="8">
        <v>72.39</v>
      </c>
      <c r="EC38" s="8">
        <v>78.33</v>
      </c>
      <c r="EJ38" s="8">
        <v>74.459999999999994</v>
      </c>
      <c r="EK38" s="8">
        <v>76.540000000000006</v>
      </c>
      <c r="EO38" s="8">
        <v>80.989999999999995</v>
      </c>
      <c r="EP38" s="8">
        <v>94.33</v>
      </c>
      <c r="EQ38" s="8">
        <v>78.61</v>
      </c>
      <c r="ET38" s="8">
        <v>78.34</v>
      </c>
      <c r="EU38" s="8">
        <v>76.94</v>
      </c>
      <c r="EV38" s="8">
        <v>78.67</v>
      </c>
      <c r="EW38" s="8">
        <v>81.73</v>
      </c>
      <c r="EX38" s="8">
        <v>80.34</v>
      </c>
      <c r="EY38" s="8">
        <v>81.16</v>
      </c>
      <c r="EZ38" s="8">
        <v>75.900000000000006</v>
      </c>
      <c r="FA38" s="8">
        <v>81</v>
      </c>
      <c r="FB38" s="8">
        <v>79.56</v>
      </c>
      <c r="FC38" s="8">
        <v>85.79</v>
      </c>
      <c r="FD38" s="8">
        <v>82.17</v>
      </c>
      <c r="FE38" s="8">
        <v>82.39</v>
      </c>
      <c r="FF38" s="8">
        <v>77.61</v>
      </c>
      <c r="FG38" s="8">
        <v>77.94</v>
      </c>
      <c r="FH38" s="8">
        <v>76.790000000000006</v>
      </c>
      <c r="FI38" s="8">
        <v>77.959999999999994</v>
      </c>
      <c r="FJ38" s="8">
        <v>80.930000000000007</v>
      </c>
      <c r="FK38" s="8">
        <v>83.01</v>
      </c>
      <c r="FL38" s="8">
        <v>78.81</v>
      </c>
      <c r="FM38" s="8">
        <v>75.95</v>
      </c>
      <c r="FN38" s="8">
        <v>67.209999999999994</v>
      </c>
      <c r="FO38" s="8">
        <v>81.98</v>
      </c>
      <c r="FP38" s="8">
        <v>80.290000000000006</v>
      </c>
      <c r="FQ38" s="8">
        <v>66.97</v>
      </c>
      <c r="FR38" s="8">
        <v>74.709999999999994</v>
      </c>
      <c r="FS38" s="8">
        <v>80.05</v>
      </c>
      <c r="FT38" s="8">
        <v>75.239999999999995</v>
      </c>
      <c r="FU38" s="8">
        <v>71.760000000000005</v>
      </c>
      <c r="FV38" s="8">
        <v>76.36</v>
      </c>
      <c r="GB38" s="8">
        <v>77.260000000000005</v>
      </c>
      <c r="GD38" s="8">
        <v>81.05</v>
      </c>
      <c r="GE38" s="8">
        <v>56.11</v>
      </c>
      <c r="GF38" s="8">
        <v>56.11</v>
      </c>
      <c r="GV38" s="8">
        <v>64.569999999999993</v>
      </c>
      <c r="GW38" s="8">
        <v>64.569999999999993</v>
      </c>
      <c r="GZ38" s="8">
        <v>77.75</v>
      </c>
      <c r="HP38" s="8">
        <v>81.42</v>
      </c>
      <c r="HQ38" s="8">
        <v>81.72</v>
      </c>
      <c r="HR38" s="8">
        <v>86.03</v>
      </c>
      <c r="HS38" s="8">
        <v>78.63</v>
      </c>
      <c r="II38" s="8">
        <v>86.83</v>
      </c>
    </row>
    <row r="39" spans="1:243" x14ac:dyDescent="0.2">
      <c r="A39" s="9">
        <v>43831</v>
      </c>
      <c r="H39" s="8">
        <v>78.58</v>
      </c>
      <c r="I39" s="8">
        <v>76.27</v>
      </c>
      <c r="M39" s="8">
        <v>82.96</v>
      </c>
      <c r="N39" s="8">
        <v>93.99</v>
      </c>
      <c r="O39" s="8">
        <v>82.12</v>
      </c>
      <c r="R39" s="8">
        <v>77.94</v>
      </c>
      <c r="S39" s="8">
        <v>76.290000000000006</v>
      </c>
      <c r="T39" s="8">
        <v>78.84</v>
      </c>
      <c r="U39" s="8">
        <v>80.47</v>
      </c>
      <c r="V39" s="8">
        <v>79.2</v>
      </c>
      <c r="W39" s="8">
        <v>82.58</v>
      </c>
      <c r="X39" s="8">
        <v>77.069999999999993</v>
      </c>
      <c r="Y39" s="8">
        <v>83.63</v>
      </c>
      <c r="Z39" s="8">
        <v>83.06</v>
      </c>
      <c r="AA39" s="8">
        <v>86.15</v>
      </c>
      <c r="AB39" s="8">
        <v>84.27</v>
      </c>
      <c r="AC39" s="8">
        <v>82.7</v>
      </c>
      <c r="AD39" s="8">
        <v>78.89</v>
      </c>
      <c r="AE39" s="8">
        <v>79.349999999999994</v>
      </c>
      <c r="AF39" s="8">
        <v>79.12</v>
      </c>
      <c r="AG39" s="8">
        <v>77.900000000000006</v>
      </c>
      <c r="AH39" s="8">
        <v>86.84</v>
      </c>
      <c r="AI39" s="8">
        <v>84.29</v>
      </c>
      <c r="AJ39" s="8">
        <v>88.69</v>
      </c>
      <c r="AK39" s="8">
        <v>76.8</v>
      </c>
      <c r="AL39" s="8">
        <v>66.73</v>
      </c>
      <c r="AM39" s="8">
        <v>81.819999999999993</v>
      </c>
      <c r="AN39" s="8">
        <v>82.18</v>
      </c>
      <c r="AO39" s="8">
        <v>68.77</v>
      </c>
      <c r="AP39" s="8">
        <v>75.91</v>
      </c>
      <c r="AQ39" s="8">
        <v>80.150000000000006</v>
      </c>
      <c r="AR39" s="8">
        <v>78.73</v>
      </c>
      <c r="AS39" s="8">
        <v>73.05</v>
      </c>
      <c r="AT39" s="8">
        <v>80.12</v>
      </c>
      <c r="AZ39" s="8">
        <v>80.91</v>
      </c>
      <c r="BB39" s="8">
        <v>79.77</v>
      </c>
      <c r="BC39" s="8">
        <v>57.95</v>
      </c>
      <c r="BD39" s="8">
        <v>57.95</v>
      </c>
      <c r="BT39" s="8">
        <v>66.650000000000006</v>
      </c>
      <c r="BU39" s="8">
        <v>66.650000000000006</v>
      </c>
      <c r="BX39" s="8">
        <v>74.069999999999993</v>
      </c>
      <c r="CN39" s="8">
        <v>83.42</v>
      </c>
      <c r="CO39" s="8">
        <v>79.48</v>
      </c>
      <c r="CP39" s="8">
        <v>85.93</v>
      </c>
      <c r="CQ39" s="8">
        <v>82.7</v>
      </c>
      <c r="DG39" s="8">
        <v>78.290000000000006</v>
      </c>
      <c r="DW39" s="8">
        <v>82.63</v>
      </c>
      <c r="DX39" s="8">
        <v>74.12</v>
      </c>
      <c r="DY39" s="8">
        <v>72.58</v>
      </c>
      <c r="EC39" s="8">
        <v>79.92</v>
      </c>
      <c r="EJ39" s="8">
        <v>74.459999999999994</v>
      </c>
      <c r="EK39" s="8">
        <v>76.540000000000006</v>
      </c>
      <c r="EO39" s="8">
        <v>80.94</v>
      </c>
      <c r="EP39" s="8">
        <v>93.99</v>
      </c>
      <c r="EQ39" s="8">
        <v>78.61</v>
      </c>
      <c r="ET39" s="8">
        <v>78.34</v>
      </c>
      <c r="EU39" s="8">
        <v>77.09</v>
      </c>
      <c r="EV39" s="8">
        <v>78.92</v>
      </c>
      <c r="EW39" s="8">
        <v>81.13</v>
      </c>
      <c r="EX39" s="8">
        <v>79.14</v>
      </c>
      <c r="EY39" s="8">
        <v>81.73</v>
      </c>
      <c r="EZ39" s="8">
        <v>77.040000000000006</v>
      </c>
      <c r="FA39" s="8">
        <v>82.03</v>
      </c>
      <c r="FB39" s="8">
        <v>80.73</v>
      </c>
      <c r="FC39" s="8">
        <v>85.42</v>
      </c>
      <c r="FD39" s="8">
        <v>82.64</v>
      </c>
      <c r="FE39" s="8">
        <v>82.51</v>
      </c>
      <c r="FF39" s="8">
        <v>77.63</v>
      </c>
      <c r="FG39" s="8">
        <v>77.56</v>
      </c>
      <c r="FH39" s="8">
        <v>77.22</v>
      </c>
      <c r="FI39" s="8">
        <v>78.06</v>
      </c>
      <c r="FJ39" s="8">
        <v>80.11</v>
      </c>
      <c r="FK39" s="8">
        <v>78.42</v>
      </c>
      <c r="FL39" s="8">
        <v>81.2</v>
      </c>
      <c r="FM39" s="8">
        <v>76.760000000000005</v>
      </c>
      <c r="FN39" s="8">
        <v>67.349999999999994</v>
      </c>
      <c r="FO39" s="8">
        <v>81.599999999999994</v>
      </c>
      <c r="FP39" s="8">
        <v>82.09</v>
      </c>
      <c r="FQ39" s="8">
        <v>67.95</v>
      </c>
      <c r="FR39" s="8">
        <v>75.989999999999995</v>
      </c>
      <c r="FS39" s="8">
        <v>79.98</v>
      </c>
      <c r="FT39" s="8">
        <v>76.739999999999995</v>
      </c>
      <c r="FU39" s="8">
        <v>73.12</v>
      </c>
      <c r="FV39" s="8">
        <v>77.89</v>
      </c>
      <c r="GB39" s="8">
        <v>78.69</v>
      </c>
      <c r="GD39" s="8">
        <v>81.72</v>
      </c>
      <c r="GE39" s="8">
        <v>56.56</v>
      </c>
      <c r="GF39" s="8">
        <v>56.56</v>
      </c>
      <c r="GV39" s="8">
        <v>65</v>
      </c>
      <c r="GW39" s="8">
        <v>65</v>
      </c>
      <c r="GZ39" s="8">
        <v>77.75</v>
      </c>
      <c r="HP39" s="8">
        <v>81.510000000000005</v>
      </c>
      <c r="HQ39" s="8">
        <v>79.45</v>
      </c>
      <c r="HR39" s="8">
        <v>87.26</v>
      </c>
      <c r="HS39" s="8">
        <v>78.349999999999994</v>
      </c>
      <c r="II39" s="8">
        <v>86.61</v>
      </c>
    </row>
    <row r="40" spans="1:243" x14ac:dyDescent="0.2">
      <c r="A40" s="9">
        <v>43862</v>
      </c>
      <c r="H40" s="8">
        <v>81.510000000000005</v>
      </c>
      <c r="I40" s="8">
        <v>77.42</v>
      </c>
      <c r="M40" s="8">
        <v>82.96</v>
      </c>
      <c r="N40" s="8">
        <v>94.01</v>
      </c>
      <c r="O40" s="8">
        <v>82.12</v>
      </c>
      <c r="R40" s="8">
        <v>77.900000000000006</v>
      </c>
      <c r="S40" s="8">
        <v>76.62</v>
      </c>
      <c r="T40" s="8">
        <v>78.23</v>
      </c>
      <c r="U40" s="8">
        <v>80.67</v>
      </c>
      <c r="V40" s="8">
        <v>80.16</v>
      </c>
      <c r="W40" s="8">
        <v>82.29</v>
      </c>
      <c r="X40" s="8">
        <v>76.430000000000007</v>
      </c>
      <c r="Y40" s="8">
        <v>83.86</v>
      </c>
      <c r="Z40" s="8">
        <v>83.01</v>
      </c>
      <c r="AA40" s="8">
        <v>86.12</v>
      </c>
      <c r="AB40" s="8">
        <v>83.87</v>
      </c>
      <c r="AC40" s="8">
        <v>82.05</v>
      </c>
      <c r="AD40" s="8">
        <v>78.47</v>
      </c>
      <c r="AE40" s="8">
        <v>78.680000000000007</v>
      </c>
      <c r="AF40" s="8">
        <v>79.81</v>
      </c>
      <c r="AG40" s="8">
        <v>76.86</v>
      </c>
      <c r="AH40" s="8">
        <v>88.8</v>
      </c>
      <c r="AI40" s="8">
        <v>85.95</v>
      </c>
      <c r="AJ40" s="8">
        <v>90.91</v>
      </c>
      <c r="AK40" s="8">
        <v>76.3</v>
      </c>
      <c r="AL40" s="8">
        <v>67.27</v>
      </c>
      <c r="AM40" s="8">
        <v>81.400000000000006</v>
      </c>
      <c r="AN40" s="8">
        <v>82.36</v>
      </c>
      <c r="AO40" s="8">
        <v>67.709999999999994</v>
      </c>
      <c r="AP40" s="8">
        <v>75.239999999999995</v>
      </c>
      <c r="AQ40" s="8">
        <v>79.56</v>
      </c>
      <c r="AR40" s="8">
        <v>78.95</v>
      </c>
      <c r="AS40" s="8">
        <v>72.3</v>
      </c>
      <c r="AT40" s="8">
        <v>80.59</v>
      </c>
      <c r="AZ40" s="8">
        <v>80.77</v>
      </c>
      <c r="BB40" s="8">
        <v>80.53</v>
      </c>
      <c r="BC40" s="8">
        <v>58.36</v>
      </c>
      <c r="BD40" s="8">
        <v>58.36</v>
      </c>
      <c r="BT40" s="8">
        <v>66.290000000000006</v>
      </c>
      <c r="BU40" s="8">
        <v>66.290000000000006</v>
      </c>
      <c r="BX40" s="8">
        <v>74.069999999999993</v>
      </c>
      <c r="CN40" s="8">
        <v>83.71</v>
      </c>
      <c r="CO40" s="8">
        <v>81.3</v>
      </c>
      <c r="CP40" s="8">
        <v>84.93</v>
      </c>
      <c r="CQ40" s="8">
        <v>83.51</v>
      </c>
      <c r="DG40" s="8">
        <v>76.540000000000006</v>
      </c>
      <c r="DW40" s="8">
        <v>72.069999999999993</v>
      </c>
      <c r="DX40" s="8">
        <v>66.72</v>
      </c>
      <c r="DY40" s="8">
        <v>61.46</v>
      </c>
      <c r="EC40" s="8">
        <v>78.31</v>
      </c>
      <c r="EJ40" s="8">
        <v>76.75</v>
      </c>
      <c r="EK40" s="8">
        <v>77.98</v>
      </c>
      <c r="EO40" s="8">
        <v>80.94</v>
      </c>
      <c r="EP40" s="8">
        <v>94.01</v>
      </c>
      <c r="EQ40" s="8">
        <v>78.61</v>
      </c>
      <c r="ET40" s="8">
        <v>78.099999999999994</v>
      </c>
      <c r="EU40" s="8">
        <v>77.09</v>
      </c>
      <c r="EV40" s="8">
        <v>78.2</v>
      </c>
      <c r="EW40" s="8">
        <v>81.16</v>
      </c>
      <c r="EX40" s="8">
        <v>79.790000000000006</v>
      </c>
      <c r="EY40" s="8">
        <v>81.99</v>
      </c>
      <c r="EZ40" s="8">
        <v>77.69</v>
      </c>
      <c r="FA40" s="8">
        <v>83.06</v>
      </c>
      <c r="FB40" s="8">
        <v>81.67</v>
      </c>
      <c r="FC40" s="8">
        <v>85.46</v>
      </c>
      <c r="FD40" s="8">
        <v>82.6</v>
      </c>
      <c r="FE40" s="8">
        <v>81.5</v>
      </c>
      <c r="FF40" s="8">
        <v>77.709999999999994</v>
      </c>
      <c r="FG40" s="8">
        <v>77.19</v>
      </c>
      <c r="FH40" s="8">
        <v>78.67</v>
      </c>
      <c r="FI40" s="8">
        <v>77.36</v>
      </c>
      <c r="FJ40" s="8">
        <v>81.98</v>
      </c>
      <c r="FK40" s="8">
        <v>80.900000000000006</v>
      </c>
      <c r="FL40" s="8">
        <v>82.54</v>
      </c>
      <c r="FM40" s="8">
        <v>76.209999999999994</v>
      </c>
      <c r="FN40" s="8">
        <v>67.760000000000005</v>
      </c>
      <c r="FO40" s="8">
        <v>81.22</v>
      </c>
      <c r="FP40" s="8">
        <v>81.99</v>
      </c>
      <c r="FQ40" s="8">
        <v>67.180000000000007</v>
      </c>
      <c r="FR40" s="8">
        <v>75.260000000000005</v>
      </c>
      <c r="FS40" s="8">
        <v>79.33</v>
      </c>
      <c r="FT40" s="8">
        <v>76.67</v>
      </c>
      <c r="FU40" s="8">
        <v>71.98</v>
      </c>
      <c r="FV40" s="8">
        <v>78.17</v>
      </c>
      <c r="GB40" s="8">
        <v>78.39</v>
      </c>
      <c r="GD40" s="8">
        <v>81.94</v>
      </c>
      <c r="GE40" s="8">
        <v>56.79</v>
      </c>
      <c r="GF40" s="8">
        <v>56.79</v>
      </c>
      <c r="GV40" s="8">
        <v>65</v>
      </c>
      <c r="GW40" s="8">
        <v>65</v>
      </c>
      <c r="GZ40" s="8">
        <v>77.75</v>
      </c>
      <c r="HP40" s="8">
        <v>81.78</v>
      </c>
      <c r="HQ40" s="8">
        <v>81.3</v>
      </c>
      <c r="HR40" s="8">
        <v>86.27</v>
      </c>
      <c r="HS40" s="8">
        <v>79.19</v>
      </c>
      <c r="II40" s="8">
        <v>80.91</v>
      </c>
    </row>
    <row r="41" spans="1:243" x14ac:dyDescent="0.2">
      <c r="A41" s="9">
        <v>43891</v>
      </c>
      <c r="H41" s="8">
        <v>81.510000000000005</v>
      </c>
      <c r="I41" s="8">
        <v>77.42</v>
      </c>
      <c r="M41" s="8">
        <v>83.74</v>
      </c>
      <c r="N41" s="8">
        <v>94.02</v>
      </c>
      <c r="O41" s="8">
        <v>82.96</v>
      </c>
      <c r="R41" s="8">
        <v>80.05</v>
      </c>
      <c r="S41" s="8">
        <v>77.62</v>
      </c>
      <c r="T41" s="8">
        <v>80.38</v>
      </c>
      <c r="U41" s="8">
        <v>85.13</v>
      </c>
      <c r="V41" s="8">
        <v>85.15</v>
      </c>
      <c r="W41" s="8">
        <v>84.64</v>
      </c>
      <c r="X41" s="8">
        <v>78.16</v>
      </c>
      <c r="Y41" s="8">
        <v>86.38</v>
      </c>
      <c r="Z41" s="8">
        <v>87.06</v>
      </c>
      <c r="AA41" s="8">
        <v>87.64</v>
      </c>
      <c r="AB41" s="8">
        <v>86.67</v>
      </c>
      <c r="AC41" s="8">
        <v>84.68</v>
      </c>
      <c r="AD41" s="8">
        <v>79.97</v>
      </c>
      <c r="AE41" s="8">
        <v>80.989999999999995</v>
      </c>
      <c r="AF41" s="8">
        <v>80.27</v>
      </c>
      <c r="AG41" s="8">
        <v>78.17</v>
      </c>
      <c r="AH41" s="8">
        <v>93.4</v>
      </c>
      <c r="AI41" s="8">
        <v>90.56</v>
      </c>
      <c r="AJ41" s="8">
        <v>95.46</v>
      </c>
      <c r="AK41" s="8">
        <v>78.569999999999993</v>
      </c>
      <c r="AL41" s="8">
        <v>67.77</v>
      </c>
      <c r="AM41" s="8">
        <v>84.56</v>
      </c>
      <c r="AN41" s="8">
        <v>84.16</v>
      </c>
      <c r="AO41" s="8">
        <v>69.02</v>
      </c>
      <c r="AP41" s="8">
        <v>77.36</v>
      </c>
      <c r="AQ41" s="8">
        <v>82.81</v>
      </c>
      <c r="AR41" s="8">
        <v>80.84</v>
      </c>
      <c r="AS41" s="8">
        <v>74.989999999999995</v>
      </c>
      <c r="AT41" s="8">
        <v>82.28</v>
      </c>
      <c r="AZ41" s="8">
        <v>80.7</v>
      </c>
      <c r="BB41" s="8">
        <v>80.67</v>
      </c>
      <c r="BC41" s="8">
        <v>59.04</v>
      </c>
      <c r="BD41" s="8">
        <v>59.04</v>
      </c>
      <c r="BT41" s="8">
        <v>66.430000000000007</v>
      </c>
      <c r="BU41" s="8">
        <v>66.430000000000007</v>
      </c>
      <c r="BX41" s="8">
        <v>74.069999999999993</v>
      </c>
      <c r="CN41" s="8">
        <v>88.73</v>
      </c>
      <c r="CO41" s="8">
        <v>84.89</v>
      </c>
      <c r="CP41" s="8">
        <v>89.23</v>
      </c>
      <c r="CQ41" s="8">
        <v>89.3</v>
      </c>
      <c r="DG41" s="8">
        <v>69.760000000000005</v>
      </c>
      <c r="DW41" s="8">
        <v>73.38</v>
      </c>
      <c r="DX41" s="8">
        <v>66.83</v>
      </c>
      <c r="DY41" s="8">
        <v>63.55</v>
      </c>
      <c r="EC41" s="8">
        <v>80.12</v>
      </c>
      <c r="EJ41" s="8">
        <v>76.75</v>
      </c>
      <c r="EK41" s="8">
        <v>77.98</v>
      </c>
      <c r="EO41" s="8">
        <v>81.12</v>
      </c>
      <c r="EP41" s="8">
        <v>94.02</v>
      </c>
      <c r="EQ41" s="8">
        <v>78.819999999999993</v>
      </c>
      <c r="ET41" s="8">
        <v>80.39</v>
      </c>
      <c r="EU41" s="8">
        <v>78.81</v>
      </c>
      <c r="EV41" s="8">
        <v>79.900000000000006</v>
      </c>
      <c r="EW41" s="8">
        <v>85.8</v>
      </c>
      <c r="EX41" s="8">
        <v>84.96</v>
      </c>
      <c r="EY41" s="8">
        <v>84.56</v>
      </c>
      <c r="EZ41" s="8">
        <v>80.28</v>
      </c>
      <c r="FA41" s="8">
        <v>85.29</v>
      </c>
      <c r="FB41" s="8">
        <v>85.82</v>
      </c>
      <c r="FC41" s="8">
        <v>87.47</v>
      </c>
      <c r="FD41" s="8">
        <v>85.4</v>
      </c>
      <c r="FE41" s="8">
        <v>83.58</v>
      </c>
      <c r="FF41" s="8">
        <v>78.92</v>
      </c>
      <c r="FG41" s="8">
        <v>79.19</v>
      </c>
      <c r="FH41" s="8">
        <v>79.180000000000007</v>
      </c>
      <c r="FI41" s="8">
        <v>78.260000000000005</v>
      </c>
      <c r="FJ41" s="8">
        <v>86.83</v>
      </c>
      <c r="FK41" s="8">
        <v>85.5</v>
      </c>
      <c r="FL41" s="8">
        <v>87.58</v>
      </c>
      <c r="FM41" s="8">
        <v>78.33</v>
      </c>
      <c r="FN41" s="8">
        <v>68.86</v>
      </c>
      <c r="FO41" s="8">
        <v>84.25</v>
      </c>
      <c r="FP41" s="8">
        <v>83.94</v>
      </c>
      <c r="FQ41" s="8">
        <v>68.95</v>
      </c>
      <c r="FR41" s="8">
        <v>77.290000000000006</v>
      </c>
      <c r="FS41" s="8">
        <v>81.88</v>
      </c>
      <c r="FT41" s="8">
        <v>78.44</v>
      </c>
      <c r="FU41" s="8">
        <v>74.760000000000005</v>
      </c>
      <c r="FV41" s="8">
        <v>79.62</v>
      </c>
      <c r="GB41" s="8">
        <v>79.010000000000005</v>
      </c>
      <c r="GD41" s="8">
        <v>82.19</v>
      </c>
      <c r="GE41" s="8">
        <v>57.6</v>
      </c>
      <c r="GF41" s="8">
        <v>57.6</v>
      </c>
      <c r="GV41" s="8">
        <v>64.790000000000006</v>
      </c>
      <c r="GW41" s="8">
        <v>64.790000000000006</v>
      </c>
      <c r="GZ41" s="8">
        <v>77.75</v>
      </c>
      <c r="HP41" s="8">
        <v>85.98</v>
      </c>
      <c r="HQ41" s="8">
        <v>84.68</v>
      </c>
      <c r="HR41" s="8">
        <v>90.13</v>
      </c>
      <c r="HS41" s="8">
        <v>83.75</v>
      </c>
      <c r="II41" s="8">
        <v>66.739999999999995</v>
      </c>
    </row>
    <row r="42" spans="1:243" x14ac:dyDescent="0.2">
      <c r="A42" s="9">
        <v>43922</v>
      </c>
      <c r="H42" s="8">
        <v>81.510000000000005</v>
      </c>
      <c r="I42" s="8">
        <v>77.42</v>
      </c>
      <c r="M42" s="8">
        <v>83.63</v>
      </c>
      <c r="N42" s="8">
        <v>92.59</v>
      </c>
      <c r="O42" s="8">
        <v>82.96</v>
      </c>
      <c r="R42" s="8">
        <v>80.900000000000006</v>
      </c>
      <c r="S42" s="8">
        <v>77.59</v>
      </c>
      <c r="T42" s="8">
        <v>81.17</v>
      </c>
      <c r="U42" s="8">
        <v>88.12</v>
      </c>
      <c r="V42" s="8">
        <v>88.13</v>
      </c>
      <c r="W42" s="8">
        <v>83.51</v>
      </c>
      <c r="X42" s="8">
        <v>74.489999999999995</v>
      </c>
      <c r="Y42" s="8">
        <v>86.7</v>
      </c>
      <c r="Z42" s="8">
        <v>85.98</v>
      </c>
      <c r="AA42" s="8">
        <v>85.76</v>
      </c>
      <c r="AB42" s="8">
        <v>86.28</v>
      </c>
      <c r="AC42" s="8">
        <v>86.33</v>
      </c>
      <c r="AD42" s="8">
        <v>80.540000000000006</v>
      </c>
      <c r="AE42" s="8">
        <v>81.040000000000006</v>
      </c>
      <c r="AF42" s="8">
        <v>80.53</v>
      </c>
      <c r="AG42" s="8">
        <v>79.709999999999994</v>
      </c>
      <c r="AH42" s="8">
        <v>88.09</v>
      </c>
      <c r="AI42" s="8">
        <v>84.64</v>
      </c>
      <c r="AJ42" s="8">
        <v>90.74</v>
      </c>
      <c r="AK42" s="8">
        <v>81.040000000000006</v>
      </c>
      <c r="AL42" s="8">
        <v>68.63</v>
      </c>
      <c r="AM42" s="8">
        <v>85.98</v>
      </c>
      <c r="AN42" s="8">
        <v>85.11</v>
      </c>
      <c r="AO42" s="8">
        <v>72.22</v>
      </c>
      <c r="AP42" s="8">
        <v>79.42</v>
      </c>
      <c r="AQ42" s="8">
        <v>86.79</v>
      </c>
      <c r="AR42" s="8">
        <v>82.52</v>
      </c>
      <c r="AS42" s="8">
        <v>80.06</v>
      </c>
      <c r="AT42" s="8">
        <v>83.1</v>
      </c>
      <c r="AZ42" s="8">
        <v>82.35</v>
      </c>
      <c r="BB42" s="8">
        <v>81.3</v>
      </c>
      <c r="BC42" s="8">
        <v>59.56</v>
      </c>
      <c r="BD42" s="8">
        <v>59.56</v>
      </c>
      <c r="BT42" s="8">
        <v>66.72</v>
      </c>
      <c r="BU42" s="8">
        <v>66.72</v>
      </c>
      <c r="BX42" s="8">
        <v>74.069999999999993</v>
      </c>
      <c r="CN42" s="8">
        <v>92.84</v>
      </c>
      <c r="CO42" s="8">
        <v>89.57</v>
      </c>
      <c r="CP42" s="8">
        <v>94.08</v>
      </c>
      <c r="CQ42" s="8">
        <v>92.82</v>
      </c>
      <c r="DG42" s="8">
        <v>56.19</v>
      </c>
      <c r="DW42" s="8">
        <v>75.83</v>
      </c>
      <c r="DX42" s="8">
        <v>66.92</v>
      </c>
      <c r="DY42" s="8">
        <v>67.59</v>
      </c>
      <c r="EC42" s="8">
        <v>81.900000000000006</v>
      </c>
      <c r="EJ42" s="8">
        <v>76.75</v>
      </c>
      <c r="EK42" s="8">
        <v>77.98</v>
      </c>
      <c r="EO42" s="8">
        <v>80.89</v>
      </c>
      <c r="EP42" s="8">
        <v>92.59</v>
      </c>
      <c r="EQ42" s="8">
        <v>78.819999999999993</v>
      </c>
      <c r="ET42" s="8">
        <v>81.459999999999994</v>
      </c>
      <c r="EU42" s="8">
        <v>78.5</v>
      </c>
      <c r="EV42" s="8">
        <v>81.459999999999994</v>
      </c>
      <c r="EW42" s="8">
        <v>87.54</v>
      </c>
      <c r="EX42" s="8">
        <v>88.81</v>
      </c>
      <c r="EY42" s="8">
        <v>84.08</v>
      </c>
      <c r="EZ42" s="8">
        <v>77.78</v>
      </c>
      <c r="FA42" s="8">
        <v>86.18</v>
      </c>
      <c r="FB42" s="8">
        <v>84.09</v>
      </c>
      <c r="FC42" s="8">
        <v>85.42</v>
      </c>
      <c r="FD42" s="8">
        <v>85.99</v>
      </c>
      <c r="FE42" s="8">
        <v>86.75</v>
      </c>
      <c r="FF42" s="8">
        <v>79.69</v>
      </c>
      <c r="FG42" s="8">
        <v>79.23</v>
      </c>
      <c r="FH42" s="8">
        <v>80.05</v>
      </c>
      <c r="FI42" s="8">
        <v>79.849999999999994</v>
      </c>
      <c r="FJ42" s="8">
        <v>84.19</v>
      </c>
      <c r="FK42" s="8">
        <v>81.709999999999994</v>
      </c>
      <c r="FL42" s="8">
        <v>85.93</v>
      </c>
      <c r="FM42" s="8">
        <v>80.92</v>
      </c>
      <c r="FN42" s="8">
        <v>69.69</v>
      </c>
      <c r="FO42" s="8">
        <v>85.54</v>
      </c>
      <c r="FP42" s="8">
        <v>85.2</v>
      </c>
      <c r="FQ42" s="8">
        <v>72.05</v>
      </c>
      <c r="FR42" s="8">
        <v>79.62</v>
      </c>
      <c r="FS42" s="8">
        <v>85.94</v>
      </c>
      <c r="FT42" s="8">
        <v>80.39</v>
      </c>
      <c r="FU42" s="8">
        <v>79.430000000000007</v>
      </c>
      <c r="FV42" s="8">
        <v>80.67</v>
      </c>
      <c r="GB42" s="8">
        <v>78.98</v>
      </c>
      <c r="GD42" s="8">
        <v>84.03</v>
      </c>
      <c r="GE42" s="8">
        <v>58.21</v>
      </c>
      <c r="GF42" s="8">
        <v>58.21</v>
      </c>
      <c r="GV42" s="8">
        <v>64.819999999999993</v>
      </c>
      <c r="GW42" s="8">
        <v>64.819999999999993</v>
      </c>
      <c r="GZ42" s="8">
        <v>77.75</v>
      </c>
      <c r="HP42" s="8">
        <v>91.41</v>
      </c>
      <c r="HQ42" s="8">
        <v>89.28</v>
      </c>
      <c r="HR42" s="8">
        <v>95.18</v>
      </c>
      <c r="HS42" s="8">
        <v>89.58</v>
      </c>
      <c r="II42" s="8">
        <v>60.94</v>
      </c>
    </row>
    <row r="43" spans="1:243" x14ac:dyDescent="0.2">
      <c r="A43" s="9">
        <v>43952</v>
      </c>
      <c r="H43" s="8">
        <v>81.510000000000005</v>
      </c>
      <c r="I43" s="8">
        <v>77.42</v>
      </c>
      <c r="M43" s="8">
        <v>83.63</v>
      </c>
      <c r="N43" s="8">
        <v>92.61</v>
      </c>
      <c r="O43" s="8">
        <v>82.96</v>
      </c>
      <c r="R43" s="8">
        <v>79.260000000000005</v>
      </c>
      <c r="S43" s="8">
        <v>76.91</v>
      </c>
      <c r="T43" s="8">
        <v>78.930000000000007</v>
      </c>
      <c r="U43" s="8">
        <v>84.93</v>
      </c>
      <c r="V43" s="8">
        <v>86.77</v>
      </c>
      <c r="W43" s="8">
        <v>84.45</v>
      </c>
      <c r="X43" s="8">
        <v>78.3</v>
      </c>
      <c r="Y43" s="8">
        <v>86.16</v>
      </c>
      <c r="Z43" s="8">
        <v>86.62</v>
      </c>
      <c r="AA43" s="8">
        <v>85.35</v>
      </c>
      <c r="AB43" s="8">
        <v>86.54</v>
      </c>
      <c r="AC43" s="8">
        <v>86.67</v>
      </c>
      <c r="AD43" s="8">
        <v>79.87</v>
      </c>
      <c r="AE43" s="8">
        <v>80.44</v>
      </c>
      <c r="AF43" s="8">
        <v>80.62</v>
      </c>
      <c r="AG43" s="8">
        <v>78.28</v>
      </c>
      <c r="AH43" s="8">
        <v>85.86</v>
      </c>
      <c r="AI43" s="8">
        <v>84.02</v>
      </c>
      <c r="AJ43" s="8">
        <v>87.06</v>
      </c>
      <c r="AK43" s="8">
        <v>77.95</v>
      </c>
      <c r="AL43" s="8">
        <v>68.53</v>
      </c>
      <c r="AM43" s="8">
        <v>84.95</v>
      </c>
      <c r="AN43" s="8">
        <v>82.96</v>
      </c>
      <c r="AO43" s="8">
        <v>69.489999999999995</v>
      </c>
      <c r="AP43" s="8">
        <v>75.66</v>
      </c>
      <c r="AQ43" s="8">
        <v>83.1</v>
      </c>
      <c r="AR43" s="8">
        <v>81.37</v>
      </c>
      <c r="AS43" s="8">
        <v>75.05</v>
      </c>
      <c r="AT43" s="8">
        <v>82.93</v>
      </c>
      <c r="AZ43" s="8">
        <v>81.180000000000007</v>
      </c>
      <c r="BB43" s="8">
        <v>80.31</v>
      </c>
      <c r="BC43" s="8">
        <v>59.88</v>
      </c>
      <c r="BD43" s="8">
        <v>59.88</v>
      </c>
      <c r="BT43" s="8">
        <v>66.81</v>
      </c>
      <c r="BU43" s="8">
        <v>66.81</v>
      </c>
      <c r="BX43" s="8">
        <v>74.069999999999993</v>
      </c>
      <c r="CN43" s="8">
        <v>89.35</v>
      </c>
      <c r="CO43" s="8">
        <v>85.4</v>
      </c>
      <c r="CP43" s="8">
        <v>89.94</v>
      </c>
      <c r="CQ43" s="8">
        <v>89.88</v>
      </c>
      <c r="DG43" s="8">
        <v>59.92</v>
      </c>
      <c r="DW43" s="8">
        <v>74.13</v>
      </c>
      <c r="DX43" s="8">
        <v>66.92</v>
      </c>
      <c r="DY43" s="8">
        <v>64.73</v>
      </c>
      <c r="EC43" s="8">
        <v>79.78</v>
      </c>
      <c r="EJ43" s="8">
        <v>76.75</v>
      </c>
      <c r="EK43" s="8">
        <v>77.98</v>
      </c>
      <c r="EO43" s="8">
        <v>80.900000000000006</v>
      </c>
      <c r="EP43" s="8">
        <v>92.61</v>
      </c>
      <c r="EQ43" s="8">
        <v>78.819999999999993</v>
      </c>
      <c r="ET43" s="8">
        <v>80.040000000000006</v>
      </c>
      <c r="EU43" s="8">
        <v>77.75</v>
      </c>
      <c r="EV43" s="8">
        <v>79.55</v>
      </c>
      <c r="EW43" s="8">
        <v>85.24</v>
      </c>
      <c r="EX43" s="8">
        <v>87.59</v>
      </c>
      <c r="EY43" s="8">
        <v>84.6</v>
      </c>
      <c r="EZ43" s="8">
        <v>79.900000000000006</v>
      </c>
      <c r="FA43" s="8">
        <v>85.1</v>
      </c>
      <c r="FB43" s="8">
        <v>85.11</v>
      </c>
      <c r="FC43" s="8">
        <v>85.26</v>
      </c>
      <c r="FD43" s="8">
        <v>86.33</v>
      </c>
      <c r="FE43" s="8">
        <v>86.91</v>
      </c>
      <c r="FF43" s="8">
        <v>79.08</v>
      </c>
      <c r="FG43" s="8">
        <v>78.459999999999994</v>
      </c>
      <c r="FH43" s="8">
        <v>80.16</v>
      </c>
      <c r="FI43" s="8">
        <v>78.73</v>
      </c>
      <c r="FJ43" s="8">
        <v>81.17</v>
      </c>
      <c r="FK43" s="8">
        <v>79.45</v>
      </c>
      <c r="FL43" s="8">
        <v>82.28</v>
      </c>
      <c r="FM43" s="8">
        <v>78</v>
      </c>
      <c r="FN43" s="8">
        <v>69.349999999999994</v>
      </c>
      <c r="FO43" s="8">
        <v>84.7</v>
      </c>
      <c r="FP43" s="8">
        <v>83.47</v>
      </c>
      <c r="FQ43" s="8">
        <v>69.55</v>
      </c>
      <c r="FR43" s="8">
        <v>76.040000000000006</v>
      </c>
      <c r="FS43" s="8">
        <v>82.4</v>
      </c>
      <c r="FT43" s="8">
        <v>79.27</v>
      </c>
      <c r="FU43" s="8">
        <v>75.069999999999993</v>
      </c>
      <c r="FV43" s="8">
        <v>80.62</v>
      </c>
      <c r="GB43" s="8">
        <v>79.88</v>
      </c>
      <c r="GD43" s="8">
        <v>83.01</v>
      </c>
      <c r="GE43" s="8">
        <v>58.47</v>
      </c>
      <c r="GF43" s="8">
        <v>58.47</v>
      </c>
      <c r="GV43" s="8">
        <v>64.569999999999993</v>
      </c>
      <c r="GW43" s="8">
        <v>64.569999999999993</v>
      </c>
      <c r="GZ43" s="8">
        <v>77.75</v>
      </c>
      <c r="HP43" s="8">
        <v>87.2</v>
      </c>
      <c r="HQ43" s="8">
        <v>85.32</v>
      </c>
      <c r="HR43" s="8">
        <v>90.89</v>
      </c>
      <c r="HS43" s="8">
        <v>85.37</v>
      </c>
      <c r="II43" s="8">
        <v>61.95</v>
      </c>
    </row>
    <row r="44" spans="1:243" x14ac:dyDescent="0.2">
      <c r="A44" s="9">
        <v>43983</v>
      </c>
      <c r="H44" s="8">
        <v>81.510000000000005</v>
      </c>
      <c r="I44" s="8">
        <v>77.42</v>
      </c>
      <c r="M44" s="8">
        <v>84.16</v>
      </c>
      <c r="N44" s="8">
        <v>92.96</v>
      </c>
      <c r="O44" s="8">
        <v>83.52</v>
      </c>
      <c r="R44" s="8">
        <v>78.599999999999994</v>
      </c>
      <c r="S44" s="8">
        <v>76.91</v>
      </c>
      <c r="T44" s="8">
        <v>78.75</v>
      </c>
      <c r="U44" s="8">
        <v>79.98</v>
      </c>
      <c r="V44" s="8">
        <v>85.18</v>
      </c>
      <c r="W44" s="8">
        <v>84.55</v>
      </c>
      <c r="X44" s="8">
        <v>79.5</v>
      </c>
      <c r="Y44" s="8">
        <v>85.37</v>
      </c>
      <c r="Z44" s="8">
        <v>87.13</v>
      </c>
      <c r="AA44" s="8">
        <v>85.25</v>
      </c>
      <c r="AB44" s="8">
        <v>86.62</v>
      </c>
      <c r="AC44" s="8">
        <v>85.85</v>
      </c>
      <c r="AD44" s="8">
        <v>79.739999999999995</v>
      </c>
      <c r="AE44" s="8">
        <v>79.989999999999995</v>
      </c>
      <c r="AF44" s="8">
        <v>80.81</v>
      </c>
      <c r="AG44" s="8">
        <v>78.31</v>
      </c>
      <c r="AH44" s="8">
        <v>88.94</v>
      </c>
      <c r="AI44" s="8">
        <v>89</v>
      </c>
      <c r="AJ44" s="8">
        <v>88.41</v>
      </c>
      <c r="AK44" s="8">
        <v>77.260000000000005</v>
      </c>
      <c r="AL44" s="8">
        <v>68.42</v>
      </c>
      <c r="AM44" s="8">
        <v>84.54</v>
      </c>
      <c r="AN44" s="8">
        <v>82.26</v>
      </c>
      <c r="AO44" s="8">
        <v>68.2</v>
      </c>
      <c r="AP44" s="8">
        <v>75.58</v>
      </c>
      <c r="AQ44" s="8">
        <v>81.55</v>
      </c>
      <c r="AR44" s="8">
        <v>80.73</v>
      </c>
      <c r="AS44" s="8">
        <v>72.680000000000007</v>
      </c>
      <c r="AT44" s="8">
        <v>82.72</v>
      </c>
      <c r="AZ44" s="8">
        <v>78.52</v>
      </c>
      <c r="BB44" s="8">
        <v>80.819999999999993</v>
      </c>
      <c r="BC44" s="8">
        <v>60.02</v>
      </c>
      <c r="BD44" s="8">
        <v>60.02</v>
      </c>
      <c r="BT44" s="8">
        <v>66.66</v>
      </c>
      <c r="BU44" s="8">
        <v>66.66</v>
      </c>
      <c r="BX44" s="8">
        <v>74.069999999999993</v>
      </c>
      <c r="CN44" s="8">
        <v>85.99</v>
      </c>
      <c r="CO44" s="8">
        <v>82.79</v>
      </c>
      <c r="CP44" s="8">
        <v>86.85</v>
      </c>
      <c r="CQ44" s="8">
        <v>86.19</v>
      </c>
      <c r="DG44" s="8">
        <v>65.39</v>
      </c>
      <c r="DW44" s="8">
        <v>71.81</v>
      </c>
      <c r="DX44" s="8">
        <v>67.010000000000005</v>
      </c>
      <c r="DY44" s="8">
        <v>60.76</v>
      </c>
      <c r="EC44" s="8">
        <v>79.849999999999994</v>
      </c>
      <c r="EJ44" s="8">
        <v>76.75</v>
      </c>
      <c r="EK44" s="8">
        <v>77.98</v>
      </c>
      <c r="EO44" s="8">
        <v>81.53</v>
      </c>
      <c r="EP44" s="8">
        <v>92.96</v>
      </c>
      <c r="EQ44" s="8">
        <v>79.510000000000005</v>
      </c>
      <c r="ET44" s="8">
        <v>78.989999999999995</v>
      </c>
      <c r="EU44" s="8">
        <v>77.25</v>
      </c>
      <c r="EV44" s="8">
        <v>79.040000000000006</v>
      </c>
      <c r="EW44" s="8">
        <v>80.260000000000005</v>
      </c>
      <c r="EX44" s="8">
        <v>85.29</v>
      </c>
      <c r="EY44" s="8">
        <v>84.73</v>
      </c>
      <c r="EZ44" s="8">
        <v>80.97</v>
      </c>
      <c r="FA44" s="8">
        <v>85.01</v>
      </c>
      <c r="FB44" s="8">
        <v>85.29</v>
      </c>
      <c r="FC44" s="8">
        <v>84.83</v>
      </c>
      <c r="FD44" s="8">
        <v>86.89</v>
      </c>
      <c r="FE44" s="8">
        <v>85.71</v>
      </c>
      <c r="FF44" s="8">
        <v>78.88</v>
      </c>
      <c r="FG44" s="8">
        <v>77.959999999999994</v>
      </c>
      <c r="FH44" s="8">
        <v>80.28</v>
      </c>
      <c r="FI44" s="8">
        <v>78.58</v>
      </c>
      <c r="FJ44" s="8">
        <v>85.48</v>
      </c>
      <c r="FK44" s="8">
        <v>85.12</v>
      </c>
      <c r="FL44" s="8">
        <v>85.41</v>
      </c>
      <c r="FM44" s="8">
        <v>77.010000000000005</v>
      </c>
      <c r="FN44" s="8">
        <v>69.12</v>
      </c>
      <c r="FO44" s="8">
        <v>84.18</v>
      </c>
      <c r="FP44" s="8">
        <v>82.72</v>
      </c>
      <c r="FQ44" s="8">
        <v>67.88</v>
      </c>
      <c r="FR44" s="8">
        <v>75.569999999999993</v>
      </c>
      <c r="FS44" s="8">
        <v>80.44</v>
      </c>
      <c r="FT44" s="8">
        <v>78.319999999999993</v>
      </c>
      <c r="FU44" s="8">
        <v>72.38</v>
      </c>
      <c r="FV44" s="8">
        <v>80.23</v>
      </c>
      <c r="GB44" s="8">
        <v>77.92</v>
      </c>
      <c r="GD44" s="8">
        <v>83.54</v>
      </c>
      <c r="GE44" s="8">
        <v>58.65</v>
      </c>
      <c r="GF44" s="8">
        <v>58.65</v>
      </c>
      <c r="GV44" s="8">
        <v>64.38</v>
      </c>
      <c r="GW44" s="8">
        <v>64.38</v>
      </c>
      <c r="GZ44" s="8">
        <v>77.75</v>
      </c>
      <c r="HP44" s="8">
        <v>83.72</v>
      </c>
      <c r="HQ44" s="8">
        <v>82.56</v>
      </c>
      <c r="HR44" s="8">
        <v>87.62</v>
      </c>
      <c r="HS44" s="8">
        <v>81.63</v>
      </c>
      <c r="II44" s="8">
        <v>66.95</v>
      </c>
    </row>
    <row r="45" spans="1:243" x14ac:dyDescent="0.2">
      <c r="A45" s="9">
        <v>44013</v>
      </c>
      <c r="H45" s="8">
        <v>81.510000000000005</v>
      </c>
      <c r="I45" s="8">
        <v>77.42</v>
      </c>
      <c r="M45" s="8">
        <v>84.16</v>
      </c>
      <c r="N45" s="8">
        <v>92.95</v>
      </c>
      <c r="O45" s="8">
        <v>83.52</v>
      </c>
      <c r="R45" s="8">
        <v>77.760000000000005</v>
      </c>
      <c r="S45" s="8">
        <v>76.61</v>
      </c>
      <c r="T45" s="8">
        <v>77.510000000000005</v>
      </c>
      <c r="U45" s="8">
        <v>79.09</v>
      </c>
      <c r="V45" s="8">
        <v>83.93</v>
      </c>
      <c r="W45" s="8">
        <v>85.01</v>
      </c>
      <c r="X45" s="8">
        <v>80.13</v>
      </c>
      <c r="Y45" s="8">
        <v>85.94</v>
      </c>
      <c r="Z45" s="8">
        <v>87.27</v>
      </c>
      <c r="AA45" s="8">
        <v>86.56</v>
      </c>
      <c r="AB45" s="8">
        <v>87.27</v>
      </c>
      <c r="AC45" s="8">
        <v>84.85</v>
      </c>
      <c r="AD45" s="8">
        <v>79.989999999999995</v>
      </c>
      <c r="AE45" s="8">
        <v>79.989999999999995</v>
      </c>
      <c r="AF45" s="8">
        <v>81.069999999999993</v>
      </c>
      <c r="AG45" s="8">
        <v>78.88</v>
      </c>
      <c r="AH45" s="8">
        <v>85.89</v>
      </c>
      <c r="AI45" s="8">
        <v>84.09</v>
      </c>
      <c r="AJ45" s="8">
        <v>87.06</v>
      </c>
      <c r="AK45" s="8">
        <v>77.48</v>
      </c>
      <c r="AL45" s="8">
        <v>68.319999999999993</v>
      </c>
      <c r="AM45" s="8">
        <v>83.85</v>
      </c>
      <c r="AN45" s="8">
        <v>82.52</v>
      </c>
      <c r="AO45" s="8">
        <v>69.25</v>
      </c>
      <c r="AP45" s="8">
        <v>76.09</v>
      </c>
      <c r="AQ45" s="8">
        <v>81.290000000000006</v>
      </c>
      <c r="AR45" s="8">
        <v>81.78</v>
      </c>
      <c r="AS45" s="8">
        <v>74.239999999999995</v>
      </c>
      <c r="AT45" s="8">
        <v>83.64</v>
      </c>
      <c r="AZ45" s="8">
        <v>80.319999999999993</v>
      </c>
      <c r="BB45" s="8">
        <v>81.17</v>
      </c>
      <c r="BC45" s="8">
        <v>60.2</v>
      </c>
      <c r="BD45" s="8">
        <v>60.2</v>
      </c>
      <c r="BT45" s="8">
        <v>66.569999999999993</v>
      </c>
      <c r="BU45" s="8">
        <v>66.569999999999993</v>
      </c>
      <c r="BX45" s="8">
        <v>74.069999999999993</v>
      </c>
      <c r="CN45" s="8">
        <v>87.14</v>
      </c>
      <c r="CO45" s="8">
        <v>82.84</v>
      </c>
      <c r="CP45" s="8">
        <v>88.2</v>
      </c>
      <c r="CQ45" s="8">
        <v>87.43</v>
      </c>
      <c r="DG45" s="8">
        <v>67.069999999999993</v>
      </c>
      <c r="DW45" s="8">
        <v>77.87</v>
      </c>
      <c r="DX45" s="8">
        <v>67.5</v>
      </c>
      <c r="DY45" s="8">
        <v>70.48</v>
      </c>
      <c r="EC45" s="8">
        <v>79.87</v>
      </c>
      <c r="EJ45" s="8">
        <v>76.75</v>
      </c>
      <c r="EK45" s="8">
        <v>77.98</v>
      </c>
      <c r="EO45" s="8">
        <v>81.53</v>
      </c>
      <c r="EP45" s="8">
        <v>92.95</v>
      </c>
      <c r="EQ45" s="8">
        <v>79.510000000000005</v>
      </c>
      <c r="ET45" s="8">
        <v>78.13</v>
      </c>
      <c r="EU45" s="8">
        <v>77.28</v>
      </c>
      <c r="EV45" s="8">
        <v>77.489999999999995</v>
      </c>
      <c r="EW45" s="8">
        <v>79.05</v>
      </c>
      <c r="EX45" s="8">
        <v>84.21</v>
      </c>
      <c r="EY45" s="8">
        <v>85.27</v>
      </c>
      <c r="EZ45" s="8">
        <v>81.5</v>
      </c>
      <c r="FA45" s="8">
        <v>85.71</v>
      </c>
      <c r="FB45" s="8">
        <v>86.35</v>
      </c>
      <c r="FC45" s="8">
        <v>86.42</v>
      </c>
      <c r="FD45" s="8">
        <v>87.37</v>
      </c>
      <c r="FE45" s="8">
        <v>84.34</v>
      </c>
      <c r="FF45" s="8">
        <v>79.22</v>
      </c>
      <c r="FG45" s="8">
        <v>78.31</v>
      </c>
      <c r="FH45" s="8">
        <v>80.599999999999994</v>
      </c>
      <c r="FI45" s="8">
        <v>78.94</v>
      </c>
      <c r="FJ45" s="8">
        <v>83.12</v>
      </c>
      <c r="FK45" s="8">
        <v>80.89</v>
      </c>
      <c r="FL45" s="8">
        <v>84.66</v>
      </c>
      <c r="FM45" s="8">
        <v>77.260000000000005</v>
      </c>
      <c r="FN45" s="8">
        <v>68.69</v>
      </c>
      <c r="FO45" s="8">
        <v>83.63</v>
      </c>
      <c r="FP45" s="8">
        <v>82.7</v>
      </c>
      <c r="FQ45" s="8">
        <v>68.58</v>
      </c>
      <c r="FR45" s="8">
        <v>75.989999999999995</v>
      </c>
      <c r="FS45" s="8">
        <v>80.709999999999994</v>
      </c>
      <c r="FT45" s="8">
        <v>79.02</v>
      </c>
      <c r="FU45" s="8">
        <v>73.67</v>
      </c>
      <c r="FV45" s="8">
        <v>80.739999999999995</v>
      </c>
      <c r="GB45" s="8">
        <v>79.39</v>
      </c>
      <c r="GD45" s="8">
        <v>83.15</v>
      </c>
      <c r="GE45" s="8">
        <v>58.93</v>
      </c>
      <c r="GF45" s="8">
        <v>58.93</v>
      </c>
      <c r="GV45" s="8">
        <v>64.010000000000005</v>
      </c>
      <c r="GW45" s="8">
        <v>64.010000000000005</v>
      </c>
      <c r="GZ45" s="8">
        <v>77.75</v>
      </c>
      <c r="HP45" s="8">
        <v>84.38</v>
      </c>
      <c r="HQ45" s="8">
        <v>82.28</v>
      </c>
      <c r="HR45" s="8">
        <v>88.75</v>
      </c>
      <c r="HS45" s="8">
        <v>82.13</v>
      </c>
      <c r="II45" s="8">
        <v>69.73</v>
      </c>
    </row>
    <row r="46" spans="1:243" x14ac:dyDescent="0.2">
      <c r="A46" s="9">
        <v>44044</v>
      </c>
      <c r="H46" s="8">
        <v>81.510000000000005</v>
      </c>
      <c r="I46" s="8">
        <v>77.349999999999994</v>
      </c>
      <c r="M46" s="8">
        <v>84.16</v>
      </c>
      <c r="N46" s="8">
        <v>92.94</v>
      </c>
      <c r="O46" s="8">
        <v>83.52</v>
      </c>
      <c r="R46" s="8">
        <v>78.459999999999994</v>
      </c>
      <c r="S46" s="8">
        <v>76.92</v>
      </c>
      <c r="T46" s="8">
        <v>78.5</v>
      </c>
      <c r="U46" s="8">
        <v>81.319999999999993</v>
      </c>
      <c r="V46" s="8">
        <v>83.37</v>
      </c>
      <c r="W46" s="8">
        <v>85.35</v>
      </c>
      <c r="X46" s="8">
        <v>80.08</v>
      </c>
      <c r="Y46" s="8">
        <v>86.57</v>
      </c>
      <c r="Z46" s="8">
        <v>87.17</v>
      </c>
      <c r="AA46" s="8">
        <v>86.85</v>
      </c>
      <c r="AB46" s="8">
        <v>88.11</v>
      </c>
      <c r="AC46" s="8">
        <v>85.21</v>
      </c>
      <c r="AD46" s="8">
        <v>79.92</v>
      </c>
      <c r="AE46" s="8">
        <v>80.03</v>
      </c>
      <c r="AF46" s="8">
        <v>80.510000000000005</v>
      </c>
      <c r="AG46" s="8">
        <v>79.09</v>
      </c>
      <c r="AH46" s="8">
        <v>86.81</v>
      </c>
      <c r="AI46" s="8">
        <v>85.03</v>
      </c>
      <c r="AJ46" s="8">
        <v>87.95</v>
      </c>
      <c r="AK46" s="8">
        <v>77.38</v>
      </c>
      <c r="AL46" s="8">
        <v>68.48</v>
      </c>
      <c r="AM46" s="8">
        <v>85.14</v>
      </c>
      <c r="AN46" s="8">
        <v>82.59</v>
      </c>
      <c r="AO46" s="8">
        <v>68.77</v>
      </c>
      <c r="AP46" s="8">
        <v>76.319999999999993</v>
      </c>
      <c r="AQ46" s="8">
        <v>80.47</v>
      </c>
      <c r="AR46" s="8">
        <v>81.59</v>
      </c>
      <c r="AS46" s="8">
        <v>72.77</v>
      </c>
      <c r="AT46" s="8">
        <v>83.78</v>
      </c>
      <c r="AZ46" s="8">
        <v>80.97</v>
      </c>
      <c r="BB46" s="8">
        <v>81.06</v>
      </c>
      <c r="BC46" s="8">
        <v>60.22</v>
      </c>
      <c r="BD46" s="8">
        <v>60.22</v>
      </c>
      <c r="BT46" s="8">
        <v>66.680000000000007</v>
      </c>
      <c r="BU46" s="8">
        <v>66.680000000000007</v>
      </c>
      <c r="BX46" s="8">
        <v>74.069999999999993</v>
      </c>
      <c r="CN46" s="8">
        <v>85.85</v>
      </c>
      <c r="CO46" s="8">
        <v>82.31</v>
      </c>
      <c r="CP46" s="8">
        <v>87.69</v>
      </c>
      <c r="CQ46" s="8">
        <v>85.48</v>
      </c>
      <c r="DG46" s="8">
        <v>67.48</v>
      </c>
      <c r="DW46" s="8">
        <v>78.2</v>
      </c>
      <c r="DX46" s="8">
        <v>67.47</v>
      </c>
      <c r="DY46" s="8">
        <v>71.06</v>
      </c>
      <c r="EC46" s="8">
        <v>79.95</v>
      </c>
      <c r="EJ46" s="8">
        <v>76.75</v>
      </c>
      <c r="EK46" s="8">
        <v>77.98</v>
      </c>
      <c r="EO46" s="8">
        <v>81.53</v>
      </c>
      <c r="EP46" s="8">
        <v>92.94</v>
      </c>
      <c r="EQ46" s="8">
        <v>79.510000000000005</v>
      </c>
      <c r="ET46" s="8">
        <v>79.010000000000005</v>
      </c>
      <c r="EU46" s="8">
        <v>77.48</v>
      </c>
      <c r="EV46" s="8">
        <v>79</v>
      </c>
      <c r="EW46" s="8">
        <v>81.37</v>
      </c>
      <c r="EX46" s="8">
        <v>83.81</v>
      </c>
      <c r="EY46" s="8">
        <v>85.74</v>
      </c>
      <c r="EZ46" s="8">
        <v>81.8</v>
      </c>
      <c r="FA46" s="8">
        <v>86.17</v>
      </c>
      <c r="FB46" s="8">
        <v>86.25</v>
      </c>
      <c r="FC46" s="8">
        <v>86.78</v>
      </c>
      <c r="FD46" s="8">
        <v>88.5</v>
      </c>
      <c r="FE46" s="8">
        <v>84.63</v>
      </c>
      <c r="FF46" s="8">
        <v>78.95</v>
      </c>
      <c r="FG46" s="8">
        <v>78.19</v>
      </c>
      <c r="FH46" s="8">
        <v>79.91</v>
      </c>
      <c r="FI46" s="8">
        <v>78.89</v>
      </c>
      <c r="FJ46" s="8">
        <v>84.16</v>
      </c>
      <c r="FK46" s="8">
        <v>82.08</v>
      </c>
      <c r="FL46" s="8">
        <v>85.56</v>
      </c>
      <c r="FM46" s="8">
        <v>77.19</v>
      </c>
      <c r="FN46" s="8">
        <v>68.87</v>
      </c>
      <c r="FO46" s="8">
        <v>84.78</v>
      </c>
      <c r="FP46" s="8">
        <v>82.91</v>
      </c>
      <c r="FQ46" s="8">
        <v>68.540000000000006</v>
      </c>
      <c r="FR46" s="8">
        <v>76.17</v>
      </c>
      <c r="FS46" s="8">
        <v>79.8</v>
      </c>
      <c r="FT46" s="8">
        <v>78.72</v>
      </c>
      <c r="FU46" s="8">
        <v>72.28</v>
      </c>
      <c r="FV46" s="8">
        <v>80.8</v>
      </c>
      <c r="GB46" s="8">
        <v>78.790000000000006</v>
      </c>
      <c r="GD46" s="8">
        <v>83.64</v>
      </c>
      <c r="GE46" s="8">
        <v>59.08</v>
      </c>
      <c r="GF46" s="8">
        <v>59.08</v>
      </c>
      <c r="GV46" s="8">
        <v>64.319999999999993</v>
      </c>
      <c r="GW46" s="8">
        <v>64.319999999999993</v>
      </c>
      <c r="GZ46" s="8">
        <v>77.75</v>
      </c>
      <c r="HP46" s="8">
        <v>83.41</v>
      </c>
      <c r="HQ46" s="8">
        <v>81.63</v>
      </c>
      <c r="HR46" s="8">
        <v>88.2</v>
      </c>
      <c r="HS46" s="8">
        <v>80.83</v>
      </c>
      <c r="II46" s="8">
        <v>68.599999999999994</v>
      </c>
    </row>
    <row r="47" spans="1:243" x14ac:dyDescent="0.2">
      <c r="A47" s="9">
        <v>44075</v>
      </c>
      <c r="H47" s="8">
        <v>81.510000000000005</v>
      </c>
      <c r="I47" s="8">
        <v>77.349999999999994</v>
      </c>
      <c r="M47" s="8">
        <v>83.62</v>
      </c>
      <c r="N47" s="8">
        <v>92.93</v>
      </c>
      <c r="O47" s="8">
        <v>82.93</v>
      </c>
      <c r="R47" s="8">
        <v>78.28</v>
      </c>
      <c r="S47" s="8">
        <v>76.81</v>
      </c>
      <c r="T47" s="8">
        <v>78.39</v>
      </c>
      <c r="U47" s="8">
        <v>80.81</v>
      </c>
      <c r="V47" s="8">
        <v>82.81</v>
      </c>
      <c r="W47" s="8">
        <v>85.27</v>
      </c>
      <c r="X47" s="8">
        <v>80.52</v>
      </c>
      <c r="Y47" s="8">
        <v>86.9</v>
      </c>
      <c r="Z47" s="8">
        <v>85.14</v>
      </c>
      <c r="AA47" s="8">
        <v>86.55</v>
      </c>
      <c r="AB47" s="8">
        <v>87.94</v>
      </c>
      <c r="AC47" s="8">
        <v>85.38</v>
      </c>
      <c r="AD47" s="8">
        <v>79.98</v>
      </c>
      <c r="AE47" s="8">
        <v>80.44</v>
      </c>
      <c r="AF47" s="8">
        <v>80.22</v>
      </c>
      <c r="AG47" s="8">
        <v>78.97</v>
      </c>
      <c r="AH47" s="8">
        <v>84.05</v>
      </c>
      <c r="AI47" s="8">
        <v>82.9</v>
      </c>
      <c r="AJ47" s="8">
        <v>84.63</v>
      </c>
      <c r="AK47" s="8">
        <v>77.2</v>
      </c>
      <c r="AL47" s="8">
        <v>68.36</v>
      </c>
      <c r="AM47" s="8">
        <v>85.41</v>
      </c>
      <c r="AN47" s="8">
        <v>82.81</v>
      </c>
      <c r="AO47" s="8">
        <v>68.040000000000006</v>
      </c>
      <c r="AP47" s="8">
        <v>75.849999999999994</v>
      </c>
      <c r="AQ47" s="8">
        <v>80.66</v>
      </c>
      <c r="AR47" s="8">
        <v>80.819999999999993</v>
      </c>
      <c r="AS47" s="8">
        <v>73.91</v>
      </c>
      <c r="AT47" s="8">
        <v>82.53</v>
      </c>
      <c r="AZ47" s="8">
        <v>83.27</v>
      </c>
      <c r="BB47" s="8">
        <v>81.260000000000005</v>
      </c>
      <c r="BC47" s="8">
        <v>64.31</v>
      </c>
      <c r="BD47" s="8">
        <v>64.31</v>
      </c>
      <c r="BT47" s="8">
        <v>66.349999999999994</v>
      </c>
      <c r="BU47" s="8">
        <v>66.349999999999994</v>
      </c>
      <c r="BX47" s="8">
        <v>75.97</v>
      </c>
      <c r="CN47" s="8">
        <v>85.6</v>
      </c>
      <c r="CO47" s="8">
        <v>81.72</v>
      </c>
      <c r="CP47" s="8">
        <v>87.59</v>
      </c>
      <c r="CQ47" s="8">
        <v>85.2</v>
      </c>
      <c r="DG47" s="8">
        <v>66.47</v>
      </c>
      <c r="DW47" s="8">
        <v>70.69</v>
      </c>
      <c r="DX47" s="8">
        <v>70.48</v>
      </c>
      <c r="DY47" s="8">
        <v>55.81</v>
      </c>
      <c r="EC47" s="8">
        <v>80.37</v>
      </c>
      <c r="EJ47" s="8">
        <v>76.75</v>
      </c>
      <c r="EK47" s="8">
        <v>77.98</v>
      </c>
      <c r="EO47" s="8">
        <v>81.56</v>
      </c>
      <c r="EP47" s="8">
        <v>92.93</v>
      </c>
      <c r="EQ47" s="8">
        <v>79.540000000000006</v>
      </c>
      <c r="ET47" s="8">
        <v>78.709999999999994</v>
      </c>
      <c r="EU47" s="8">
        <v>77.650000000000006</v>
      </c>
      <c r="EV47" s="8">
        <v>78.44</v>
      </c>
      <c r="EW47" s="8">
        <v>80.86</v>
      </c>
      <c r="EX47" s="8">
        <v>82.95</v>
      </c>
      <c r="EY47" s="8">
        <v>85.31</v>
      </c>
      <c r="EZ47" s="8">
        <v>81.010000000000005</v>
      </c>
      <c r="FA47" s="8">
        <v>86.78</v>
      </c>
      <c r="FB47" s="8">
        <v>83.23</v>
      </c>
      <c r="FC47" s="8">
        <v>86.59</v>
      </c>
      <c r="FD47" s="8">
        <v>88.35</v>
      </c>
      <c r="FE47" s="8">
        <v>84.98</v>
      </c>
      <c r="FF47" s="8">
        <v>78.92</v>
      </c>
      <c r="FG47" s="8">
        <v>78.23</v>
      </c>
      <c r="FH47" s="8">
        <v>79.760000000000005</v>
      </c>
      <c r="FI47" s="8">
        <v>78.89</v>
      </c>
      <c r="FJ47" s="8">
        <v>82.21</v>
      </c>
      <c r="FK47" s="8">
        <v>81.8</v>
      </c>
      <c r="FL47" s="8">
        <v>82.21</v>
      </c>
      <c r="FM47" s="8">
        <v>76.989999999999995</v>
      </c>
      <c r="FN47" s="8">
        <v>69.05</v>
      </c>
      <c r="FO47" s="8">
        <v>84.98</v>
      </c>
      <c r="FP47" s="8">
        <v>82.8</v>
      </c>
      <c r="FQ47" s="8">
        <v>67.790000000000006</v>
      </c>
      <c r="FR47" s="8">
        <v>75.72</v>
      </c>
      <c r="FS47" s="8">
        <v>79.97</v>
      </c>
      <c r="FT47" s="8">
        <v>78.010000000000005</v>
      </c>
      <c r="FU47" s="8">
        <v>73.44</v>
      </c>
      <c r="FV47" s="8">
        <v>79.48</v>
      </c>
      <c r="GB47" s="8">
        <v>80.3</v>
      </c>
      <c r="GD47" s="8">
        <v>83.52</v>
      </c>
      <c r="GE47" s="8">
        <v>63.05</v>
      </c>
      <c r="GF47" s="8">
        <v>63.05</v>
      </c>
      <c r="GV47" s="8">
        <v>65.09</v>
      </c>
      <c r="GW47" s="8">
        <v>65.09</v>
      </c>
      <c r="GZ47" s="8">
        <v>78.97</v>
      </c>
      <c r="HP47" s="8">
        <v>82.92</v>
      </c>
      <c r="HQ47" s="8">
        <v>81.12</v>
      </c>
      <c r="HR47" s="8">
        <v>88.31</v>
      </c>
      <c r="HS47" s="8">
        <v>79.959999999999994</v>
      </c>
      <c r="II47" s="8">
        <v>67.23</v>
      </c>
    </row>
    <row r="48" spans="1:243" x14ac:dyDescent="0.2">
      <c r="A48" s="9">
        <v>44105</v>
      </c>
      <c r="H48" s="8">
        <v>81.510000000000005</v>
      </c>
      <c r="I48" s="8">
        <v>77.349999999999994</v>
      </c>
      <c r="M48" s="8">
        <v>83.67</v>
      </c>
      <c r="N48" s="8">
        <v>93.58</v>
      </c>
      <c r="O48" s="8">
        <v>82.93</v>
      </c>
      <c r="R48" s="8">
        <v>78.55</v>
      </c>
      <c r="S48" s="8">
        <v>77.23</v>
      </c>
      <c r="T48" s="8">
        <v>78.72</v>
      </c>
      <c r="U48" s="8">
        <v>80.11</v>
      </c>
      <c r="V48" s="8">
        <v>83.17</v>
      </c>
      <c r="W48" s="8">
        <v>84.75</v>
      </c>
      <c r="X48" s="8">
        <v>80.64</v>
      </c>
      <c r="Y48" s="8">
        <v>86.59</v>
      </c>
      <c r="Z48" s="8">
        <v>83.07</v>
      </c>
      <c r="AA48" s="8">
        <v>85.14</v>
      </c>
      <c r="AB48" s="8">
        <v>86.99</v>
      </c>
      <c r="AC48" s="8">
        <v>86.17</v>
      </c>
      <c r="AD48" s="8">
        <v>79.66</v>
      </c>
      <c r="AE48" s="8">
        <v>80</v>
      </c>
      <c r="AF48" s="8">
        <v>80.02</v>
      </c>
      <c r="AG48" s="8">
        <v>78.709999999999994</v>
      </c>
      <c r="AH48" s="8">
        <v>84.06</v>
      </c>
      <c r="AI48" s="8">
        <v>84.9</v>
      </c>
      <c r="AJ48" s="8">
        <v>83</v>
      </c>
      <c r="AK48" s="8">
        <v>77.7</v>
      </c>
      <c r="AL48" s="8">
        <v>67.86</v>
      </c>
      <c r="AM48" s="8">
        <v>84.62</v>
      </c>
      <c r="AN48" s="8">
        <v>82.42</v>
      </c>
      <c r="AO48" s="8">
        <v>68.47</v>
      </c>
      <c r="AP48" s="8">
        <v>76.569999999999993</v>
      </c>
      <c r="AQ48" s="8">
        <v>81.709999999999994</v>
      </c>
      <c r="AR48" s="8">
        <v>80.52</v>
      </c>
      <c r="AS48" s="8">
        <v>74.09</v>
      </c>
      <c r="AT48" s="8">
        <v>82.1</v>
      </c>
      <c r="AZ48" s="8">
        <v>81.599999999999994</v>
      </c>
      <c r="BB48" s="8">
        <v>81.010000000000005</v>
      </c>
      <c r="BC48" s="8">
        <v>68.16</v>
      </c>
      <c r="BD48" s="8">
        <v>68.16</v>
      </c>
      <c r="BT48" s="8">
        <v>67.61</v>
      </c>
      <c r="BU48" s="8">
        <v>67.61</v>
      </c>
      <c r="BX48" s="8">
        <v>75.97</v>
      </c>
      <c r="CN48" s="8">
        <v>85.29</v>
      </c>
      <c r="CO48" s="8">
        <v>81.91</v>
      </c>
      <c r="CP48" s="8">
        <v>86.35</v>
      </c>
      <c r="CQ48" s="8">
        <v>85.36</v>
      </c>
      <c r="DG48" s="8">
        <v>67.84</v>
      </c>
      <c r="DW48" s="8">
        <v>73.41</v>
      </c>
      <c r="DX48" s="8">
        <v>72.97</v>
      </c>
      <c r="DY48" s="8">
        <v>63.31</v>
      </c>
      <c r="EC48" s="8">
        <v>79.69</v>
      </c>
      <c r="EJ48" s="8">
        <v>76.75</v>
      </c>
      <c r="EK48" s="8">
        <v>77.98</v>
      </c>
      <c r="EO48" s="8">
        <v>81.66</v>
      </c>
      <c r="EP48" s="8">
        <v>93.58</v>
      </c>
      <c r="EQ48" s="8">
        <v>79.540000000000006</v>
      </c>
      <c r="ET48" s="8">
        <v>78.989999999999995</v>
      </c>
      <c r="EU48" s="8">
        <v>77.930000000000007</v>
      </c>
      <c r="EV48" s="8">
        <v>78.77</v>
      </c>
      <c r="EW48" s="8">
        <v>80.42</v>
      </c>
      <c r="EX48" s="8">
        <v>83.57</v>
      </c>
      <c r="EY48" s="8">
        <v>85.05</v>
      </c>
      <c r="EZ48" s="8">
        <v>82.02</v>
      </c>
      <c r="FA48" s="8">
        <v>86.4</v>
      </c>
      <c r="FB48" s="8">
        <v>82.44</v>
      </c>
      <c r="FC48" s="8">
        <v>85.57</v>
      </c>
      <c r="FD48" s="8">
        <v>87.32</v>
      </c>
      <c r="FE48" s="8">
        <v>85.38</v>
      </c>
      <c r="FF48" s="8">
        <v>78.81</v>
      </c>
      <c r="FG48" s="8">
        <v>78.19</v>
      </c>
      <c r="FH48" s="8">
        <v>79.69</v>
      </c>
      <c r="FI48" s="8">
        <v>78.66</v>
      </c>
      <c r="FJ48" s="8">
        <v>79.900000000000006</v>
      </c>
      <c r="FK48" s="8">
        <v>80.55</v>
      </c>
      <c r="FL48" s="8">
        <v>79.08</v>
      </c>
      <c r="FM48" s="8">
        <v>77.349999999999994</v>
      </c>
      <c r="FN48" s="8">
        <v>68.58</v>
      </c>
      <c r="FO48" s="8">
        <v>84.19</v>
      </c>
      <c r="FP48" s="8">
        <v>82.47</v>
      </c>
      <c r="FQ48" s="8">
        <v>68</v>
      </c>
      <c r="FR48" s="8">
        <v>76.260000000000005</v>
      </c>
      <c r="FS48" s="8">
        <v>80.88</v>
      </c>
      <c r="FT48" s="8">
        <v>77.69</v>
      </c>
      <c r="FU48" s="8">
        <v>73.73</v>
      </c>
      <c r="FV48" s="8">
        <v>78.94</v>
      </c>
      <c r="GB48" s="8">
        <v>80.02</v>
      </c>
      <c r="GD48" s="8">
        <v>83.25</v>
      </c>
      <c r="GE48" s="8">
        <v>66.62</v>
      </c>
      <c r="GF48" s="8">
        <v>66.62</v>
      </c>
      <c r="GV48" s="8">
        <v>64.36</v>
      </c>
      <c r="GW48" s="8">
        <v>64.36</v>
      </c>
      <c r="GZ48" s="8">
        <v>78.97</v>
      </c>
      <c r="HP48" s="8">
        <v>82.57</v>
      </c>
      <c r="HQ48" s="8">
        <v>81.31</v>
      </c>
      <c r="HR48" s="8">
        <v>87.28</v>
      </c>
      <c r="HS48" s="8">
        <v>79.94</v>
      </c>
      <c r="II48" s="8">
        <v>64.44</v>
      </c>
    </row>
    <row r="49" spans="1:243" x14ac:dyDescent="0.2">
      <c r="A49" s="9">
        <v>44136</v>
      </c>
      <c r="H49" s="8">
        <v>81.510000000000005</v>
      </c>
      <c r="I49" s="8">
        <v>77.349999999999994</v>
      </c>
      <c r="M49" s="8">
        <v>83.67</v>
      </c>
      <c r="N49" s="8">
        <v>93.59</v>
      </c>
      <c r="O49" s="8">
        <v>82.93</v>
      </c>
      <c r="R49" s="8">
        <v>79.040000000000006</v>
      </c>
      <c r="S49" s="8">
        <v>77.59</v>
      </c>
      <c r="T49" s="8">
        <v>78.819999999999993</v>
      </c>
      <c r="U49" s="8">
        <v>83.48</v>
      </c>
      <c r="V49" s="8">
        <v>83.14</v>
      </c>
      <c r="W49" s="8">
        <v>85.52</v>
      </c>
      <c r="X49" s="8">
        <v>82.06</v>
      </c>
      <c r="Y49" s="8">
        <v>87.25</v>
      </c>
      <c r="Z49" s="8">
        <v>83.74</v>
      </c>
      <c r="AA49" s="8">
        <v>85.8</v>
      </c>
      <c r="AB49" s="8">
        <v>87.81</v>
      </c>
      <c r="AC49" s="8">
        <v>86.2</v>
      </c>
      <c r="AD49" s="8">
        <v>79.77</v>
      </c>
      <c r="AE49" s="8">
        <v>79.98</v>
      </c>
      <c r="AF49" s="8">
        <v>80.39</v>
      </c>
      <c r="AG49" s="8">
        <v>78.760000000000005</v>
      </c>
      <c r="AH49" s="8">
        <v>86.55</v>
      </c>
      <c r="AI49" s="8">
        <v>89.98</v>
      </c>
      <c r="AJ49" s="8">
        <v>83.33</v>
      </c>
      <c r="AK49" s="8">
        <v>77.72</v>
      </c>
      <c r="AL49" s="8">
        <v>68.040000000000006</v>
      </c>
      <c r="AM49" s="8">
        <v>84.29</v>
      </c>
      <c r="AN49" s="8">
        <v>82.79</v>
      </c>
      <c r="AO49" s="8">
        <v>68.75</v>
      </c>
      <c r="AP49" s="8">
        <v>76.13</v>
      </c>
      <c r="AQ49" s="8">
        <v>82.15</v>
      </c>
      <c r="AR49" s="8">
        <v>80.64</v>
      </c>
      <c r="AS49" s="8">
        <v>72.44</v>
      </c>
      <c r="AT49" s="8">
        <v>82.7</v>
      </c>
      <c r="AZ49" s="8">
        <v>81.61</v>
      </c>
      <c r="BB49" s="8">
        <v>80.48</v>
      </c>
      <c r="BC49" s="8">
        <v>68.77</v>
      </c>
      <c r="BD49" s="8">
        <v>68.77</v>
      </c>
      <c r="BT49" s="8">
        <v>67.680000000000007</v>
      </c>
      <c r="BU49" s="8">
        <v>67.680000000000007</v>
      </c>
      <c r="BX49" s="8">
        <v>75.97</v>
      </c>
      <c r="CN49" s="8">
        <v>85.07</v>
      </c>
      <c r="CO49" s="8">
        <v>83.06</v>
      </c>
      <c r="CP49" s="8">
        <v>86.15</v>
      </c>
      <c r="CQ49" s="8">
        <v>84.84</v>
      </c>
      <c r="DG49" s="8">
        <v>66.34</v>
      </c>
      <c r="DW49" s="8">
        <v>71.75</v>
      </c>
      <c r="DX49" s="8">
        <v>71.44</v>
      </c>
      <c r="DY49" s="8">
        <v>58.99</v>
      </c>
      <c r="EC49" s="8">
        <v>80.540000000000006</v>
      </c>
      <c r="EJ49" s="8">
        <v>76.75</v>
      </c>
      <c r="EK49" s="8">
        <v>77.98</v>
      </c>
      <c r="EO49" s="8">
        <v>81.67</v>
      </c>
      <c r="EP49" s="8">
        <v>93.59</v>
      </c>
      <c r="EQ49" s="8">
        <v>79.540000000000006</v>
      </c>
      <c r="ET49" s="8">
        <v>79.69</v>
      </c>
      <c r="EU49" s="8">
        <v>78.36</v>
      </c>
      <c r="EV49" s="8">
        <v>79.3</v>
      </c>
      <c r="EW49" s="8">
        <v>83.87</v>
      </c>
      <c r="EX49" s="8">
        <v>83.86</v>
      </c>
      <c r="EY49" s="8">
        <v>85.29</v>
      </c>
      <c r="EZ49" s="8">
        <v>82.38</v>
      </c>
      <c r="FA49" s="8">
        <v>87.21</v>
      </c>
      <c r="FB49" s="8">
        <v>82.99</v>
      </c>
      <c r="FC49" s="8">
        <v>84.7</v>
      </c>
      <c r="FD49" s="8">
        <v>88.02</v>
      </c>
      <c r="FE49" s="8">
        <v>85.49</v>
      </c>
      <c r="FF49" s="8">
        <v>79.040000000000006</v>
      </c>
      <c r="FG49" s="8">
        <v>78.41</v>
      </c>
      <c r="FH49" s="8">
        <v>80.13</v>
      </c>
      <c r="FI49" s="8">
        <v>78.69</v>
      </c>
      <c r="FJ49" s="8">
        <v>81.209999999999994</v>
      </c>
      <c r="FK49" s="8">
        <v>82.83</v>
      </c>
      <c r="FL49" s="8">
        <v>79.64</v>
      </c>
      <c r="FM49" s="8">
        <v>77.88</v>
      </c>
      <c r="FN49" s="8">
        <v>68.69</v>
      </c>
      <c r="FO49" s="8">
        <v>84.17</v>
      </c>
      <c r="FP49" s="8">
        <v>83.21</v>
      </c>
      <c r="FQ49" s="8">
        <v>68.5</v>
      </c>
      <c r="FR49" s="8">
        <v>76.3</v>
      </c>
      <c r="FS49" s="8">
        <v>82.3</v>
      </c>
      <c r="FT49" s="8">
        <v>78.13</v>
      </c>
      <c r="FU49" s="8">
        <v>72.58</v>
      </c>
      <c r="FV49" s="8">
        <v>79.94</v>
      </c>
      <c r="GB49" s="8">
        <v>80.319999999999993</v>
      </c>
      <c r="GD49" s="8">
        <v>83.03</v>
      </c>
      <c r="GE49" s="8">
        <v>67.17</v>
      </c>
      <c r="GF49" s="8">
        <v>67.17</v>
      </c>
      <c r="GV49" s="8">
        <v>64.13</v>
      </c>
      <c r="GW49" s="8">
        <v>64.13</v>
      </c>
      <c r="GZ49" s="8">
        <v>78.97</v>
      </c>
      <c r="HP49" s="8">
        <v>83.15</v>
      </c>
      <c r="HQ49" s="8">
        <v>82.9</v>
      </c>
      <c r="HR49" s="8">
        <v>86.99</v>
      </c>
      <c r="HS49" s="8">
        <v>80.89</v>
      </c>
      <c r="II49" s="8">
        <v>64.38</v>
      </c>
    </row>
    <row r="50" spans="1:243" x14ac:dyDescent="0.2">
      <c r="A50" s="9">
        <v>44166</v>
      </c>
      <c r="H50" s="8">
        <v>81.510000000000005</v>
      </c>
      <c r="I50" s="8">
        <v>77.349999999999994</v>
      </c>
      <c r="M50" s="8">
        <v>83.15</v>
      </c>
      <c r="N50" s="8">
        <v>93.6</v>
      </c>
      <c r="O50" s="8">
        <v>82.36</v>
      </c>
      <c r="R50" s="8">
        <v>79.069999999999993</v>
      </c>
      <c r="S50" s="8">
        <v>78.349999999999994</v>
      </c>
      <c r="T50" s="8">
        <v>78.11</v>
      </c>
      <c r="U50" s="8">
        <v>83.14</v>
      </c>
      <c r="V50" s="8">
        <v>83.99</v>
      </c>
      <c r="W50" s="8">
        <v>86.54</v>
      </c>
      <c r="X50" s="8">
        <v>84.79</v>
      </c>
      <c r="Y50" s="8">
        <v>86.52</v>
      </c>
      <c r="Z50" s="8">
        <v>86.31</v>
      </c>
      <c r="AA50" s="8">
        <v>87.46</v>
      </c>
      <c r="AB50" s="8">
        <v>87.7</v>
      </c>
      <c r="AC50" s="8">
        <v>85.91</v>
      </c>
      <c r="AD50" s="8">
        <v>80.66</v>
      </c>
      <c r="AE50" s="8">
        <v>81.45</v>
      </c>
      <c r="AF50" s="8">
        <v>79.72</v>
      </c>
      <c r="AG50" s="8">
        <v>80.28</v>
      </c>
      <c r="AH50" s="8">
        <v>88.5</v>
      </c>
      <c r="AI50" s="8">
        <v>92.59</v>
      </c>
      <c r="AJ50" s="8">
        <v>84.72</v>
      </c>
      <c r="AK50" s="8">
        <v>78.47</v>
      </c>
      <c r="AL50" s="8">
        <v>68.58</v>
      </c>
      <c r="AM50" s="8">
        <v>85.28</v>
      </c>
      <c r="AN50" s="8">
        <v>81.8</v>
      </c>
      <c r="AO50" s="8">
        <v>68.52</v>
      </c>
      <c r="AP50" s="8">
        <v>77.180000000000007</v>
      </c>
      <c r="AQ50" s="8">
        <v>83.61</v>
      </c>
      <c r="AR50" s="8">
        <v>79.319999999999993</v>
      </c>
      <c r="AS50" s="8">
        <v>73.260000000000005</v>
      </c>
      <c r="AT50" s="8">
        <v>80.81</v>
      </c>
      <c r="AZ50" s="8">
        <v>81.36</v>
      </c>
      <c r="BB50" s="8">
        <v>80.42</v>
      </c>
      <c r="BC50" s="8">
        <v>68.41</v>
      </c>
      <c r="BD50" s="8">
        <v>68.41</v>
      </c>
      <c r="BT50" s="8">
        <v>67.900000000000006</v>
      </c>
      <c r="BU50" s="8">
        <v>67.900000000000006</v>
      </c>
      <c r="BX50" s="8">
        <v>75.97</v>
      </c>
      <c r="CN50" s="8">
        <v>85.36</v>
      </c>
      <c r="CO50" s="8">
        <v>84.99</v>
      </c>
      <c r="CP50" s="8">
        <v>86.95</v>
      </c>
      <c r="CQ50" s="8">
        <v>84.49</v>
      </c>
      <c r="DG50" s="8">
        <v>67.59</v>
      </c>
      <c r="DW50" s="8">
        <v>81.69</v>
      </c>
      <c r="DX50" s="8">
        <v>80.92</v>
      </c>
      <c r="DY50" s="8">
        <v>77.349999999999994</v>
      </c>
      <c r="EC50" s="8">
        <v>80.900000000000006</v>
      </c>
      <c r="EJ50" s="8">
        <v>76.75</v>
      </c>
      <c r="EK50" s="8">
        <v>77.98</v>
      </c>
      <c r="EO50" s="8">
        <v>81.96</v>
      </c>
      <c r="EP50" s="8">
        <v>93.6</v>
      </c>
      <c r="EQ50" s="8">
        <v>79.900000000000006</v>
      </c>
      <c r="ET50" s="8">
        <v>79.45</v>
      </c>
      <c r="EU50" s="8">
        <v>78.83</v>
      </c>
      <c r="EV50" s="8">
        <v>78.36</v>
      </c>
      <c r="EW50" s="8">
        <v>83.42</v>
      </c>
      <c r="EX50" s="8">
        <v>83.95</v>
      </c>
      <c r="EY50" s="8">
        <v>86.16</v>
      </c>
      <c r="EZ50" s="8">
        <v>85.2</v>
      </c>
      <c r="FA50" s="8">
        <v>86.34</v>
      </c>
      <c r="FB50" s="8">
        <v>83.8</v>
      </c>
      <c r="FC50" s="8">
        <v>86.18</v>
      </c>
      <c r="FD50" s="8">
        <v>88.23</v>
      </c>
      <c r="FE50" s="8">
        <v>85.03</v>
      </c>
      <c r="FF50" s="8">
        <v>79.61</v>
      </c>
      <c r="FG50" s="8">
        <v>79.5</v>
      </c>
      <c r="FH50" s="8">
        <v>79.319999999999993</v>
      </c>
      <c r="FI50" s="8">
        <v>80.010000000000005</v>
      </c>
      <c r="FJ50" s="8">
        <v>83.05</v>
      </c>
      <c r="FK50" s="8">
        <v>86.67</v>
      </c>
      <c r="FL50" s="8">
        <v>79.94</v>
      </c>
      <c r="FM50" s="8">
        <v>78.27</v>
      </c>
      <c r="FN50" s="8">
        <v>68.67</v>
      </c>
      <c r="FO50" s="8">
        <v>84.81</v>
      </c>
      <c r="FP50" s="8">
        <v>82.09</v>
      </c>
      <c r="FQ50" s="8">
        <v>68.19</v>
      </c>
      <c r="FR50" s="8">
        <v>77.19</v>
      </c>
      <c r="FS50" s="8">
        <v>82.98</v>
      </c>
      <c r="FT50" s="8">
        <v>76.8</v>
      </c>
      <c r="FU50" s="8">
        <v>72.92</v>
      </c>
      <c r="FV50" s="8">
        <v>78.02</v>
      </c>
      <c r="GB50" s="8">
        <v>79.25</v>
      </c>
      <c r="GD50" s="8">
        <v>83.02</v>
      </c>
      <c r="GE50" s="8">
        <v>66.88</v>
      </c>
      <c r="GF50" s="8">
        <v>66.88</v>
      </c>
      <c r="GV50" s="8">
        <v>63.57</v>
      </c>
      <c r="GW50" s="8">
        <v>63.57</v>
      </c>
      <c r="GZ50" s="8">
        <v>78.97</v>
      </c>
      <c r="HP50" s="8">
        <v>82.65</v>
      </c>
      <c r="HQ50" s="8">
        <v>84.19</v>
      </c>
      <c r="HR50" s="8">
        <v>87.91</v>
      </c>
      <c r="HS50" s="8">
        <v>79.239999999999995</v>
      </c>
      <c r="II50" s="8">
        <v>67.099999999999994</v>
      </c>
    </row>
    <row r="51" spans="1:243" x14ac:dyDescent="0.2">
      <c r="A51" s="9">
        <v>44197</v>
      </c>
      <c r="H51" s="8">
        <v>81.510000000000005</v>
      </c>
      <c r="I51" s="8">
        <v>79.63</v>
      </c>
      <c r="M51" s="8">
        <v>83.15</v>
      </c>
      <c r="N51" s="8">
        <v>93.61</v>
      </c>
      <c r="O51" s="8">
        <v>82.36</v>
      </c>
      <c r="R51" s="8">
        <v>79.47</v>
      </c>
      <c r="S51" s="8">
        <v>78.02</v>
      </c>
      <c r="T51" s="8">
        <v>79.78</v>
      </c>
      <c r="U51" s="8">
        <v>82.53</v>
      </c>
      <c r="V51" s="8">
        <v>82.4</v>
      </c>
      <c r="W51" s="8">
        <v>86.57</v>
      </c>
      <c r="X51" s="8">
        <v>84.61</v>
      </c>
      <c r="Y51" s="8">
        <v>87.2</v>
      </c>
      <c r="Z51" s="8">
        <v>86.57</v>
      </c>
      <c r="AA51" s="8">
        <v>87.2</v>
      </c>
      <c r="AB51" s="8">
        <v>87.76</v>
      </c>
      <c r="AC51" s="8">
        <v>85.72</v>
      </c>
      <c r="AD51" s="8">
        <v>79.930000000000007</v>
      </c>
      <c r="AE51" s="8">
        <v>80.36</v>
      </c>
      <c r="AF51" s="8">
        <v>79.930000000000007</v>
      </c>
      <c r="AG51" s="8">
        <v>79.2</v>
      </c>
      <c r="AH51" s="8">
        <v>87.03</v>
      </c>
      <c r="AI51" s="8">
        <v>87.29</v>
      </c>
      <c r="AJ51" s="8">
        <v>86.43</v>
      </c>
      <c r="AK51" s="8">
        <v>78.94</v>
      </c>
      <c r="AL51" s="8">
        <v>68.45</v>
      </c>
      <c r="AM51" s="8">
        <v>84.28</v>
      </c>
      <c r="AN51" s="8">
        <v>83.55</v>
      </c>
      <c r="AO51" s="8">
        <v>69.66</v>
      </c>
      <c r="AP51" s="8">
        <v>78.3</v>
      </c>
      <c r="AQ51" s="8">
        <v>82.8</v>
      </c>
      <c r="AR51" s="8">
        <v>80.63</v>
      </c>
      <c r="AS51" s="8">
        <v>74.13</v>
      </c>
      <c r="AT51" s="8">
        <v>82.23</v>
      </c>
      <c r="AZ51" s="8">
        <v>80.95</v>
      </c>
      <c r="BB51" s="8">
        <v>80.099999999999994</v>
      </c>
      <c r="BC51" s="8">
        <v>68.37</v>
      </c>
      <c r="BD51" s="8">
        <v>68.37</v>
      </c>
      <c r="BT51" s="8">
        <v>68.92</v>
      </c>
      <c r="BU51" s="8">
        <v>68.92</v>
      </c>
      <c r="BX51" s="8">
        <v>75.97</v>
      </c>
      <c r="CN51" s="8">
        <v>85.31</v>
      </c>
      <c r="CO51" s="8">
        <v>82.37</v>
      </c>
      <c r="CP51" s="8">
        <v>87.29</v>
      </c>
      <c r="CQ51" s="8">
        <v>84.72</v>
      </c>
      <c r="DG51" s="8">
        <v>70.02</v>
      </c>
      <c r="DW51" s="8">
        <v>78.64</v>
      </c>
      <c r="DX51" s="8">
        <v>78.56</v>
      </c>
      <c r="DY51" s="8">
        <v>58.37</v>
      </c>
      <c r="EC51" s="8">
        <v>81.760000000000005</v>
      </c>
      <c r="EJ51" s="8">
        <v>76.75</v>
      </c>
      <c r="EK51" s="8">
        <v>80.290000000000006</v>
      </c>
      <c r="EO51" s="8">
        <v>81.97</v>
      </c>
      <c r="EP51" s="8">
        <v>93.61</v>
      </c>
      <c r="EQ51" s="8">
        <v>79.900000000000006</v>
      </c>
      <c r="ET51" s="8">
        <v>79.81</v>
      </c>
      <c r="EU51" s="8">
        <v>78.75</v>
      </c>
      <c r="EV51" s="8">
        <v>79.8</v>
      </c>
      <c r="EW51" s="8">
        <v>82.73</v>
      </c>
      <c r="EX51" s="8">
        <v>82.36</v>
      </c>
      <c r="EY51" s="8">
        <v>86.81</v>
      </c>
      <c r="EZ51" s="8">
        <v>86.42</v>
      </c>
      <c r="FA51" s="8">
        <v>87.19</v>
      </c>
      <c r="FB51" s="8">
        <v>85.53</v>
      </c>
      <c r="FC51" s="8">
        <v>86.73</v>
      </c>
      <c r="FD51" s="8">
        <v>88.1</v>
      </c>
      <c r="FE51" s="8">
        <v>84.94</v>
      </c>
      <c r="FF51" s="8">
        <v>79.23</v>
      </c>
      <c r="FG51" s="8">
        <v>78.7</v>
      </c>
      <c r="FH51" s="8">
        <v>79.77</v>
      </c>
      <c r="FI51" s="8">
        <v>79.31</v>
      </c>
      <c r="FJ51" s="8">
        <v>81.11</v>
      </c>
      <c r="FK51" s="8">
        <v>81.040000000000006</v>
      </c>
      <c r="FL51" s="8">
        <v>80.86</v>
      </c>
      <c r="FM51" s="8">
        <v>78.8</v>
      </c>
      <c r="FN51" s="8">
        <v>68.72</v>
      </c>
      <c r="FO51" s="8">
        <v>83.83</v>
      </c>
      <c r="FP51" s="8">
        <v>83.71</v>
      </c>
      <c r="FQ51" s="8">
        <v>69.209999999999994</v>
      </c>
      <c r="FR51" s="8">
        <v>78.13</v>
      </c>
      <c r="FS51" s="8">
        <v>82.56</v>
      </c>
      <c r="FT51" s="8">
        <v>78.22</v>
      </c>
      <c r="FU51" s="8">
        <v>73.83</v>
      </c>
      <c r="FV51" s="8">
        <v>79.62</v>
      </c>
      <c r="GB51" s="8">
        <v>79.73</v>
      </c>
      <c r="GD51" s="8">
        <v>82.98</v>
      </c>
      <c r="GE51" s="8">
        <v>66.72</v>
      </c>
      <c r="GF51" s="8">
        <v>66.72</v>
      </c>
      <c r="GV51" s="8">
        <v>65.180000000000007</v>
      </c>
      <c r="GW51" s="8">
        <v>65.180000000000007</v>
      </c>
      <c r="GZ51" s="8">
        <v>78.97</v>
      </c>
      <c r="HP51" s="8">
        <v>82.61</v>
      </c>
      <c r="HQ51" s="8">
        <v>81.709999999999994</v>
      </c>
      <c r="HR51" s="8">
        <v>88.31</v>
      </c>
      <c r="HS51" s="8">
        <v>79.31</v>
      </c>
      <c r="II51" s="8">
        <v>71.66</v>
      </c>
    </row>
    <row r="52" spans="1:243" x14ac:dyDescent="0.2">
      <c r="A52" s="9">
        <v>44228</v>
      </c>
      <c r="H52" s="8">
        <v>82.53</v>
      </c>
      <c r="I52" s="8">
        <v>75.900000000000006</v>
      </c>
      <c r="M52" s="8">
        <v>83.13</v>
      </c>
      <c r="N52" s="8">
        <v>93.31</v>
      </c>
      <c r="O52" s="8">
        <v>82.36</v>
      </c>
      <c r="R52" s="8">
        <v>78.87</v>
      </c>
      <c r="S52" s="8">
        <v>77.62</v>
      </c>
      <c r="T52" s="8">
        <v>79.709999999999994</v>
      </c>
      <c r="U52" s="8">
        <v>79.56</v>
      </c>
      <c r="V52" s="8">
        <v>80.709999999999994</v>
      </c>
      <c r="W52" s="8">
        <v>86.4</v>
      </c>
      <c r="X52" s="8">
        <v>85.39</v>
      </c>
      <c r="Y52" s="8">
        <v>86.93</v>
      </c>
      <c r="Z52" s="8">
        <v>86.72</v>
      </c>
      <c r="AA52" s="8">
        <v>86.85</v>
      </c>
      <c r="AB52" s="8">
        <v>86.48</v>
      </c>
      <c r="AC52" s="8">
        <v>85.35</v>
      </c>
      <c r="AD52" s="8">
        <v>79.36</v>
      </c>
      <c r="AE52" s="8">
        <v>79.75</v>
      </c>
      <c r="AF52" s="8">
        <v>79.86</v>
      </c>
      <c r="AG52" s="8">
        <v>78.209999999999994</v>
      </c>
      <c r="AH52" s="8">
        <v>85.5</v>
      </c>
      <c r="AI52" s="8">
        <v>87.74</v>
      </c>
      <c r="AJ52" s="8">
        <v>83.27</v>
      </c>
      <c r="AK52" s="8">
        <v>77.930000000000007</v>
      </c>
      <c r="AL52" s="8">
        <v>68.47</v>
      </c>
      <c r="AM52" s="8">
        <v>83.65</v>
      </c>
      <c r="AN52" s="8">
        <v>83.24</v>
      </c>
      <c r="AO52" s="8">
        <v>69.22</v>
      </c>
      <c r="AP52" s="8">
        <v>76.44</v>
      </c>
      <c r="AQ52" s="8">
        <v>82.13</v>
      </c>
      <c r="AR52" s="8">
        <v>81.23</v>
      </c>
      <c r="AS52" s="8">
        <v>72.819999999999993</v>
      </c>
      <c r="AT52" s="8">
        <v>83.33</v>
      </c>
      <c r="AZ52" s="8">
        <v>81.87</v>
      </c>
      <c r="BB52" s="8">
        <v>81.89</v>
      </c>
      <c r="BC52" s="8">
        <v>68.099999999999994</v>
      </c>
      <c r="BD52" s="8">
        <v>68.099999999999994</v>
      </c>
      <c r="BT52" s="8">
        <v>66.33</v>
      </c>
      <c r="BU52" s="8">
        <v>66.33</v>
      </c>
      <c r="BX52" s="8">
        <v>75.97</v>
      </c>
      <c r="CN52" s="8">
        <v>85.69</v>
      </c>
      <c r="CO52" s="8">
        <v>83.09</v>
      </c>
      <c r="CP52" s="8">
        <v>86.79</v>
      </c>
      <c r="CQ52" s="8">
        <v>85.58</v>
      </c>
      <c r="DG52" s="8">
        <v>72.48</v>
      </c>
      <c r="DW52" s="8">
        <v>72.77</v>
      </c>
      <c r="DX52" s="8">
        <v>72.099999999999994</v>
      </c>
      <c r="DY52" s="8">
        <v>68.319999999999993</v>
      </c>
      <c r="EC52" s="8">
        <v>80.58</v>
      </c>
      <c r="EJ52" s="8">
        <v>79.19</v>
      </c>
      <c r="EK52" s="8">
        <v>76.73</v>
      </c>
      <c r="EO52" s="8">
        <v>81.92</v>
      </c>
      <c r="EP52" s="8">
        <v>93.31</v>
      </c>
      <c r="EQ52" s="8">
        <v>79.900000000000006</v>
      </c>
      <c r="ET52" s="8">
        <v>79.23</v>
      </c>
      <c r="EU52" s="8">
        <v>78.16</v>
      </c>
      <c r="EV52" s="8">
        <v>79.84</v>
      </c>
      <c r="EW52" s="8">
        <v>79.900000000000006</v>
      </c>
      <c r="EX52" s="8">
        <v>81.099999999999994</v>
      </c>
      <c r="EY52" s="8">
        <v>86.55</v>
      </c>
      <c r="EZ52" s="8">
        <v>86.81</v>
      </c>
      <c r="FA52" s="8">
        <v>87.14</v>
      </c>
      <c r="FB52" s="8">
        <v>85.09</v>
      </c>
      <c r="FC52" s="8">
        <v>86.61</v>
      </c>
      <c r="FD52" s="8">
        <v>87.33</v>
      </c>
      <c r="FE52" s="8">
        <v>84.11</v>
      </c>
      <c r="FF52" s="8">
        <v>78.72</v>
      </c>
      <c r="FG52" s="8">
        <v>78.41</v>
      </c>
      <c r="FH52" s="8">
        <v>79.64</v>
      </c>
      <c r="FI52" s="8">
        <v>78.09</v>
      </c>
      <c r="FJ52" s="8">
        <v>80.069999999999993</v>
      </c>
      <c r="FK52" s="8">
        <v>81.88</v>
      </c>
      <c r="FL52" s="8">
        <v>78.36</v>
      </c>
      <c r="FM52" s="8">
        <v>77.930000000000007</v>
      </c>
      <c r="FN52" s="8">
        <v>68.510000000000005</v>
      </c>
      <c r="FO52" s="8">
        <v>83.48</v>
      </c>
      <c r="FP52" s="8">
        <v>83.39</v>
      </c>
      <c r="FQ52" s="8">
        <v>68.959999999999994</v>
      </c>
      <c r="FR52" s="8">
        <v>76.599999999999994</v>
      </c>
      <c r="FS52" s="8">
        <v>81.94</v>
      </c>
      <c r="FT52" s="8">
        <v>78.48</v>
      </c>
      <c r="FU52" s="8">
        <v>72.25</v>
      </c>
      <c r="FV52" s="8">
        <v>80.53</v>
      </c>
      <c r="GB52" s="8">
        <v>80.02</v>
      </c>
      <c r="GD52" s="8">
        <v>83.72</v>
      </c>
      <c r="GE52" s="8">
        <v>66.61</v>
      </c>
      <c r="GF52" s="8">
        <v>66.61</v>
      </c>
      <c r="GV52" s="8">
        <v>64.25</v>
      </c>
      <c r="GW52" s="8">
        <v>64.25</v>
      </c>
      <c r="GZ52" s="8">
        <v>78.97</v>
      </c>
      <c r="HP52" s="8">
        <v>82.91</v>
      </c>
      <c r="HQ52" s="8">
        <v>82.51</v>
      </c>
      <c r="HR52" s="8">
        <v>87.55</v>
      </c>
      <c r="HS52" s="8">
        <v>80.180000000000007</v>
      </c>
      <c r="II52" s="8">
        <v>74.94</v>
      </c>
    </row>
    <row r="53" spans="1:243" x14ac:dyDescent="0.2">
      <c r="A53" s="9">
        <v>44256</v>
      </c>
      <c r="H53" s="8">
        <v>82.53</v>
      </c>
      <c r="I53" s="8">
        <v>75.900000000000006</v>
      </c>
      <c r="M53" s="8">
        <v>82.29</v>
      </c>
      <c r="N53" s="8">
        <v>93.32</v>
      </c>
      <c r="O53" s="8">
        <v>81.44</v>
      </c>
      <c r="R53" s="8">
        <v>78.75</v>
      </c>
      <c r="S53" s="8">
        <v>77.56</v>
      </c>
      <c r="T53" s="8">
        <v>79.12</v>
      </c>
      <c r="U53" s="8">
        <v>80.489999999999995</v>
      </c>
      <c r="V53" s="8">
        <v>81.59</v>
      </c>
      <c r="W53" s="8">
        <v>86.86</v>
      </c>
      <c r="X53" s="8">
        <v>86.38</v>
      </c>
      <c r="Y53" s="8">
        <v>86.55</v>
      </c>
      <c r="Z53" s="8">
        <v>88.31</v>
      </c>
      <c r="AA53" s="8">
        <v>87.04</v>
      </c>
      <c r="AB53" s="8">
        <v>88.22</v>
      </c>
      <c r="AC53" s="8">
        <v>84.09</v>
      </c>
      <c r="AD53" s="8">
        <v>79.69</v>
      </c>
      <c r="AE53" s="8">
        <v>80.12</v>
      </c>
      <c r="AF53" s="8">
        <v>79.69</v>
      </c>
      <c r="AG53" s="8">
        <v>78.95</v>
      </c>
      <c r="AH53" s="8">
        <v>84.2</v>
      </c>
      <c r="AI53" s="8">
        <v>84.96</v>
      </c>
      <c r="AJ53" s="8">
        <v>83.21</v>
      </c>
      <c r="AK53" s="8">
        <v>77.73</v>
      </c>
      <c r="AL53" s="8">
        <v>67.94</v>
      </c>
      <c r="AM53" s="8">
        <v>84.64</v>
      </c>
      <c r="AN53" s="8">
        <v>83.01</v>
      </c>
      <c r="AO53" s="8">
        <v>69.67</v>
      </c>
      <c r="AP53" s="8">
        <v>76.7</v>
      </c>
      <c r="AQ53" s="8">
        <v>80.95</v>
      </c>
      <c r="AR53" s="8">
        <v>80.87</v>
      </c>
      <c r="AS53" s="8">
        <v>72.489999999999995</v>
      </c>
      <c r="AT53" s="8">
        <v>82.98</v>
      </c>
      <c r="AZ53" s="8">
        <v>83.62</v>
      </c>
      <c r="BB53" s="8">
        <v>81.760000000000005</v>
      </c>
      <c r="BC53" s="8">
        <v>67.91</v>
      </c>
      <c r="BD53" s="8">
        <v>67.91</v>
      </c>
      <c r="BT53" s="8">
        <v>66.25</v>
      </c>
      <c r="BU53" s="8">
        <v>66.25</v>
      </c>
      <c r="BX53" s="8">
        <v>75.97</v>
      </c>
      <c r="CN53" s="8">
        <v>85.69</v>
      </c>
      <c r="CO53" s="8">
        <v>81.93</v>
      </c>
      <c r="CP53" s="8">
        <v>86.59</v>
      </c>
      <c r="CQ53" s="8">
        <v>85.93</v>
      </c>
      <c r="DG53" s="8">
        <v>74.72</v>
      </c>
      <c r="DW53" s="8">
        <v>72.37</v>
      </c>
      <c r="DX53" s="8">
        <v>71.45</v>
      </c>
      <c r="DY53" s="8">
        <v>74.13</v>
      </c>
      <c r="EC53" s="8">
        <v>80.97</v>
      </c>
      <c r="EJ53" s="8">
        <v>79.19</v>
      </c>
      <c r="EK53" s="8">
        <v>76.73</v>
      </c>
      <c r="EO53" s="8">
        <v>81.63</v>
      </c>
      <c r="EP53" s="8">
        <v>93.32</v>
      </c>
      <c r="EQ53" s="8">
        <v>79.56</v>
      </c>
      <c r="ET53" s="8">
        <v>79.150000000000006</v>
      </c>
      <c r="EU53" s="8">
        <v>78.17</v>
      </c>
      <c r="EV53" s="8">
        <v>79.2</v>
      </c>
      <c r="EW53" s="8">
        <v>81.17</v>
      </c>
      <c r="EX53" s="8">
        <v>81.83</v>
      </c>
      <c r="EY53" s="8">
        <v>86.64</v>
      </c>
      <c r="EZ53" s="8">
        <v>87.2</v>
      </c>
      <c r="FA53" s="8">
        <v>86.76</v>
      </c>
      <c r="FB53" s="8">
        <v>86.02</v>
      </c>
      <c r="FC53" s="8">
        <v>86.6</v>
      </c>
      <c r="FD53" s="8">
        <v>87.79</v>
      </c>
      <c r="FE53" s="8">
        <v>83.08</v>
      </c>
      <c r="FF53" s="8">
        <v>78.98</v>
      </c>
      <c r="FG53" s="8">
        <v>78.709999999999994</v>
      </c>
      <c r="FH53" s="8">
        <v>79.349999999999994</v>
      </c>
      <c r="FI53" s="8">
        <v>78.89</v>
      </c>
      <c r="FJ53" s="8">
        <v>78.62</v>
      </c>
      <c r="FK53" s="8">
        <v>78.760000000000005</v>
      </c>
      <c r="FL53" s="8">
        <v>78.2</v>
      </c>
      <c r="FM53" s="8">
        <v>77.569999999999993</v>
      </c>
      <c r="FN53" s="8">
        <v>67.95</v>
      </c>
      <c r="FO53" s="8">
        <v>84.44</v>
      </c>
      <c r="FP53" s="8">
        <v>83.13</v>
      </c>
      <c r="FQ53" s="8">
        <v>69.38</v>
      </c>
      <c r="FR53" s="8">
        <v>76.459999999999994</v>
      </c>
      <c r="FS53" s="8">
        <v>80.67</v>
      </c>
      <c r="FT53" s="8">
        <v>78.319999999999993</v>
      </c>
      <c r="FU53" s="8">
        <v>71.89</v>
      </c>
      <c r="FV53" s="8">
        <v>80.430000000000007</v>
      </c>
      <c r="GB53" s="8">
        <v>80.790000000000006</v>
      </c>
      <c r="GD53" s="8">
        <v>83.97</v>
      </c>
      <c r="GE53" s="8">
        <v>66.459999999999994</v>
      </c>
      <c r="GF53" s="8">
        <v>66.459999999999994</v>
      </c>
      <c r="GV53" s="8">
        <v>64.63</v>
      </c>
      <c r="GW53" s="8">
        <v>64.63</v>
      </c>
      <c r="GZ53" s="8">
        <v>78.97</v>
      </c>
      <c r="HP53" s="8">
        <v>83.14</v>
      </c>
      <c r="HQ53" s="8">
        <v>81.45</v>
      </c>
      <c r="HR53" s="8">
        <v>87.66</v>
      </c>
      <c r="HS53" s="8">
        <v>80.680000000000007</v>
      </c>
      <c r="II53" s="8">
        <v>78.930000000000007</v>
      </c>
    </row>
    <row r="54" spans="1:243" x14ac:dyDescent="0.2">
      <c r="A54" s="9">
        <v>44287</v>
      </c>
      <c r="H54" s="8">
        <v>82.53</v>
      </c>
      <c r="I54" s="8">
        <v>75.900000000000006</v>
      </c>
      <c r="M54" s="8">
        <v>82.29</v>
      </c>
      <c r="N54" s="8">
        <v>93.34</v>
      </c>
      <c r="O54" s="8">
        <v>81.44</v>
      </c>
      <c r="R54" s="8">
        <v>78.930000000000007</v>
      </c>
      <c r="S54" s="8">
        <v>77.89</v>
      </c>
      <c r="T54" s="8">
        <v>79.09</v>
      </c>
      <c r="U54" s="8">
        <v>80.489999999999995</v>
      </c>
      <c r="V54" s="8">
        <v>82.29</v>
      </c>
      <c r="W54" s="8">
        <v>87.37</v>
      </c>
      <c r="X54" s="8">
        <v>88.61</v>
      </c>
      <c r="Y54" s="8">
        <v>85.3</v>
      </c>
      <c r="Z54" s="8">
        <v>88.92</v>
      </c>
      <c r="AA54" s="8">
        <v>87.03</v>
      </c>
      <c r="AB54" s="8">
        <v>89.07</v>
      </c>
      <c r="AC54" s="8">
        <v>83.99</v>
      </c>
      <c r="AD54" s="8">
        <v>79.81</v>
      </c>
      <c r="AE54" s="8">
        <v>80.17</v>
      </c>
      <c r="AF54" s="8">
        <v>79.41</v>
      </c>
      <c r="AG54" s="8">
        <v>79.55</v>
      </c>
      <c r="AH54" s="8">
        <v>88.07</v>
      </c>
      <c r="AI54" s="8">
        <v>90.56</v>
      </c>
      <c r="AJ54" s="8">
        <v>85.63</v>
      </c>
      <c r="AK54" s="8">
        <v>77.98</v>
      </c>
      <c r="AL54" s="8">
        <v>68.040000000000006</v>
      </c>
      <c r="AM54" s="8">
        <v>84.74</v>
      </c>
      <c r="AN54" s="8">
        <v>82.27</v>
      </c>
      <c r="AO54" s="8">
        <v>69.94</v>
      </c>
      <c r="AP54" s="8">
        <v>76.8</v>
      </c>
      <c r="AQ54" s="8">
        <v>81.89</v>
      </c>
      <c r="AR54" s="8">
        <v>80.97</v>
      </c>
      <c r="AS54" s="8">
        <v>72.94</v>
      </c>
      <c r="AT54" s="8">
        <v>82.97</v>
      </c>
      <c r="AZ54" s="8">
        <v>83.05</v>
      </c>
      <c r="BB54" s="8">
        <v>81.69</v>
      </c>
      <c r="BC54" s="8">
        <v>68.260000000000005</v>
      </c>
      <c r="BD54" s="8">
        <v>68.260000000000005</v>
      </c>
      <c r="BT54" s="8">
        <v>66.09</v>
      </c>
      <c r="BU54" s="8">
        <v>66.09</v>
      </c>
      <c r="BX54" s="8">
        <v>75.97</v>
      </c>
      <c r="CN54" s="8">
        <v>85.69</v>
      </c>
      <c r="CO54" s="8">
        <v>82.85</v>
      </c>
      <c r="CP54" s="8">
        <v>87.13</v>
      </c>
      <c r="CQ54" s="8">
        <v>85.42</v>
      </c>
      <c r="DG54" s="8">
        <v>76.62</v>
      </c>
      <c r="DW54" s="8">
        <v>78.28</v>
      </c>
      <c r="DX54" s="8">
        <v>77.84</v>
      </c>
      <c r="DY54" s="8">
        <v>66.75</v>
      </c>
      <c r="EC54" s="8">
        <v>80.7</v>
      </c>
      <c r="EJ54" s="8">
        <v>79.19</v>
      </c>
      <c r="EK54" s="8">
        <v>76.73</v>
      </c>
      <c r="EO54" s="8">
        <v>81.64</v>
      </c>
      <c r="EP54" s="8">
        <v>93.34</v>
      </c>
      <c r="EQ54" s="8">
        <v>79.56</v>
      </c>
      <c r="ET54" s="8">
        <v>79.459999999999994</v>
      </c>
      <c r="EU54" s="8">
        <v>78.48</v>
      </c>
      <c r="EV54" s="8">
        <v>79.61</v>
      </c>
      <c r="EW54" s="8">
        <v>80.59</v>
      </c>
      <c r="EX54" s="8">
        <v>82.49</v>
      </c>
      <c r="EY54" s="8">
        <v>87.12</v>
      </c>
      <c r="EZ54" s="8">
        <v>88.81</v>
      </c>
      <c r="FA54" s="8">
        <v>85.57</v>
      </c>
      <c r="FB54" s="8">
        <v>85.82</v>
      </c>
      <c r="FC54" s="8">
        <v>86.61</v>
      </c>
      <c r="FD54" s="8">
        <v>88.89</v>
      </c>
      <c r="FE54" s="8">
        <v>83.75</v>
      </c>
      <c r="FF54" s="8">
        <v>79.12</v>
      </c>
      <c r="FG54" s="8">
        <v>78.510000000000005</v>
      </c>
      <c r="FH54" s="8">
        <v>79.319999999999993</v>
      </c>
      <c r="FI54" s="8">
        <v>79.67</v>
      </c>
      <c r="FJ54" s="8">
        <v>81.69</v>
      </c>
      <c r="FK54" s="8">
        <v>83.99</v>
      </c>
      <c r="FL54" s="8">
        <v>79.61</v>
      </c>
      <c r="FM54" s="8">
        <v>77.819999999999993</v>
      </c>
      <c r="FN54" s="8">
        <v>67.959999999999994</v>
      </c>
      <c r="FO54" s="8">
        <v>84.53</v>
      </c>
      <c r="FP54" s="8">
        <v>82.41</v>
      </c>
      <c r="FQ54" s="8">
        <v>69.58</v>
      </c>
      <c r="FR54" s="8">
        <v>76.739999999999995</v>
      </c>
      <c r="FS54" s="8">
        <v>81.47</v>
      </c>
      <c r="FT54" s="8">
        <v>78.400000000000006</v>
      </c>
      <c r="FU54" s="8">
        <v>72.41</v>
      </c>
      <c r="FV54" s="8">
        <v>80.36</v>
      </c>
      <c r="GB54" s="8">
        <v>80.44</v>
      </c>
      <c r="GD54" s="8">
        <v>83.7</v>
      </c>
      <c r="GE54" s="8">
        <v>66.650000000000006</v>
      </c>
      <c r="GF54" s="8">
        <v>66.650000000000006</v>
      </c>
      <c r="GV54" s="8">
        <v>63.27</v>
      </c>
      <c r="GW54" s="8">
        <v>63.27</v>
      </c>
      <c r="GZ54" s="8">
        <v>78.97</v>
      </c>
      <c r="HP54" s="8">
        <v>83.01</v>
      </c>
      <c r="HQ54" s="8">
        <v>81.87</v>
      </c>
      <c r="HR54" s="8">
        <v>88.05</v>
      </c>
      <c r="HS54" s="8">
        <v>80.150000000000006</v>
      </c>
      <c r="II54" s="8">
        <v>76.400000000000006</v>
      </c>
    </row>
    <row r="55" spans="1:243" x14ac:dyDescent="0.2">
      <c r="A55" s="9">
        <v>44317</v>
      </c>
      <c r="H55" s="8">
        <v>82.53</v>
      </c>
      <c r="I55" s="8">
        <v>75.900000000000006</v>
      </c>
      <c r="M55" s="8">
        <v>82.18</v>
      </c>
      <c r="N55" s="8">
        <v>92.04</v>
      </c>
      <c r="O55" s="8">
        <v>81.44</v>
      </c>
      <c r="R55" s="8">
        <v>79.040000000000006</v>
      </c>
      <c r="S55" s="8">
        <v>77.680000000000007</v>
      </c>
      <c r="T55" s="8">
        <v>79.569999999999993</v>
      </c>
      <c r="U55" s="8">
        <v>80.86</v>
      </c>
      <c r="V55" s="8">
        <v>81.75</v>
      </c>
      <c r="W55" s="8">
        <v>87.43</v>
      </c>
      <c r="X55" s="8">
        <v>89.53</v>
      </c>
      <c r="Y55" s="8">
        <v>85.75</v>
      </c>
      <c r="Z55" s="8">
        <v>86.72</v>
      </c>
      <c r="AA55" s="8">
        <v>86.29</v>
      </c>
      <c r="AB55" s="8">
        <v>89.48</v>
      </c>
      <c r="AC55" s="8">
        <v>84.28</v>
      </c>
      <c r="AD55" s="8">
        <v>79.569999999999993</v>
      </c>
      <c r="AE55" s="8">
        <v>79.62</v>
      </c>
      <c r="AF55" s="8">
        <v>80.13</v>
      </c>
      <c r="AG55" s="8">
        <v>78.84</v>
      </c>
      <c r="AH55" s="8">
        <v>90.97</v>
      </c>
      <c r="AI55" s="8">
        <v>91.18</v>
      </c>
      <c r="AJ55" s="8">
        <v>90.39</v>
      </c>
      <c r="AK55" s="8">
        <v>77.209999999999994</v>
      </c>
      <c r="AL55" s="8">
        <v>67.77</v>
      </c>
      <c r="AM55" s="8">
        <v>84.37</v>
      </c>
      <c r="AN55" s="8">
        <v>82.38</v>
      </c>
      <c r="AO55" s="8">
        <v>69.5</v>
      </c>
      <c r="AP55" s="8">
        <v>75.87</v>
      </c>
      <c r="AQ55" s="8">
        <v>80.63</v>
      </c>
      <c r="AR55" s="8">
        <v>81.569999999999993</v>
      </c>
      <c r="AS55" s="8">
        <v>72.69</v>
      </c>
      <c r="AT55" s="8">
        <v>83.81</v>
      </c>
      <c r="AZ55" s="8">
        <v>83.85</v>
      </c>
      <c r="BB55" s="8">
        <v>81.489999999999995</v>
      </c>
      <c r="BC55" s="8">
        <v>68.67</v>
      </c>
      <c r="BD55" s="8">
        <v>68.67</v>
      </c>
      <c r="BT55" s="8">
        <v>69.12</v>
      </c>
      <c r="BU55" s="8">
        <v>69.12</v>
      </c>
      <c r="BX55" s="8">
        <v>75.97</v>
      </c>
      <c r="CN55" s="8">
        <v>85.4</v>
      </c>
      <c r="CO55" s="8">
        <v>83.28</v>
      </c>
      <c r="CP55" s="8">
        <v>86.34</v>
      </c>
      <c r="CQ55" s="8">
        <v>85.28</v>
      </c>
      <c r="DG55" s="8">
        <v>77.17</v>
      </c>
      <c r="DW55" s="8">
        <v>76.09</v>
      </c>
      <c r="DX55" s="8">
        <v>75.349999999999994</v>
      </c>
      <c r="DY55" s="8">
        <v>72.48</v>
      </c>
      <c r="EC55" s="8">
        <v>80.73</v>
      </c>
      <c r="EJ55" s="8">
        <v>79.19</v>
      </c>
      <c r="EK55" s="8">
        <v>76.73</v>
      </c>
      <c r="EO55" s="8">
        <v>81.42</v>
      </c>
      <c r="EP55" s="8">
        <v>92.04</v>
      </c>
      <c r="EQ55" s="8">
        <v>79.56</v>
      </c>
      <c r="ET55" s="8">
        <v>79.430000000000007</v>
      </c>
      <c r="EU55" s="8">
        <v>78.27</v>
      </c>
      <c r="EV55" s="8">
        <v>79.680000000000007</v>
      </c>
      <c r="EW55" s="8">
        <v>81.31</v>
      </c>
      <c r="EX55" s="8">
        <v>82.09</v>
      </c>
      <c r="EY55" s="8">
        <v>87.33</v>
      </c>
      <c r="EZ55" s="8">
        <v>89.92</v>
      </c>
      <c r="FA55" s="8">
        <v>85.79</v>
      </c>
      <c r="FB55" s="8">
        <v>84.79</v>
      </c>
      <c r="FC55" s="8">
        <v>86.01</v>
      </c>
      <c r="FD55" s="8">
        <v>89.59</v>
      </c>
      <c r="FE55" s="8">
        <v>83.91</v>
      </c>
      <c r="FF55" s="8">
        <v>79</v>
      </c>
      <c r="FG55" s="8">
        <v>78.2</v>
      </c>
      <c r="FH55" s="8">
        <v>79.87</v>
      </c>
      <c r="FI55" s="8">
        <v>79.09</v>
      </c>
      <c r="FJ55" s="8">
        <v>86.49</v>
      </c>
      <c r="FK55" s="8">
        <v>88.12</v>
      </c>
      <c r="FL55" s="8">
        <v>84.9</v>
      </c>
      <c r="FM55" s="8">
        <v>77.03</v>
      </c>
      <c r="FN55" s="8">
        <v>67.86</v>
      </c>
      <c r="FO55" s="8">
        <v>84.33</v>
      </c>
      <c r="FP55" s="8">
        <v>82.38</v>
      </c>
      <c r="FQ55" s="8">
        <v>69.31</v>
      </c>
      <c r="FR55" s="8">
        <v>75.73</v>
      </c>
      <c r="FS55" s="8">
        <v>80.2</v>
      </c>
      <c r="FT55" s="8">
        <v>79.19</v>
      </c>
      <c r="FU55" s="8">
        <v>72.12</v>
      </c>
      <c r="FV55" s="8">
        <v>81.52</v>
      </c>
      <c r="GB55" s="8">
        <v>80.58</v>
      </c>
      <c r="GD55" s="8">
        <v>84.14</v>
      </c>
      <c r="GE55" s="8">
        <v>67.11</v>
      </c>
      <c r="GF55" s="8">
        <v>67.11</v>
      </c>
      <c r="GV55" s="8">
        <v>64.8</v>
      </c>
      <c r="GW55" s="8">
        <v>64.8</v>
      </c>
      <c r="GZ55" s="8">
        <v>78.97</v>
      </c>
      <c r="HP55" s="8">
        <v>82.87</v>
      </c>
      <c r="HQ55" s="8">
        <v>82.5</v>
      </c>
      <c r="HR55" s="8">
        <v>87</v>
      </c>
      <c r="HS55" s="8">
        <v>80.45</v>
      </c>
      <c r="II55" s="8">
        <v>78.319999999999993</v>
      </c>
    </row>
    <row r="56" spans="1:243" x14ac:dyDescent="0.2">
      <c r="A56" s="9">
        <v>44348</v>
      </c>
      <c r="H56" s="8">
        <v>82.53</v>
      </c>
      <c r="I56" s="8">
        <v>75.900000000000006</v>
      </c>
      <c r="M56" s="8">
        <v>82.19</v>
      </c>
      <c r="N56" s="8">
        <v>92.06</v>
      </c>
      <c r="O56" s="8">
        <v>81.45</v>
      </c>
      <c r="R56" s="8">
        <v>78.739999999999995</v>
      </c>
      <c r="S56" s="8">
        <v>77.67</v>
      </c>
      <c r="T56" s="8">
        <v>78.930000000000007</v>
      </c>
      <c r="U56" s="8">
        <v>80.92</v>
      </c>
      <c r="V56" s="8">
        <v>81.510000000000005</v>
      </c>
      <c r="W56" s="8">
        <v>87.19</v>
      </c>
      <c r="X56" s="8">
        <v>89.4</v>
      </c>
      <c r="Y56" s="8">
        <v>84.94</v>
      </c>
      <c r="Z56" s="8">
        <v>86.61</v>
      </c>
      <c r="AA56" s="8">
        <v>86.3</v>
      </c>
      <c r="AB56" s="8">
        <v>88.59</v>
      </c>
      <c r="AC56" s="8">
        <v>84.87</v>
      </c>
      <c r="AD56" s="8">
        <v>79.86</v>
      </c>
      <c r="AE56" s="8">
        <v>80.349999999999994</v>
      </c>
      <c r="AF56" s="8">
        <v>80.069999999999993</v>
      </c>
      <c r="AG56" s="8">
        <v>78.819999999999993</v>
      </c>
      <c r="AH56" s="8">
        <v>89.06</v>
      </c>
      <c r="AI56" s="8">
        <v>87.2</v>
      </c>
      <c r="AJ56" s="8">
        <v>90.21</v>
      </c>
      <c r="AK56" s="8">
        <v>77.53</v>
      </c>
      <c r="AL56" s="8">
        <v>68.2</v>
      </c>
      <c r="AM56" s="8">
        <v>84.87</v>
      </c>
      <c r="AN56" s="8">
        <v>82.41</v>
      </c>
      <c r="AO56" s="8">
        <v>69.400000000000006</v>
      </c>
      <c r="AP56" s="8">
        <v>76.48</v>
      </c>
      <c r="AQ56" s="8">
        <v>80.78</v>
      </c>
      <c r="AR56" s="8">
        <v>81.36</v>
      </c>
      <c r="AS56" s="8">
        <v>72.209999999999994</v>
      </c>
      <c r="AT56" s="8">
        <v>83.67</v>
      </c>
      <c r="AZ56" s="8">
        <v>83.3</v>
      </c>
      <c r="BB56" s="8">
        <v>81.94</v>
      </c>
      <c r="BC56" s="8">
        <v>68.34</v>
      </c>
      <c r="BD56" s="8">
        <v>68.34</v>
      </c>
      <c r="BT56" s="8">
        <v>68.78</v>
      </c>
      <c r="BU56" s="8">
        <v>68.78</v>
      </c>
      <c r="BX56" s="8">
        <v>75.97</v>
      </c>
      <c r="CN56" s="8">
        <v>84.96</v>
      </c>
      <c r="CO56" s="8">
        <v>82.49</v>
      </c>
      <c r="CP56" s="8">
        <v>86.16</v>
      </c>
      <c r="CQ56" s="8">
        <v>84.76</v>
      </c>
      <c r="DG56" s="8">
        <v>79.319999999999993</v>
      </c>
      <c r="DW56" s="8">
        <v>78.650000000000006</v>
      </c>
      <c r="DX56" s="8">
        <v>77.849999999999994</v>
      </c>
      <c r="DY56" s="8">
        <v>75.94</v>
      </c>
      <c r="EC56" s="8">
        <v>80.930000000000007</v>
      </c>
      <c r="EJ56" s="8">
        <v>79.19</v>
      </c>
      <c r="EK56" s="8">
        <v>76.73</v>
      </c>
      <c r="EO56" s="8">
        <v>82.33</v>
      </c>
      <c r="EP56" s="8">
        <v>92.06</v>
      </c>
      <c r="EQ56" s="8">
        <v>80.650000000000006</v>
      </c>
      <c r="ET56" s="8">
        <v>79</v>
      </c>
      <c r="EU56" s="8">
        <v>78.09</v>
      </c>
      <c r="EV56" s="8">
        <v>79.16</v>
      </c>
      <c r="EW56" s="8">
        <v>80.97</v>
      </c>
      <c r="EX56" s="8">
        <v>81.12</v>
      </c>
      <c r="EY56" s="8">
        <v>87.09</v>
      </c>
      <c r="EZ56" s="8">
        <v>89.83</v>
      </c>
      <c r="FA56" s="8">
        <v>84.91</v>
      </c>
      <c r="FB56" s="8">
        <v>85.26</v>
      </c>
      <c r="FC56" s="8">
        <v>85.86</v>
      </c>
      <c r="FD56" s="8">
        <v>88.71</v>
      </c>
      <c r="FE56" s="8">
        <v>84.26</v>
      </c>
      <c r="FF56" s="8">
        <v>79.180000000000007</v>
      </c>
      <c r="FG56" s="8">
        <v>78.599999999999994</v>
      </c>
      <c r="FH56" s="8">
        <v>80.02</v>
      </c>
      <c r="FI56" s="8">
        <v>79.010000000000005</v>
      </c>
      <c r="FJ56" s="8">
        <v>86.2</v>
      </c>
      <c r="FK56" s="8">
        <v>84.96</v>
      </c>
      <c r="FL56" s="8">
        <v>86.81</v>
      </c>
      <c r="FM56" s="8">
        <v>77.209999999999994</v>
      </c>
      <c r="FN56" s="8">
        <v>68.209999999999994</v>
      </c>
      <c r="FO56" s="8">
        <v>84.62</v>
      </c>
      <c r="FP56" s="8">
        <v>82.35</v>
      </c>
      <c r="FQ56" s="8">
        <v>69.260000000000005</v>
      </c>
      <c r="FR56" s="8">
        <v>76.08</v>
      </c>
      <c r="FS56" s="8">
        <v>80.23</v>
      </c>
      <c r="FT56" s="8">
        <v>78.98</v>
      </c>
      <c r="FU56" s="8">
        <v>71.459999999999994</v>
      </c>
      <c r="FV56" s="8">
        <v>81.48</v>
      </c>
      <c r="GB56" s="8">
        <v>80.19</v>
      </c>
      <c r="GD56" s="8">
        <v>83.81</v>
      </c>
      <c r="GE56" s="8">
        <v>66.78</v>
      </c>
      <c r="GF56" s="8">
        <v>66.78</v>
      </c>
      <c r="GV56" s="8">
        <v>63.71</v>
      </c>
      <c r="GW56" s="8">
        <v>63.71</v>
      </c>
      <c r="GZ56" s="8">
        <v>78.97</v>
      </c>
      <c r="HP56" s="8">
        <v>82.49</v>
      </c>
      <c r="HQ56" s="8">
        <v>81.900000000000006</v>
      </c>
      <c r="HR56" s="8">
        <v>87.17</v>
      </c>
      <c r="HS56" s="8">
        <v>79.77</v>
      </c>
      <c r="II56" s="8">
        <v>77.83</v>
      </c>
    </row>
    <row r="57" spans="1:243" x14ac:dyDescent="0.2">
      <c r="A57" s="9">
        <v>44378</v>
      </c>
      <c r="H57" s="8">
        <v>82.53</v>
      </c>
      <c r="I57" s="8">
        <v>75.900000000000006</v>
      </c>
      <c r="M57" s="8">
        <v>82.04</v>
      </c>
      <c r="N57" s="8">
        <v>90.2</v>
      </c>
      <c r="O57" s="8">
        <v>81.45</v>
      </c>
      <c r="R57" s="8">
        <v>78.53</v>
      </c>
      <c r="S57" s="8">
        <v>77.58</v>
      </c>
      <c r="T57" s="8">
        <v>78.59</v>
      </c>
      <c r="U57" s="8">
        <v>80.48</v>
      </c>
      <c r="V57" s="8">
        <v>81.569999999999993</v>
      </c>
      <c r="W57" s="8">
        <v>87.44</v>
      </c>
      <c r="X57" s="8">
        <v>89.89</v>
      </c>
      <c r="Y57" s="8">
        <v>84.8</v>
      </c>
      <c r="Z57" s="8">
        <v>87.51</v>
      </c>
      <c r="AA57" s="8">
        <v>86.71</v>
      </c>
      <c r="AB57" s="8">
        <v>88.65</v>
      </c>
      <c r="AC57" s="8">
        <v>84.79</v>
      </c>
      <c r="AD57" s="8">
        <v>79.95</v>
      </c>
      <c r="AE57" s="8">
        <v>80.28</v>
      </c>
      <c r="AF57" s="8">
        <v>80.010000000000005</v>
      </c>
      <c r="AG57" s="8">
        <v>79.3</v>
      </c>
      <c r="AH57" s="8">
        <v>87.61</v>
      </c>
      <c r="AI57" s="8">
        <v>85.95</v>
      </c>
      <c r="AJ57" s="8">
        <v>88.6</v>
      </c>
      <c r="AK57" s="8">
        <v>78.05</v>
      </c>
      <c r="AL57" s="8">
        <v>68.650000000000006</v>
      </c>
      <c r="AM57" s="8">
        <v>84.18</v>
      </c>
      <c r="AN57" s="8">
        <v>83.34</v>
      </c>
      <c r="AO57" s="8">
        <v>70.819999999999993</v>
      </c>
      <c r="AP57" s="8">
        <v>76.52</v>
      </c>
      <c r="AQ57" s="8">
        <v>81.69</v>
      </c>
      <c r="AR57" s="8">
        <v>81.73</v>
      </c>
      <c r="AS57" s="8">
        <v>72.56</v>
      </c>
      <c r="AT57" s="8">
        <v>84.05</v>
      </c>
      <c r="AZ57" s="8">
        <v>82.03</v>
      </c>
      <c r="BB57" s="8">
        <v>80.94</v>
      </c>
      <c r="BC57" s="8">
        <v>67.78</v>
      </c>
      <c r="BD57" s="8">
        <v>67.78</v>
      </c>
      <c r="BT57" s="8">
        <v>70.58</v>
      </c>
      <c r="BU57" s="8">
        <v>70.58</v>
      </c>
      <c r="BX57" s="8">
        <v>75.97</v>
      </c>
      <c r="CN57" s="8">
        <v>85.84</v>
      </c>
      <c r="CO57" s="8">
        <v>83.34</v>
      </c>
      <c r="CP57" s="8">
        <v>86.67</v>
      </c>
      <c r="CQ57" s="8">
        <v>85.87</v>
      </c>
      <c r="DG57" s="8">
        <v>81.09</v>
      </c>
      <c r="DW57" s="8">
        <v>77.2</v>
      </c>
      <c r="DX57" s="8">
        <v>76.739999999999995</v>
      </c>
      <c r="DY57" s="8">
        <v>66.430000000000007</v>
      </c>
      <c r="EC57" s="8">
        <v>81.14</v>
      </c>
      <c r="EJ57" s="8">
        <v>79.19</v>
      </c>
      <c r="EK57" s="8">
        <v>76.73</v>
      </c>
      <c r="EO57" s="8">
        <v>82.01</v>
      </c>
      <c r="EP57" s="8">
        <v>90.2</v>
      </c>
      <c r="EQ57" s="8">
        <v>80.650000000000006</v>
      </c>
      <c r="ET57" s="8">
        <v>79.14</v>
      </c>
      <c r="EU57" s="8">
        <v>78.459999999999994</v>
      </c>
      <c r="EV57" s="8">
        <v>78.95</v>
      </c>
      <c r="EW57" s="8">
        <v>80.739999999999995</v>
      </c>
      <c r="EX57" s="8">
        <v>82</v>
      </c>
      <c r="EY57" s="8">
        <v>87.57</v>
      </c>
      <c r="EZ57" s="8">
        <v>89.93</v>
      </c>
      <c r="FA57" s="8">
        <v>85.22</v>
      </c>
      <c r="FB57" s="8">
        <v>85.94</v>
      </c>
      <c r="FC57" s="8">
        <v>86.75</v>
      </c>
      <c r="FD57" s="8">
        <v>89.22</v>
      </c>
      <c r="FE57" s="8">
        <v>84.74</v>
      </c>
      <c r="FF57" s="8">
        <v>79.28</v>
      </c>
      <c r="FG57" s="8">
        <v>78.62</v>
      </c>
      <c r="FH57" s="8">
        <v>79.849999999999994</v>
      </c>
      <c r="FI57" s="8">
        <v>79.52</v>
      </c>
      <c r="FJ57" s="8">
        <v>84.35</v>
      </c>
      <c r="FK57" s="8">
        <v>82.87</v>
      </c>
      <c r="FL57" s="8">
        <v>85.16</v>
      </c>
      <c r="FM57" s="8">
        <v>78.099999999999994</v>
      </c>
      <c r="FN57" s="8">
        <v>68.400000000000006</v>
      </c>
      <c r="FO57" s="8">
        <v>84.2</v>
      </c>
      <c r="FP57" s="8">
        <v>83.43</v>
      </c>
      <c r="FQ57" s="8">
        <v>70.94</v>
      </c>
      <c r="FR57" s="8">
        <v>76.64</v>
      </c>
      <c r="FS57" s="8">
        <v>81.67</v>
      </c>
      <c r="FT57" s="8">
        <v>79.650000000000006</v>
      </c>
      <c r="FU57" s="8">
        <v>72.540000000000006</v>
      </c>
      <c r="FV57" s="8">
        <v>82.01</v>
      </c>
      <c r="GB57" s="8">
        <v>79.86</v>
      </c>
      <c r="GD57" s="8">
        <v>83.3</v>
      </c>
      <c r="GE57" s="8">
        <v>66.48</v>
      </c>
      <c r="GF57" s="8">
        <v>66.48</v>
      </c>
      <c r="GV57" s="8">
        <v>65.010000000000005</v>
      </c>
      <c r="GW57" s="8">
        <v>65.010000000000005</v>
      </c>
      <c r="GZ57" s="8">
        <v>78.97</v>
      </c>
      <c r="HP57" s="8">
        <v>83.51</v>
      </c>
      <c r="HQ57" s="8">
        <v>82.92</v>
      </c>
      <c r="HR57" s="8">
        <v>87.46</v>
      </c>
      <c r="HS57" s="8">
        <v>81.22</v>
      </c>
      <c r="II57" s="8">
        <v>85.11</v>
      </c>
    </row>
    <row r="58" spans="1:243" x14ac:dyDescent="0.2">
      <c r="A58" s="9">
        <v>44409</v>
      </c>
      <c r="H58" s="8">
        <v>82.53</v>
      </c>
      <c r="I58" s="8">
        <v>75.959999999999994</v>
      </c>
      <c r="M58" s="8">
        <v>82.05</v>
      </c>
      <c r="N58" s="8">
        <v>90.25</v>
      </c>
      <c r="O58" s="8">
        <v>81.45</v>
      </c>
      <c r="R58" s="8">
        <v>78.92</v>
      </c>
      <c r="S58" s="8">
        <v>77.400000000000006</v>
      </c>
      <c r="T58" s="8">
        <v>79.38</v>
      </c>
      <c r="U58" s="8">
        <v>80.73</v>
      </c>
      <c r="V58" s="8">
        <v>82.72</v>
      </c>
      <c r="W58" s="8">
        <v>87.73</v>
      </c>
      <c r="X58" s="8">
        <v>89.7</v>
      </c>
      <c r="Y58" s="8">
        <v>85.56</v>
      </c>
      <c r="Z58" s="8">
        <v>87.46</v>
      </c>
      <c r="AA58" s="8">
        <v>86.34</v>
      </c>
      <c r="AB58" s="8">
        <v>90.03</v>
      </c>
      <c r="AC58" s="8">
        <v>85.15</v>
      </c>
      <c r="AD58" s="8">
        <v>79.94</v>
      </c>
      <c r="AE58" s="8">
        <v>80.209999999999994</v>
      </c>
      <c r="AF58" s="8">
        <v>80.09</v>
      </c>
      <c r="AG58" s="8">
        <v>79.3</v>
      </c>
      <c r="AH58" s="8">
        <v>85.62</v>
      </c>
      <c r="AI58" s="8">
        <v>81.459999999999994</v>
      </c>
      <c r="AJ58" s="8">
        <v>88.7</v>
      </c>
      <c r="AK58" s="8">
        <v>78.28</v>
      </c>
      <c r="AL58" s="8">
        <v>68.75</v>
      </c>
      <c r="AM58" s="8">
        <v>84.47</v>
      </c>
      <c r="AN58" s="8">
        <v>83.56</v>
      </c>
      <c r="AO58" s="8">
        <v>70.8</v>
      </c>
      <c r="AP58" s="8">
        <v>76.650000000000006</v>
      </c>
      <c r="AQ58" s="8">
        <v>82.17</v>
      </c>
      <c r="AR58" s="8">
        <v>82.1</v>
      </c>
      <c r="AS58" s="8">
        <v>72.31</v>
      </c>
      <c r="AT58" s="8">
        <v>84.57</v>
      </c>
      <c r="AZ58" s="8">
        <v>82.9</v>
      </c>
      <c r="BB58" s="8">
        <v>80.97</v>
      </c>
      <c r="BC58" s="8">
        <v>67.540000000000006</v>
      </c>
      <c r="BD58" s="8">
        <v>67.540000000000006</v>
      </c>
      <c r="BT58" s="8">
        <v>73.2</v>
      </c>
      <c r="BU58" s="8">
        <v>73.2</v>
      </c>
      <c r="BX58" s="8">
        <v>75.97</v>
      </c>
      <c r="CN58" s="8">
        <v>85.97</v>
      </c>
      <c r="CO58" s="8">
        <v>83.67</v>
      </c>
      <c r="CP58" s="8">
        <v>87.62</v>
      </c>
      <c r="CQ58" s="8">
        <v>85.47</v>
      </c>
      <c r="DG58" s="8">
        <v>82.95</v>
      </c>
      <c r="DW58" s="8">
        <v>77.03</v>
      </c>
      <c r="DX58" s="8">
        <v>76.739999999999995</v>
      </c>
      <c r="DY58" s="8">
        <v>62.07</v>
      </c>
      <c r="EC58" s="8">
        <v>80.760000000000005</v>
      </c>
      <c r="EJ58" s="8">
        <v>79.19</v>
      </c>
      <c r="EK58" s="8">
        <v>76.73</v>
      </c>
      <c r="EO58" s="8">
        <v>82.02</v>
      </c>
      <c r="EP58" s="8">
        <v>90.25</v>
      </c>
      <c r="EQ58" s="8">
        <v>80.650000000000006</v>
      </c>
      <c r="ET58" s="8">
        <v>79.31</v>
      </c>
      <c r="EU58" s="8">
        <v>77.930000000000007</v>
      </c>
      <c r="EV58" s="8">
        <v>79.489999999999995</v>
      </c>
      <c r="EW58" s="8">
        <v>81.75</v>
      </c>
      <c r="EX58" s="8">
        <v>82.73</v>
      </c>
      <c r="EY58" s="8">
        <v>87.59</v>
      </c>
      <c r="EZ58" s="8">
        <v>89.69</v>
      </c>
      <c r="FA58" s="8">
        <v>85.98</v>
      </c>
      <c r="FB58" s="8">
        <v>86.47</v>
      </c>
      <c r="FC58" s="8">
        <v>85.81</v>
      </c>
      <c r="FD58" s="8">
        <v>89.55</v>
      </c>
      <c r="FE58" s="8">
        <v>84.9</v>
      </c>
      <c r="FF58" s="8">
        <v>79.25</v>
      </c>
      <c r="FG58" s="8">
        <v>78.540000000000006</v>
      </c>
      <c r="FH58" s="8">
        <v>80.02</v>
      </c>
      <c r="FI58" s="8">
        <v>79.33</v>
      </c>
      <c r="FJ58" s="8">
        <v>83.17</v>
      </c>
      <c r="FK58" s="8">
        <v>79.72</v>
      </c>
      <c r="FL58" s="8">
        <v>85.49</v>
      </c>
      <c r="FM58" s="8">
        <v>78.05</v>
      </c>
      <c r="FN58" s="8">
        <v>68.12</v>
      </c>
      <c r="FO58" s="8">
        <v>84.56</v>
      </c>
      <c r="FP58" s="8">
        <v>83.38</v>
      </c>
      <c r="FQ58" s="8">
        <v>70.599999999999994</v>
      </c>
      <c r="FR58" s="8">
        <v>76.48</v>
      </c>
      <c r="FS58" s="8">
        <v>81.88</v>
      </c>
      <c r="FT58" s="8">
        <v>79.63</v>
      </c>
      <c r="FU58" s="8">
        <v>71.790000000000006</v>
      </c>
      <c r="FV58" s="8">
        <v>82.24</v>
      </c>
      <c r="GB58" s="8">
        <v>81.59</v>
      </c>
      <c r="GD58" s="8">
        <v>83.95</v>
      </c>
      <c r="GE58" s="8">
        <v>66.62</v>
      </c>
      <c r="GF58" s="8">
        <v>66.62</v>
      </c>
      <c r="GV58" s="8">
        <v>67.290000000000006</v>
      </c>
      <c r="GW58" s="8">
        <v>67.290000000000006</v>
      </c>
      <c r="GZ58" s="8">
        <v>78.97</v>
      </c>
      <c r="HP58" s="8">
        <v>83.29</v>
      </c>
      <c r="HQ58" s="8">
        <v>82.64</v>
      </c>
      <c r="HR58" s="8">
        <v>88.26</v>
      </c>
      <c r="HS58" s="8">
        <v>80.41</v>
      </c>
      <c r="II58" s="8">
        <v>81.96</v>
      </c>
    </row>
    <row r="59" spans="1:243" x14ac:dyDescent="0.2">
      <c r="A59" s="9">
        <v>44440</v>
      </c>
      <c r="H59" s="8">
        <v>82.53</v>
      </c>
      <c r="I59" s="8">
        <v>75.959999999999994</v>
      </c>
      <c r="M59" s="8">
        <v>82.48</v>
      </c>
      <c r="N59" s="8">
        <v>90.3</v>
      </c>
      <c r="O59" s="8">
        <v>81.92</v>
      </c>
      <c r="R59" s="8">
        <v>78.77</v>
      </c>
      <c r="S59" s="8">
        <v>77.69</v>
      </c>
      <c r="T59" s="8">
        <v>78.38</v>
      </c>
      <c r="U59" s="8">
        <v>82.32</v>
      </c>
      <c r="V59" s="8">
        <v>82.99</v>
      </c>
      <c r="W59" s="8">
        <v>87.48</v>
      </c>
      <c r="X59" s="8">
        <v>88.7</v>
      </c>
      <c r="Y59" s="8">
        <v>85.94</v>
      </c>
      <c r="Z59" s="8">
        <v>86.22</v>
      </c>
      <c r="AA59" s="8">
        <v>86.92</v>
      </c>
      <c r="AB59" s="8">
        <v>89.47</v>
      </c>
      <c r="AC59" s="8">
        <v>85.3</v>
      </c>
      <c r="AD59" s="8">
        <v>79.92</v>
      </c>
      <c r="AE59" s="8">
        <v>80.260000000000005</v>
      </c>
      <c r="AF59" s="8">
        <v>80.17</v>
      </c>
      <c r="AG59" s="8">
        <v>79.069999999999993</v>
      </c>
      <c r="AH59" s="8">
        <v>81.59</v>
      </c>
      <c r="AI59" s="8">
        <v>75.040000000000006</v>
      </c>
      <c r="AJ59" s="8">
        <v>86.67</v>
      </c>
      <c r="AK59" s="8">
        <v>78.17</v>
      </c>
      <c r="AL59" s="8">
        <v>68.47</v>
      </c>
      <c r="AM59" s="8">
        <v>85.1</v>
      </c>
      <c r="AN59" s="8">
        <v>83.62</v>
      </c>
      <c r="AO59" s="8">
        <v>70.849999999999994</v>
      </c>
      <c r="AP59" s="8">
        <v>76.55</v>
      </c>
      <c r="AQ59" s="8">
        <v>81.83</v>
      </c>
      <c r="AR59" s="8">
        <v>81.260000000000005</v>
      </c>
      <c r="AS59" s="8">
        <v>73.569999999999993</v>
      </c>
      <c r="AT59" s="8">
        <v>83.17</v>
      </c>
      <c r="AZ59" s="8">
        <v>82.43</v>
      </c>
      <c r="BB59" s="8">
        <v>81.430000000000007</v>
      </c>
      <c r="BC59" s="8">
        <v>68.069999999999993</v>
      </c>
      <c r="BD59" s="8">
        <v>68.069999999999993</v>
      </c>
      <c r="BT59" s="8">
        <v>74.930000000000007</v>
      </c>
      <c r="BU59" s="8">
        <v>74.930000000000007</v>
      </c>
      <c r="BX59" s="8">
        <v>79.22</v>
      </c>
      <c r="CN59" s="8">
        <v>86.71</v>
      </c>
      <c r="CO59" s="8">
        <v>82.86</v>
      </c>
      <c r="CP59" s="8">
        <v>88.12</v>
      </c>
      <c r="CQ59" s="8">
        <v>86.67</v>
      </c>
      <c r="DG59" s="8">
        <v>85.49</v>
      </c>
      <c r="DW59" s="8">
        <v>80.61</v>
      </c>
      <c r="DX59" s="8">
        <v>80.180000000000007</v>
      </c>
      <c r="DY59" s="8">
        <v>68.19</v>
      </c>
      <c r="EC59" s="8">
        <v>80.989999999999995</v>
      </c>
      <c r="EJ59" s="8">
        <v>79.19</v>
      </c>
      <c r="EK59" s="8">
        <v>76.73</v>
      </c>
      <c r="EO59" s="8">
        <v>82.39</v>
      </c>
      <c r="EP59" s="8">
        <v>90.3</v>
      </c>
      <c r="EQ59" s="8">
        <v>81.08</v>
      </c>
      <c r="ET59" s="8">
        <v>79.22</v>
      </c>
      <c r="EU59" s="8">
        <v>78.47</v>
      </c>
      <c r="EV59" s="8">
        <v>78.739999999999995</v>
      </c>
      <c r="EW59" s="8">
        <v>82.43</v>
      </c>
      <c r="EX59" s="8">
        <v>82.31</v>
      </c>
      <c r="EY59" s="8">
        <v>87.64</v>
      </c>
      <c r="EZ59" s="8">
        <v>89.55</v>
      </c>
      <c r="FA59" s="8">
        <v>86.74</v>
      </c>
      <c r="FB59" s="8">
        <v>85.49</v>
      </c>
      <c r="FC59" s="8">
        <v>86.57</v>
      </c>
      <c r="FD59" s="8">
        <v>89.12</v>
      </c>
      <c r="FE59" s="8">
        <v>85.14</v>
      </c>
      <c r="FF59" s="8">
        <v>79.16</v>
      </c>
      <c r="FG59" s="8">
        <v>78.44</v>
      </c>
      <c r="FH59" s="8">
        <v>80.13</v>
      </c>
      <c r="FI59" s="8">
        <v>79.05</v>
      </c>
      <c r="FJ59" s="8">
        <v>79.180000000000007</v>
      </c>
      <c r="FK59" s="8">
        <v>72.349999999999994</v>
      </c>
      <c r="FL59" s="8">
        <v>84.12</v>
      </c>
      <c r="FM59" s="8">
        <v>77.959999999999994</v>
      </c>
      <c r="FN59" s="8">
        <v>67.430000000000007</v>
      </c>
      <c r="FO59" s="8">
        <v>84.86</v>
      </c>
      <c r="FP59" s="8">
        <v>83.47</v>
      </c>
      <c r="FQ59" s="8">
        <v>70.89</v>
      </c>
      <c r="FR59" s="8">
        <v>76.290000000000006</v>
      </c>
      <c r="FS59" s="8">
        <v>81.760000000000005</v>
      </c>
      <c r="FT59" s="8">
        <v>78.959999999999994</v>
      </c>
      <c r="FU59" s="8">
        <v>72.900000000000006</v>
      </c>
      <c r="FV59" s="8">
        <v>80.95</v>
      </c>
      <c r="GB59" s="8">
        <v>80.98</v>
      </c>
      <c r="GD59" s="8">
        <v>83.51</v>
      </c>
      <c r="GE59" s="8">
        <v>66.98</v>
      </c>
      <c r="GF59" s="8">
        <v>66.98</v>
      </c>
      <c r="GV59" s="8">
        <v>67.459999999999994</v>
      </c>
      <c r="GW59" s="8">
        <v>67.459999999999994</v>
      </c>
      <c r="GZ59" s="8">
        <v>80.709999999999994</v>
      </c>
      <c r="HP59" s="8">
        <v>83.93</v>
      </c>
      <c r="HQ59" s="8">
        <v>82.4</v>
      </c>
      <c r="HR59" s="8">
        <v>88.78</v>
      </c>
      <c r="HS59" s="8">
        <v>81.25</v>
      </c>
      <c r="II59" s="8">
        <v>81.87</v>
      </c>
    </row>
    <row r="60" spans="1:243" x14ac:dyDescent="0.2">
      <c r="A60" s="9">
        <v>44470</v>
      </c>
      <c r="H60" s="8">
        <v>82.53</v>
      </c>
      <c r="I60" s="8">
        <v>75.959999999999994</v>
      </c>
      <c r="M60" s="8">
        <v>82.49</v>
      </c>
      <c r="N60" s="8">
        <v>90.35</v>
      </c>
      <c r="O60" s="8">
        <v>81.92</v>
      </c>
      <c r="R60" s="8">
        <v>78.86</v>
      </c>
      <c r="S60" s="8">
        <v>77.53</v>
      </c>
      <c r="T60" s="8">
        <v>79.099999999999994</v>
      </c>
      <c r="U60" s="8">
        <v>79.42</v>
      </c>
      <c r="V60" s="8">
        <v>83.95</v>
      </c>
      <c r="W60" s="8">
        <v>87.43</v>
      </c>
      <c r="X60" s="8">
        <v>89.07</v>
      </c>
      <c r="Y60" s="8">
        <v>86.19</v>
      </c>
      <c r="Z60" s="8">
        <v>86.76</v>
      </c>
      <c r="AA60" s="8">
        <v>86.3</v>
      </c>
      <c r="AB60" s="8">
        <v>89.04</v>
      </c>
      <c r="AC60" s="8">
        <v>85.04</v>
      </c>
      <c r="AD60" s="8">
        <v>79.94</v>
      </c>
      <c r="AE60" s="8">
        <v>79.900000000000006</v>
      </c>
      <c r="AF60" s="8">
        <v>80.349999999999994</v>
      </c>
      <c r="AG60" s="8">
        <v>79.540000000000006</v>
      </c>
      <c r="AH60" s="8">
        <v>82.78</v>
      </c>
      <c r="AI60" s="8">
        <v>77.069999999999993</v>
      </c>
      <c r="AJ60" s="8">
        <v>87.14</v>
      </c>
      <c r="AK60" s="8">
        <v>78.62</v>
      </c>
      <c r="AL60" s="8">
        <v>68.849999999999994</v>
      </c>
      <c r="AM60" s="8">
        <v>85.24</v>
      </c>
      <c r="AN60" s="8">
        <v>84.26</v>
      </c>
      <c r="AO60" s="8">
        <v>71.05</v>
      </c>
      <c r="AP60" s="8">
        <v>77.06</v>
      </c>
      <c r="AQ60" s="8">
        <v>82.26</v>
      </c>
      <c r="AR60" s="8">
        <v>81.430000000000007</v>
      </c>
      <c r="AS60" s="8">
        <v>74.209999999999994</v>
      </c>
      <c r="AT60" s="8">
        <v>83.23</v>
      </c>
      <c r="AZ60" s="8">
        <v>82.69</v>
      </c>
      <c r="BB60" s="8">
        <v>81.95</v>
      </c>
      <c r="BC60" s="8">
        <v>68.81</v>
      </c>
      <c r="BD60" s="8">
        <v>68.81</v>
      </c>
      <c r="BT60" s="8">
        <v>74.569999999999993</v>
      </c>
      <c r="BU60" s="8">
        <v>74.569999999999993</v>
      </c>
      <c r="BX60" s="8">
        <v>79.22</v>
      </c>
      <c r="CA60" s="8">
        <v>71.14</v>
      </c>
      <c r="CB60" s="8">
        <v>84.69</v>
      </c>
      <c r="CN60" s="8">
        <v>86.9</v>
      </c>
      <c r="CO60" s="8">
        <v>83.58</v>
      </c>
      <c r="CP60" s="8">
        <v>87.08</v>
      </c>
      <c r="CQ60" s="8">
        <v>87.48</v>
      </c>
      <c r="DG60" s="8">
        <v>89.51</v>
      </c>
      <c r="DW60" s="8">
        <v>78.739999999999995</v>
      </c>
      <c r="DX60" s="8">
        <v>77.81</v>
      </c>
      <c r="DY60" s="8">
        <v>78.430000000000007</v>
      </c>
      <c r="EC60" s="8">
        <v>80.02</v>
      </c>
      <c r="EJ60" s="8">
        <v>79.19</v>
      </c>
      <c r="EK60" s="8">
        <v>76.73</v>
      </c>
      <c r="EO60" s="8">
        <v>82.4</v>
      </c>
      <c r="EP60" s="8">
        <v>90.35</v>
      </c>
      <c r="EQ60" s="8">
        <v>81.08</v>
      </c>
      <c r="ET60" s="8">
        <v>79.540000000000006</v>
      </c>
      <c r="EU60" s="8">
        <v>78.400000000000006</v>
      </c>
      <c r="EV60" s="8">
        <v>79.64</v>
      </c>
      <c r="EW60" s="8">
        <v>79.989999999999995</v>
      </c>
      <c r="EX60" s="8">
        <v>83.83</v>
      </c>
      <c r="EY60" s="8">
        <v>87.42</v>
      </c>
      <c r="EZ60" s="8">
        <v>89.33</v>
      </c>
      <c r="FA60" s="8">
        <v>86.7</v>
      </c>
      <c r="FB60" s="8">
        <v>86.27</v>
      </c>
      <c r="FC60" s="8">
        <v>85.8</v>
      </c>
      <c r="FD60" s="8">
        <v>88.7</v>
      </c>
      <c r="FE60" s="8">
        <v>84.89</v>
      </c>
      <c r="FF60" s="8">
        <v>79.16</v>
      </c>
      <c r="FG60" s="8">
        <v>78.180000000000007</v>
      </c>
      <c r="FH60" s="8">
        <v>80.25</v>
      </c>
      <c r="FI60" s="8">
        <v>79.319999999999993</v>
      </c>
      <c r="FJ60" s="8">
        <v>78.77</v>
      </c>
      <c r="FK60" s="8">
        <v>73.47</v>
      </c>
      <c r="FL60" s="8">
        <v>82.51</v>
      </c>
      <c r="FM60" s="8">
        <v>78.33</v>
      </c>
      <c r="FN60" s="8">
        <v>67.81</v>
      </c>
      <c r="FO60" s="8">
        <v>85</v>
      </c>
      <c r="FP60" s="8">
        <v>83.95</v>
      </c>
      <c r="FQ60" s="8">
        <v>70.98</v>
      </c>
      <c r="FR60" s="8">
        <v>76.760000000000005</v>
      </c>
      <c r="FS60" s="8">
        <v>82.05</v>
      </c>
      <c r="FT60" s="8">
        <v>79.150000000000006</v>
      </c>
      <c r="FU60" s="8">
        <v>73.540000000000006</v>
      </c>
      <c r="FV60" s="8">
        <v>80.98</v>
      </c>
      <c r="GB60" s="8">
        <v>81.239999999999995</v>
      </c>
      <c r="GD60" s="8">
        <v>83.2</v>
      </c>
      <c r="GE60" s="8">
        <v>67.650000000000006</v>
      </c>
      <c r="GF60" s="8">
        <v>67.650000000000006</v>
      </c>
      <c r="GV60" s="8">
        <v>71.010000000000005</v>
      </c>
      <c r="GW60" s="8">
        <v>71.010000000000005</v>
      </c>
      <c r="GZ60" s="8">
        <v>80.709999999999994</v>
      </c>
      <c r="HC60" s="8">
        <v>84.11</v>
      </c>
      <c r="HD60" s="8">
        <v>72.2</v>
      </c>
      <c r="HP60" s="8">
        <v>84.05</v>
      </c>
      <c r="HQ60" s="8">
        <v>83</v>
      </c>
      <c r="HR60" s="8">
        <v>87.83</v>
      </c>
      <c r="HS60" s="8">
        <v>81.95</v>
      </c>
      <c r="II60" s="8">
        <v>89</v>
      </c>
    </row>
    <row r="61" spans="1:243" x14ac:dyDescent="0.2">
      <c r="A61" s="9">
        <v>44501</v>
      </c>
      <c r="H61" s="8">
        <v>82.53</v>
      </c>
      <c r="I61" s="8">
        <v>75.959999999999994</v>
      </c>
      <c r="M61" s="8">
        <v>82.52</v>
      </c>
      <c r="N61" s="8">
        <v>90.82</v>
      </c>
      <c r="O61" s="8">
        <v>81.92</v>
      </c>
      <c r="R61" s="8">
        <v>79.62</v>
      </c>
      <c r="S61" s="8">
        <v>78.27</v>
      </c>
      <c r="T61" s="8">
        <v>79.77</v>
      </c>
      <c r="U61" s="8">
        <v>81.39</v>
      </c>
      <c r="V61" s="8">
        <v>84.14</v>
      </c>
      <c r="W61" s="8">
        <v>87.71</v>
      </c>
      <c r="X61" s="8">
        <v>88.88</v>
      </c>
      <c r="Y61" s="8">
        <v>87.2</v>
      </c>
      <c r="Z61" s="8">
        <v>86.57</v>
      </c>
      <c r="AA61" s="8">
        <v>85.98</v>
      </c>
      <c r="AB61" s="8">
        <v>89.83</v>
      </c>
      <c r="AC61" s="8">
        <v>85.65</v>
      </c>
      <c r="AD61" s="8">
        <v>80.7</v>
      </c>
      <c r="AE61" s="8">
        <v>80.12</v>
      </c>
      <c r="AF61" s="8">
        <v>81.81</v>
      </c>
      <c r="AG61" s="8">
        <v>80.459999999999994</v>
      </c>
      <c r="AH61" s="8">
        <v>85.56</v>
      </c>
      <c r="AI61" s="8">
        <v>81.489999999999995</v>
      </c>
      <c r="AJ61" s="8">
        <v>88.54</v>
      </c>
      <c r="AK61" s="8">
        <v>79.040000000000006</v>
      </c>
      <c r="AL61" s="8">
        <v>68.260000000000005</v>
      </c>
      <c r="AM61" s="8">
        <v>85.16</v>
      </c>
      <c r="AN61" s="8">
        <v>84.5</v>
      </c>
      <c r="AO61" s="8">
        <v>72.05</v>
      </c>
      <c r="AP61" s="8">
        <v>76.959999999999994</v>
      </c>
      <c r="AQ61" s="8">
        <v>83.62</v>
      </c>
      <c r="AR61" s="8">
        <v>81.17</v>
      </c>
      <c r="AS61" s="8">
        <v>73.19</v>
      </c>
      <c r="AT61" s="8">
        <v>83.16</v>
      </c>
      <c r="AZ61" s="8">
        <v>82.96</v>
      </c>
      <c r="BB61" s="8">
        <v>82.01</v>
      </c>
      <c r="BC61" s="8">
        <v>69.22</v>
      </c>
      <c r="BD61" s="8">
        <v>69.22</v>
      </c>
      <c r="BT61" s="8">
        <v>77.22</v>
      </c>
      <c r="BU61" s="8">
        <v>77.22</v>
      </c>
      <c r="BX61" s="8">
        <v>79.22</v>
      </c>
      <c r="CA61" s="8">
        <v>71.14</v>
      </c>
      <c r="CB61" s="8">
        <v>84.69</v>
      </c>
      <c r="CN61" s="8">
        <v>87.32</v>
      </c>
      <c r="CO61" s="8">
        <v>84.1</v>
      </c>
      <c r="CP61" s="8">
        <v>87.17</v>
      </c>
      <c r="CQ61" s="8">
        <v>88.08</v>
      </c>
      <c r="DG61" s="8">
        <v>90.55</v>
      </c>
      <c r="DW61" s="8">
        <v>78.33</v>
      </c>
      <c r="DX61" s="8">
        <v>77.38</v>
      </c>
      <c r="DY61" s="8">
        <v>78.709999999999994</v>
      </c>
      <c r="EC61" s="8">
        <v>80.680000000000007</v>
      </c>
      <c r="EJ61" s="8">
        <v>79.19</v>
      </c>
      <c r="EK61" s="8">
        <v>76.73</v>
      </c>
      <c r="EO61" s="8">
        <v>82.46</v>
      </c>
      <c r="EP61" s="8">
        <v>90.82</v>
      </c>
      <c r="EQ61" s="8">
        <v>81.08</v>
      </c>
      <c r="ET61" s="8">
        <v>80.150000000000006</v>
      </c>
      <c r="EU61" s="8">
        <v>78.72</v>
      </c>
      <c r="EV61" s="8">
        <v>80.48</v>
      </c>
      <c r="EW61" s="8">
        <v>81.650000000000006</v>
      </c>
      <c r="EX61" s="8">
        <v>83.83</v>
      </c>
      <c r="EY61" s="8">
        <v>87.91</v>
      </c>
      <c r="EZ61" s="8">
        <v>89.88</v>
      </c>
      <c r="FA61" s="8">
        <v>87.6</v>
      </c>
      <c r="FB61" s="8">
        <v>86.31</v>
      </c>
      <c r="FC61" s="8">
        <v>85.89</v>
      </c>
      <c r="FD61" s="8">
        <v>89.44</v>
      </c>
      <c r="FE61" s="8">
        <v>85.45</v>
      </c>
      <c r="FF61" s="8">
        <v>79.98</v>
      </c>
      <c r="FG61" s="8">
        <v>78.31</v>
      </c>
      <c r="FH61" s="8">
        <v>81.790000000000006</v>
      </c>
      <c r="FI61" s="8">
        <v>80.349999999999994</v>
      </c>
      <c r="FJ61" s="8">
        <v>80.11</v>
      </c>
      <c r="FK61" s="8">
        <v>75.89</v>
      </c>
      <c r="FL61" s="8">
        <v>83.01</v>
      </c>
      <c r="FM61" s="8">
        <v>79.040000000000006</v>
      </c>
      <c r="FN61" s="8">
        <v>67.88</v>
      </c>
      <c r="FO61" s="8">
        <v>85.05</v>
      </c>
      <c r="FP61" s="8">
        <v>84.45</v>
      </c>
      <c r="FQ61" s="8">
        <v>72.03</v>
      </c>
      <c r="FR61" s="8">
        <v>76.88</v>
      </c>
      <c r="FS61" s="8">
        <v>84.02</v>
      </c>
      <c r="FT61" s="8">
        <v>78.849999999999994</v>
      </c>
      <c r="FU61" s="8">
        <v>72.540000000000006</v>
      </c>
      <c r="FV61" s="8">
        <v>80.92</v>
      </c>
      <c r="GB61" s="8">
        <v>81.05</v>
      </c>
      <c r="GD61" s="8">
        <v>83.33</v>
      </c>
      <c r="GE61" s="8">
        <v>68.11</v>
      </c>
      <c r="GF61" s="8">
        <v>68.11</v>
      </c>
      <c r="GV61" s="8">
        <v>70.77</v>
      </c>
      <c r="GW61" s="8">
        <v>70.77</v>
      </c>
      <c r="GZ61" s="8">
        <v>80.709999999999994</v>
      </c>
      <c r="HC61" s="8">
        <v>84.11</v>
      </c>
      <c r="HD61" s="8">
        <v>72.2</v>
      </c>
      <c r="HP61" s="8">
        <v>84.58</v>
      </c>
      <c r="HQ61" s="8">
        <v>83.65</v>
      </c>
      <c r="HR61" s="8">
        <v>87.9</v>
      </c>
      <c r="HS61" s="8">
        <v>82.72</v>
      </c>
      <c r="II61" s="8">
        <v>93.04</v>
      </c>
    </row>
    <row r="62" spans="1:243" x14ac:dyDescent="0.2">
      <c r="A62" s="9">
        <v>44531</v>
      </c>
      <c r="H62" s="8">
        <v>82.53</v>
      </c>
      <c r="I62" s="8">
        <v>75.959999999999994</v>
      </c>
      <c r="M62" s="8">
        <v>84.18</v>
      </c>
      <c r="N62" s="8">
        <v>90.96</v>
      </c>
      <c r="O62" s="8">
        <v>83.69</v>
      </c>
      <c r="R62" s="8">
        <v>80.319999999999993</v>
      </c>
      <c r="S62" s="8">
        <v>78.760000000000005</v>
      </c>
      <c r="T62" s="8">
        <v>80.37</v>
      </c>
      <c r="U62" s="8">
        <v>83.12</v>
      </c>
      <c r="V62" s="8">
        <v>85.33</v>
      </c>
      <c r="W62" s="8">
        <v>88.25</v>
      </c>
      <c r="X62" s="8">
        <v>90.55</v>
      </c>
      <c r="Y62" s="8">
        <v>86.96</v>
      </c>
      <c r="Z62" s="8">
        <v>87.48</v>
      </c>
      <c r="AA62" s="8">
        <v>86.04</v>
      </c>
      <c r="AB62" s="8">
        <v>89.63</v>
      </c>
      <c r="AC62" s="8">
        <v>86.51</v>
      </c>
      <c r="AD62" s="8">
        <v>82.9</v>
      </c>
      <c r="AE62" s="8">
        <v>83.62</v>
      </c>
      <c r="AF62" s="8">
        <v>81.900000000000006</v>
      </c>
      <c r="AG62" s="8">
        <v>82.71</v>
      </c>
      <c r="AH62" s="8">
        <v>87.99</v>
      </c>
      <c r="AI62" s="8">
        <v>82.42</v>
      </c>
      <c r="AJ62" s="8">
        <v>92.21</v>
      </c>
      <c r="AK62" s="8">
        <v>79.61</v>
      </c>
      <c r="AL62" s="8">
        <v>68.23</v>
      </c>
      <c r="AM62" s="8">
        <v>85.8</v>
      </c>
      <c r="AN62" s="8">
        <v>83.68</v>
      </c>
      <c r="AO62" s="8">
        <v>71.22</v>
      </c>
      <c r="AP62" s="8">
        <v>77.73</v>
      </c>
      <c r="AQ62" s="8">
        <v>85.21</v>
      </c>
      <c r="AR62" s="8">
        <v>81.28</v>
      </c>
      <c r="AS62" s="8">
        <v>75.209999999999994</v>
      </c>
      <c r="AT62" s="8">
        <v>82.77</v>
      </c>
      <c r="AZ62" s="8">
        <v>82.72</v>
      </c>
      <c r="BB62" s="8">
        <v>81.8</v>
      </c>
      <c r="BC62" s="8">
        <v>69.400000000000006</v>
      </c>
      <c r="BD62" s="8">
        <v>69.400000000000006</v>
      </c>
      <c r="BT62" s="8">
        <v>80.94</v>
      </c>
      <c r="BU62" s="8">
        <v>80.94</v>
      </c>
      <c r="BX62" s="8">
        <v>79.22</v>
      </c>
      <c r="CA62" s="8">
        <v>71</v>
      </c>
      <c r="CB62" s="8">
        <v>86.1</v>
      </c>
      <c r="CN62" s="8">
        <v>89.04</v>
      </c>
      <c r="CO62" s="8">
        <v>86.8</v>
      </c>
      <c r="CP62" s="8">
        <v>88.66</v>
      </c>
      <c r="CQ62" s="8">
        <v>89.75</v>
      </c>
      <c r="DG62" s="8">
        <v>85.22</v>
      </c>
      <c r="DW62" s="8">
        <v>85.96</v>
      </c>
      <c r="DX62" s="8">
        <v>85.24</v>
      </c>
      <c r="DY62" s="8">
        <v>78.89</v>
      </c>
      <c r="EC62" s="8">
        <v>82.94</v>
      </c>
      <c r="EJ62" s="8">
        <v>79.19</v>
      </c>
      <c r="EK62" s="8">
        <v>76.73</v>
      </c>
      <c r="EO62" s="8">
        <v>83.38</v>
      </c>
      <c r="EP62" s="8">
        <v>90.96</v>
      </c>
      <c r="EQ62" s="8">
        <v>82.13</v>
      </c>
      <c r="ET62" s="8">
        <v>80.78</v>
      </c>
      <c r="EU62" s="8">
        <v>79.22</v>
      </c>
      <c r="EV62" s="8">
        <v>80.83</v>
      </c>
      <c r="EW62" s="8">
        <v>83.38</v>
      </c>
      <c r="EX62" s="8">
        <v>85.27</v>
      </c>
      <c r="EY62" s="8">
        <v>88.6</v>
      </c>
      <c r="EZ62" s="8">
        <v>91.72</v>
      </c>
      <c r="FA62" s="8">
        <v>86.68</v>
      </c>
      <c r="FB62" s="8">
        <v>87.33</v>
      </c>
      <c r="FC62" s="8">
        <v>86.27</v>
      </c>
      <c r="FD62" s="8">
        <v>90.06</v>
      </c>
      <c r="FE62" s="8">
        <v>86.19</v>
      </c>
      <c r="FF62" s="8">
        <v>82</v>
      </c>
      <c r="FG62" s="8">
        <v>81.69</v>
      </c>
      <c r="FH62" s="8">
        <v>82.01</v>
      </c>
      <c r="FI62" s="8">
        <v>82.38</v>
      </c>
      <c r="FJ62" s="8">
        <v>83.31</v>
      </c>
      <c r="FK62" s="8">
        <v>79.56</v>
      </c>
      <c r="FL62" s="8">
        <v>85.84</v>
      </c>
      <c r="FM62" s="8">
        <v>79.61</v>
      </c>
      <c r="FN62" s="8">
        <v>68.34</v>
      </c>
      <c r="FO62" s="8">
        <v>85.68</v>
      </c>
      <c r="FP62" s="8">
        <v>83.85</v>
      </c>
      <c r="FQ62" s="8">
        <v>71.19</v>
      </c>
      <c r="FR62" s="8">
        <v>77.64</v>
      </c>
      <c r="FS62" s="8">
        <v>85.46</v>
      </c>
      <c r="FT62" s="8">
        <v>79.37</v>
      </c>
      <c r="FU62" s="8">
        <v>74.16</v>
      </c>
      <c r="FV62" s="8">
        <v>81.06</v>
      </c>
      <c r="GB62" s="8">
        <v>81.010000000000005</v>
      </c>
      <c r="GD62" s="8">
        <v>83.37</v>
      </c>
      <c r="GE62" s="8">
        <v>68.510000000000005</v>
      </c>
      <c r="GF62" s="8">
        <v>68.510000000000005</v>
      </c>
      <c r="GV62" s="8">
        <v>71.69</v>
      </c>
      <c r="GW62" s="8">
        <v>71.69</v>
      </c>
      <c r="GZ62" s="8">
        <v>80.709999999999994</v>
      </c>
      <c r="HC62" s="8">
        <v>84.27</v>
      </c>
      <c r="HD62" s="8">
        <v>72.2</v>
      </c>
      <c r="HP62" s="8">
        <v>86.14</v>
      </c>
      <c r="HQ62" s="8">
        <v>86.03</v>
      </c>
      <c r="HR62" s="8">
        <v>89.47</v>
      </c>
      <c r="HS62" s="8">
        <v>84.15</v>
      </c>
      <c r="II62" s="8">
        <v>87.68</v>
      </c>
    </row>
    <row r="63" spans="1:243" x14ac:dyDescent="0.2">
      <c r="A63" s="9">
        <v>44562</v>
      </c>
      <c r="H63" s="8">
        <v>82.53</v>
      </c>
      <c r="I63" s="8">
        <v>75.959999999999994</v>
      </c>
      <c r="M63" s="8">
        <v>84.17</v>
      </c>
      <c r="N63" s="8">
        <v>90.82</v>
      </c>
      <c r="O63" s="8">
        <v>83.69</v>
      </c>
      <c r="R63" s="8">
        <v>80.849999999999994</v>
      </c>
      <c r="S63" s="8">
        <v>78.72</v>
      </c>
      <c r="T63" s="8">
        <v>81.42</v>
      </c>
      <c r="U63" s="8">
        <v>83.69</v>
      </c>
      <c r="V63" s="8">
        <v>85.84</v>
      </c>
      <c r="W63" s="8">
        <v>91.12</v>
      </c>
      <c r="X63" s="8">
        <v>95.41</v>
      </c>
      <c r="Y63" s="8">
        <v>88.6</v>
      </c>
      <c r="Z63" s="8">
        <v>92.43</v>
      </c>
      <c r="AA63" s="8">
        <v>88.22</v>
      </c>
      <c r="AB63" s="8">
        <v>92.71</v>
      </c>
      <c r="AC63" s="8">
        <v>86.9</v>
      </c>
      <c r="AD63" s="8">
        <v>82.54</v>
      </c>
      <c r="AE63" s="8">
        <v>83.46</v>
      </c>
      <c r="AF63" s="8">
        <v>81.31</v>
      </c>
      <c r="AG63" s="8">
        <v>82.29</v>
      </c>
      <c r="AH63" s="8">
        <v>90.13</v>
      </c>
      <c r="AI63" s="8">
        <v>83.91</v>
      </c>
      <c r="AJ63" s="8">
        <v>94.87</v>
      </c>
      <c r="AK63" s="8">
        <v>80.900000000000006</v>
      </c>
      <c r="AL63" s="8">
        <v>68.739999999999995</v>
      </c>
      <c r="AM63" s="8">
        <v>85.74</v>
      </c>
      <c r="AN63" s="8">
        <v>86.02</v>
      </c>
      <c r="AO63" s="8">
        <v>73.22</v>
      </c>
      <c r="AP63" s="8">
        <v>79.569999999999993</v>
      </c>
      <c r="AQ63" s="8">
        <v>85.43</v>
      </c>
      <c r="AR63" s="8">
        <v>83.62</v>
      </c>
      <c r="AS63" s="8">
        <v>78.22</v>
      </c>
      <c r="AT63" s="8">
        <v>84.94</v>
      </c>
      <c r="AZ63" s="8">
        <v>82.32</v>
      </c>
      <c r="BB63" s="8">
        <v>82.34</v>
      </c>
      <c r="BC63" s="8">
        <v>69.61</v>
      </c>
      <c r="BD63" s="8">
        <v>69.61</v>
      </c>
      <c r="BT63" s="8">
        <v>80.400000000000006</v>
      </c>
      <c r="BU63" s="8">
        <v>80.400000000000006</v>
      </c>
      <c r="BX63" s="8">
        <v>79.22</v>
      </c>
      <c r="CA63" s="8">
        <v>71</v>
      </c>
      <c r="CB63" s="8">
        <v>86.1</v>
      </c>
      <c r="CN63" s="8">
        <v>90.42</v>
      </c>
      <c r="CO63" s="8">
        <v>86.82</v>
      </c>
      <c r="CP63" s="8">
        <v>90.07</v>
      </c>
      <c r="CQ63" s="8">
        <v>91.39</v>
      </c>
      <c r="DG63" s="8">
        <v>92.59</v>
      </c>
      <c r="DW63" s="8">
        <v>82.89</v>
      </c>
      <c r="DX63" s="8">
        <v>82.67</v>
      </c>
      <c r="DY63" s="8">
        <v>65.02</v>
      </c>
      <c r="EC63" s="8">
        <v>84.81</v>
      </c>
      <c r="EJ63" s="8">
        <v>79.19</v>
      </c>
      <c r="EK63" s="8">
        <v>76.73</v>
      </c>
      <c r="EO63" s="8">
        <v>83.36</v>
      </c>
      <c r="EP63" s="8">
        <v>90.82</v>
      </c>
      <c r="EQ63" s="8">
        <v>82.13</v>
      </c>
      <c r="ET63" s="8">
        <v>81.19</v>
      </c>
      <c r="EU63" s="8">
        <v>79.39</v>
      </c>
      <c r="EV63" s="8">
        <v>81.5</v>
      </c>
      <c r="EW63" s="8">
        <v>83.5</v>
      </c>
      <c r="EX63" s="8">
        <v>85.78</v>
      </c>
      <c r="EY63" s="8">
        <v>91.14</v>
      </c>
      <c r="EZ63" s="8">
        <v>96.27</v>
      </c>
      <c r="FA63" s="8">
        <v>88.58</v>
      </c>
      <c r="FB63" s="8">
        <v>91.34</v>
      </c>
      <c r="FC63" s="8">
        <v>87.95</v>
      </c>
      <c r="FD63" s="8">
        <v>92.1</v>
      </c>
      <c r="FE63" s="8">
        <v>86.88</v>
      </c>
      <c r="FF63" s="8">
        <v>81.59</v>
      </c>
      <c r="FG63" s="8">
        <v>81.5</v>
      </c>
      <c r="FH63" s="8">
        <v>81.48</v>
      </c>
      <c r="FI63" s="8">
        <v>81.790000000000006</v>
      </c>
      <c r="FJ63" s="8">
        <v>83.87</v>
      </c>
      <c r="FK63" s="8">
        <v>78.739999999999995</v>
      </c>
      <c r="FL63" s="8">
        <v>87.47</v>
      </c>
      <c r="FM63" s="8">
        <v>80.819999999999993</v>
      </c>
      <c r="FN63" s="8">
        <v>68.760000000000005</v>
      </c>
      <c r="FO63" s="8">
        <v>85.45</v>
      </c>
      <c r="FP63" s="8">
        <v>86.19</v>
      </c>
      <c r="FQ63" s="8">
        <v>73.06</v>
      </c>
      <c r="FR63" s="8">
        <v>79.36</v>
      </c>
      <c r="FS63" s="8">
        <v>85.49</v>
      </c>
      <c r="FT63" s="8">
        <v>81.58</v>
      </c>
      <c r="FU63" s="8">
        <v>76.760000000000005</v>
      </c>
      <c r="FV63" s="8">
        <v>83.13</v>
      </c>
      <c r="GB63" s="8">
        <v>81.510000000000005</v>
      </c>
      <c r="GD63" s="8">
        <v>83.29</v>
      </c>
      <c r="GE63" s="8">
        <v>68.650000000000006</v>
      </c>
      <c r="GF63" s="8">
        <v>68.650000000000006</v>
      </c>
      <c r="GV63" s="8">
        <v>72.42</v>
      </c>
      <c r="GW63" s="8">
        <v>72.41</v>
      </c>
      <c r="GZ63" s="8">
        <v>80.709999999999994</v>
      </c>
      <c r="HC63" s="8">
        <v>84.27</v>
      </c>
      <c r="HD63" s="8">
        <v>72.2</v>
      </c>
      <c r="HP63" s="8">
        <v>87.55</v>
      </c>
      <c r="HQ63" s="8">
        <v>85.78</v>
      </c>
      <c r="HR63" s="8">
        <v>90.46</v>
      </c>
      <c r="HS63" s="8">
        <v>86.07</v>
      </c>
      <c r="II63" s="8">
        <v>92.13</v>
      </c>
    </row>
    <row r="64" spans="1:243" x14ac:dyDescent="0.2">
      <c r="A64" s="9">
        <v>44593</v>
      </c>
      <c r="H64" s="8">
        <v>84.87</v>
      </c>
      <c r="I64" s="8">
        <v>81.290000000000006</v>
      </c>
      <c r="M64" s="8">
        <v>84.17</v>
      </c>
      <c r="N64" s="8">
        <v>90.87</v>
      </c>
      <c r="O64" s="8">
        <v>83.69</v>
      </c>
      <c r="R64" s="8">
        <v>80.45</v>
      </c>
      <c r="S64" s="8">
        <v>79.239999999999995</v>
      </c>
      <c r="T64" s="8">
        <v>80.739999999999995</v>
      </c>
      <c r="U64" s="8">
        <v>78.98</v>
      </c>
      <c r="V64" s="8">
        <v>86.76</v>
      </c>
      <c r="W64" s="8">
        <v>93.12</v>
      </c>
      <c r="X64" s="8">
        <v>97</v>
      </c>
      <c r="Y64" s="8">
        <v>90.32</v>
      </c>
      <c r="Z64" s="8">
        <v>94.56</v>
      </c>
      <c r="AA64" s="8">
        <v>90.56</v>
      </c>
      <c r="AB64" s="8">
        <v>94.94</v>
      </c>
      <c r="AC64" s="8">
        <v>89.09</v>
      </c>
      <c r="AD64" s="8">
        <v>82.21</v>
      </c>
      <c r="AE64" s="8">
        <v>82.9</v>
      </c>
      <c r="AF64" s="8">
        <v>81.61</v>
      </c>
      <c r="AG64" s="8">
        <v>81.67</v>
      </c>
      <c r="AH64" s="8">
        <v>90.9</v>
      </c>
      <c r="AI64" s="8">
        <v>86.41</v>
      </c>
      <c r="AJ64" s="8">
        <v>94.2</v>
      </c>
      <c r="AK64" s="8">
        <v>80.86</v>
      </c>
      <c r="AL64" s="8">
        <v>68.83</v>
      </c>
      <c r="AM64" s="8">
        <v>85.47</v>
      </c>
      <c r="AN64" s="8">
        <v>88.03</v>
      </c>
      <c r="AO64" s="8">
        <v>74.510000000000005</v>
      </c>
      <c r="AP64" s="8">
        <v>78.209999999999994</v>
      </c>
      <c r="AQ64" s="8">
        <v>85.85</v>
      </c>
      <c r="AR64" s="8">
        <v>87.46</v>
      </c>
      <c r="AS64" s="8">
        <v>77.67</v>
      </c>
      <c r="AT64" s="8">
        <v>89.92</v>
      </c>
      <c r="AZ64" s="8">
        <v>84.18</v>
      </c>
      <c r="BB64" s="8">
        <v>82.38</v>
      </c>
      <c r="BC64" s="8">
        <v>69.599999999999994</v>
      </c>
      <c r="BD64" s="8">
        <v>69.599999999999994</v>
      </c>
      <c r="BT64" s="8">
        <v>82.16</v>
      </c>
      <c r="BU64" s="8">
        <v>82.16</v>
      </c>
      <c r="BX64" s="8">
        <v>79.22</v>
      </c>
      <c r="CA64" s="8">
        <v>70.150000000000006</v>
      </c>
      <c r="CB64" s="8">
        <v>86.1</v>
      </c>
      <c r="CN64" s="8">
        <v>91.68</v>
      </c>
      <c r="CO64" s="8">
        <v>87.25</v>
      </c>
      <c r="CP64" s="8">
        <v>88.47</v>
      </c>
      <c r="CQ64" s="8">
        <v>94.54</v>
      </c>
      <c r="DG64" s="8">
        <v>96.74</v>
      </c>
      <c r="DW64" s="8">
        <v>72.790000000000006</v>
      </c>
      <c r="DX64" s="8">
        <v>72.349999999999994</v>
      </c>
      <c r="DY64" s="8">
        <v>62.7</v>
      </c>
      <c r="EC64" s="8">
        <v>84.39</v>
      </c>
      <c r="EJ64" s="8">
        <v>82.17</v>
      </c>
      <c r="EK64" s="8">
        <v>82.22</v>
      </c>
      <c r="EO64" s="8">
        <v>83.36</v>
      </c>
      <c r="EP64" s="8">
        <v>90.87</v>
      </c>
      <c r="EQ64" s="8">
        <v>82.13</v>
      </c>
      <c r="ET64" s="8">
        <v>80.64</v>
      </c>
      <c r="EU64" s="8">
        <v>79.48</v>
      </c>
      <c r="EV64" s="8">
        <v>80.8</v>
      </c>
      <c r="EW64" s="8">
        <v>79.56</v>
      </c>
      <c r="EX64" s="8">
        <v>85.97</v>
      </c>
      <c r="EY64" s="8">
        <v>92.41</v>
      </c>
      <c r="EZ64" s="8">
        <v>96.54</v>
      </c>
      <c r="FA64" s="8">
        <v>90.45</v>
      </c>
      <c r="FB64" s="8">
        <v>92.11</v>
      </c>
      <c r="FC64" s="8">
        <v>89.29</v>
      </c>
      <c r="FD64" s="8">
        <v>93.57</v>
      </c>
      <c r="FE64" s="8">
        <v>89.08</v>
      </c>
      <c r="FF64" s="8">
        <v>81.45</v>
      </c>
      <c r="FG64" s="8">
        <v>81.36</v>
      </c>
      <c r="FH64" s="8">
        <v>81.48</v>
      </c>
      <c r="FI64" s="8">
        <v>81.48</v>
      </c>
      <c r="FJ64" s="8">
        <v>86.47</v>
      </c>
      <c r="FK64" s="8">
        <v>82.43</v>
      </c>
      <c r="FL64" s="8">
        <v>89.21</v>
      </c>
      <c r="FM64" s="8">
        <v>80.760000000000005</v>
      </c>
      <c r="FN64" s="8">
        <v>69.040000000000006</v>
      </c>
      <c r="FO64" s="8">
        <v>85.35</v>
      </c>
      <c r="FP64" s="8">
        <v>87.96</v>
      </c>
      <c r="FQ64" s="8">
        <v>74.64</v>
      </c>
      <c r="FR64" s="8">
        <v>78.13</v>
      </c>
      <c r="FS64" s="8">
        <v>85.65</v>
      </c>
      <c r="FT64" s="8">
        <v>85.13</v>
      </c>
      <c r="FU64" s="8">
        <v>76.489999999999995</v>
      </c>
      <c r="FV64" s="8">
        <v>87.99</v>
      </c>
      <c r="GB64" s="8">
        <v>81.739999999999995</v>
      </c>
      <c r="GD64" s="8">
        <v>83.53</v>
      </c>
      <c r="GE64" s="8">
        <v>68.72</v>
      </c>
      <c r="GF64" s="8">
        <v>68.72</v>
      </c>
      <c r="GV64" s="8">
        <v>75.25</v>
      </c>
      <c r="GW64" s="8">
        <v>75.25</v>
      </c>
      <c r="GZ64" s="8">
        <v>80.709999999999994</v>
      </c>
      <c r="HC64" s="8">
        <v>84.27</v>
      </c>
      <c r="HD64" s="8">
        <v>72.2</v>
      </c>
      <c r="HP64" s="8">
        <v>88.71</v>
      </c>
      <c r="HQ64" s="8">
        <v>86.03</v>
      </c>
      <c r="HR64" s="8">
        <v>89.07</v>
      </c>
      <c r="HS64" s="8">
        <v>88.92</v>
      </c>
      <c r="II64" s="8">
        <v>97.77</v>
      </c>
    </row>
    <row r="65" spans="1:250" x14ac:dyDescent="0.2">
      <c r="A65" s="9">
        <v>44621</v>
      </c>
      <c r="H65" s="8">
        <v>84.87</v>
      </c>
      <c r="I65" s="8">
        <v>81.290000000000006</v>
      </c>
      <c r="M65" s="8">
        <v>84.4</v>
      </c>
      <c r="N65" s="8">
        <v>90.91</v>
      </c>
      <c r="O65" s="8">
        <v>83.94</v>
      </c>
      <c r="R65" s="8">
        <v>82.38</v>
      </c>
      <c r="S65" s="8">
        <v>81.84</v>
      </c>
      <c r="T65" s="8">
        <v>81.010000000000005</v>
      </c>
      <c r="U65" s="8">
        <v>87.1</v>
      </c>
      <c r="V65" s="8">
        <v>87.98</v>
      </c>
      <c r="W65" s="8">
        <v>92.13</v>
      </c>
      <c r="X65" s="8">
        <v>97.49</v>
      </c>
      <c r="Y65" s="8">
        <v>89.2</v>
      </c>
      <c r="Z65" s="8">
        <v>92.76</v>
      </c>
      <c r="AA65" s="8">
        <v>90.69</v>
      </c>
      <c r="AB65" s="8">
        <v>94.48</v>
      </c>
      <c r="AC65" s="8">
        <v>84.62</v>
      </c>
      <c r="AD65" s="8">
        <v>83.45</v>
      </c>
      <c r="AE65" s="8">
        <v>83.66</v>
      </c>
      <c r="AF65" s="8">
        <v>83.74</v>
      </c>
      <c r="AG65" s="8">
        <v>82.76</v>
      </c>
      <c r="AH65" s="8">
        <v>92.17</v>
      </c>
      <c r="AI65" s="8">
        <v>85.59</v>
      </c>
      <c r="AJ65" s="8">
        <v>97.21</v>
      </c>
      <c r="AK65" s="8">
        <v>81.69</v>
      </c>
      <c r="AL65" s="8">
        <v>69.290000000000006</v>
      </c>
      <c r="AM65" s="8">
        <v>86.87</v>
      </c>
      <c r="AN65" s="8">
        <v>88.14</v>
      </c>
      <c r="AO65" s="8">
        <v>75.56</v>
      </c>
      <c r="AP65" s="8">
        <v>79.989999999999995</v>
      </c>
      <c r="AQ65" s="8">
        <v>85.53</v>
      </c>
      <c r="AR65" s="8">
        <v>87.3</v>
      </c>
      <c r="AS65" s="8">
        <v>80.510000000000005</v>
      </c>
      <c r="AT65" s="8">
        <v>88.98</v>
      </c>
      <c r="AZ65" s="8">
        <v>84.75</v>
      </c>
      <c r="BB65" s="8">
        <v>82.72</v>
      </c>
      <c r="BC65" s="8">
        <v>70.260000000000005</v>
      </c>
      <c r="BD65" s="8">
        <v>70.260000000000005</v>
      </c>
      <c r="BT65" s="8">
        <v>84.3</v>
      </c>
      <c r="BU65" s="8">
        <v>84.3</v>
      </c>
      <c r="BX65" s="8">
        <v>79.22</v>
      </c>
      <c r="CA65" s="8">
        <v>70.150000000000006</v>
      </c>
      <c r="CB65" s="8">
        <v>86.87</v>
      </c>
      <c r="CN65" s="8">
        <v>92.74</v>
      </c>
      <c r="CO65" s="8">
        <v>88.77</v>
      </c>
      <c r="CP65" s="8">
        <v>90.41</v>
      </c>
      <c r="CQ65" s="8">
        <v>94.97</v>
      </c>
      <c r="DG65" s="8">
        <v>107.69</v>
      </c>
      <c r="DW65" s="8">
        <v>73.83</v>
      </c>
      <c r="DX65" s="8">
        <v>73.38</v>
      </c>
      <c r="DY65" s="8">
        <v>63.8</v>
      </c>
      <c r="EC65" s="8">
        <v>89.39</v>
      </c>
      <c r="EJ65" s="8">
        <v>82.17</v>
      </c>
      <c r="EK65" s="8">
        <v>82.22</v>
      </c>
      <c r="EO65" s="8">
        <v>83.56</v>
      </c>
      <c r="EP65" s="8">
        <v>90.91</v>
      </c>
      <c r="EQ65" s="8">
        <v>82.35</v>
      </c>
      <c r="ET65" s="8">
        <v>82.03</v>
      </c>
      <c r="EU65" s="8">
        <v>81.25</v>
      </c>
      <c r="EV65" s="8">
        <v>80.680000000000007</v>
      </c>
      <c r="EW65" s="8">
        <v>86.85</v>
      </c>
      <c r="EX65" s="8">
        <v>87.53</v>
      </c>
      <c r="EY65" s="8">
        <v>92.13</v>
      </c>
      <c r="EZ65" s="8">
        <v>98.31</v>
      </c>
      <c r="FA65" s="8">
        <v>89.55</v>
      </c>
      <c r="FB65" s="8">
        <v>91.67</v>
      </c>
      <c r="FC65" s="8">
        <v>90.23</v>
      </c>
      <c r="FD65" s="8">
        <v>93.59</v>
      </c>
      <c r="FE65" s="8">
        <v>84.31</v>
      </c>
      <c r="FF65" s="8">
        <v>82.5</v>
      </c>
      <c r="FG65" s="8">
        <v>81.88</v>
      </c>
      <c r="FH65" s="8">
        <v>83.56</v>
      </c>
      <c r="FI65" s="8">
        <v>82.14</v>
      </c>
      <c r="FJ65" s="8">
        <v>87.12</v>
      </c>
      <c r="FK65" s="8">
        <v>80.59</v>
      </c>
      <c r="FL65" s="8">
        <v>91.78</v>
      </c>
      <c r="FM65" s="8">
        <v>81.209999999999994</v>
      </c>
      <c r="FN65" s="8">
        <v>69.67</v>
      </c>
      <c r="FO65" s="8">
        <v>86.69</v>
      </c>
      <c r="FP65" s="8">
        <v>87.83</v>
      </c>
      <c r="FQ65" s="8">
        <v>75.66</v>
      </c>
      <c r="FR65" s="8">
        <v>79.27</v>
      </c>
      <c r="FS65" s="8">
        <v>84.8</v>
      </c>
      <c r="FT65" s="8">
        <v>85.32</v>
      </c>
      <c r="FU65" s="8">
        <v>79.430000000000007</v>
      </c>
      <c r="FV65" s="8">
        <v>87.25</v>
      </c>
      <c r="GB65" s="8">
        <v>82.73</v>
      </c>
      <c r="GD65" s="8">
        <v>83.42</v>
      </c>
      <c r="GE65" s="8">
        <v>69.400000000000006</v>
      </c>
      <c r="GF65" s="8">
        <v>69.400000000000006</v>
      </c>
      <c r="GV65" s="8">
        <v>75.12</v>
      </c>
      <c r="GW65" s="8">
        <v>75.12</v>
      </c>
      <c r="GZ65" s="8">
        <v>80.709999999999994</v>
      </c>
      <c r="HC65" s="8">
        <v>84.27</v>
      </c>
      <c r="HD65" s="8">
        <v>72.2</v>
      </c>
      <c r="HP65" s="8">
        <v>90.07</v>
      </c>
      <c r="HQ65" s="8">
        <v>87.7</v>
      </c>
      <c r="HR65" s="8">
        <v>90.61</v>
      </c>
      <c r="HS65" s="8">
        <v>90.11</v>
      </c>
      <c r="II65" s="8">
        <v>113.76</v>
      </c>
    </row>
    <row r="66" spans="1:250" x14ac:dyDescent="0.2">
      <c r="A66" s="9">
        <v>44652</v>
      </c>
      <c r="H66" s="8">
        <v>84.87</v>
      </c>
      <c r="I66" s="8">
        <v>81.290000000000006</v>
      </c>
      <c r="M66" s="8">
        <v>84.29</v>
      </c>
      <c r="N66" s="8">
        <v>89.23</v>
      </c>
      <c r="O66" s="8">
        <v>83.94</v>
      </c>
      <c r="R66" s="8">
        <v>83.23</v>
      </c>
      <c r="S66" s="8">
        <v>83.03</v>
      </c>
      <c r="T66" s="8">
        <v>81.45</v>
      </c>
      <c r="U66" s="8">
        <v>88.35</v>
      </c>
      <c r="V66" s="8">
        <v>88.97</v>
      </c>
      <c r="W66" s="8">
        <v>91.85</v>
      </c>
      <c r="X66" s="8">
        <v>97.72</v>
      </c>
      <c r="Y66" s="8">
        <v>88.19</v>
      </c>
      <c r="Z66" s="8">
        <v>91.13</v>
      </c>
      <c r="AA66" s="8">
        <v>90.72</v>
      </c>
      <c r="AB66" s="8">
        <v>94.15</v>
      </c>
      <c r="AC66" s="8">
        <v>84.96</v>
      </c>
      <c r="AD66" s="8">
        <v>83.97</v>
      </c>
      <c r="AE66" s="8">
        <v>84.19</v>
      </c>
      <c r="AF66" s="8">
        <v>83.77</v>
      </c>
      <c r="AG66" s="8">
        <v>83.79</v>
      </c>
      <c r="AH66" s="8">
        <v>93.64</v>
      </c>
      <c r="AI66" s="8">
        <v>85.78</v>
      </c>
      <c r="AJ66" s="8">
        <v>99.75</v>
      </c>
      <c r="AK66" s="8">
        <v>82.37</v>
      </c>
      <c r="AL66" s="8">
        <v>69.84</v>
      </c>
      <c r="AM66" s="8">
        <v>87.41</v>
      </c>
      <c r="AN66" s="8">
        <v>88.16</v>
      </c>
      <c r="AO66" s="8">
        <v>77.64</v>
      </c>
      <c r="AP66" s="8">
        <v>80.45</v>
      </c>
      <c r="AQ66" s="8">
        <v>86.36</v>
      </c>
      <c r="AR66" s="8">
        <v>87.14</v>
      </c>
      <c r="AS66" s="8">
        <v>80.569999999999993</v>
      </c>
      <c r="AT66" s="8">
        <v>88.76</v>
      </c>
      <c r="AZ66" s="8">
        <v>84.25</v>
      </c>
      <c r="BB66" s="8">
        <v>83.59</v>
      </c>
      <c r="BC66" s="8">
        <v>70.540000000000006</v>
      </c>
      <c r="BD66" s="8">
        <v>70.540000000000006</v>
      </c>
      <c r="BT66" s="8">
        <v>86.92</v>
      </c>
      <c r="BU66" s="8">
        <v>86.92</v>
      </c>
      <c r="BX66" s="8">
        <v>79.22</v>
      </c>
      <c r="CA66" s="8">
        <v>70.45</v>
      </c>
      <c r="CB66" s="8">
        <v>86.87</v>
      </c>
      <c r="CN66" s="8">
        <v>93.36</v>
      </c>
      <c r="CO66" s="8">
        <v>90.85</v>
      </c>
      <c r="CP66" s="8">
        <v>91.87</v>
      </c>
      <c r="CQ66" s="8">
        <v>94.8</v>
      </c>
      <c r="DG66" s="8">
        <v>93.54</v>
      </c>
      <c r="DW66" s="8">
        <v>86.02</v>
      </c>
      <c r="DX66" s="8">
        <v>85.7</v>
      </c>
      <c r="DY66" s="8">
        <v>69.56</v>
      </c>
      <c r="EC66" s="8">
        <v>90.8</v>
      </c>
      <c r="EJ66" s="8">
        <v>82.17</v>
      </c>
      <c r="EK66" s="8">
        <v>82.22</v>
      </c>
      <c r="EO66" s="8">
        <v>83.32</v>
      </c>
      <c r="EP66" s="8">
        <v>89.23</v>
      </c>
      <c r="EQ66" s="8">
        <v>82.35</v>
      </c>
      <c r="ET66" s="8">
        <v>83.03</v>
      </c>
      <c r="EU66" s="8">
        <v>82.43</v>
      </c>
      <c r="EV66" s="8">
        <v>81.58</v>
      </c>
      <c r="EW66" s="8">
        <v>88.01</v>
      </c>
      <c r="EX66" s="8">
        <v>88.24</v>
      </c>
      <c r="EY66" s="8">
        <v>92.35</v>
      </c>
      <c r="EZ66" s="8">
        <v>98.55</v>
      </c>
      <c r="FA66" s="8">
        <v>88.96</v>
      </c>
      <c r="FB66" s="8">
        <v>91.8</v>
      </c>
      <c r="FC66" s="8">
        <v>90.89</v>
      </c>
      <c r="FD66" s="8">
        <v>93.53</v>
      </c>
      <c r="FE66" s="8">
        <v>85.14</v>
      </c>
      <c r="FF66" s="8">
        <v>83.22</v>
      </c>
      <c r="FG66" s="8">
        <v>82.44</v>
      </c>
      <c r="FH66" s="8">
        <v>83.65</v>
      </c>
      <c r="FI66" s="8">
        <v>83.83</v>
      </c>
      <c r="FJ66" s="8">
        <v>88.75</v>
      </c>
      <c r="FK66" s="8">
        <v>81.95</v>
      </c>
      <c r="FL66" s="8">
        <v>93.61</v>
      </c>
      <c r="FM66" s="8">
        <v>82</v>
      </c>
      <c r="FN66" s="8">
        <v>70.05</v>
      </c>
      <c r="FO66" s="8">
        <v>87.04</v>
      </c>
      <c r="FP66" s="8">
        <v>87.97</v>
      </c>
      <c r="FQ66" s="8">
        <v>77.59</v>
      </c>
      <c r="FR66" s="8">
        <v>79.97</v>
      </c>
      <c r="FS66" s="8">
        <v>85.82</v>
      </c>
      <c r="FT66" s="8">
        <v>85.2</v>
      </c>
      <c r="FU66" s="8">
        <v>79.72</v>
      </c>
      <c r="FV66" s="8">
        <v>86.98</v>
      </c>
      <c r="GB66" s="8">
        <v>82.22</v>
      </c>
      <c r="GD66" s="8">
        <v>83.89</v>
      </c>
      <c r="GE66" s="8">
        <v>69.61</v>
      </c>
      <c r="GF66" s="8">
        <v>69.61</v>
      </c>
      <c r="GV66" s="8">
        <v>76.900000000000006</v>
      </c>
      <c r="GW66" s="8">
        <v>76.900000000000006</v>
      </c>
      <c r="GZ66" s="8">
        <v>80.709999999999994</v>
      </c>
      <c r="HC66" s="8">
        <v>84.4</v>
      </c>
      <c r="HD66" s="8">
        <v>72.2</v>
      </c>
      <c r="HP66" s="8">
        <v>90.71</v>
      </c>
      <c r="HQ66" s="8">
        <v>89.38</v>
      </c>
      <c r="HR66" s="8">
        <v>92.41</v>
      </c>
      <c r="HS66" s="8">
        <v>89.89</v>
      </c>
      <c r="II66" s="8">
        <v>95.22</v>
      </c>
    </row>
    <row r="67" spans="1:250" x14ac:dyDescent="0.2">
      <c r="A67" s="9">
        <v>44682</v>
      </c>
      <c r="H67" s="8">
        <v>84.87</v>
      </c>
      <c r="I67" s="8">
        <v>81.290000000000006</v>
      </c>
      <c r="M67" s="8">
        <v>84.29</v>
      </c>
      <c r="N67" s="8">
        <v>89.3</v>
      </c>
      <c r="O67" s="8">
        <v>83.94</v>
      </c>
      <c r="R67" s="8">
        <v>83.74</v>
      </c>
      <c r="S67" s="8">
        <v>83.85</v>
      </c>
      <c r="T67" s="8">
        <v>82.07</v>
      </c>
      <c r="U67" s="8">
        <v>86.36</v>
      </c>
      <c r="V67" s="8">
        <v>90.02</v>
      </c>
      <c r="W67" s="8">
        <v>92.84</v>
      </c>
      <c r="X67" s="8">
        <v>97.89</v>
      </c>
      <c r="Y67" s="8">
        <v>89.31</v>
      </c>
      <c r="Z67" s="8">
        <v>93.21</v>
      </c>
      <c r="AA67" s="8">
        <v>91.52</v>
      </c>
      <c r="AB67" s="8">
        <v>95.23</v>
      </c>
      <c r="AC67" s="8">
        <v>86.45</v>
      </c>
      <c r="AD67" s="8">
        <v>83.46</v>
      </c>
      <c r="AE67" s="8">
        <v>83.13</v>
      </c>
      <c r="AF67" s="8">
        <v>84.19</v>
      </c>
      <c r="AG67" s="8">
        <v>83.21</v>
      </c>
      <c r="AH67" s="8">
        <v>94.76</v>
      </c>
      <c r="AI67" s="8">
        <v>87.26</v>
      </c>
      <c r="AJ67" s="8">
        <v>100.56</v>
      </c>
      <c r="AK67" s="8">
        <v>82.25</v>
      </c>
      <c r="AL67" s="8">
        <v>70.290000000000006</v>
      </c>
      <c r="AM67" s="8">
        <v>86.98</v>
      </c>
      <c r="AN67" s="8">
        <v>89.01</v>
      </c>
      <c r="AO67" s="8">
        <v>77.95</v>
      </c>
      <c r="AP67" s="8">
        <v>79.33</v>
      </c>
      <c r="AQ67" s="8">
        <v>86.98</v>
      </c>
      <c r="AR67" s="8">
        <v>87.56</v>
      </c>
      <c r="AS67" s="8">
        <v>79.48</v>
      </c>
      <c r="AT67" s="8">
        <v>89.58</v>
      </c>
      <c r="AZ67" s="8">
        <v>84.09</v>
      </c>
      <c r="BB67" s="8">
        <v>83.83</v>
      </c>
      <c r="BC67" s="8">
        <v>70.55</v>
      </c>
      <c r="BD67" s="8">
        <v>70.55</v>
      </c>
      <c r="BT67" s="8">
        <v>87.83</v>
      </c>
      <c r="BU67" s="8">
        <v>87.83</v>
      </c>
      <c r="BX67" s="8">
        <v>79.22</v>
      </c>
      <c r="CA67" s="8">
        <v>70.08</v>
      </c>
      <c r="CB67" s="8">
        <v>86.87</v>
      </c>
      <c r="CN67" s="8">
        <v>94.54</v>
      </c>
      <c r="CO67" s="8">
        <v>92.07</v>
      </c>
      <c r="CP67" s="8">
        <v>92.45</v>
      </c>
      <c r="CQ67" s="8">
        <v>96.32</v>
      </c>
      <c r="DG67" s="8">
        <v>104.66</v>
      </c>
      <c r="DW67" s="8">
        <v>80.86</v>
      </c>
      <c r="DX67" s="8">
        <v>80.239999999999995</v>
      </c>
      <c r="DY67" s="8">
        <v>72.89</v>
      </c>
      <c r="EC67" s="8">
        <v>89.83</v>
      </c>
      <c r="EJ67" s="8">
        <v>82.17</v>
      </c>
      <c r="EK67" s="8">
        <v>82.22</v>
      </c>
      <c r="EO67" s="8">
        <v>83.33</v>
      </c>
      <c r="EP67" s="8">
        <v>89.3</v>
      </c>
      <c r="EQ67" s="8">
        <v>82.35</v>
      </c>
      <c r="ET67" s="8">
        <v>83.59</v>
      </c>
      <c r="EU67" s="8">
        <v>83.39</v>
      </c>
      <c r="EV67" s="8">
        <v>81.95</v>
      </c>
      <c r="EW67" s="8">
        <v>86.29</v>
      </c>
      <c r="EX67" s="8">
        <v>89.72</v>
      </c>
      <c r="EY67" s="8">
        <v>93.06</v>
      </c>
      <c r="EZ67" s="8">
        <v>99.03</v>
      </c>
      <c r="FA67" s="8">
        <v>90.23</v>
      </c>
      <c r="FB67" s="8">
        <v>92.71</v>
      </c>
      <c r="FC67" s="8">
        <v>91</v>
      </c>
      <c r="FD67" s="8">
        <v>94.23</v>
      </c>
      <c r="FE67" s="8">
        <v>86.3</v>
      </c>
      <c r="FF67" s="8">
        <v>82.79</v>
      </c>
      <c r="FG67" s="8">
        <v>81.67</v>
      </c>
      <c r="FH67" s="8">
        <v>83.87</v>
      </c>
      <c r="FI67" s="8">
        <v>83.18</v>
      </c>
      <c r="FJ67" s="8">
        <v>90.92</v>
      </c>
      <c r="FK67" s="8">
        <v>85.15</v>
      </c>
      <c r="FL67" s="8">
        <v>94.98</v>
      </c>
      <c r="FM67" s="8">
        <v>81.87</v>
      </c>
      <c r="FN67" s="8">
        <v>70.510000000000005</v>
      </c>
      <c r="FO67" s="8">
        <v>86.45</v>
      </c>
      <c r="FP67" s="8">
        <v>88.59</v>
      </c>
      <c r="FQ67" s="8">
        <v>78.2</v>
      </c>
      <c r="FR67" s="8">
        <v>78.89</v>
      </c>
      <c r="FS67" s="8">
        <v>86.5</v>
      </c>
      <c r="FT67" s="8">
        <v>85.49</v>
      </c>
      <c r="FU67" s="8">
        <v>78.48</v>
      </c>
      <c r="FV67" s="8">
        <v>87.79</v>
      </c>
      <c r="GB67" s="8">
        <v>83.18</v>
      </c>
      <c r="GD67" s="8">
        <v>84.15</v>
      </c>
      <c r="GE67" s="8">
        <v>69.7</v>
      </c>
      <c r="GF67" s="8">
        <v>69.7</v>
      </c>
      <c r="GV67" s="8">
        <v>78.86</v>
      </c>
      <c r="GW67" s="8">
        <v>78.86</v>
      </c>
      <c r="GZ67" s="8">
        <v>80.709999999999994</v>
      </c>
      <c r="HC67" s="8">
        <v>85.54</v>
      </c>
      <c r="HD67" s="8">
        <v>71.37</v>
      </c>
      <c r="HP67" s="8">
        <v>91.86</v>
      </c>
      <c r="HQ67" s="8">
        <v>90.73</v>
      </c>
      <c r="HR67" s="8">
        <v>92.76</v>
      </c>
      <c r="HS67" s="8">
        <v>91.51</v>
      </c>
      <c r="II67" s="8">
        <v>107.31</v>
      </c>
    </row>
    <row r="68" spans="1:250" x14ac:dyDescent="0.2">
      <c r="A68" s="9">
        <v>44713</v>
      </c>
      <c r="H68" s="8">
        <v>84.87</v>
      </c>
      <c r="I68" s="8">
        <v>81.290000000000006</v>
      </c>
      <c r="M68" s="8">
        <v>85.2</v>
      </c>
      <c r="N68" s="8">
        <v>89.81</v>
      </c>
      <c r="O68" s="8">
        <v>84.87</v>
      </c>
      <c r="R68" s="8">
        <v>84.74</v>
      </c>
      <c r="S68" s="8">
        <v>84.52</v>
      </c>
      <c r="T68" s="8">
        <v>83.28</v>
      </c>
      <c r="U68" s="8">
        <v>88.54</v>
      </c>
      <c r="V68" s="8">
        <v>90.18</v>
      </c>
      <c r="W68" s="8">
        <v>92.86</v>
      </c>
      <c r="X68" s="8">
        <v>97.03</v>
      </c>
      <c r="Y68" s="8">
        <v>88.73</v>
      </c>
      <c r="Z68" s="8">
        <v>92.63</v>
      </c>
      <c r="AA68" s="8">
        <v>91.28</v>
      </c>
      <c r="AB68" s="8">
        <v>96.19</v>
      </c>
      <c r="AC68" s="8">
        <v>88.16</v>
      </c>
      <c r="AD68" s="8">
        <v>84.15</v>
      </c>
      <c r="AE68" s="8">
        <v>84.61</v>
      </c>
      <c r="AF68" s="8">
        <v>83.93</v>
      </c>
      <c r="AG68" s="8">
        <v>83.61</v>
      </c>
      <c r="AH68" s="8">
        <v>97.53</v>
      </c>
      <c r="AI68" s="8">
        <v>88.39</v>
      </c>
      <c r="AJ68" s="8">
        <v>104.69</v>
      </c>
      <c r="AK68" s="8">
        <v>83.24</v>
      </c>
      <c r="AL68" s="8">
        <v>74.33</v>
      </c>
      <c r="AM68" s="8">
        <v>88.51</v>
      </c>
      <c r="AN68" s="8">
        <v>89.6</v>
      </c>
      <c r="AO68" s="8">
        <v>79.47</v>
      </c>
      <c r="AP68" s="8">
        <v>80.61</v>
      </c>
      <c r="AQ68" s="8">
        <v>86.69</v>
      </c>
      <c r="AR68" s="8">
        <v>87.63</v>
      </c>
      <c r="AS68" s="8">
        <v>79.39</v>
      </c>
      <c r="AT68" s="8">
        <v>89.68</v>
      </c>
      <c r="AZ68" s="8">
        <v>85.33</v>
      </c>
      <c r="BB68" s="8">
        <v>83.64</v>
      </c>
      <c r="BC68" s="8">
        <v>70.64</v>
      </c>
      <c r="BD68" s="8">
        <v>70.64</v>
      </c>
      <c r="BT68" s="8">
        <v>89.45</v>
      </c>
      <c r="BU68" s="8">
        <v>89.45</v>
      </c>
      <c r="BX68" s="8">
        <v>79.22</v>
      </c>
      <c r="CA68" s="8">
        <v>72.7</v>
      </c>
      <c r="CB68" s="8">
        <v>88.31</v>
      </c>
      <c r="CN68" s="8">
        <v>94.58</v>
      </c>
      <c r="CO68" s="8">
        <v>91.52</v>
      </c>
      <c r="CP68" s="8">
        <v>92.1</v>
      </c>
      <c r="CQ68" s="8">
        <v>96.72</v>
      </c>
      <c r="DG68" s="8">
        <v>110.38</v>
      </c>
      <c r="DW68" s="8">
        <v>83.76</v>
      </c>
      <c r="DX68" s="8">
        <v>82.79</v>
      </c>
      <c r="DY68" s="8">
        <v>82.88</v>
      </c>
      <c r="EC68" s="8">
        <v>91.26</v>
      </c>
      <c r="EJ68" s="8">
        <v>82.17</v>
      </c>
      <c r="EK68" s="8">
        <v>82.22</v>
      </c>
      <c r="EO68" s="8">
        <v>84.83</v>
      </c>
      <c r="EP68" s="8">
        <v>89.81</v>
      </c>
      <c r="EQ68" s="8">
        <v>84.01</v>
      </c>
      <c r="ET68" s="8">
        <v>84.64</v>
      </c>
      <c r="EU68" s="8">
        <v>84.23</v>
      </c>
      <c r="EV68" s="8">
        <v>83.24</v>
      </c>
      <c r="EW68" s="8">
        <v>88.2</v>
      </c>
      <c r="EX68" s="8">
        <v>89.97</v>
      </c>
      <c r="EY68" s="8">
        <v>93.32</v>
      </c>
      <c r="EZ68" s="8">
        <v>98.78</v>
      </c>
      <c r="FA68" s="8">
        <v>89.17</v>
      </c>
      <c r="FB68" s="8">
        <v>92.6</v>
      </c>
      <c r="FC68" s="8">
        <v>90.59</v>
      </c>
      <c r="FD68" s="8">
        <v>95.53</v>
      </c>
      <c r="FE68" s="8">
        <v>88.39</v>
      </c>
      <c r="FF68" s="8">
        <v>83.45</v>
      </c>
      <c r="FG68" s="8">
        <v>83.27</v>
      </c>
      <c r="FH68" s="8">
        <v>83.54</v>
      </c>
      <c r="FI68" s="8">
        <v>83.53</v>
      </c>
      <c r="FJ68" s="8">
        <v>93.61</v>
      </c>
      <c r="FK68" s="8">
        <v>84.55</v>
      </c>
      <c r="FL68" s="8">
        <v>100.2</v>
      </c>
      <c r="FM68" s="8">
        <v>82.77</v>
      </c>
      <c r="FN68" s="8">
        <v>74.02</v>
      </c>
      <c r="FO68" s="8">
        <v>87.93</v>
      </c>
      <c r="FP68" s="8">
        <v>88.88</v>
      </c>
      <c r="FQ68" s="8">
        <v>79.5</v>
      </c>
      <c r="FR68" s="8">
        <v>80.23</v>
      </c>
      <c r="FS68" s="8">
        <v>86.09</v>
      </c>
      <c r="FT68" s="8">
        <v>85.62</v>
      </c>
      <c r="FU68" s="8">
        <v>78.42</v>
      </c>
      <c r="FV68" s="8">
        <v>87.98</v>
      </c>
      <c r="GB68" s="8">
        <v>82.84</v>
      </c>
      <c r="GD68" s="8">
        <v>84.21</v>
      </c>
      <c r="GE68" s="8">
        <v>69.86</v>
      </c>
      <c r="GF68" s="8">
        <v>69.86</v>
      </c>
      <c r="GV68" s="8">
        <v>80.16</v>
      </c>
      <c r="GW68" s="8">
        <v>80.16</v>
      </c>
      <c r="GZ68" s="8">
        <v>80.709999999999994</v>
      </c>
      <c r="HC68" s="8">
        <v>87.11</v>
      </c>
      <c r="HD68" s="8">
        <v>73.62</v>
      </c>
      <c r="HP68" s="8">
        <v>92.03</v>
      </c>
      <c r="HQ68" s="8">
        <v>90.74</v>
      </c>
      <c r="HR68" s="8">
        <v>92.77</v>
      </c>
      <c r="HS68" s="8">
        <v>91.78</v>
      </c>
      <c r="II68" s="8">
        <v>116.08</v>
      </c>
    </row>
    <row r="69" spans="1:250" x14ac:dyDescent="0.2">
      <c r="A69" s="9">
        <v>44743</v>
      </c>
      <c r="H69" s="8">
        <v>84.87</v>
      </c>
      <c r="I69" s="8">
        <v>81.290000000000006</v>
      </c>
      <c r="M69" s="8">
        <v>85.21</v>
      </c>
      <c r="N69" s="8">
        <v>89.9</v>
      </c>
      <c r="O69" s="8">
        <v>84.87</v>
      </c>
      <c r="R69" s="8">
        <v>85.44</v>
      </c>
      <c r="S69" s="8">
        <v>84.73</v>
      </c>
      <c r="T69" s="8">
        <v>84.12</v>
      </c>
      <c r="U69" s="8">
        <v>89.18</v>
      </c>
      <c r="V69" s="8">
        <v>92.56</v>
      </c>
      <c r="W69" s="8">
        <v>93.77</v>
      </c>
      <c r="X69" s="8">
        <v>98.12</v>
      </c>
      <c r="Y69" s="8">
        <v>88.99</v>
      </c>
      <c r="Z69" s="8">
        <v>93.43</v>
      </c>
      <c r="AA69" s="8">
        <v>92.36</v>
      </c>
      <c r="AB69" s="8">
        <v>96.66</v>
      </c>
      <c r="AC69" s="8">
        <v>89.87</v>
      </c>
      <c r="AD69" s="8">
        <v>87.85</v>
      </c>
      <c r="AE69" s="8">
        <v>90.3</v>
      </c>
      <c r="AF69" s="8">
        <v>85.99</v>
      </c>
      <c r="AG69" s="8">
        <v>85.77</v>
      </c>
      <c r="AH69" s="8">
        <v>101.08</v>
      </c>
      <c r="AI69" s="8">
        <v>94.83</v>
      </c>
      <c r="AJ69" s="8">
        <v>105.81</v>
      </c>
      <c r="AK69" s="8">
        <v>84.79</v>
      </c>
      <c r="AL69" s="8">
        <v>74.88</v>
      </c>
      <c r="AM69" s="8">
        <v>90.31</v>
      </c>
      <c r="AN69" s="8">
        <v>91.13</v>
      </c>
      <c r="AO69" s="8">
        <v>83.67</v>
      </c>
      <c r="AP69" s="8">
        <v>81.38</v>
      </c>
      <c r="AQ69" s="8">
        <v>88.55</v>
      </c>
      <c r="AR69" s="8">
        <v>88.56</v>
      </c>
      <c r="AS69" s="8">
        <v>80.19</v>
      </c>
      <c r="AT69" s="8">
        <v>90.64</v>
      </c>
      <c r="AZ69" s="8">
        <v>85.28</v>
      </c>
      <c r="BB69" s="8">
        <v>83.51</v>
      </c>
      <c r="BC69" s="8">
        <v>70.819999999999993</v>
      </c>
      <c r="BD69" s="8">
        <v>70.819999999999993</v>
      </c>
      <c r="BR69" s="8">
        <v>80.77</v>
      </c>
      <c r="BS69" s="8">
        <v>80.77</v>
      </c>
      <c r="BT69" s="8">
        <v>90.51</v>
      </c>
      <c r="BU69" s="8">
        <v>90.51</v>
      </c>
      <c r="BX69" s="8">
        <v>79.22</v>
      </c>
      <c r="CA69" s="8">
        <v>84.34</v>
      </c>
      <c r="CB69" s="8">
        <v>93.91</v>
      </c>
      <c r="CN69" s="8">
        <v>95.43</v>
      </c>
      <c r="CO69" s="8">
        <v>92.2</v>
      </c>
      <c r="CP69" s="8">
        <v>92.79</v>
      </c>
      <c r="CQ69" s="8">
        <v>97.7</v>
      </c>
      <c r="DG69" s="8">
        <v>103.79</v>
      </c>
      <c r="DN69" s="8">
        <v>80.95</v>
      </c>
      <c r="DW69" s="8">
        <v>87.83</v>
      </c>
      <c r="DX69" s="8">
        <v>86.97</v>
      </c>
      <c r="DY69" s="8">
        <v>83.4</v>
      </c>
      <c r="EC69" s="8">
        <v>91.6</v>
      </c>
      <c r="EJ69" s="8">
        <v>82.17</v>
      </c>
      <c r="EK69" s="8">
        <v>82.22</v>
      </c>
      <c r="EO69" s="8">
        <v>84.84</v>
      </c>
      <c r="EP69" s="8">
        <v>89.9</v>
      </c>
      <c r="EQ69" s="8">
        <v>84.01</v>
      </c>
      <c r="ET69" s="8">
        <v>85.17</v>
      </c>
      <c r="EU69" s="8">
        <v>84.26</v>
      </c>
      <c r="EV69" s="8">
        <v>83.84</v>
      </c>
      <c r="EW69" s="8">
        <v>89.05</v>
      </c>
      <c r="EX69" s="8">
        <v>91.86</v>
      </c>
      <c r="EY69" s="8">
        <v>94</v>
      </c>
      <c r="EZ69" s="8">
        <v>99.18</v>
      </c>
      <c r="FA69" s="8">
        <v>89.31</v>
      </c>
      <c r="FB69" s="8">
        <v>92.68</v>
      </c>
      <c r="FC69" s="8">
        <v>92.24</v>
      </c>
      <c r="FD69" s="8">
        <v>96.17</v>
      </c>
      <c r="FE69" s="8">
        <v>89.26</v>
      </c>
      <c r="FF69" s="8">
        <v>86.48</v>
      </c>
      <c r="FG69" s="8">
        <v>87.91</v>
      </c>
      <c r="FH69" s="8">
        <v>85.38</v>
      </c>
      <c r="FI69" s="8">
        <v>85.52</v>
      </c>
      <c r="FJ69" s="8">
        <v>97.08</v>
      </c>
      <c r="FK69" s="8">
        <v>91.21</v>
      </c>
      <c r="FL69" s="8">
        <v>101.19</v>
      </c>
      <c r="FM69" s="8">
        <v>84.35</v>
      </c>
      <c r="FN69" s="8">
        <v>74.94</v>
      </c>
      <c r="FO69" s="8">
        <v>89.77</v>
      </c>
      <c r="FP69" s="8">
        <v>90.49</v>
      </c>
      <c r="FQ69" s="8">
        <v>83.62</v>
      </c>
      <c r="FR69" s="8">
        <v>81.08</v>
      </c>
      <c r="FS69" s="8">
        <v>87.96</v>
      </c>
      <c r="FT69" s="8">
        <v>86.4</v>
      </c>
      <c r="FU69" s="8">
        <v>79.510000000000005</v>
      </c>
      <c r="FV69" s="8">
        <v>88.67</v>
      </c>
      <c r="GB69" s="8">
        <v>83.64</v>
      </c>
      <c r="GD69" s="8">
        <v>84.33</v>
      </c>
      <c r="GE69" s="8">
        <v>70.08</v>
      </c>
      <c r="GF69" s="8">
        <v>70.08</v>
      </c>
      <c r="GT69" s="8">
        <v>83.85</v>
      </c>
      <c r="GU69" s="8">
        <v>83.85</v>
      </c>
      <c r="GV69" s="8">
        <v>83.7</v>
      </c>
      <c r="GW69" s="8">
        <v>83.7</v>
      </c>
      <c r="GZ69" s="8">
        <v>80.709999999999994</v>
      </c>
      <c r="HC69" s="8">
        <v>94.89</v>
      </c>
      <c r="HD69" s="8">
        <v>84.46</v>
      </c>
      <c r="HP69" s="8">
        <v>92.93</v>
      </c>
      <c r="HQ69" s="8">
        <v>91.37</v>
      </c>
      <c r="HR69" s="8">
        <v>93.49</v>
      </c>
      <c r="HS69" s="8">
        <v>92.84</v>
      </c>
      <c r="II69" s="8">
        <v>107.39</v>
      </c>
      <c r="IP69" s="8">
        <v>80.95</v>
      </c>
    </row>
    <row r="70" spans="1:250" x14ac:dyDescent="0.2">
      <c r="A70" s="9">
        <v>44774</v>
      </c>
      <c r="H70" s="8">
        <v>84.87</v>
      </c>
      <c r="I70" s="8">
        <v>80.88</v>
      </c>
      <c r="M70" s="8">
        <v>85.13</v>
      </c>
      <c r="N70" s="8">
        <v>88.73</v>
      </c>
      <c r="O70" s="8">
        <v>84.87</v>
      </c>
      <c r="R70" s="8">
        <v>86.52</v>
      </c>
      <c r="S70" s="8">
        <v>85.03</v>
      </c>
      <c r="T70" s="8">
        <v>85.49</v>
      </c>
      <c r="U70" s="8">
        <v>92.34</v>
      </c>
      <c r="V70" s="8">
        <v>93.67</v>
      </c>
      <c r="W70" s="8">
        <v>94.04</v>
      </c>
      <c r="X70" s="8">
        <v>97.61</v>
      </c>
      <c r="Y70" s="8">
        <v>89.32</v>
      </c>
      <c r="Z70" s="8">
        <v>91.35</v>
      </c>
      <c r="AA70" s="8">
        <v>94.48</v>
      </c>
      <c r="AB70" s="8">
        <v>97.19</v>
      </c>
      <c r="AC70" s="8">
        <v>90.31</v>
      </c>
      <c r="AD70" s="8">
        <v>89.63</v>
      </c>
      <c r="AE70" s="8">
        <v>93.09</v>
      </c>
      <c r="AF70" s="8">
        <v>87.36</v>
      </c>
      <c r="AG70" s="8">
        <v>86.35</v>
      </c>
      <c r="AH70" s="8">
        <v>101.74</v>
      </c>
      <c r="AI70" s="8">
        <v>96.28</v>
      </c>
      <c r="AJ70" s="8">
        <v>105.79</v>
      </c>
      <c r="AK70" s="8">
        <v>86.32</v>
      </c>
      <c r="AL70" s="8">
        <v>75.89</v>
      </c>
      <c r="AM70" s="8">
        <v>91.86</v>
      </c>
      <c r="AN70" s="8">
        <v>91.88</v>
      </c>
      <c r="AO70" s="8">
        <v>85.68</v>
      </c>
      <c r="AP70" s="8">
        <v>82.67</v>
      </c>
      <c r="AQ70" s="8">
        <v>90.75</v>
      </c>
      <c r="AR70" s="8">
        <v>89.95</v>
      </c>
      <c r="AS70" s="8">
        <v>81.239999999999995</v>
      </c>
      <c r="AT70" s="8">
        <v>92.12</v>
      </c>
      <c r="AZ70" s="8">
        <v>88.3</v>
      </c>
      <c r="BB70" s="8">
        <v>84.82</v>
      </c>
      <c r="BC70" s="8">
        <v>71.08</v>
      </c>
      <c r="BD70" s="8">
        <v>71.08</v>
      </c>
      <c r="BR70" s="8">
        <v>81.3</v>
      </c>
      <c r="BS70" s="8">
        <v>81.3</v>
      </c>
      <c r="BT70" s="8">
        <v>91.07</v>
      </c>
      <c r="BU70" s="8">
        <v>91.07</v>
      </c>
      <c r="BX70" s="8">
        <v>79.22</v>
      </c>
      <c r="CA70" s="8">
        <v>88.1</v>
      </c>
      <c r="CB70" s="8">
        <v>93.91</v>
      </c>
      <c r="CN70" s="8">
        <v>96.16</v>
      </c>
      <c r="CO70" s="8">
        <v>92.48</v>
      </c>
      <c r="CP70" s="8">
        <v>94.48</v>
      </c>
      <c r="CQ70" s="8">
        <v>97.95</v>
      </c>
      <c r="DG70" s="8">
        <v>94.83</v>
      </c>
      <c r="DN70" s="8">
        <v>81.150000000000006</v>
      </c>
      <c r="DW70" s="8">
        <v>83.26</v>
      </c>
      <c r="DX70" s="8">
        <v>82.15</v>
      </c>
      <c r="DY70" s="8">
        <v>85.71</v>
      </c>
      <c r="EC70" s="8">
        <v>91.9</v>
      </c>
      <c r="EJ70" s="8">
        <v>82.17</v>
      </c>
      <c r="EK70" s="8">
        <v>82.1</v>
      </c>
      <c r="EO70" s="8">
        <v>84.67</v>
      </c>
      <c r="EP70" s="8">
        <v>88.73</v>
      </c>
      <c r="EQ70" s="8">
        <v>84.01</v>
      </c>
      <c r="ET70" s="8">
        <v>86.35</v>
      </c>
      <c r="EU70" s="8">
        <v>84.8</v>
      </c>
      <c r="EV70" s="8">
        <v>85.27</v>
      </c>
      <c r="EW70" s="8">
        <v>91.95</v>
      </c>
      <c r="EX70" s="8">
        <v>93.22</v>
      </c>
      <c r="EY70" s="8">
        <v>93.96</v>
      </c>
      <c r="EZ70" s="8">
        <v>98.78</v>
      </c>
      <c r="FA70" s="8">
        <v>89.71</v>
      </c>
      <c r="FB70" s="8">
        <v>91.54</v>
      </c>
      <c r="FC70" s="8">
        <v>92.15</v>
      </c>
      <c r="FD70" s="8">
        <v>96.71</v>
      </c>
      <c r="FE70" s="8">
        <v>89.53</v>
      </c>
      <c r="FF70" s="8">
        <v>88.91</v>
      </c>
      <c r="FG70" s="8">
        <v>92.17</v>
      </c>
      <c r="FH70" s="8">
        <v>86.91</v>
      </c>
      <c r="FI70" s="8">
        <v>86.19</v>
      </c>
      <c r="FJ70" s="8">
        <v>99.97</v>
      </c>
      <c r="FK70" s="8">
        <v>94.51</v>
      </c>
      <c r="FL70" s="8">
        <v>103.75</v>
      </c>
      <c r="FM70" s="8">
        <v>85.6</v>
      </c>
      <c r="FN70" s="8">
        <v>75.95</v>
      </c>
      <c r="FO70" s="8">
        <v>91.16</v>
      </c>
      <c r="FP70" s="8">
        <v>90.94</v>
      </c>
      <c r="FQ70" s="8">
        <v>85.66</v>
      </c>
      <c r="FR70" s="8">
        <v>82.01</v>
      </c>
      <c r="FS70" s="8">
        <v>89.87</v>
      </c>
      <c r="FT70" s="8">
        <v>87.35</v>
      </c>
      <c r="FU70" s="8">
        <v>79.97</v>
      </c>
      <c r="FV70" s="8">
        <v>89.78</v>
      </c>
      <c r="GB70" s="8">
        <v>85.74</v>
      </c>
      <c r="GD70" s="8">
        <v>86.21</v>
      </c>
      <c r="GE70" s="8">
        <v>70.23</v>
      </c>
      <c r="GF70" s="8">
        <v>70.23</v>
      </c>
      <c r="GT70" s="8">
        <v>84.27</v>
      </c>
      <c r="GU70" s="8">
        <v>84.27</v>
      </c>
      <c r="GV70" s="8">
        <v>83.64</v>
      </c>
      <c r="GW70" s="8">
        <v>83.64</v>
      </c>
      <c r="GZ70" s="8">
        <v>80.709999999999994</v>
      </c>
      <c r="HC70" s="8">
        <v>96.81</v>
      </c>
      <c r="HD70" s="8">
        <v>83.85</v>
      </c>
      <c r="HP70" s="8">
        <v>93.7</v>
      </c>
      <c r="HQ70" s="8">
        <v>91.79</v>
      </c>
      <c r="HR70" s="8">
        <v>94.93</v>
      </c>
      <c r="HS70" s="8">
        <v>93.25</v>
      </c>
      <c r="II70" s="8">
        <v>96.62</v>
      </c>
      <c r="IP70" s="8">
        <v>81.150000000000006</v>
      </c>
    </row>
    <row r="71" spans="1:250" x14ac:dyDescent="0.2">
      <c r="A71" s="9">
        <v>44805</v>
      </c>
      <c r="H71" s="8">
        <v>84.87</v>
      </c>
      <c r="I71" s="8">
        <v>80.88</v>
      </c>
      <c r="M71" s="8">
        <v>86.51</v>
      </c>
      <c r="N71" s="8">
        <v>88.82</v>
      </c>
      <c r="O71" s="8">
        <v>86.35</v>
      </c>
      <c r="R71" s="8">
        <v>88.27</v>
      </c>
      <c r="S71" s="8">
        <v>88.68</v>
      </c>
      <c r="T71" s="8">
        <v>86.23</v>
      </c>
      <c r="U71" s="8">
        <v>93.11</v>
      </c>
      <c r="V71" s="8">
        <v>92.85</v>
      </c>
      <c r="W71" s="8">
        <v>94.32</v>
      </c>
      <c r="X71" s="8">
        <v>98.06</v>
      </c>
      <c r="Y71" s="8">
        <v>89.36</v>
      </c>
      <c r="Z71" s="8">
        <v>90.32</v>
      </c>
      <c r="AA71" s="8">
        <v>95.35</v>
      </c>
      <c r="AB71" s="8">
        <v>97.58</v>
      </c>
      <c r="AC71" s="8">
        <v>90.64</v>
      </c>
      <c r="AD71" s="8">
        <v>91</v>
      </c>
      <c r="AE71" s="8">
        <v>93.98</v>
      </c>
      <c r="AF71" s="8">
        <v>89.29</v>
      </c>
      <c r="AG71" s="8">
        <v>87.92</v>
      </c>
      <c r="AH71" s="8">
        <v>94.72</v>
      </c>
      <c r="AI71" s="8">
        <v>88.17</v>
      </c>
      <c r="AJ71" s="8">
        <v>99.73</v>
      </c>
      <c r="AK71" s="8">
        <v>86.79</v>
      </c>
      <c r="AL71" s="8">
        <v>76.14</v>
      </c>
      <c r="AM71" s="8">
        <v>91.8</v>
      </c>
      <c r="AN71" s="8">
        <v>92.22</v>
      </c>
      <c r="AO71" s="8">
        <v>84.89</v>
      </c>
      <c r="AP71" s="8">
        <v>83.81</v>
      </c>
      <c r="AQ71" s="8">
        <v>90.93</v>
      </c>
      <c r="AR71" s="8">
        <v>89.61</v>
      </c>
      <c r="AS71" s="8">
        <v>83.21</v>
      </c>
      <c r="AT71" s="8">
        <v>91.18</v>
      </c>
      <c r="AZ71" s="8">
        <v>89</v>
      </c>
      <c r="BB71" s="8">
        <v>84.89</v>
      </c>
      <c r="BC71" s="8">
        <v>71.84</v>
      </c>
      <c r="BD71" s="8">
        <v>71.84</v>
      </c>
      <c r="BR71" s="8">
        <v>81.89</v>
      </c>
      <c r="BS71" s="8">
        <v>81.89</v>
      </c>
      <c r="BT71" s="8">
        <v>91.77</v>
      </c>
      <c r="BU71" s="8">
        <v>91.77</v>
      </c>
      <c r="BX71" s="8">
        <v>83.08</v>
      </c>
      <c r="CA71" s="8">
        <v>55.51</v>
      </c>
      <c r="CB71" s="8">
        <v>94.14</v>
      </c>
      <c r="CN71" s="8">
        <v>97.06</v>
      </c>
      <c r="CO71" s="8">
        <v>93.61</v>
      </c>
      <c r="CP71" s="8">
        <v>94.81</v>
      </c>
      <c r="CQ71" s="8">
        <v>99.14</v>
      </c>
      <c r="DG71" s="8">
        <v>94.27</v>
      </c>
      <c r="DN71" s="8">
        <v>81.84</v>
      </c>
      <c r="DW71" s="8">
        <v>95.62</v>
      </c>
      <c r="DX71" s="8">
        <v>94.52</v>
      </c>
      <c r="DY71" s="8">
        <v>94.52</v>
      </c>
      <c r="EC71" s="8">
        <v>93.65</v>
      </c>
      <c r="EJ71" s="8">
        <v>82.17</v>
      </c>
      <c r="EK71" s="8">
        <v>82.1</v>
      </c>
      <c r="EO71" s="8">
        <v>86.53</v>
      </c>
      <c r="EP71" s="8">
        <v>88.82</v>
      </c>
      <c r="EQ71" s="8">
        <v>86.16</v>
      </c>
      <c r="ET71" s="8">
        <v>88.09</v>
      </c>
      <c r="EU71" s="8">
        <v>88.64</v>
      </c>
      <c r="EV71" s="8">
        <v>85.85</v>
      </c>
      <c r="EW71" s="8">
        <v>92.82</v>
      </c>
      <c r="EX71" s="8">
        <v>92.31</v>
      </c>
      <c r="EY71" s="8">
        <v>94.47</v>
      </c>
      <c r="EZ71" s="8">
        <v>98.81</v>
      </c>
      <c r="FA71" s="8">
        <v>89.86</v>
      </c>
      <c r="FB71" s="8">
        <v>89.83</v>
      </c>
      <c r="FC71" s="8">
        <v>94.92</v>
      </c>
      <c r="FD71" s="8">
        <v>97.01</v>
      </c>
      <c r="FE71" s="8">
        <v>90.2</v>
      </c>
      <c r="FF71" s="8">
        <v>90.16</v>
      </c>
      <c r="FG71" s="8">
        <v>92.86</v>
      </c>
      <c r="FH71" s="8">
        <v>88.71</v>
      </c>
      <c r="FI71" s="8">
        <v>87.63</v>
      </c>
      <c r="FJ71" s="8">
        <v>93.64</v>
      </c>
      <c r="FK71" s="8">
        <v>86.72</v>
      </c>
      <c r="FL71" s="8">
        <v>98.58</v>
      </c>
      <c r="FM71" s="8">
        <v>86.15</v>
      </c>
      <c r="FN71" s="8">
        <v>76.91</v>
      </c>
      <c r="FO71" s="8">
        <v>91.22</v>
      </c>
      <c r="FP71" s="8">
        <v>91.23</v>
      </c>
      <c r="FQ71" s="8">
        <v>85.3</v>
      </c>
      <c r="FR71" s="8">
        <v>83.28</v>
      </c>
      <c r="FS71" s="8">
        <v>89.75</v>
      </c>
      <c r="FT71" s="8">
        <v>87.08</v>
      </c>
      <c r="FU71" s="8">
        <v>81.56</v>
      </c>
      <c r="FV71" s="8">
        <v>88.87</v>
      </c>
      <c r="GB71" s="8">
        <v>86.65</v>
      </c>
      <c r="GD71" s="8">
        <v>86.95</v>
      </c>
      <c r="GE71" s="8">
        <v>71.099999999999994</v>
      </c>
      <c r="GF71" s="8">
        <v>71.099999999999994</v>
      </c>
      <c r="GT71" s="8">
        <v>84.76</v>
      </c>
      <c r="GU71" s="8">
        <v>84.76</v>
      </c>
      <c r="GV71" s="8">
        <v>84.84</v>
      </c>
      <c r="GW71" s="8">
        <v>84.84</v>
      </c>
      <c r="GZ71" s="8">
        <v>84.39</v>
      </c>
      <c r="HC71" s="8">
        <v>97.12</v>
      </c>
      <c r="HD71" s="8">
        <v>85.59</v>
      </c>
      <c r="HP71" s="8">
        <v>94.64</v>
      </c>
      <c r="HQ71" s="8">
        <v>92.84</v>
      </c>
      <c r="HR71" s="8">
        <v>95.24</v>
      </c>
      <c r="HS71" s="8">
        <v>94.57</v>
      </c>
      <c r="II71" s="8">
        <v>94.14</v>
      </c>
      <c r="IP71" s="8">
        <v>81.84</v>
      </c>
    </row>
    <row r="72" spans="1:250" x14ac:dyDescent="0.2">
      <c r="A72" s="9">
        <v>44835</v>
      </c>
      <c r="H72" s="8">
        <v>84.87</v>
      </c>
      <c r="I72" s="8">
        <v>80.88</v>
      </c>
      <c r="M72" s="8">
        <v>86.53</v>
      </c>
      <c r="N72" s="8">
        <v>89</v>
      </c>
      <c r="O72" s="8">
        <v>86.35</v>
      </c>
      <c r="R72" s="8">
        <v>88.64</v>
      </c>
      <c r="S72" s="8">
        <v>88.38</v>
      </c>
      <c r="T72" s="8">
        <v>87.79</v>
      </c>
      <c r="U72" s="8">
        <v>89.96</v>
      </c>
      <c r="V72" s="8">
        <v>93.57</v>
      </c>
      <c r="W72" s="8">
        <v>94.3</v>
      </c>
      <c r="X72" s="8">
        <v>98</v>
      </c>
      <c r="Y72" s="8">
        <v>90.11</v>
      </c>
      <c r="Z72" s="8">
        <v>88.22</v>
      </c>
      <c r="AA72" s="8">
        <v>94.75</v>
      </c>
      <c r="AB72" s="8">
        <v>97.18</v>
      </c>
      <c r="AC72" s="8">
        <v>92.42</v>
      </c>
      <c r="AD72" s="8">
        <v>91.59</v>
      </c>
      <c r="AE72" s="8">
        <v>93.34</v>
      </c>
      <c r="AF72" s="8">
        <v>90.73</v>
      </c>
      <c r="AG72" s="8">
        <v>89.66</v>
      </c>
      <c r="AH72" s="8">
        <v>90.04</v>
      </c>
      <c r="AI72" s="8">
        <v>87.29</v>
      </c>
      <c r="AJ72" s="8">
        <v>92.16</v>
      </c>
      <c r="AK72" s="8">
        <v>87.56</v>
      </c>
      <c r="AL72" s="8">
        <v>76.150000000000006</v>
      </c>
      <c r="AM72" s="8">
        <v>91.79</v>
      </c>
      <c r="AN72" s="8">
        <v>92.72</v>
      </c>
      <c r="AO72" s="8">
        <v>84.76</v>
      </c>
      <c r="AP72" s="8">
        <v>84.23</v>
      </c>
      <c r="AQ72" s="8">
        <v>93.08</v>
      </c>
      <c r="AR72" s="8">
        <v>90.58</v>
      </c>
      <c r="AS72" s="8">
        <v>83.03</v>
      </c>
      <c r="AT72" s="8">
        <v>92.44</v>
      </c>
      <c r="AZ72" s="8">
        <v>88.82</v>
      </c>
      <c r="BB72" s="8">
        <v>85.74</v>
      </c>
      <c r="BC72" s="8">
        <v>72.39</v>
      </c>
      <c r="BD72" s="8">
        <v>72.39</v>
      </c>
      <c r="BR72" s="8">
        <v>82.47</v>
      </c>
      <c r="BS72" s="8">
        <v>82.47</v>
      </c>
      <c r="BT72" s="8">
        <v>92.27</v>
      </c>
      <c r="BU72" s="8">
        <v>92.27</v>
      </c>
      <c r="BX72" s="8">
        <v>83.08</v>
      </c>
      <c r="CA72" s="8">
        <v>56.73</v>
      </c>
      <c r="CB72" s="8">
        <v>94.32</v>
      </c>
      <c r="CN72" s="8">
        <v>96.8</v>
      </c>
      <c r="CO72" s="8">
        <v>93.44</v>
      </c>
      <c r="CP72" s="8">
        <v>93.81</v>
      </c>
      <c r="CQ72" s="8">
        <v>99.32</v>
      </c>
      <c r="DG72" s="8">
        <v>99.04</v>
      </c>
      <c r="DN72" s="8">
        <v>81.819999999999993</v>
      </c>
      <c r="DW72" s="8">
        <v>88.4</v>
      </c>
      <c r="DX72" s="8">
        <v>91.62</v>
      </c>
      <c r="DY72" s="8">
        <v>81.77</v>
      </c>
      <c r="EC72" s="8">
        <v>94.75</v>
      </c>
      <c r="EJ72" s="8">
        <v>82.17</v>
      </c>
      <c r="EK72" s="8">
        <v>82.1</v>
      </c>
      <c r="EO72" s="8">
        <v>86.55</v>
      </c>
      <c r="EP72" s="8">
        <v>89</v>
      </c>
      <c r="EQ72" s="8">
        <v>86.16</v>
      </c>
      <c r="ET72" s="8">
        <v>88.57</v>
      </c>
      <c r="EU72" s="8">
        <v>88.14</v>
      </c>
      <c r="EV72" s="8">
        <v>87.7</v>
      </c>
      <c r="EW72" s="8">
        <v>89.92</v>
      </c>
      <c r="EX72" s="8">
        <v>93.3</v>
      </c>
      <c r="EY72" s="8">
        <v>94.12</v>
      </c>
      <c r="EZ72" s="8">
        <v>97.98</v>
      </c>
      <c r="FA72" s="8">
        <v>90.29</v>
      </c>
      <c r="FB72" s="8">
        <v>88.4</v>
      </c>
      <c r="FC72" s="8">
        <v>93.72</v>
      </c>
      <c r="FD72" s="8">
        <v>96.7</v>
      </c>
      <c r="FE72" s="8">
        <v>91.88</v>
      </c>
      <c r="FF72" s="8">
        <v>91.08</v>
      </c>
      <c r="FG72" s="8">
        <v>92.93</v>
      </c>
      <c r="FH72" s="8">
        <v>90.2</v>
      </c>
      <c r="FI72" s="8">
        <v>89.21</v>
      </c>
      <c r="FJ72" s="8">
        <v>88.11</v>
      </c>
      <c r="FK72" s="8">
        <v>84.59</v>
      </c>
      <c r="FL72" s="8">
        <v>90.61</v>
      </c>
      <c r="FM72" s="8">
        <v>86.94</v>
      </c>
      <c r="FN72" s="8">
        <v>76.959999999999994</v>
      </c>
      <c r="FO72" s="8">
        <v>91.3</v>
      </c>
      <c r="FP72" s="8">
        <v>91.95</v>
      </c>
      <c r="FQ72" s="8">
        <v>85.03</v>
      </c>
      <c r="FR72" s="8">
        <v>83.7</v>
      </c>
      <c r="FS72" s="8">
        <v>91.96</v>
      </c>
      <c r="FT72" s="8">
        <v>88.1</v>
      </c>
      <c r="FU72" s="8">
        <v>81.77</v>
      </c>
      <c r="FV72" s="8">
        <v>90.16</v>
      </c>
      <c r="GB72" s="8">
        <v>86.75</v>
      </c>
      <c r="GD72" s="8">
        <v>87.1</v>
      </c>
      <c r="GE72" s="8">
        <v>71.53</v>
      </c>
      <c r="GF72" s="8">
        <v>71.53</v>
      </c>
      <c r="GT72" s="8">
        <v>85.18</v>
      </c>
      <c r="GU72" s="8">
        <v>85.18</v>
      </c>
      <c r="GV72" s="8">
        <v>85.64</v>
      </c>
      <c r="GW72" s="8">
        <v>85.64</v>
      </c>
      <c r="GZ72" s="8">
        <v>84.39</v>
      </c>
      <c r="HC72" s="8">
        <v>97.62</v>
      </c>
      <c r="HD72" s="8">
        <v>84.44</v>
      </c>
      <c r="HP72" s="8">
        <v>94.45</v>
      </c>
      <c r="HQ72" s="8">
        <v>93</v>
      </c>
      <c r="HR72" s="8">
        <v>94.66</v>
      </c>
      <c r="HS72" s="8">
        <v>94.57</v>
      </c>
      <c r="II72" s="8">
        <v>105.54</v>
      </c>
      <c r="IP72" s="8">
        <v>81.819999999999993</v>
      </c>
    </row>
    <row r="73" spans="1:250" x14ac:dyDescent="0.2">
      <c r="A73" s="9">
        <v>44866</v>
      </c>
      <c r="H73" s="8">
        <v>84.87</v>
      </c>
      <c r="I73" s="8">
        <v>80.88</v>
      </c>
      <c r="M73" s="8">
        <v>86.61</v>
      </c>
      <c r="N73" s="8">
        <v>90.24</v>
      </c>
      <c r="O73" s="8">
        <v>86.35</v>
      </c>
      <c r="R73" s="8">
        <v>89.31</v>
      </c>
      <c r="S73" s="8">
        <v>88.77</v>
      </c>
      <c r="T73" s="8">
        <v>87.85</v>
      </c>
      <c r="U73" s="8">
        <v>94.11</v>
      </c>
      <c r="V73" s="8">
        <v>95.23</v>
      </c>
      <c r="W73" s="8">
        <v>94.51</v>
      </c>
      <c r="X73" s="8">
        <v>95.55</v>
      </c>
      <c r="Y73" s="8">
        <v>91.3</v>
      </c>
      <c r="Z73" s="8">
        <v>90.08</v>
      </c>
      <c r="AA73" s="8">
        <v>94.72</v>
      </c>
      <c r="AB73" s="8">
        <v>98.43</v>
      </c>
      <c r="AC73" s="8">
        <v>93.72</v>
      </c>
      <c r="AD73" s="8">
        <v>92.73</v>
      </c>
      <c r="AE73" s="8">
        <v>94.17</v>
      </c>
      <c r="AF73" s="8">
        <v>93.46</v>
      </c>
      <c r="AG73" s="8">
        <v>89.73</v>
      </c>
      <c r="AH73" s="8">
        <v>93.25</v>
      </c>
      <c r="AI73" s="8">
        <v>92.89</v>
      </c>
      <c r="AJ73" s="8">
        <v>93.54</v>
      </c>
      <c r="AK73" s="8">
        <v>87.87</v>
      </c>
      <c r="AL73" s="8">
        <v>76.12</v>
      </c>
      <c r="AM73" s="8">
        <v>91.96</v>
      </c>
      <c r="AN73" s="8">
        <v>92.97</v>
      </c>
      <c r="AO73" s="8">
        <v>86.96</v>
      </c>
      <c r="AP73" s="8">
        <v>83.92</v>
      </c>
      <c r="AQ73" s="8">
        <v>93.72</v>
      </c>
      <c r="AR73" s="8">
        <v>89.94</v>
      </c>
      <c r="AS73" s="8">
        <v>83.63</v>
      </c>
      <c r="AT73" s="8">
        <v>91.49</v>
      </c>
      <c r="AZ73" s="8">
        <v>89.61</v>
      </c>
      <c r="BB73" s="8">
        <v>86.22</v>
      </c>
      <c r="BC73" s="8">
        <v>72.39</v>
      </c>
      <c r="BD73" s="8">
        <v>72.39</v>
      </c>
      <c r="BR73" s="8">
        <v>82.7</v>
      </c>
      <c r="BS73" s="8">
        <v>82.7</v>
      </c>
      <c r="BT73" s="8">
        <v>93.11</v>
      </c>
      <c r="BU73" s="8">
        <v>93.11</v>
      </c>
      <c r="BX73" s="8">
        <v>83.08</v>
      </c>
      <c r="CA73" s="8">
        <v>54.78</v>
      </c>
      <c r="CB73" s="8">
        <v>94.05</v>
      </c>
      <c r="CN73" s="8">
        <v>98.49</v>
      </c>
      <c r="CO73" s="8">
        <v>99.1</v>
      </c>
      <c r="CP73" s="8">
        <v>94.7</v>
      </c>
      <c r="CQ73" s="8">
        <v>100.71</v>
      </c>
      <c r="DG73" s="8">
        <v>106.54</v>
      </c>
      <c r="DN73" s="8">
        <v>81.73</v>
      </c>
      <c r="DW73" s="8">
        <v>89.36</v>
      </c>
      <c r="DX73" s="8">
        <v>91.74</v>
      </c>
      <c r="DY73" s="8">
        <v>83.82</v>
      </c>
      <c r="EC73" s="8">
        <v>97.35</v>
      </c>
      <c r="EJ73" s="8">
        <v>82.17</v>
      </c>
      <c r="EK73" s="8">
        <v>82.1</v>
      </c>
      <c r="EO73" s="8">
        <v>86.73</v>
      </c>
      <c r="EP73" s="8">
        <v>90.24</v>
      </c>
      <c r="EQ73" s="8">
        <v>86.16</v>
      </c>
      <c r="ET73" s="8">
        <v>89.31</v>
      </c>
      <c r="EU73" s="8">
        <v>88.53</v>
      </c>
      <c r="EV73" s="8">
        <v>88.05</v>
      </c>
      <c r="EW73" s="8">
        <v>93.85</v>
      </c>
      <c r="EX73" s="8">
        <v>94.69</v>
      </c>
      <c r="EY73" s="8">
        <v>95.04</v>
      </c>
      <c r="EZ73" s="8">
        <v>98.21</v>
      </c>
      <c r="FA73" s="8">
        <v>91.29</v>
      </c>
      <c r="FB73" s="8">
        <v>89.42</v>
      </c>
      <c r="FC73" s="8">
        <v>94.56</v>
      </c>
      <c r="FD73" s="8">
        <v>97.83</v>
      </c>
      <c r="FE73" s="8">
        <v>93.59</v>
      </c>
      <c r="FF73" s="8">
        <v>92.38</v>
      </c>
      <c r="FG73" s="8">
        <v>93.74</v>
      </c>
      <c r="FH73" s="8">
        <v>92.85</v>
      </c>
      <c r="FI73" s="8">
        <v>89.73</v>
      </c>
      <c r="FJ73" s="8">
        <v>88.74</v>
      </c>
      <c r="FK73" s="8">
        <v>87.96</v>
      </c>
      <c r="FL73" s="8">
        <v>89.3</v>
      </c>
      <c r="FM73" s="8">
        <v>87.49</v>
      </c>
      <c r="FN73" s="8">
        <v>77.16</v>
      </c>
      <c r="FO73" s="8">
        <v>91.45</v>
      </c>
      <c r="FP73" s="8">
        <v>92.31</v>
      </c>
      <c r="FQ73" s="8">
        <v>86.88</v>
      </c>
      <c r="FR73" s="8">
        <v>83.72</v>
      </c>
      <c r="FS73" s="8">
        <v>93.16</v>
      </c>
      <c r="FT73" s="8">
        <v>87.62</v>
      </c>
      <c r="FU73" s="8">
        <v>82.11</v>
      </c>
      <c r="FV73" s="8">
        <v>89.41</v>
      </c>
      <c r="GB73" s="8">
        <v>87.61</v>
      </c>
      <c r="GD73" s="8">
        <v>87.47</v>
      </c>
      <c r="GE73" s="8">
        <v>71.62</v>
      </c>
      <c r="GF73" s="8">
        <v>71.62</v>
      </c>
      <c r="GT73" s="8">
        <v>85.32</v>
      </c>
      <c r="GU73" s="8">
        <v>85.32</v>
      </c>
      <c r="GV73" s="8">
        <v>86.26</v>
      </c>
      <c r="GW73" s="8">
        <v>86.26</v>
      </c>
      <c r="GZ73" s="8">
        <v>84.39</v>
      </c>
      <c r="HC73" s="8">
        <v>96.87</v>
      </c>
      <c r="HD73" s="8">
        <v>84.16</v>
      </c>
      <c r="HP73" s="8">
        <v>96.06</v>
      </c>
      <c r="HQ73" s="8">
        <v>98.38</v>
      </c>
      <c r="HR73" s="8">
        <v>95.34</v>
      </c>
      <c r="HS73" s="8">
        <v>96.17</v>
      </c>
      <c r="II73" s="8">
        <v>106.41</v>
      </c>
      <c r="IP73" s="8">
        <v>81.73</v>
      </c>
    </row>
    <row r="74" spans="1:250" x14ac:dyDescent="0.2">
      <c r="A74" s="9">
        <v>44896</v>
      </c>
      <c r="H74" s="8">
        <v>84.87</v>
      </c>
      <c r="I74" s="8">
        <v>80.88</v>
      </c>
      <c r="M74" s="8">
        <v>87.97</v>
      </c>
      <c r="N74" s="8">
        <v>89.12</v>
      </c>
      <c r="O74" s="8">
        <v>87.89</v>
      </c>
      <c r="R74" s="8">
        <v>90.67</v>
      </c>
      <c r="S74" s="8">
        <v>89.71</v>
      </c>
      <c r="T74" s="8">
        <v>89.15</v>
      </c>
      <c r="U74" s="8">
        <v>97.79</v>
      </c>
      <c r="V74" s="8">
        <v>96.69</v>
      </c>
      <c r="W74" s="8">
        <v>95.5</v>
      </c>
      <c r="X74" s="8">
        <v>98.14</v>
      </c>
      <c r="Y74" s="8">
        <v>91.85</v>
      </c>
      <c r="Z74" s="8">
        <v>88.08</v>
      </c>
      <c r="AA74" s="8">
        <v>95.62</v>
      </c>
      <c r="AB74" s="8">
        <v>99.82</v>
      </c>
      <c r="AC74" s="8">
        <v>94.43</v>
      </c>
      <c r="AD74" s="8">
        <v>94.3</v>
      </c>
      <c r="AE74" s="8">
        <v>95.42</v>
      </c>
      <c r="AF74" s="8">
        <v>94.98</v>
      </c>
      <c r="AG74" s="8">
        <v>91.85</v>
      </c>
      <c r="AH74" s="8">
        <v>96.28</v>
      </c>
      <c r="AI74" s="8">
        <v>96</v>
      </c>
      <c r="AJ74" s="8">
        <v>96.51</v>
      </c>
      <c r="AK74" s="8">
        <v>89.22</v>
      </c>
      <c r="AL74" s="8">
        <v>76.099999999999994</v>
      </c>
      <c r="AM74" s="8">
        <v>92.81</v>
      </c>
      <c r="AN74" s="8">
        <v>91.75</v>
      </c>
      <c r="AO74" s="8">
        <v>88.18</v>
      </c>
      <c r="AP74" s="8">
        <v>86.04</v>
      </c>
      <c r="AQ74" s="8">
        <v>95.63</v>
      </c>
      <c r="AR74" s="8">
        <v>88.87</v>
      </c>
      <c r="AS74" s="8">
        <v>84.13</v>
      </c>
      <c r="AT74" s="8">
        <v>90.01</v>
      </c>
      <c r="AZ74" s="8">
        <v>88.72</v>
      </c>
      <c r="BB74" s="8">
        <v>86.1</v>
      </c>
      <c r="BC74" s="8">
        <v>72.349999999999994</v>
      </c>
      <c r="BD74" s="8">
        <v>72.349999999999994</v>
      </c>
      <c r="BR74" s="8">
        <v>83.17</v>
      </c>
      <c r="BS74" s="8">
        <v>83.17</v>
      </c>
      <c r="BT74" s="8">
        <v>93.05</v>
      </c>
      <c r="BU74" s="8">
        <v>93.05</v>
      </c>
      <c r="BX74" s="8">
        <v>83.08</v>
      </c>
      <c r="CA74" s="8">
        <v>88.18</v>
      </c>
      <c r="CB74" s="8">
        <v>96.35</v>
      </c>
      <c r="CN74" s="8">
        <v>99.52</v>
      </c>
      <c r="CO74" s="8">
        <v>100.03</v>
      </c>
      <c r="CP74" s="8">
        <v>96.9</v>
      </c>
      <c r="CQ74" s="8">
        <v>101.03</v>
      </c>
      <c r="DG74" s="8">
        <v>96.61</v>
      </c>
      <c r="DN74" s="8">
        <v>81.41</v>
      </c>
      <c r="DW74" s="8">
        <v>113.11</v>
      </c>
      <c r="DX74" s="8">
        <v>109.76</v>
      </c>
      <c r="DY74" s="8">
        <v>114.51</v>
      </c>
      <c r="EC74" s="8">
        <v>98.66</v>
      </c>
      <c r="EJ74" s="8">
        <v>82.17</v>
      </c>
      <c r="EK74" s="8">
        <v>82.1</v>
      </c>
      <c r="EO74" s="8">
        <v>87.29</v>
      </c>
      <c r="EP74" s="8">
        <v>89.12</v>
      </c>
      <c r="EQ74" s="8">
        <v>86.99</v>
      </c>
      <c r="ET74" s="8">
        <v>90.61</v>
      </c>
      <c r="EU74" s="8">
        <v>89.32</v>
      </c>
      <c r="EV74" s="8">
        <v>89.21</v>
      </c>
      <c r="EW74" s="8">
        <v>98.16</v>
      </c>
      <c r="EX74" s="8">
        <v>96.38</v>
      </c>
      <c r="EY74" s="8">
        <v>95.9</v>
      </c>
      <c r="EZ74" s="8">
        <v>98.3</v>
      </c>
      <c r="FA74" s="8">
        <v>91.86</v>
      </c>
      <c r="FB74" s="8">
        <v>89.28</v>
      </c>
      <c r="FC74" s="8">
        <v>95.24</v>
      </c>
      <c r="FD74" s="8">
        <v>100.54</v>
      </c>
      <c r="FE74" s="8">
        <v>94.36</v>
      </c>
      <c r="FF74" s="8">
        <v>93.92</v>
      </c>
      <c r="FG74" s="8">
        <v>94.75</v>
      </c>
      <c r="FH74" s="8">
        <v>94.82</v>
      </c>
      <c r="FI74" s="8">
        <v>91.59</v>
      </c>
      <c r="FJ74" s="8">
        <v>92</v>
      </c>
      <c r="FK74" s="8">
        <v>91.89</v>
      </c>
      <c r="FL74" s="8">
        <v>92.07</v>
      </c>
      <c r="FM74" s="8">
        <v>88.84</v>
      </c>
      <c r="FN74" s="8">
        <v>77.28</v>
      </c>
      <c r="FO74" s="8">
        <v>92.37</v>
      </c>
      <c r="FP74" s="8">
        <v>91.38</v>
      </c>
      <c r="FQ74" s="8">
        <v>88.02</v>
      </c>
      <c r="FR74" s="8">
        <v>85.9</v>
      </c>
      <c r="FS74" s="8">
        <v>94.89</v>
      </c>
      <c r="FT74" s="8">
        <v>86.93</v>
      </c>
      <c r="FU74" s="8">
        <v>83.06</v>
      </c>
      <c r="FV74" s="8">
        <v>88.16</v>
      </c>
      <c r="GB74" s="8">
        <v>86.62</v>
      </c>
      <c r="GD74" s="8">
        <v>87.41</v>
      </c>
      <c r="GE74" s="8">
        <v>71.55</v>
      </c>
      <c r="GF74" s="8">
        <v>71.55</v>
      </c>
      <c r="GT74" s="8">
        <v>85.8</v>
      </c>
      <c r="GU74" s="8">
        <v>85.8</v>
      </c>
      <c r="GV74" s="8">
        <v>86.94</v>
      </c>
      <c r="GW74" s="8">
        <v>86.94</v>
      </c>
      <c r="GZ74" s="8">
        <v>84.39</v>
      </c>
      <c r="HC74" s="8">
        <v>96.87</v>
      </c>
      <c r="HD74" s="8">
        <v>85.96</v>
      </c>
      <c r="HP74" s="8">
        <v>97.35</v>
      </c>
      <c r="HQ74" s="8">
        <v>99.31</v>
      </c>
      <c r="HR74" s="8">
        <v>97.8</v>
      </c>
      <c r="HS74" s="8">
        <v>96.78</v>
      </c>
      <c r="II74" s="8">
        <v>99.9</v>
      </c>
      <c r="IP74" s="8">
        <v>81.41</v>
      </c>
    </row>
    <row r="75" spans="1:250" x14ac:dyDescent="0.2">
      <c r="A75" s="9">
        <v>44927</v>
      </c>
      <c r="H75" s="8">
        <v>84.87</v>
      </c>
      <c r="I75" s="8">
        <v>80.88</v>
      </c>
      <c r="M75" s="8">
        <v>87.98</v>
      </c>
      <c r="N75" s="8">
        <v>89.24</v>
      </c>
      <c r="O75" s="8">
        <v>87.89</v>
      </c>
      <c r="R75" s="8">
        <v>91.01</v>
      </c>
      <c r="S75" s="8">
        <v>90.8</v>
      </c>
      <c r="T75" s="8">
        <v>89.55</v>
      </c>
      <c r="U75" s="8">
        <v>95.46</v>
      </c>
      <c r="V75" s="8">
        <v>95.82</v>
      </c>
      <c r="W75" s="8">
        <v>95.8</v>
      </c>
      <c r="X75" s="8">
        <v>98.32</v>
      </c>
      <c r="Y75" s="8">
        <v>92.26</v>
      </c>
      <c r="Z75" s="8">
        <v>90.75</v>
      </c>
      <c r="AA75" s="8">
        <v>95.88</v>
      </c>
      <c r="AB75" s="8">
        <v>99.53</v>
      </c>
      <c r="AC75" s="8">
        <v>93.81</v>
      </c>
      <c r="AD75" s="8">
        <v>93.92</v>
      </c>
      <c r="AE75" s="8">
        <v>94.88</v>
      </c>
      <c r="AF75" s="8">
        <v>95.38</v>
      </c>
      <c r="AG75" s="8">
        <v>90.96</v>
      </c>
      <c r="AH75" s="8">
        <v>93.23</v>
      </c>
      <c r="AI75" s="8">
        <v>90.93</v>
      </c>
      <c r="AJ75" s="8">
        <v>95.01</v>
      </c>
      <c r="AK75" s="8">
        <v>90.09</v>
      </c>
      <c r="AL75" s="8">
        <v>76.36</v>
      </c>
      <c r="AM75" s="8">
        <v>92.57</v>
      </c>
      <c r="AN75" s="8">
        <v>93.95</v>
      </c>
      <c r="AO75" s="8">
        <v>88.95</v>
      </c>
      <c r="AP75" s="8">
        <v>87.36</v>
      </c>
      <c r="AQ75" s="8">
        <v>95.59</v>
      </c>
      <c r="AR75" s="8">
        <v>91.53</v>
      </c>
      <c r="AS75" s="8">
        <v>85.22</v>
      </c>
      <c r="AT75" s="8">
        <v>93.08</v>
      </c>
      <c r="AZ75" s="8">
        <v>89.91</v>
      </c>
      <c r="BB75" s="8">
        <v>86.36</v>
      </c>
      <c r="BC75" s="8">
        <v>72.489999999999995</v>
      </c>
      <c r="BD75" s="8">
        <v>72.489999999999995</v>
      </c>
      <c r="BR75" s="8">
        <v>84.02</v>
      </c>
      <c r="BS75" s="8">
        <v>84.02</v>
      </c>
      <c r="BT75" s="8">
        <v>92.86</v>
      </c>
      <c r="BU75" s="8">
        <v>92.86</v>
      </c>
      <c r="BX75" s="8">
        <v>83.08</v>
      </c>
      <c r="CA75" s="8">
        <v>88.18</v>
      </c>
      <c r="CB75" s="8">
        <v>96.35</v>
      </c>
      <c r="CN75" s="8">
        <v>98.92</v>
      </c>
      <c r="CO75" s="8">
        <v>98.47</v>
      </c>
      <c r="CP75" s="8">
        <v>95.98</v>
      </c>
      <c r="CQ75" s="8">
        <v>100.83</v>
      </c>
      <c r="DG75" s="8">
        <v>99.42</v>
      </c>
      <c r="DN75" s="8">
        <v>81.819999999999993</v>
      </c>
      <c r="DW75" s="8">
        <v>104.93</v>
      </c>
      <c r="DX75" s="8">
        <v>108.12</v>
      </c>
      <c r="DY75" s="8">
        <v>97.9</v>
      </c>
      <c r="EC75" s="8">
        <v>99.53</v>
      </c>
      <c r="EJ75" s="8">
        <v>82.17</v>
      </c>
      <c r="EK75" s="8">
        <v>82.1</v>
      </c>
      <c r="EO75" s="8">
        <v>87.31</v>
      </c>
      <c r="EP75" s="8">
        <v>89.24</v>
      </c>
      <c r="EQ75" s="8">
        <v>86.99</v>
      </c>
      <c r="ET75" s="8">
        <v>91.12</v>
      </c>
      <c r="EU75" s="8">
        <v>90.74</v>
      </c>
      <c r="EV75" s="8">
        <v>89.75</v>
      </c>
      <c r="EW75" s="8">
        <v>95.48</v>
      </c>
      <c r="EX75" s="8">
        <v>95.58</v>
      </c>
      <c r="EY75" s="8">
        <v>95.66</v>
      </c>
      <c r="EZ75" s="8">
        <v>97.98</v>
      </c>
      <c r="FA75" s="8">
        <v>92.31</v>
      </c>
      <c r="FB75" s="8">
        <v>89.57</v>
      </c>
      <c r="FC75" s="8">
        <v>95.28</v>
      </c>
      <c r="FD75" s="8">
        <v>99</v>
      </c>
      <c r="FE75" s="8">
        <v>94.59</v>
      </c>
      <c r="FF75" s="8">
        <v>93.67</v>
      </c>
      <c r="FG75" s="8">
        <v>94.14</v>
      </c>
      <c r="FH75" s="8">
        <v>95.33</v>
      </c>
      <c r="FI75" s="8">
        <v>91.04</v>
      </c>
      <c r="FJ75" s="8">
        <v>89.88</v>
      </c>
      <c r="FK75" s="8">
        <v>88.3</v>
      </c>
      <c r="FL75" s="8">
        <v>91.01</v>
      </c>
      <c r="FM75" s="8">
        <v>89.85</v>
      </c>
      <c r="FN75" s="8">
        <v>77.58</v>
      </c>
      <c r="FO75" s="8">
        <v>92.08</v>
      </c>
      <c r="FP75" s="8">
        <v>93.86</v>
      </c>
      <c r="FQ75" s="8">
        <v>88.99</v>
      </c>
      <c r="FR75" s="8">
        <v>87.12</v>
      </c>
      <c r="FS75" s="8">
        <v>95.15</v>
      </c>
      <c r="FT75" s="8">
        <v>89.37</v>
      </c>
      <c r="FU75" s="8">
        <v>84.5</v>
      </c>
      <c r="FV75" s="8">
        <v>90.95</v>
      </c>
      <c r="GB75" s="8">
        <v>86.96</v>
      </c>
      <c r="GD75" s="8">
        <v>87.88</v>
      </c>
      <c r="GE75" s="8">
        <v>71.73</v>
      </c>
      <c r="GF75" s="8">
        <v>71.73</v>
      </c>
      <c r="GT75" s="8">
        <v>86.37</v>
      </c>
      <c r="GU75" s="8">
        <v>86.37</v>
      </c>
      <c r="GV75" s="8">
        <v>87.81</v>
      </c>
      <c r="GW75" s="8">
        <v>87.81</v>
      </c>
      <c r="GZ75" s="8">
        <v>84.39</v>
      </c>
      <c r="HC75" s="8">
        <v>96.87</v>
      </c>
      <c r="HD75" s="8">
        <v>85.96</v>
      </c>
      <c r="HP75" s="8">
        <v>96.92</v>
      </c>
      <c r="HQ75" s="8">
        <v>98.21</v>
      </c>
      <c r="HR75" s="8">
        <v>96.93</v>
      </c>
      <c r="HS75" s="8">
        <v>96.73</v>
      </c>
      <c r="II75" s="8">
        <v>102.07</v>
      </c>
      <c r="IP75" s="8">
        <v>81.819999999999993</v>
      </c>
    </row>
    <row r="76" spans="1:250" x14ac:dyDescent="0.2">
      <c r="A76" s="9">
        <v>44958</v>
      </c>
      <c r="H76" s="8">
        <v>88.51</v>
      </c>
      <c r="I76" s="8">
        <v>89.83</v>
      </c>
      <c r="M76" s="8">
        <v>87.99</v>
      </c>
      <c r="N76" s="8">
        <v>89.35</v>
      </c>
      <c r="O76" s="8">
        <v>87.89</v>
      </c>
      <c r="R76" s="8">
        <v>90.85</v>
      </c>
      <c r="S76" s="8">
        <v>90.77</v>
      </c>
      <c r="T76" s="8">
        <v>89.94</v>
      </c>
      <c r="U76" s="8">
        <v>90.18</v>
      </c>
      <c r="V76" s="8">
        <v>97.04</v>
      </c>
      <c r="W76" s="8">
        <v>96.09</v>
      </c>
      <c r="X76" s="8">
        <v>97.8</v>
      </c>
      <c r="Y76" s="8">
        <v>93.13</v>
      </c>
      <c r="Z76" s="8">
        <v>90.19</v>
      </c>
      <c r="AA76" s="8">
        <v>96.63</v>
      </c>
      <c r="AB76" s="8">
        <v>100.3</v>
      </c>
      <c r="AC76" s="8">
        <v>94.2</v>
      </c>
      <c r="AD76" s="8">
        <v>94.37</v>
      </c>
      <c r="AE76" s="8">
        <v>96.04</v>
      </c>
      <c r="AF76" s="8">
        <v>95.96</v>
      </c>
      <c r="AG76" s="8">
        <v>90.14</v>
      </c>
      <c r="AH76" s="8">
        <v>96.29</v>
      </c>
      <c r="AI76" s="8">
        <v>96.47</v>
      </c>
      <c r="AJ76" s="8">
        <v>96.19</v>
      </c>
      <c r="AK76" s="8">
        <v>91.19</v>
      </c>
      <c r="AL76" s="8">
        <v>79.28</v>
      </c>
      <c r="AM76" s="8">
        <v>92.13</v>
      </c>
      <c r="AN76" s="8">
        <v>96.24</v>
      </c>
      <c r="AO76" s="8">
        <v>89.61</v>
      </c>
      <c r="AP76" s="8">
        <v>88.2</v>
      </c>
      <c r="AQ76" s="8">
        <v>96.56</v>
      </c>
      <c r="AR76" s="8">
        <v>92.77</v>
      </c>
      <c r="AS76" s="8">
        <v>85.9</v>
      </c>
      <c r="AT76" s="8">
        <v>94.46</v>
      </c>
      <c r="AZ76" s="8">
        <v>93.96</v>
      </c>
      <c r="BB76" s="8">
        <v>88.29</v>
      </c>
      <c r="BC76" s="8">
        <v>72.599999999999994</v>
      </c>
      <c r="BD76" s="8">
        <v>72.599999999999994</v>
      </c>
      <c r="BR76" s="8">
        <v>84.86</v>
      </c>
      <c r="BS76" s="8">
        <v>84.86</v>
      </c>
      <c r="BT76" s="8">
        <v>92.65</v>
      </c>
      <c r="BU76" s="8">
        <v>92.65</v>
      </c>
      <c r="BX76" s="8">
        <v>83.08</v>
      </c>
      <c r="CA76" s="8">
        <v>88.18</v>
      </c>
      <c r="CB76" s="8">
        <v>98.58</v>
      </c>
      <c r="CN76" s="8">
        <v>100.32</v>
      </c>
      <c r="CO76" s="8">
        <v>98.7</v>
      </c>
      <c r="CP76" s="8">
        <v>97.42</v>
      </c>
      <c r="CQ76" s="8">
        <v>102.44</v>
      </c>
      <c r="DG76" s="8">
        <v>101.44</v>
      </c>
      <c r="DN76" s="8">
        <v>81.400000000000006</v>
      </c>
      <c r="DW76" s="8">
        <v>90.53</v>
      </c>
      <c r="DX76" s="8">
        <v>94.68</v>
      </c>
      <c r="DY76" s="8">
        <v>82.62</v>
      </c>
      <c r="EC76" s="8">
        <v>99.13</v>
      </c>
      <c r="EJ76" s="8">
        <v>88.03</v>
      </c>
      <c r="EK76" s="8">
        <v>90.42</v>
      </c>
      <c r="EO76" s="8">
        <v>87.32</v>
      </c>
      <c r="EP76" s="8">
        <v>89.35</v>
      </c>
      <c r="EQ76" s="8">
        <v>86.99</v>
      </c>
      <c r="ET76" s="8">
        <v>90.7</v>
      </c>
      <c r="EU76" s="8">
        <v>90.35</v>
      </c>
      <c r="EV76" s="8">
        <v>89.78</v>
      </c>
      <c r="EW76" s="8">
        <v>90.53</v>
      </c>
      <c r="EX76" s="8">
        <v>96.43</v>
      </c>
      <c r="EY76" s="8">
        <v>96.22</v>
      </c>
      <c r="EZ76" s="8">
        <v>97.94</v>
      </c>
      <c r="FA76" s="8">
        <v>93.9</v>
      </c>
      <c r="FB76" s="8">
        <v>89.62</v>
      </c>
      <c r="FC76" s="8">
        <v>96.02</v>
      </c>
      <c r="FD76" s="8">
        <v>100.57</v>
      </c>
      <c r="FE76" s="8">
        <v>93.82</v>
      </c>
      <c r="FF76" s="8">
        <v>93.72</v>
      </c>
      <c r="FG76" s="8">
        <v>94.35</v>
      </c>
      <c r="FH76" s="8">
        <v>95.9</v>
      </c>
      <c r="FI76" s="8">
        <v>90.25</v>
      </c>
      <c r="FJ76" s="8">
        <v>92.69</v>
      </c>
      <c r="FK76" s="8">
        <v>92.74</v>
      </c>
      <c r="FL76" s="8">
        <v>92.65</v>
      </c>
      <c r="FM76" s="8">
        <v>90.73</v>
      </c>
      <c r="FN76" s="8">
        <v>80</v>
      </c>
      <c r="FO76" s="8">
        <v>91.73</v>
      </c>
      <c r="FP76" s="8">
        <v>95.79</v>
      </c>
      <c r="FQ76" s="8">
        <v>89.52</v>
      </c>
      <c r="FR76" s="8">
        <v>87.73</v>
      </c>
      <c r="FS76" s="8">
        <v>95.93</v>
      </c>
      <c r="FT76" s="8">
        <v>90.59</v>
      </c>
      <c r="FU76" s="8">
        <v>84.97</v>
      </c>
      <c r="FV76" s="8">
        <v>92.41</v>
      </c>
      <c r="GB76" s="8">
        <v>91.27</v>
      </c>
      <c r="GD76" s="8">
        <v>89.66</v>
      </c>
      <c r="GE76" s="8">
        <v>71.84</v>
      </c>
      <c r="GF76" s="8">
        <v>71.84</v>
      </c>
      <c r="GT76" s="8">
        <v>87.11</v>
      </c>
      <c r="GU76" s="8">
        <v>87.11</v>
      </c>
      <c r="GV76" s="8">
        <v>88.61</v>
      </c>
      <c r="GW76" s="8">
        <v>88.61</v>
      </c>
      <c r="GZ76" s="8">
        <v>84.39</v>
      </c>
      <c r="HC76" s="8">
        <v>96.87</v>
      </c>
      <c r="HD76" s="8">
        <v>88.74</v>
      </c>
      <c r="HP76" s="8">
        <v>98.2</v>
      </c>
      <c r="HQ76" s="8">
        <v>98.21</v>
      </c>
      <c r="HR76" s="8">
        <v>98.29</v>
      </c>
      <c r="HS76" s="8">
        <v>98.16</v>
      </c>
      <c r="II76" s="8">
        <v>103.09</v>
      </c>
      <c r="IP76" s="8">
        <v>81.400000000000006</v>
      </c>
    </row>
    <row r="77" spans="1:250" x14ac:dyDescent="0.2">
      <c r="A77" s="9">
        <v>44986</v>
      </c>
      <c r="H77" s="8">
        <v>88.51</v>
      </c>
      <c r="I77" s="8">
        <v>89.83</v>
      </c>
      <c r="M77" s="8">
        <v>89.6</v>
      </c>
      <c r="N77" s="8">
        <v>90.73</v>
      </c>
      <c r="O77" s="8">
        <v>89.52</v>
      </c>
      <c r="R77" s="8">
        <v>91.16</v>
      </c>
      <c r="S77" s="8">
        <v>90.5</v>
      </c>
      <c r="T77" s="8">
        <v>89.8</v>
      </c>
      <c r="U77" s="8">
        <v>94.7</v>
      </c>
      <c r="V77" s="8">
        <v>98.32</v>
      </c>
      <c r="W77" s="8">
        <v>95.97</v>
      </c>
      <c r="X77" s="8">
        <v>97.49</v>
      </c>
      <c r="Y77" s="8">
        <v>93.27</v>
      </c>
      <c r="Z77" s="8">
        <v>89.27</v>
      </c>
      <c r="AA77" s="8">
        <v>96.92</v>
      </c>
      <c r="AB77" s="8">
        <v>101.09</v>
      </c>
      <c r="AC77" s="8">
        <v>93.11</v>
      </c>
      <c r="AD77" s="8">
        <v>95.96</v>
      </c>
      <c r="AE77" s="8">
        <v>96.9</v>
      </c>
      <c r="AF77" s="8">
        <v>97.12</v>
      </c>
      <c r="AG77" s="8">
        <v>93.31</v>
      </c>
      <c r="AH77" s="8">
        <v>97.57</v>
      </c>
      <c r="AI77" s="8">
        <v>97.03</v>
      </c>
      <c r="AJ77" s="8">
        <v>98.01</v>
      </c>
      <c r="AK77" s="8">
        <v>91.74</v>
      </c>
      <c r="AL77" s="8">
        <v>79.73</v>
      </c>
      <c r="AM77" s="8">
        <v>93.45</v>
      </c>
      <c r="AN77" s="8">
        <v>96.02</v>
      </c>
      <c r="AO77" s="8">
        <v>89.93</v>
      </c>
      <c r="AP77" s="8">
        <v>88.98</v>
      </c>
      <c r="AQ77" s="8">
        <v>97.07</v>
      </c>
      <c r="AR77" s="8">
        <v>93.56</v>
      </c>
      <c r="AS77" s="8">
        <v>84.94</v>
      </c>
      <c r="AT77" s="8">
        <v>95.71</v>
      </c>
      <c r="AZ77" s="8">
        <v>94.97</v>
      </c>
      <c r="BB77" s="8">
        <v>88.34</v>
      </c>
      <c r="BC77" s="8">
        <v>73.17</v>
      </c>
      <c r="BD77" s="8">
        <v>73.17</v>
      </c>
      <c r="BR77" s="8">
        <v>85.48</v>
      </c>
      <c r="BS77" s="8">
        <v>85.48</v>
      </c>
      <c r="BT77" s="8">
        <v>92.74</v>
      </c>
      <c r="BU77" s="8">
        <v>92.74</v>
      </c>
      <c r="BX77" s="8">
        <v>83.08</v>
      </c>
      <c r="CA77" s="8">
        <v>88.18</v>
      </c>
      <c r="CB77" s="8">
        <v>98.58</v>
      </c>
      <c r="CN77" s="8">
        <v>100.69</v>
      </c>
      <c r="CO77" s="8">
        <v>99.23</v>
      </c>
      <c r="CP77" s="8">
        <v>97.93</v>
      </c>
      <c r="CQ77" s="8">
        <v>102.69</v>
      </c>
      <c r="DG77" s="8">
        <v>100.18</v>
      </c>
      <c r="DN77" s="8">
        <v>85.88</v>
      </c>
      <c r="DW77" s="8">
        <v>91.01</v>
      </c>
      <c r="DX77" s="8">
        <v>95</v>
      </c>
      <c r="DY77" s="8">
        <v>83.3</v>
      </c>
      <c r="EC77" s="8">
        <v>99.91</v>
      </c>
      <c r="EJ77" s="8">
        <v>88.03</v>
      </c>
      <c r="EK77" s="8">
        <v>90.42</v>
      </c>
      <c r="EO77" s="8">
        <v>89.31</v>
      </c>
      <c r="EP77" s="8">
        <v>90.73</v>
      </c>
      <c r="EQ77" s="8">
        <v>89.08</v>
      </c>
      <c r="ET77" s="8">
        <v>91.15</v>
      </c>
      <c r="EU77" s="8">
        <v>90.46</v>
      </c>
      <c r="EV77" s="8">
        <v>89.57</v>
      </c>
      <c r="EW77" s="8">
        <v>95.17</v>
      </c>
      <c r="EX77" s="8">
        <v>97.78</v>
      </c>
      <c r="EY77" s="8">
        <v>96.18</v>
      </c>
      <c r="EZ77" s="8">
        <v>97.47</v>
      </c>
      <c r="FA77" s="8">
        <v>93.2</v>
      </c>
      <c r="FB77" s="8">
        <v>89.72</v>
      </c>
      <c r="FC77" s="8">
        <v>96.82</v>
      </c>
      <c r="FD77" s="8">
        <v>101.38</v>
      </c>
      <c r="FE77" s="8">
        <v>92.57</v>
      </c>
      <c r="FF77" s="8">
        <v>95.4</v>
      </c>
      <c r="FG77" s="8">
        <v>95.72</v>
      </c>
      <c r="FH77" s="8">
        <v>97.01</v>
      </c>
      <c r="FI77" s="8">
        <v>93.07</v>
      </c>
      <c r="FJ77" s="8">
        <v>94</v>
      </c>
      <c r="FK77" s="8">
        <v>94.57</v>
      </c>
      <c r="FL77" s="8">
        <v>93.59</v>
      </c>
      <c r="FM77" s="8">
        <v>91.28</v>
      </c>
      <c r="FN77" s="8">
        <v>80.239999999999995</v>
      </c>
      <c r="FO77" s="8">
        <v>93.11</v>
      </c>
      <c r="FP77" s="8">
        <v>95.76</v>
      </c>
      <c r="FQ77" s="8">
        <v>90.09</v>
      </c>
      <c r="FR77" s="8">
        <v>88.53</v>
      </c>
      <c r="FS77" s="8">
        <v>96.26</v>
      </c>
      <c r="FT77" s="8">
        <v>91.29</v>
      </c>
      <c r="FU77" s="8">
        <v>83.89</v>
      </c>
      <c r="FV77" s="8">
        <v>93.72</v>
      </c>
      <c r="GB77" s="8">
        <v>91.66</v>
      </c>
      <c r="GD77" s="8">
        <v>90</v>
      </c>
      <c r="GE77" s="8">
        <v>72.48</v>
      </c>
      <c r="GF77" s="8">
        <v>72.48</v>
      </c>
      <c r="GT77" s="8">
        <v>87.3</v>
      </c>
      <c r="GU77" s="8">
        <v>87.3</v>
      </c>
      <c r="GV77" s="8">
        <v>89.2</v>
      </c>
      <c r="GW77" s="8">
        <v>89.2</v>
      </c>
      <c r="GZ77" s="8">
        <v>84.39</v>
      </c>
      <c r="HC77" s="8">
        <v>97.1</v>
      </c>
      <c r="HD77" s="8">
        <v>88.74</v>
      </c>
      <c r="HP77" s="8">
        <v>98.65</v>
      </c>
      <c r="HQ77" s="8">
        <v>98.72</v>
      </c>
      <c r="HR77" s="8">
        <v>98.76</v>
      </c>
      <c r="HS77" s="8">
        <v>98.58</v>
      </c>
      <c r="II77" s="8">
        <v>102.81</v>
      </c>
      <c r="IP77" s="8">
        <v>85.88</v>
      </c>
    </row>
    <row r="78" spans="1:250" x14ac:dyDescent="0.2">
      <c r="A78" s="9">
        <v>45017</v>
      </c>
      <c r="H78" s="8">
        <v>88.51</v>
      </c>
      <c r="I78" s="8">
        <v>89.83</v>
      </c>
      <c r="M78" s="8">
        <v>89.61</v>
      </c>
      <c r="N78" s="8">
        <v>90.84</v>
      </c>
      <c r="O78" s="8">
        <v>89.52</v>
      </c>
      <c r="R78" s="8">
        <v>92.6</v>
      </c>
      <c r="S78" s="8">
        <v>92.92</v>
      </c>
      <c r="T78" s="8">
        <v>91.34</v>
      </c>
      <c r="U78" s="8">
        <v>92.42</v>
      </c>
      <c r="V78" s="8">
        <v>98.4</v>
      </c>
      <c r="W78" s="8">
        <v>96.04</v>
      </c>
      <c r="X78" s="8">
        <v>97.21</v>
      </c>
      <c r="Y78" s="8">
        <v>92.3</v>
      </c>
      <c r="Z78" s="8">
        <v>90.84</v>
      </c>
      <c r="AA78" s="8">
        <v>98.17</v>
      </c>
      <c r="AB78" s="8">
        <v>99.48</v>
      </c>
      <c r="AC78" s="8">
        <v>94.29</v>
      </c>
      <c r="AD78" s="8">
        <v>96.2</v>
      </c>
      <c r="AE78" s="8">
        <v>96.19</v>
      </c>
      <c r="AF78" s="8">
        <v>96.71</v>
      </c>
      <c r="AG78" s="8">
        <v>95.73</v>
      </c>
      <c r="AH78" s="8">
        <v>96.4</v>
      </c>
      <c r="AI78" s="8">
        <v>92.3</v>
      </c>
      <c r="AJ78" s="8">
        <v>99.55</v>
      </c>
      <c r="AK78" s="8">
        <v>92.15</v>
      </c>
      <c r="AL78" s="8">
        <v>79.63</v>
      </c>
      <c r="AM78" s="8">
        <v>92.4</v>
      </c>
      <c r="AN78" s="8">
        <v>96.41</v>
      </c>
      <c r="AO78" s="8">
        <v>89.99</v>
      </c>
      <c r="AP78" s="8">
        <v>89.14</v>
      </c>
      <c r="AQ78" s="8">
        <v>98.43</v>
      </c>
      <c r="AR78" s="8">
        <v>95.79</v>
      </c>
      <c r="AS78" s="8">
        <v>85.67</v>
      </c>
      <c r="AT78" s="8">
        <v>98.31</v>
      </c>
      <c r="AZ78" s="8">
        <v>92.81</v>
      </c>
      <c r="BB78" s="8">
        <v>88.32</v>
      </c>
      <c r="BC78" s="8">
        <v>73.650000000000006</v>
      </c>
      <c r="BD78" s="8">
        <v>73.650000000000006</v>
      </c>
      <c r="BR78" s="8">
        <v>86.22</v>
      </c>
      <c r="BS78" s="8">
        <v>86.22</v>
      </c>
      <c r="BT78" s="8">
        <v>93.53</v>
      </c>
      <c r="BU78" s="8">
        <v>93.53</v>
      </c>
      <c r="BX78" s="8">
        <v>83.08</v>
      </c>
      <c r="CA78" s="8">
        <v>88.18</v>
      </c>
      <c r="CB78" s="8">
        <v>98.58</v>
      </c>
      <c r="CN78" s="8">
        <v>100.77</v>
      </c>
      <c r="CO78" s="8">
        <v>99.05</v>
      </c>
      <c r="CP78" s="8">
        <v>98.14</v>
      </c>
      <c r="CQ78" s="8">
        <v>102.74</v>
      </c>
      <c r="DG78" s="8">
        <v>104.12</v>
      </c>
      <c r="DN78" s="8">
        <v>85.15</v>
      </c>
      <c r="DW78" s="8">
        <v>98.6</v>
      </c>
      <c r="DX78" s="8">
        <v>101.73</v>
      </c>
      <c r="DY78" s="8">
        <v>91.83</v>
      </c>
      <c r="EC78" s="8">
        <v>98.81</v>
      </c>
      <c r="EJ78" s="8">
        <v>88.03</v>
      </c>
      <c r="EK78" s="8">
        <v>90.42</v>
      </c>
      <c r="EO78" s="8">
        <v>89.33</v>
      </c>
      <c r="EP78" s="8">
        <v>90.84</v>
      </c>
      <c r="EQ78" s="8">
        <v>89.08</v>
      </c>
      <c r="ET78" s="8">
        <v>92.74</v>
      </c>
      <c r="EU78" s="8">
        <v>93.04</v>
      </c>
      <c r="EV78" s="8">
        <v>91.29</v>
      </c>
      <c r="EW78" s="8">
        <v>92.54</v>
      </c>
      <c r="EX78" s="8">
        <v>98.21</v>
      </c>
      <c r="EY78" s="8">
        <v>95.97</v>
      </c>
      <c r="EZ78" s="8">
        <v>96.67</v>
      </c>
      <c r="FA78" s="8">
        <v>92.67</v>
      </c>
      <c r="FB78" s="8">
        <v>90.03</v>
      </c>
      <c r="FC78" s="8">
        <v>98.06</v>
      </c>
      <c r="FD78" s="8">
        <v>99.09</v>
      </c>
      <c r="FE78" s="8">
        <v>94.11</v>
      </c>
      <c r="FF78" s="8">
        <v>95.63</v>
      </c>
      <c r="FG78" s="8">
        <v>94.97</v>
      </c>
      <c r="FH78" s="8">
        <v>96.89</v>
      </c>
      <c r="FI78" s="8">
        <v>95.18</v>
      </c>
      <c r="FJ78" s="8">
        <v>92.85</v>
      </c>
      <c r="FK78" s="8">
        <v>90.01</v>
      </c>
      <c r="FL78" s="8">
        <v>94.87</v>
      </c>
      <c r="FM78" s="8">
        <v>91.67</v>
      </c>
      <c r="FN78" s="8">
        <v>80.709999999999994</v>
      </c>
      <c r="FO78" s="8">
        <v>92.08</v>
      </c>
      <c r="FP78" s="8">
        <v>95.96</v>
      </c>
      <c r="FQ78" s="8">
        <v>90.34</v>
      </c>
      <c r="FR78" s="8">
        <v>88.76</v>
      </c>
      <c r="FS78" s="8">
        <v>97.37</v>
      </c>
      <c r="FT78" s="8">
        <v>93.14</v>
      </c>
      <c r="FU78" s="8">
        <v>84.63</v>
      </c>
      <c r="FV78" s="8">
        <v>95.94</v>
      </c>
      <c r="GB78" s="8">
        <v>91.73</v>
      </c>
      <c r="GD78" s="8">
        <v>89.99</v>
      </c>
      <c r="GE78" s="8">
        <v>72.98</v>
      </c>
      <c r="GF78" s="8">
        <v>72.98</v>
      </c>
      <c r="GT78" s="8">
        <v>87.84</v>
      </c>
      <c r="GU78" s="8">
        <v>87.84</v>
      </c>
      <c r="GV78" s="8">
        <v>90.67</v>
      </c>
      <c r="GW78" s="8">
        <v>90.67</v>
      </c>
      <c r="GZ78" s="8">
        <v>84.39</v>
      </c>
      <c r="HC78" s="8">
        <v>97.1</v>
      </c>
      <c r="HD78" s="8">
        <v>88.74</v>
      </c>
      <c r="HP78" s="8">
        <v>98.38</v>
      </c>
      <c r="HQ78" s="8">
        <v>98.5</v>
      </c>
      <c r="HR78" s="8">
        <v>98.96</v>
      </c>
      <c r="HS78" s="8">
        <v>98.02</v>
      </c>
      <c r="II78" s="8">
        <v>104.07</v>
      </c>
      <c r="IP78" s="8">
        <v>85.15</v>
      </c>
    </row>
    <row r="79" spans="1:250" x14ac:dyDescent="0.2">
      <c r="A79" s="9">
        <v>45047</v>
      </c>
      <c r="H79" s="8">
        <v>88.51</v>
      </c>
      <c r="I79" s="8">
        <v>89.83</v>
      </c>
      <c r="M79" s="8">
        <v>89.62</v>
      </c>
      <c r="N79" s="8">
        <v>90.94</v>
      </c>
      <c r="O79" s="8">
        <v>89.52</v>
      </c>
      <c r="R79" s="8">
        <v>94.27</v>
      </c>
      <c r="S79" s="8">
        <v>96.03</v>
      </c>
      <c r="T79" s="8">
        <v>91.76</v>
      </c>
      <c r="U79" s="8">
        <v>96.13</v>
      </c>
      <c r="V79" s="8">
        <v>98.06</v>
      </c>
      <c r="W79" s="8">
        <v>96.45</v>
      </c>
      <c r="X79" s="8">
        <v>96.5</v>
      </c>
      <c r="Y79" s="8">
        <v>92.48</v>
      </c>
      <c r="Z79" s="8">
        <v>91.46</v>
      </c>
      <c r="AA79" s="8">
        <v>98.91</v>
      </c>
      <c r="AB79" s="8">
        <v>100.37</v>
      </c>
      <c r="AC79" s="8">
        <v>95.65</v>
      </c>
      <c r="AD79" s="8">
        <v>96</v>
      </c>
      <c r="AE79" s="8">
        <v>96.04</v>
      </c>
      <c r="AF79" s="8">
        <v>96.8</v>
      </c>
      <c r="AG79" s="8">
        <v>95.15</v>
      </c>
      <c r="AH79" s="8">
        <v>97.06</v>
      </c>
      <c r="AI79" s="8">
        <v>91.47</v>
      </c>
      <c r="AJ79" s="8">
        <v>101.33</v>
      </c>
      <c r="AK79" s="8">
        <v>91.98</v>
      </c>
      <c r="AL79" s="8">
        <v>80.28</v>
      </c>
      <c r="AM79" s="8">
        <v>92.52</v>
      </c>
      <c r="AN79" s="8">
        <v>96.6</v>
      </c>
      <c r="AO79" s="8">
        <v>90.38</v>
      </c>
      <c r="AP79" s="8">
        <v>88.93</v>
      </c>
      <c r="AQ79" s="8">
        <v>97.68</v>
      </c>
      <c r="AR79" s="8">
        <v>95.54</v>
      </c>
      <c r="AS79" s="8">
        <v>84.96</v>
      </c>
      <c r="AT79" s="8">
        <v>98.18</v>
      </c>
      <c r="AZ79" s="8">
        <v>93.05</v>
      </c>
      <c r="BB79" s="8">
        <v>88.38</v>
      </c>
      <c r="BC79" s="8">
        <v>73.55</v>
      </c>
      <c r="BD79" s="8">
        <v>73.55</v>
      </c>
      <c r="BR79" s="8">
        <v>87.03</v>
      </c>
      <c r="BS79" s="8">
        <v>87.03</v>
      </c>
      <c r="BT79" s="8">
        <v>94.09</v>
      </c>
      <c r="BU79" s="8">
        <v>94.09</v>
      </c>
      <c r="BX79" s="8">
        <v>83.08</v>
      </c>
      <c r="CA79" s="8">
        <v>88.18</v>
      </c>
      <c r="CB79" s="8">
        <v>98.58</v>
      </c>
      <c r="CN79" s="8">
        <v>101.22</v>
      </c>
      <c r="CO79" s="8">
        <v>100.02</v>
      </c>
      <c r="CP79" s="8">
        <v>98.36</v>
      </c>
      <c r="CQ79" s="8">
        <v>103.23</v>
      </c>
      <c r="DG79" s="8">
        <v>96.79</v>
      </c>
      <c r="DN79" s="8">
        <v>86.33</v>
      </c>
      <c r="DW79" s="8">
        <v>88.2</v>
      </c>
      <c r="DX79" s="8">
        <v>87.01</v>
      </c>
      <c r="DY79" s="8">
        <v>87.41</v>
      </c>
      <c r="EC79" s="8">
        <v>98.38</v>
      </c>
      <c r="EJ79" s="8">
        <v>88.03</v>
      </c>
      <c r="EK79" s="8">
        <v>90.42</v>
      </c>
      <c r="EO79" s="8">
        <v>89.34</v>
      </c>
      <c r="EP79" s="8">
        <v>90.94</v>
      </c>
      <c r="EQ79" s="8">
        <v>89.08</v>
      </c>
      <c r="ET79" s="8">
        <v>94.37</v>
      </c>
      <c r="EU79" s="8">
        <v>96.42</v>
      </c>
      <c r="EV79" s="8">
        <v>91.57</v>
      </c>
      <c r="EW79" s="8">
        <v>95.95</v>
      </c>
      <c r="EX79" s="8">
        <v>97.48</v>
      </c>
      <c r="EY79" s="8">
        <v>96.52</v>
      </c>
      <c r="EZ79" s="8">
        <v>96.34</v>
      </c>
      <c r="FA79" s="8">
        <v>93.16</v>
      </c>
      <c r="FB79" s="8">
        <v>90.07</v>
      </c>
      <c r="FC79" s="8">
        <v>99.05</v>
      </c>
      <c r="FD79" s="8">
        <v>99.86</v>
      </c>
      <c r="FE79" s="8">
        <v>95.58</v>
      </c>
      <c r="FF79" s="8">
        <v>95.36</v>
      </c>
      <c r="FG79" s="8">
        <v>94.66</v>
      </c>
      <c r="FH79" s="8">
        <v>96.88</v>
      </c>
      <c r="FI79" s="8">
        <v>94.67</v>
      </c>
      <c r="FJ79" s="8">
        <v>94.46</v>
      </c>
      <c r="FK79" s="8">
        <v>91.09</v>
      </c>
      <c r="FL79" s="8">
        <v>96.87</v>
      </c>
      <c r="FM79" s="8">
        <v>91.44</v>
      </c>
      <c r="FN79" s="8">
        <v>80.989999999999995</v>
      </c>
      <c r="FO79" s="8">
        <v>91.76</v>
      </c>
      <c r="FP79" s="8">
        <v>95.95</v>
      </c>
      <c r="FQ79" s="8">
        <v>90.65</v>
      </c>
      <c r="FR79" s="8">
        <v>88.35</v>
      </c>
      <c r="FS79" s="8">
        <v>97.02</v>
      </c>
      <c r="FT79" s="8">
        <v>93.29</v>
      </c>
      <c r="FU79" s="8">
        <v>83.74</v>
      </c>
      <c r="FV79" s="8">
        <v>96.44</v>
      </c>
      <c r="GB79" s="8">
        <v>91.49</v>
      </c>
      <c r="GD79" s="8">
        <v>90.8</v>
      </c>
      <c r="GE79" s="8">
        <v>72.91</v>
      </c>
      <c r="GF79" s="8">
        <v>72.91</v>
      </c>
      <c r="GT79" s="8">
        <v>88.45</v>
      </c>
      <c r="GU79" s="8">
        <v>88.45</v>
      </c>
      <c r="GV79" s="8">
        <v>90.58</v>
      </c>
      <c r="GW79" s="8">
        <v>90.58</v>
      </c>
      <c r="GZ79" s="8">
        <v>84.39</v>
      </c>
      <c r="HC79" s="8">
        <v>96.9</v>
      </c>
      <c r="HD79" s="8">
        <v>88.74</v>
      </c>
      <c r="HP79" s="8">
        <v>98.83</v>
      </c>
      <c r="HQ79" s="8">
        <v>99.21</v>
      </c>
      <c r="HR79" s="8">
        <v>99</v>
      </c>
      <c r="HS79" s="8">
        <v>98.68</v>
      </c>
      <c r="II79" s="8">
        <v>100.98</v>
      </c>
      <c r="IP79" s="8">
        <v>86.33</v>
      </c>
    </row>
    <row r="80" spans="1:250" x14ac:dyDescent="0.2">
      <c r="A80" s="9">
        <v>45078</v>
      </c>
      <c r="H80" s="8">
        <v>88.51</v>
      </c>
      <c r="I80" s="8">
        <v>89.83</v>
      </c>
      <c r="M80" s="8">
        <v>91.61</v>
      </c>
      <c r="N80" s="8">
        <v>91.31</v>
      </c>
      <c r="O80" s="8">
        <v>91.63</v>
      </c>
      <c r="R80" s="8">
        <v>93.96</v>
      </c>
      <c r="S80" s="8">
        <v>96.38</v>
      </c>
      <c r="T80" s="8">
        <v>90.88</v>
      </c>
      <c r="U80" s="8">
        <v>95.65</v>
      </c>
      <c r="V80" s="8">
        <v>97.72</v>
      </c>
      <c r="W80" s="8">
        <v>95.37</v>
      </c>
      <c r="X80" s="8">
        <v>94.78</v>
      </c>
      <c r="Y80" s="8">
        <v>91.68</v>
      </c>
      <c r="Z80" s="8">
        <v>89.47</v>
      </c>
      <c r="AA80" s="8">
        <v>98.19</v>
      </c>
      <c r="AB80" s="8">
        <v>99.68</v>
      </c>
      <c r="AC80" s="8">
        <v>95.04</v>
      </c>
      <c r="AD80" s="8">
        <v>96.71</v>
      </c>
      <c r="AE80" s="8">
        <v>96.37</v>
      </c>
      <c r="AF80" s="8">
        <v>98.38</v>
      </c>
      <c r="AG80" s="8">
        <v>95.6</v>
      </c>
      <c r="AH80" s="8">
        <v>98.28</v>
      </c>
      <c r="AI80" s="8">
        <v>96.76</v>
      </c>
      <c r="AJ80" s="8">
        <v>99.47</v>
      </c>
      <c r="AK80" s="8">
        <v>92.24</v>
      </c>
      <c r="AL80" s="8">
        <v>80.56</v>
      </c>
      <c r="AM80" s="8">
        <v>93.38</v>
      </c>
      <c r="AN80" s="8">
        <v>96.46</v>
      </c>
      <c r="AO80" s="8">
        <v>90.31</v>
      </c>
      <c r="AP80" s="8">
        <v>89.41</v>
      </c>
      <c r="AQ80" s="8">
        <v>97.8</v>
      </c>
      <c r="AR80" s="8">
        <v>93.46</v>
      </c>
      <c r="AS80" s="8">
        <v>84.77</v>
      </c>
      <c r="AT80" s="8">
        <v>95.62</v>
      </c>
      <c r="AZ80" s="8">
        <v>92.95</v>
      </c>
      <c r="BB80" s="8">
        <v>88.35</v>
      </c>
      <c r="BC80" s="8">
        <v>73.489999999999995</v>
      </c>
      <c r="BD80" s="8">
        <v>73.489999999999995</v>
      </c>
      <c r="BR80" s="8">
        <v>87.81</v>
      </c>
      <c r="BS80" s="8">
        <v>87.81</v>
      </c>
      <c r="BT80" s="8">
        <v>93.84</v>
      </c>
      <c r="BU80" s="8">
        <v>93.84</v>
      </c>
      <c r="BX80" s="8">
        <v>83.08</v>
      </c>
      <c r="CA80" s="8">
        <v>87.88</v>
      </c>
      <c r="CB80" s="8">
        <v>98.1</v>
      </c>
      <c r="CN80" s="8">
        <v>100.89</v>
      </c>
      <c r="CO80" s="8">
        <v>99.76</v>
      </c>
      <c r="CP80" s="8">
        <v>98.2</v>
      </c>
      <c r="CQ80" s="8">
        <v>102.77</v>
      </c>
      <c r="DG80" s="8">
        <v>100.18</v>
      </c>
      <c r="DN80" s="8">
        <v>86.04</v>
      </c>
      <c r="DW80" s="8">
        <v>98</v>
      </c>
      <c r="DX80" s="8">
        <v>91.91</v>
      </c>
      <c r="DY80" s="8">
        <v>103.43</v>
      </c>
      <c r="EC80" s="8">
        <v>101.32</v>
      </c>
      <c r="EJ80" s="8">
        <v>88.03</v>
      </c>
      <c r="EK80" s="8">
        <v>90.42</v>
      </c>
      <c r="EO80" s="8">
        <v>91.59</v>
      </c>
      <c r="EP80" s="8">
        <v>91.31</v>
      </c>
      <c r="EQ80" s="8">
        <v>91.63</v>
      </c>
      <c r="ET80" s="8">
        <v>94.03</v>
      </c>
      <c r="EU80" s="8">
        <v>96.5</v>
      </c>
      <c r="EV80" s="8">
        <v>90.82</v>
      </c>
      <c r="EW80" s="8">
        <v>95.76</v>
      </c>
      <c r="EX80" s="8">
        <v>97.06</v>
      </c>
      <c r="EY80" s="8">
        <v>95.6</v>
      </c>
      <c r="EZ80" s="8">
        <v>95.27</v>
      </c>
      <c r="FA80" s="8">
        <v>92.57</v>
      </c>
      <c r="FB80" s="8">
        <v>88.06</v>
      </c>
      <c r="FC80" s="8">
        <v>98.5</v>
      </c>
      <c r="FD80" s="8">
        <v>99.05</v>
      </c>
      <c r="FE80" s="8">
        <v>94.83</v>
      </c>
      <c r="FF80" s="8">
        <v>96.1</v>
      </c>
      <c r="FG80" s="8">
        <v>94.96</v>
      </c>
      <c r="FH80" s="8">
        <v>98.5</v>
      </c>
      <c r="FI80" s="8">
        <v>95.08</v>
      </c>
      <c r="FJ80" s="8">
        <v>96.84</v>
      </c>
      <c r="FK80" s="8">
        <v>97.43</v>
      </c>
      <c r="FL80" s="8">
        <v>96.42</v>
      </c>
      <c r="FM80" s="8">
        <v>91.8</v>
      </c>
      <c r="FN80" s="8">
        <v>81.349999999999994</v>
      </c>
      <c r="FO80" s="8">
        <v>93.3</v>
      </c>
      <c r="FP80" s="8">
        <v>95.9</v>
      </c>
      <c r="FQ80" s="8">
        <v>90.24</v>
      </c>
      <c r="FR80" s="8">
        <v>89.13</v>
      </c>
      <c r="FS80" s="8">
        <v>96.94</v>
      </c>
      <c r="FT80" s="8">
        <v>91.19</v>
      </c>
      <c r="FU80" s="8">
        <v>83.45</v>
      </c>
      <c r="FV80" s="8">
        <v>93.73</v>
      </c>
      <c r="GB80" s="8">
        <v>91.06</v>
      </c>
      <c r="GD80" s="8">
        <v>90.48</v>
      </c>
      <c r="GE80" s="8">
        <v>72.78</v>
      </c>
      <c r="GF80" s="8">
        <v>72.78</v>
      </c>
      <c r="GT80" s="8">
        <v>89.39</v>
      </c>
      <c r="GU80" s="8">
        <v>89.39</v>
      </c>
      <c r="GV80" s="8">
        <v>90.8</v>
      </c>
      <c r="GW80" s="8">
        <v>90.8</v>
      </c>
      <c r="GZ80" s="8">
        <v>84.39</v>
      </c>
      <c r="HC80" s="8">
        <v>95.86</v>
      </c>
      <c r="HD80" s="8">
        <v>88.74</v>
      </c>
      <c r="HP80" s="8">
        <v>98.69</v>
      </c>
      <c r="HQ80" s="8">
        <v>99.11</v>
      </c>
      <c r="HR80" s="8">
        <v>99.13</v>
      </c>
      <c r="HS80" s="8">
        <v>98.37</v>
      </c>
      <c r="II80" s="8">
        <v>102.4</v>
      </c>
      <c r="IP80" s="8">
        <v>86.04</v>
      </c>
    </row>
    <row r="81" spans="1:251" x14ac:dyDescent="0.2">
      <c r="A81" s="9">
        <v>45108</v>
      </c>
      <c r="H81" s="8">
        <v>88.51</v>
      </c>
      <c r="I81" s="8">
        <v>89.83</v>
      </c>
      <c r="M81" s="8">
        <v>91.62</v>
      </c>
      <c r="N81" s="8">
        <v>91.4</v>
      </c>
      <c r="O81" s="8">
        <v>91.63</v>
      </c>
      <c r="R81" s="8">
        <v>93.94</v>
      </c>
      <c r="S81" s="8">
        <v>96.52</v>
      </c>
      <c r="T81" s="8">
        <v>90.84</v>
      </c>
      <c r="U81" s="8">
        <v>94.92</v>
      </c>
      <c r="V81" s="8">
        <v>97.72</v>
      </c>
      <c r="W81" s="8">
        <v>95.8</v>
      </c>
      <c r="X81" s="8">
        <v>94.62</v>
      </c>
      <c r="Y81" s="8">
        <v>92.52</v>
      </c>
      <c r="Z81" s="8">
        <v>88.09</v>
      </c>
      <c r="AA81" s="8">
        <v>98.9</v>
      </c>
      <c r="AB81" s="8">
        <v>100.35</v>
      </c>
      <c r="AC81" s="8">
        <v>96.59</v>
      </c>
      <c r="AD81" s="8">
        <v>98.48</v>
      </c>
      <c r="AE81" s="8">
        <v>97.32</v>
      </c>
      <c r="AF81" s="8">
        <v>102.48</v>
      </c>
      <c r="AG81" s="8">
        <v>96.42</v>
      </c>
      <c r="AH81" s="8">
        <v>94.23</v>
      </c>
      <c r="AI81" s="8">
        <v>95.17</v>
      </c>
      <c r="AJ81" s="8">
        <v>93.62</v>
      </c>
      <c r="AK81" s="8">
        <v>92.09</v>
      </c>
      <c r="AL81" s="8">
        <v>80.63</v>
      </c>
      <c r="AM81" s="8">
        <v>94.3</v>
      </c>
      <c r="AN81" s="8">
        <v>96.71</v>
      </c>
      <c r="AO81" s="8">
        <v>91.91</v>
      </c>
      <c r="AP81" s="8">
        <v>88.67</v>
      </c>
      <c r="AQ81" s="8">
        <v>97.38</v>
      </c>
      <c r="AR81" s="8">
        <v>94.39</v>
      </c>
      <c r="AS81" s="8">
        <v>85.18</v>
      </c>
      <c r="AT81" s="8">
        <v>96.68</v>
      </c>
      <c r="AZ81" s="8">
        <v>94.06</v>
      </c>
      <c r="BB81" s="8">
        <v>88.77</v>
      </c>
      <c r="BC81" s="8">
        <v>73.5</v>
      </c>
      <c r="BD81" s="8">
        <v>73.5</v>
      </c>
      <c r="BR81" s="8">
        <v>88.55</v>
      </c>
      <c r="BS81" s="8">
        <v>88.55</v>
      </c>
      <c r="BT81" s="8">
        <v>94.13</v>
      </c>
      <c r="BU81" s="8">
        <v>94.13</v>
      </c>
      <c r="BX81" s="8">
        <v>83.08</v>
      </c>
      <c r="CA81" s="8">
        <v>78.17</v>
      </c>
      <c r="CB81" s="8">
        <v>99.14</v>
      </c>
      <c r="CN81" s="8">
        <v>101.08</v>
      </c>
      <c r="CO81" s="8">
        <v>100.59</v>
      </c>
      <c r="CP81" s="8">
        <v>98.32</v>
      </c>
      <c r="CQ81" s="8">
        <v>102.88</v>
      </c>
      <c r="DG81" s="8">
        <v>99.75</v>
      </c>
      <c r="DN81" s="8">
        <v>90.95</v>
      </c>
      <c r="DW81" s="8">
        <v>93.8</v>
      </c>
      <c r="DX81" s="8">
        <v>93.59</v>
      </c>
      <c r="DY81" s="8">
        <v>93.45</v>
      </c>
      <c r="EC81" s="8">
        <v>101.44</v>
      </c>
      <c r="EJ81" s="8">
        <v>88.03</v>
      </c>
      <c r="EK81" s="8">
        <v>90.42</v>
      </c>
      <c r="EO81" s="8">
        <v>91.6</v>
      </c>
      <c r="EP81" s="8">
        <v>91.4</v>
      </c>
      <c r="EQ81" s="8">
        <v>91.63</v>
      </c>
      <c r="ET81" s="8">
        <v>93.91</v>
      </c>
      <c r="EU81" s="8">
        <v>96.48</v>
      </c>
      <c r="EV81" s="8">
        <v>90.62</v>
      </c>
      <c r="EW81" s="8">
        <v>94.69</v>
      </c>
      <c r="EX81" s="8">
        <v>97.56</v>
      </c>
      <c r="EY81" s="8">
        <v>96.17</v>
      </c>
      <c r="EZ81" s="8">
        <v>95.38</v>
      </c>
      <c r="FA81" s="8">
        <v>93.24</v>
      </c>
      <c r="FB81" s="8">
        <v>87.77</v>
      </c>
      <c r="FC81" s="8">
        <v>98.99</v>
      </c>
      <c r="FD81" s="8">
        <v>100.17</v>
      </c>
      <c r="FE81" s="8">
        <v>96.13</v>
      </c>
      <c r="FF81" s="8">
        <v>98.08</v>
      </c>
      <c r="FG81" s="8">
        <v>96.29</v>
      </c>
      <c r="FH81" s="8">
        <v>102.13</v>
      </c>
      <c r="FI81" s="8">
        <v>96.19</v>
      </c>
      <c r="FJ81" s="8">
        <v>94.03</v>
      </c>
      <c r="FK81" s="8">
        <v>95.47</v>
      </c>
      <c r="FL81" s="8">
        <v>93.02</v>
      </c>
      <c r="FM81" s="8">
        <v>91.68</v>
      </c>
      <c r="FN81" s="8">
        <v>82.83</v>
      </c>
      <c r="FO81" s="8">
        <v>93.89</v>
      </c>
      <c r="FP81" s="8">
        <v>95.82</v>
      </c>
      <c r="FQ81" s="8">
        <v>91.87</v>
      </c>
      <c r="FR81" s="8">
        <v>88.3</v>
      </c>
      <c r="FS81" s="8">
        <v>96.73</v>
      </c>
      <c r="FT81" s="8">
        <v>92.14</v>
      </c>
      <c r="FU81" s="8">
        <v>84</v>
      </c>
      <c r="FV81" s="8">
        <v>94.82</v>
      </c>
      <c r="GB81" s="8">
        <v>91.81</v>
      </c>
      <c r="GD81" s="8">
        <v>90.68</v>
      </c>
      <c r="GE81" s="8">
        <v>72.709999999999994</v>
      </c>
      <c r="GF81" s="8">
        <v>72.709999999999994</v>
      </c>
      <c r="GT81" s="8">
        <v>89.98</v>
      </c>
      <c r="GU81" s="8">
        <v>89.98</v>
      </c>
      <c r="GV81" s="8">
        <v>92.39</v>
      </c>
      <c r="GW81" s="8">
        <v>92.39</v>
      </c>
      <c r="GZ81" s="8">
        <v>84.39</v>
      </c>
      <c r="HC81" s="8">
        <v>111.48</v>
      </c>
      <c r="HD81" s="8">
        <v>92.33</v>
      </c>
      <c r="HP81" s="8">
        <v>98.63</v>
      </c>
      <c r="HQ81" s="8">
        <v>99.7</v>
      </c>
      <c r="HR81" s="8">
        <v>99.25</v>
      </c>
      <c r="HS81" s="8">
        <v>98.09</v>
      </c>
      <c r="II81" s="8">
        <v>100.21</v>
      </c>
      <c r="IP81" s="8">
        <v>90.95</v>
      </c>
    </row>
    <row r="82" spans="1:251" x14ac:dyDescent="0.2">
      <c r="A82" s="9">
        <v>45139</v>
      </c>
      <c r="H82" s="8">
        <v>88.51</v>
      </c>
      <c r="I82" s="8">
        <v>90.04</v>
      </c>
      <c r="M82" s="8">
        <v>91.68</v>
      </c>
      <c r="N82" s="8">
        <v>92.39</v>
      </c>
      <c r="O82" s="8">
        <v>91.63</v>
      </c>
      <c r="R82" s="8">
        <v>95.7</v>
      </c>
      <c r="S82" s="8">
        <v>96.73</v>
      </c>
      <c r="T82" s="8">
        <v>94.32</v>
      </c>
      <c r="U82" s="8">
        <v>96.44</v>
      </c>
      <c r="V82" s="8">
        <v>98.08</v>
      </c>
      <c r="W82" s="8">
        <v>96.45</v>
      </c>
      <c r="X82" s="8">
        <v>95.09</v>
      </c>
      <c r="Y82" s="8">
        <v>93.18</v>
      </c>
      <c r="Z82" s="8">
        <v>87.29</v>
      </c>
      <c r="AA82" s="8">
        <v>99.35</v>
      </c>
      <c r="AB82" s="8">
        <v>101.46</v>
      </c>
      <c r="AC82" s="8">
        <v>98.3</v>
      </c>
      <c r="AD82" s="8">
        <v>98.46</v>
      </c>
      <c r="AE82" s="8">
        <v>97.48</v>
      </c>
      <c r="AF82" s="8">
        <v>101.45</v>
      </c>
      <c r="AG82" s="8">
        <v>97.09</v>
      </c>
      <c r="AH82" s="8">
        <v>93.3</v>
      </c>
      <c r="AI82" s="8">
        <v>92.86</v>
      </c>
      <c r="AJ82" s="8">
        <v>93.69</v>
      </c>
      <c r="AK82" s="8">
        <v>92.28</v>
      </c>
      <c r="AL82" s="8">
        <v>80.709999999999994</v>
      </c>
      <c r="AM82" s="8">
        <v>95.36</v>
      </c>
      <c r="AN82" s="8">
        <v>97.39</v>
      </c>
      <c r="AO82" s="8">
        <v>93.75</v>
      </c>
      <c r="AP82" s="8">
        <v>88.16</v>
      </c>
      <c r="AQ82" s="8">
        <v>97.58</v>
      </c>
      <c r="AR82" s="8">
        <v>93.99</v>
      </c>
      <c r="AS82" s="8">
        <v>84.98</v>
      </c>
      <c r="AT82" s="8">
        <v>96.23</v>
      </c>
      <c r="AZ82" s="8">
        <v>94.52</v>
      </c>
      <c r="BB82" s="8">
        <v>90.74</v>
      </c>
      <c r="BC82" s="8">
        <v>73.849999999999994</v>
      </c>
      <c r="BD82" s="8">
        <v>73.849999999999994</v>
      </c>
      <c r="BR82" s="8">
        <v>89.28</v>
      </c>
      <c r="BS82" s="8">
        <v>89.28</v>
      </c>
      <c r="BT82" s="8">
        <v>93.95</v>
      </c>
      <c r="BU82" s="8">
        <v>93.95</v>
      </c>
      <c r="BX82" s="8">
        <v>83.08</v>
      </c>
      <c r="CA82" s="8">
        <v>79.989999999999995</v>
      </c>
      <c r="CB82" s="8">
        <v>100.09</v>
      </c>
      <c r="CN82" s="8">
        <v>101.31</v>
      </c>
      <c r="CO82" s="8">
        <v>100.31</v>
      </c>
      <c r="CP82" s="8">
        <v>98.83</v>
      </c>
      <c r="CQ82" s="8">
        <v>103.04</v>
      </c>
      <c r="DG82" s="8">
        <v>108.45</v>
      </c>
      <c r="DN82" s="8">
        <v>93.58</v>
      </c>
      <c r="DW82" s="8">
        <v>91.5</v>
      </c>
      <c r="DX82" s="8">
        <v>91.64</v>
      </c>
      <c r="DY82" s="8">
        <v>90.8</v>
      </c>
      <c r="EC82" s="8">
        <v>100.23</v>
      </c>
      <c r="EJ82" s="8">
        <v>88.03</v>
      </c>
      <c r="EK82" s="8">
        <v>90.21</v>
      </c>
      <c r="EO82" s="8">
        <v>91.74</v>
      </c>
      <c r="EP82" s="8">
        <v>92.39</v>
      </c>
      <c r="EQ82" s="8">
        <v>91.63</v>
      </c>
      <c r="ET82" s="8">
        <v>95.6</v>
      </c>
      <c r="EU82" s="8">
        <v>96.64</v>
      </c>
      <c r="EV82" s="8">
        <v>93.98</v>
      </c>
      <c r="EW82" s="8">
        <v>96.23</v>
      </c>
      <c r="EX82" s="8">
        <v>98.33</v>
      </c>
      <c r="EY82" s="8">
        <v>96.49</v>
      </c>
      <c r="EZ82" s="8">
        <v>95.61</v>
      </c>
      <c r="FA82" s="8">
        <v>93.59</v>
      </c>
      <c r="FB82" s="8">
        <v>86.45</v>
      </c>
      <c r="FC82" s="8">
        <v>99.39</v>
      </c>
      <c r="FD82" s="8">
        <v>101.07</v>
      </c>
      <c r="FE82" s="8">
        <v>97.02</v>
      </c>
      <c r="FF82" s="8">
        <v>97.88</v>
      </c>
      <c r="FG82" s="8">
        <v>96.4</v>
      </c>
      <c r="FH82" s="8">
        <v>101.16</v>
      </c>
      <c r="FI82" s="8">
        <v>96.41</v>
      </c>
      <c r="FJ82" s="8">
        <v>93.1</v>
      </c>
      <c r="FK82" s="8">
        <v>92.76</v>
      </c>
      <c r="FL82" s="8">
        <v>93.31</v>
      </c>
      <c r="FM82" s="8">
        <v>91.87</v>
      </c>
      <c r="FN82" s="8">
        <v>83.31</v>
      </c>
      <c r="FO82" s="8">
        <v>95.16</v>
      </c>
      <c r="FP82" s="8">
        <v>96.67</v>
      </c>
      <c r="FQ82" s="8">
        <v>93.42</v>
      </c>
      <c r="FR82" s="8">
        <v>87.79</v>
      </c>
      <c r="FS82" s="8">
        <v>96.91</v>
      </c>
      <c r="FT82" s="8">
        <v>91.93</v>
      </c>
      <c r="FU82" s="8">
        <v>84.21</v>
      </c>
      <c r="FV82" s="8">
        <v>94.47</v>
      </c>
      <c r="GB82" s="8">
        <v>93.14</v>
      </c>
      <c r="GD82" s="8">
        <v>92.8</v>
      </c>
      <c r="GE82" s="8">
        <v>72.959999999999994</v>
      </c>
      <c r="GF82" s="8">
        <v>72.959999999999994</v>
      </c>
      <c r="GT82" s="8">
        <v>90.5</v>
      </c>
      <c r="GU82" s="8">
        <v>90.5</v>
      </c>
      <c r="GV82" s="8">
        <v>91.83</v>
      </c>
      <c r="GW82" s="8">
        <v>91.83</v>
      </c>
      <c r="GZ82" s="8">
        <v>84.39</v>
      </c>
      <c r="HC82" s="8">
        <v>111.48</v>
      </c>
      <c r="HD82" s="8">
        <v>93.45</v>
      </c>
      <c r="HP82" s="8">
        <v>98.8</v>
      </c>
      <c r="HQ82" s="8">
        <v>99.33</v>
      </c>
      <c r="HR82" s="8">
        <v>99.42</v>
      </c>
      <c r="HS82" s="8">
        <v>98.35</v>
      </c>
      <c r="II82" s="8">
        <v>110.14</v>
      </c>
      <c r="IP82" s="8">
        <v>93.58</v>
      </c>
    </row>
    <row r="83" spans="1:251" x14ac:dyDescent="0.2">
      <c r="A83" s="9">
        <v>45170</v>
      </c>
      <c r="H83" s="8">
        <v>88.51</v>
      </c>
      <c r="I83" s="8">
        <v>90.04</v>
      </c>
      <c r="M83" s="8">
        <v>93.39</v>
      </c>
      <c r="N83" s="8">
        <v>94.34</v>
      </c>
      <c r="O83" s="8">
        <v>93.32</v>
      </c>
      <c r="R83" s="8">
        <v>96.19</v>
      </c>
      <c r="S83" s="8">
        <v>96.93</v>
      </c>
      <c r="T83" s="8">
        <v>94.63</v>
      </c>
      <c r="U83" s="8">
        <v>98.64</v>
      </c>
      <c r="V83" s="8">
        <v>99.21</v>
      </c>
      <c r="W83" s="8">
        <v>95.95</v>
      </c>
      <c r="X83" s="8">
        <v>93.48</v>
      </c>
      <c r="Y83" s="8">
        <v>93.95</v>
      </c>
      <c r="Z83" s="8">
        <v>82.63</v>
      </c>
      <c r="AA83" s="8">
        <v>99.23</v>
      </c>
      <c r="AB83" s="8">
        <v>101.05</v>
      </c>
      <c r="AC83" s="8">
        <v>100.51</v>
      </c>
      <c r="AD83" s="8">
        <v>98.06</v>
      </c>
      <c r="AE83" s="8">
        <v>96.84</v>
      </c>
      <c r="AF83" s="8">
        <v>101.71</v>
      </c>
      <c r="AG83" s="8">
        <v>96.43</v>
      </c>
      <c r="AH83" s="8">
        <v>90.75</v>
      </c>
      <c r="AI83" s="8">
        <v>89.17</v>
      </c>
      <c r="AJ83" s="8">
        <v>91.96</v>
      </c>
      <c r="AK83" s="8">
        <v>92.68</v>
      </c>
      <c r="AL83" s="8">
        <v>82.47</v>
      </c>
      <c r="AM83" s="8">
        <v>95.16</v>
      </c>
      <c r="AN83" s="8">
        <v>97.36</v>
      </c>
      <c r="AO83" s="8">
        <v>92.63</v>
      </c>
      <c r="AP83" s="8">
        <v>89.21</v>
      </c>
      <c r="AQ83" s="8">
        <v>97.57</v>
      </c>
      <c r="AR83" s="8">
        <v>93.76</v>
      </c>
      <c r="AS83" s="8">
        <v>85.93</v>
      </c>
      <c r="AT83" s="8">
        <v>95.7</v>
      </c>
      <c r="AZ83" s="8">
        <v>94.55</v>
      </c>
      <c r="BB83" s="8">
        <v>91.65</v>
      </c>
      <c r="BC83" s="8">
        <v>77.709999999999994</v>
      </c>
      <c r="BD83" s="8">
        <v>77.709999999999994</v>
      </c>
      <c r="BR83" s="8">
        <v>89.32</v>
      </c>
      <c r="BS83" s="8">
        <v>89.32</v>
      </c>
      <c r="BT83" s="8">
        <v>94.4</v>
      </c>
      <c r="BU83" s="8">
        <v>94.4</v>
      </c>
      <c r="BX83" s="8">
        <v>87.28</v>
      </c>
      <c r="CA83" s="8">
        <v>79.09</v>
      </c>
      <c r="CB83" s="8">
        <v>98.31</v>
      </c>
      <c r="CN83" s="8">
        <v>100.84</v>
      </c>
      <c r="CO83" s="8">
        <v>101.13</v>
      </c>
      <c r="CP83" s="8">
        <v>99.1</v>
      </c>
      <c r="CQ83" s="8">
        <v>101.86</v>
      </c>
      <c r="DG83" s="8">
        <v>110.99</v>
      </c>
      <c r="DN83" s="8">
        <v>94.06</v>
      </c>
      <c r="DW83" s="8">
        <v>94.99</v>
      </c>
      <c r="DX83" s="8">
        <v>94.97</v>
      </c>
      <c r="DY83" s="8">
        <v>94.44</v>
      </c>
      <c r="EC83" s="8">
        <v>100.1</v>
      </c>
      <c r="EJ83" s="8">
        <v>88.03</v>
      </c>
      <c r="EK83" s="8">
        <v>90.21</v>
      </c>
      <c r="EO83" s="8">
        <v>93.32</v>
      </c>
      <c r="EP83" s="8">
        <v>94.34</v>
      </c>
      <c r="EQ83" s="8">
        <v>93.15</v>
      </c>
      <c r="ET83" s="8">
        <v>96.03</v>
      </c>
      <c r="EU83" s="8">
        <v>97.07</v>
      </c>
      <c r="EV83" s="8">
        <v>94.18</v>
      </c>
      <c r="EW83" s="8">
        <v>98.24</v>
      </c>
      <c r="EX83" s="8">
        <v>98.63</v>
      </c>
      <c r="EY83" s="8">
        <v>96.07</v>
      </c>
      <c r="EZ83" s="8">
        <v>94.45</v>
      </c>
      <c r="FA83" s="8">
        <v>94.23</v>
      </c>
      <c r="FB83" s="8">
        <v>82.27</v>
      </c>
      <c r="FC83" s="8">
        <v>99.33</v>
      </c>
      <c r="FD83" s="8">
        <v>100.84</v>
      </c>
      <c r="FE83" s="8">
        <v>99.22</v>
      </c>
      <c r="FF83" s="8">
        <v>97.61</v>
      </c>
      <c r="FG83" s="8">
        <v>95.94</v>
      </c>
      <c r="FH83" s="8">
        <v>101.34</v>
      </c>
      <c r="FI83" s="8">
        <v>95.9</v>
      </c>
      <c r="FJ83" s="8">
        <v>90.51</v>
      </c>
      <c r="FK83" s="8">
        <v>88.37</v>
      </c>
      <c r="FL83" s="8">
        <v>91.95</v>
      </c>
      <c r="FM83" s="8">
        <v>92.45</v>
      </c>
      <c r="FN83" s="8">
        <v>85.15</v>
      </c>
      <c r="FO83" s="8">
        <v>94.97</v>
      </c>
      <c r="FP83" s="8">
        <v>96.67</v>
      </c>
      <c r="FQ83" s="8">
        <v>92.89</v>
      </c>
      <c r="FR83" s="8">
        <v>89.16</v>
      </c>
      <c r="FS83" s="8">
        <v>96.78</v>
      </c>
      <c r="FT83" s="8">
        <v>91.83</v>
      </c>
      <c r="FU83" s="8">
        <v>84.91</v>
      </c>
      <c r="FV83" s="8">
        <v>94.09</v>
      </c>
      <c r="GB83" s="8">
        <v>94.03</v>
      </c>
      <c r="GD83" s="8">
        <v>93.3</v>
      </c>
      <c r="GE83" s="8">
        <v>76.78</v>
      </c>
      <c r="GF83" s="8">
        <v>76.78</v>
      </c>
      <c r="GT83" s="8">
        <v>90.3</v>
      </c>
      <c r="GU83" s="8">
        <v>90.3</v>
      </c>
      <c r="GV83" s="8">
        <v>92.26</v>
      </c>
      <c r="GW83" s="8">
        <v>92.26</v>
      </c>
      <c r="GZ83" s="8">
        <v>90.39</v>
      </c>
      <c r="HC83" s="8">
        <v>111.48</v>
      </c>
      <c r="HD83" s="8">
        <v>91.67</v>
      </c>
      <c r="HP83" s="8">
        <v>98.43</v>
      </c>
      <c r="HQ83" s="8">
        <v>100.42</v>
      </c>
      <c r="HR83" s="8">
        <v>99.72</v>
      </c>
      <c r="HS83" s="8">
        <v>97.33</v>
      </c>
      <c r="II83" s="8">
        <v>116.14</v>
      </c>
      <c r="IP83" s="8">
        <v>94.06</v>
      </c>
    </row>
    <row r="84" spans="1:251" x14ac:dyDescent="0.2">
      <c r="A84" s="9">
        <v>45200</v>
      </c>
      <c r="H84" s="8">
        <v>88.51</v>
      </c>
      <c r="I84" s="8">
        <v>90.04</v>
      </c>
      <c r="M84" s="8">
        <v>93.4</v>
      </c>
      <c r="N84" s="8">
        <v>94.42</v>
      </c>
      <c r="O84" s="8">
        <v>93.32</v>
      </c>
      <c r="R84" s="8">
        <v>96.33</v>
      </c>
      <c r="S84" s="8">
        <v>96.97</v>
      </c>
      <c r="T84" s="8">
        <v>95.14</v>
      </c>
      <c r="U84" s="8">
        <v>98.55</v>
      </c>
      <c r="V84" s="8">
        <v>98.24</v>
      </c>
      <c r="W84" s="8">
        <v>96.27</v>
      </c>
      <c r="X84" s="8">
        <v>93.71</v>
      </c>
      <c r="Y84" s="8">
        <v>96.53</v>
      </c>
      <c r="Z84" s="8">
        <v>80.66</v>
      </c>
      <c r="AA84" s="8">
        <v>98.44</v>
      </c>
      <c r="AB84" s="8">
        <v>102.09</v>
      </c>
      <c r="AC84" s="8">
        <v>100.56</v>
      </c>
      <c r="AD84" s="8">
        <v>98.59</v>
      </c>
      <c r="AE84" s="8">
        <v>98.19</v>
      </c>
      <c r="AF84" s="8">
        <v>101.13</v>
      </c>
      <c r="AG84" s="8">
        <v>96.75</v>
      </c>
      <c r="AH84" s="8">
        <v>91.64</v>
      </c>
      <c r="AI84" s="8">
        <v>93.11</v>
      </c>
      <c r="AJ84" s="8">
        <v>90.63</v>
      </c>
      <c r="AK84" s="8">
        <v>92.87</v>
      </c>
      <c r="AL84" s="8">
        <v>84.44</v>
      </c>
      <c r="AM84" s="8">
        <v>96.33</v>
      </c>
      <c r="AN84" s="8">
        <v>97.61</v>
      </c>
      <c r="AO84" s="8">
        <v>92.8</v>
      </c>
      <c r="AP84" s="8">
        <v>88.68</v>
      </c>
      <c r="AQ84" s="8">
        <v>98.19</v>
      </c>
      <c r="AR84" s="8">
        <v>92.66</v>
      </c>
      <c r="AS84" s="8">
        <v>85.45</v>
      </c>
      <c r="AT84" s="8">
        <v>94.44</v>
      </c>
      <c r="AZ84" s="8">
        <v>93.58</v>
      </c>
      <c r="BB84" s="8">
        <v>92.06</v>
      </c>
      <c r="BC84" s="8">
        <v>80.36</v>
      </c>
      <c r="BD84" s="8">
        <v>80.36</v>
      </c>
      <c r="BR84" s="8">
        <v>88.75</v>
      </c>
      <c r="BS84" s="8">
        <v>88.75</v>
      </c>
      <c r="BT84" s="8">
        <v>94.33</v>
      </c>
      <c r="BU84" s="8">
        <v>94.33</v>
      </c>
      <c r="BX84" s="8">
        <v>87.28</v>
      </c>
      <c r="CA84" s="8">
        <v>79.790000000000006</v>
      </c>
      <c r="CB84" s="8">
        <v>96.9</v>
      </c>
      <c r="CN84" s="8">
        <v>99.32</v>
      </c>
      <c r="CO84" s="8">
        <v>101.13</v>
      </c>
      <c r="CP84" s="8">
        <v>96.57</v>
      </c>
      <c r="CQ84" s="8">
        <v>100.67</v>
      </c>
      <c r="DG84" s="8">
        <v>113.34</v>
      </c>
      <c r="DN84" s="8">
        <v>94.42</v>
      </c>
      <c r="DW84" s="8">
        <v>87.12</v>
      </c>
      <c r="DX84" s="8">
        <v>90.44</v>
      </c>
      <c r="DY84" s="8">
        <v>83.3</v>
      </c>
      <c r="EC84" s="8">
        <v>98.9</v>
      </c>
      <c r="EJ84" s="8">
        <v>88.03</v>
      </c>
      <c r="EK84" s="8">
        <v>90.21</v>
      </c>
      <c r="EO84" s="8">
        <v>93.33</v>
      </c>
      <c r="EP84" s="8">
        <v>94.42</v>
      </c>
      <c r="EQ84" s="8">
        <v>93.15</v>
      </c>
      <c r="ET84" s="8">
        <v>96.53</v>
      </c>
      <c r="EU84" s="8">
        <v>97.29</v>
      </c>
      <c r="EV84" s="8">
        <v>95.18</v>
      </c>
      <c r="EW84" s="8">
        <v>98.33</v>
      </c>
      <c r="EX84" s="8">
        <v>98.44</v>
      </c>
      <c r="EY84" s="8">
        <v>96.07</v>
      </c>
      <c r="EZ84" s="8">
        <v>94.18</v>
      </c>
      <c r="FA84" s="8">
        <v>95.92</v>
      </c>
      <c r="FB84" s="8">
        <v>80.489999999999995</v>
      </c>
      <c r="FC84" s="8">
        <v>98.5</v>
      </c>
      <c r="FD84" s="8">
        <v>101.72</v>
      </c>
      <c r="FE84" s="8">
        <v>99.4</v>
      </c>
      <c r="FF84" s="8">
        <v>98.23</v>
      </c>
      <c r="FG84" s="8">
        <v>97.32</v>
      </c>
      <c r="FH84" s="8">
        <v>100.93</v>
      </c>
      <c r="FI84" s="8">
        <v>96.51</v>
      </c>
      <c r="FJ84" s="8">
        <v>90.25</v>
      </c>
      <c r="FK84" s="8">
        <v>90.76</v>
      </c>
      <c r="FL84" s="8">
        <v>89.89</v>
      </c>
      <c r="FM84" s="8">
        <v>92.67</v>
      </c>
      <c r="FN84" s="8">
        <v>86.77</v>
      </c>
      <c r="FO84" s="8">
        <v>96.03</v>
      </c>
      <c r="FP84" s="8">
        <v>97.32</v>
      </c>
      <c r="FQ84" s="8">
        <v>93.03</v>
      </c>
      <c r="FR84" s="8">
        <v>88.5</v>
      </c>
      <c r="FS84" s="8">
        <v>97.71</v>
      </c>
      <c r="FT84" s="8">
        <v>91.54</v>
      </c>
      <c r="FU84" s="8">
        <v>84.6</v>
      </c>
      <c r="FV84" s="8">
        <v>93.81</v>
      </c>
      <c r="GB84" s="8">
        <v>92.61</v>
      </c>
      <c r="GD84" s="8">
        <v>92.84</v>
      </c>
      <c r="GE84" s="8">
        <v>79.22</v>
      </c>
      <c r="GF84" s="8">
        <v>79.22</v>
      </c>
      <c r="GT84" s="8">
        <v>89.24</v>
      </c>
      <c r="GU84" s="8">
        <v>89.24</v>
      </c>
      <c r="GV84" s="8">
        <v>92.28</v>
      </c>
      <c r="GW84" s="8">
        <v>92.28</v>
      </c>
      <c r="GZ84" s="8">
        <v>90.39</v>
      </c>
      <c r="HC84" s="8">
        <v>108.79</v>
      </c>
      <c r="HD84" s="8">
        <v>91.67</v>
      </c>
      <c r="HP84" s="8">
        <v>97</v>
      </c>
      <c r="HQ84" s="8">
        <v>100.56</v>
      </c>
      <c r="HR84" s="8">
        <v>97.32</v>
      </c>
      <c r="HS84" s="8">
        <v>96.25</v>
      </c>
      <c r="II84" s="8">
        <v>112.89</v>
      </c>
      <c r="IP84" s="8">
        <v>94.42</v>
      </c>
    </row>
    <row r="85" spans="1:251" x14ac:dyDescent="0.2">
      <c r="A85" s="9">
        <v>45231</v>
      </c>
      <c r="H85" s="8">
        <v>88.51</v>
      </c>
      <c r="I85" s="8">
        <v>90.04</v>
      </c>
      <c r="M85" s="8">
        <v>93.42</v>
      </c>
      <c r="N85" s="8">
        <v>94.81</v>
      </c>
      <c r="O85" s="8">
        <v>93.32</v>
      </c>
      <c r="R85" s="8">
        <v>96.93</v>
      </c>
      <c r="S85" s="8">
        <v>97.21</v>
      </c>
      <c r="T85" s="8">
        <v>95.47</v>
      </c>
      <c r="U85" s="8">
        <v>102.23</v>
      </c>
      <c r="V85" s="8">
        <v>98.93</v>
      </c>
      <c r="W85" s="8">
        <v>95.48</v>
      </c>
      <c r="X85" s="8">
        <v>93.15</v>
      </c>
      <c r="Y85" s="8">
        <v>97.46</v>
      </c>
      <c r="Z85" s="8">
        <v>74.7</v>
      </c>
      <c r="AA85" s="8">
        <v>97.48</v>
      </c>
      <c r="AB85" s="8">
        <v>101.73</v>
      </c>
      <c r="AC85" s="8">
        <v>100.87</v>
      </c>
      <c r="AD85" s="8">
        <v>98.3</v>
      </c>
      <c r="AE85" s="8">
        <v>97.76</v>
      </c>
      <c r="AF85" s="8">
        <v>101.1</v>
      </c>
      <c r="AG85" s="8">
        <v>96.43</v>
      </c>
      <c r="AH85" s="8">
        <v>93.8</v>
      </c>
      <c r="AI85" s="8">
        <v>93.66</v>
      </c>
      <c r="AJ85" s="8">
        <v>93.97</v>
      </c>
      <c r="AK85" s="8">
        <v>93.69</v>
      </c>
      <c r="AL85" s="8">
        <v>84.28</v>
      </c>
      <c r="AM85" s="8">
        <v>96.53</v>
      </c>
      <c r="AN85" s="8">
        <v>96.71</v>
      </c>
      <c r="AO85" s="8">
        <v>94.38</v>
      </c>
      <c r="AP85" s="8">
        <v>89.96</v>
      </c>
      <c r="AQ85" s="8">
        <v>99.25</v>
      </c>
      <c r="AR85" s="8">
        <v>92.46</v>
      </c>
      <c r="AS85" s="8">
        <v>85.15</v>
      </c>
      <c r="AT85" s="8">
        <v>94.26</v>
      </c>
      <c r="AZ85" s="8">
        <v>93.89</v>
      </c>
      <c r="BB85" s="8">
        <v>92.01</v>
      </c>
      <c r="BC85" s="8">
        <v>80.56</v>
      </c>
      <c r="BD85" s="8">
        <v>80.56</v>
      </c>
      <c r="BR85" s="8">
        <v>89.42</v>
      </c>
      <c r="BS85" s="8">
        <v>89.42</v>
      </c>
      <c r="BT85" s="8">
        <v>94.69</v>
      </c>
      <c r="BU85" s="8">
        <v>94.69</v>
      </c>
      <c r="BX85" s="8">
        <v>87.28</v>
      </c>
      <c r="CA85" s="8">
        <v>79.790000000000006</v>
      </c>
      <c r="CB85" s="8">
        <v>96.9</v>
      </c>
      <c r="CN85" s="8">
        <v>99.25</v>
      </c>
      <c r="CO85" s="8">
        <v>100.95</v>
      </c>
      <c r="CP85" s="8">
        <v>96.93</v>
      </c>
      <c r="CQ85" s="8">
        <v>100.35</v>
      </c>
      <c r="DG85" s="8">
        <v>107.17</v>
      </c>
      <c r="DN85" s="8">
        <v>95</v>
      </c>
      <c r="DW85" s="8">
        <v>89.32</v>
      </c>
      <c r="DX85" s="8">
        <v>91.64</v>
      </c>
      <c r="DY85" s="8">
        <v>86.49</v>
      </c>
      <c r="EC85" s="8">
        <v>99.52</v>
      </c>
      <c r="EJ85" s="8">
        <v>88.03</v>
      </c>
      <c r="EK85" s="8">
        <v>90.21</v>
      </c>
      <c r="EO85" s="8">
        <v>93.38</v>
      </c>
      <c r="EP85" s="8">
        <v>94.81</v>
      </c>
      <c r="EQ85" s="8">
        <v>93.15</v>
      </c>
      <c r="ET85" s="8">
        <v>96.95</v>
      </c>
      <c r="EU85" s="8">
        <v>97.48</v>
      </c>
      <c r="EV85" s="8">
        <v>95.21</v>
      </c>
      <c r="EW85" s="8">
        <v>102.02</v>
      </c>
      <c r="EX85" s="8">
        <v>99.06</v>
      </c>
      <c r="EY85" s="8">
        <v>95.34</v>
      </c>
      <c r="EZ85" s="8">
        <v>94.12</v>
      </c>
      <c r="FA85" s="8">
        <v>96.82</v>
      </c>
      <c r="FB85" s="8">
        <v>75.05</v>
      </c>
      <c r="FC85" s="8">
        <v>97.49</v>
      </c>
      <c r="FD85" s="8">
        <v>101.51</v>
      </c>
      <c r="FE85" s="8">
        <v>99.74</v>
      </c>
      <c r="FF85" s="8">
        <v>98.16</v>
      </c>
      <c r="FG85" s="8">
        <v>97.17</v>
      </c>
      <c r="FH85" s="8">
        <v>100.98</v>
      </c>
      <c r="FI85" s="8">
        <v>96.45</v>
      </c>
      <c r="FJ85" s="8">
        <v>90.8</v>
      </c>
      <c r="FK85" s="8">
        <v>90.13</v>
      </c>
      <c r="FL85" s="8">
        <v>91.23</v>
      </c>
      <c r="FM85" s="8">
        <v>93.69</v>
      </c>
      <c r="FN85" s="8">
        <v>86.12</v>
      </c>
      <c r="FO85" s="8">
        <v>96.18</v>
      </c>
      <c r="FP85" s="8">
        <v>96.59</v>
      </c>
      <c r="FQ85" s="8">
        <v>94.06</v>
      </c>
      <c r="FR85" s="8">
        <v>90.22</v>
      </c>
      <c r="FS85" s="8">
        <v>99.13</v>
      </c>
      <c r="FT85" s="8">
        <v>91.68</v>
      </c>
      <c r="FU85" s="8">
        <v>84.7</v>
      </c>
      <c r="FV85" s="8">
        <v>93.97</v>
      </c>
      <c r="GB85" s="8">
        <v>92.76</v>
      </c>
      <c r="GD85" s="8">
        <v>93.12</v>
      </c>
      <c r="GE85" s="8">
        <v>79.33</v>
      </c>
      <c r="GF85" s="8">
        <v>79.33</v>
      </c>
      <c r="GT85" s="8">
        <v>89.87</v>
      </c>
      <c r="GU85" s="8">
        <v>89.87</v>
      </c>
      <c r="GV85" s="8">
        <v>93.94</v>
      </c>
      <c r="GW85" s="8">
        <v>93.94</v>
      </c>
      <c r="GZ85" s="8">
        <v>90.39</v>
      </c>
      <c r="HC85" s="8">
        <v>108.79</v>
      </c>
      <c r="HD85" s="8">
        <v>91.67</v>
      </c>
      <c r="HP85" s="8">
        <v>97.15</v>
      </c>
      <c r="HQ85" s="8">
        <v>100.18</v>
      </c>
      <c r="HR85" s="8">
        <v>97.7</v>
      </c>
      <c r="HS85" s="8">
        <v>96.35</v>
      </c>
      <c r="II85" s="8">
        <v>112.33</v>
      </c>
      <c r="IP85" s="8">
        <v>95</v>
      </c>
    </row>
    <row r="86" spans="1:251" x14ac:dyDescent="0.2">
      <c r="A86" s="9">
        <v>45261</v>
      </c>
      <c r="H86" s="8">
        <v>88.51</v>
      </c>
      <c r="I86" s="8">
        <v>90.04</v>
      </c>
      <c r="M86" s="8">
        <v>94.2</v>
      </c>
      <c r="N86" s="8">
        <v>95.61</v>
      </c>
      <c r="O86" s="8">
        <v>94.1</v>
      </c>
      <c r="R86" s="8">
        <v>98.11</v>
      </c>
      <c r="S86" s="8">
        <v>97.86</v>
      </c>
      <c r="T86" s="8">
        <v>96.4</v>
      </c>
      <c r="U86" s="8">
        <v>105.64</v>
      </c>
      <c r="V86" s="8">
        <v>101.5</v>
      </c>
      <c r="W86" s="8">
        <v>94.23</v>
      </c>
      <c r="X86" s="8">
        <v>92.85</v>
      </c>
      <c r="Y86" s="8">
        <v>96.62</v>
      </c>
      <c r="Z86" s="8">
        <v>70.73</v>
      </c>
      <c r="AA86" s="8">
        <v>97.22</v>
      </c>
      <c r="AB86" s="8">
        <v>98.33</v>
      </c>
      <c r="AC86" s="8">
        <v>100.77</v>
      </c>
      <c r="AD86" s="8">
        <v>99.48</v>
      </c>
      <c r="AE86" s="8">
        <v>98.74</v>
      </c>
      <c r="AF86" s="8">
        <v>101.26</v>
      </c>
      <c r="AG86" s="8">
        <v>98.92</v>
      </c>
      <c r="AH86" s="8">
        <v>95.19</v>
      </c>
      <c r="AI86" s="8">
        <v>94.07</v>
      </c>
      <c r="AJ86" s="8">
        <v>96.08</v>
      </c>
      <c r="AK86" s="8">
        <v>95.29</v>
      </c>
      <c r="AL86" s="8">
        <v>84.67</v>
      </c>
      <c r="AM86" s="8">
        <v>97.24</v>
      </c>
      <c r="AN86" s="8">
        <v>97.54</v>
      </c>
      <c r="AO86" s="8">
        <v>93.82</v>
      </c>
      <c r="AP86" s="8">
        <v>92.73</v>
      </c>
      <c r="AQ86" s="8">
        <v>100.79</v>
      </c>
      <c r="AR86" s="8">
        <v>93.03</v>
      </c>
      <c r="AS86" s="8">
        <v>87.44</v>
      </c>
      <c r="AT86" s="8">
        <v>94.4</v>
      </c>
      <c r="AZ86" s="8">
        <v>93.55</v>
      </c>
      <c r="BB86" s="8">
        <v>91.73</v>
      </c>
      <c r="BC86" s="8">
        <v>80.83</v>
      </c>
      <c r="BD86" s="8">
        <v>80.83</v>
      </c>
      <c r="BR86" s="8">
        <v>90.08</v>
      </c>
      <c r="BS86" s="8">
        <v>90.08</v>
      </c>
      <c r="BT86" s="8">
        <v>93.93</v>
      </c>
      <c r="BU86" s="8">
        <v>93.93</v>
      </c>
      <c r="BX86" s="8">
        <v>87.28</v>
      </c>
      <c r="CA86" s="8">
        <v>79.790000000000006</v>
      </c>
      <c r="CB86" s="8">
        <v>97.17</v>
      </c>
      <c r="CN86" s="8">
        <v>100.69</v>
      </c>
      <c r="CO86" s="8">
        <v>102.31</v>
      </c>
      <c r="CP86" s="8">
        <v>99.78</v>
      </c>
      <c r="CQ86" s="8">
        <v>100.92</v>
      </c>
      <c r="DG86" s="8">
        <v>99.91</v>
      </c>
      <c r="DN86" s="8">
        <v>95.39</v>
      </c>
      <c r="DW86" s="8">
        <v>106.49</v>
      </c>
      <c r="DX86" s="8">
        <v>106.85</v>
      </c>
      <c r="DY86" s="8">
        <v>105.5</v>
      </c>
      <c r="EC86" s="8">
        <v>101.33</v>
      </c>
      <c r="EJ86" s="8">
        <v>88.03</v>
      </c>
      <c r="EK86" s="8">
        <v>90.21</v>
      </c>
      <c r="EO86" s="8">
        <v>94.21</v>
      </c>
      <c r="EP86" s="8">
        <v>95.61</v>
      </c>
      <c r="EQ86" s="8">
        <v>93.97</v>
      </c>
      <c r="ET86" s="8">
        <v>97.94</v>
      </c>
      <c r="EU86" s="8">
        <v>97.71</v>
      </c>
      <c r="EV86" s="8">
        <v>96.22</v>
      </c>
      <c r="EW86" s="8">
        <v>104.99</v>
      </c>
      <c r="EX86" s="8">
        <v>101.31</v>
      </c>
      <c r="EY86" s="8">
        <v>93.89</v>
      </c>
      <c r="EZ86" s="8">
        <v>93.5</v>
      </c>
      <c r="FA86" s="8">
        <v>95.86</v>
      </c>
      <c r="FB86" s="8">
        <v>71.94</v>
      </c>
      <c r="FC86" s="8">
        <v>96.56</v>
      </c>
      <c r="FD86" s="8">
        <v>98.7</v>
      </c>
      <c r="FE86" s="8">
        <v>99.19</v>
      </c>
      <c r="FF86" s="8">
        <v>98.74</v>
      </c>
      <c r="FG86" s="8">
        <v>97.3</v>
      </c>
      <c r="FH86" s="8">
        <v>101</v>
      </c>
      <c r="FI86" s="8">
        <v>98.34</v>
      </c>
      <c r="FJ86" s="8">
        <v>91.47</v>
      </c>
      <c r="FK86" s="8">
        <v>91.18</v>
      </c>
      <c r="FL86" s="8">
        <v>91.66</v>
      </c>
      <c r="FM86" s="8">
        <v>95.14</v>
      </c>
      <c r="FN86" s="8">
        <v>85.95</v>
      </c>
      <c r="FO86" s="8">
        <v>96.89</v>
      </c>
      <c r="FP86" s="8">
        <v>97</v>
      </c>
      <c r="FQ86" s="8">
        <v>93.75</v>
      </c>
      <c r="FR86" s="8">
        <v>92.66</v>
      </c>
      <c r="FS86" s="8">
        <v>100.79</v>
      </c>
      <c r="FT86" s="8">
        <v>92.09</v>
      </c>
      <c r="FU86" s="8">
        <v>86.73</v>
      </c>
      <c r="FV86" s="8">
        <v>93.84</v>
      </c>
      <c r="GB86" s="8">
        <v>92.06</v>
      </c>
      <c r="GD86" s="8">
        <v>92.57</v>
      </c>
      <c r="GE86" s="8">
        <v>79.540000000000006</v>
      </c>
      <c r="GF86" s="8">
        <v>79.540000000000006</v>
      </c>
      <c r="GT86" s="8">
        <v>90.78</v>
      </c>
      <c r="GU86" s="8">
        <v>90.78</v>
      </c>
      <c r="GV86" s="8">
        <v>94.16</v>
      </c>
      <c r="GW86" s="8">
        <v>94.16</v>
      </c>
      <c r="GZ86" s="8">
        <v>90.39</v>
      </c>
      <c r="HC86" s="8">
        <v>108.79</v>
      </c>
      <c r="HD86" s="8">
        <v>91.37</v>
      </c>
      <c r="HP86" s="8">
        <v>98.58</v>
      </c>
      <c r="HQ86" s="8">
        <v>101.42</v>
      </c>
      <c r="HR86" s="8">
        <v>100.57</v>
      </c>
      <c r="HS86" s="8">
        <v>96.9</v>
      </c>
      <c r="II86" s="8">
        <v>104.98</v>
      </c>
      <c r="IP86" s="8">
        <v>95.39</v>
      </c>
    </row>
    <row r="87" spans="1:251" x14ac:dyDescent="0.2">
      <c r="A87" s="9">
        <v>45292</v>
      </c>
      <c r="H87" s="8">
        <v>88.51</v>
      </c>
      <c r="I87" s="8">
        <v>90.04</v>
      </c>
      <c r="M87" s="8">
        <v>94.22</v>
      </c>
      <c r="N87" s="8">
        <v>95.81</v>
      </c>
      <c r="O87" s="8">
        <v>94.1</v>
      </c>
      <c r="R87" s="8">
        <v>98.03</v>
      </c>
      <c r="S87" s="8">
        <v>98.04</v>
      </c>
      <c r="T87" s="8">
        <v>96.84</v>
      </c>
      <c r="U87" s="8">
        <v>102.06</v>
      </c>
      <c r="V87" s="8">
        <v>100.62</v>
      </c>
      <c r="W87" s="8">
        <v>94.2</v>
      </c>
      <c r="X87" s="8">
        <v>92.61</v>
      </c>
      <c r="Y87" s="8">
        <v>97.69</v>
      </c>
      <c r="Z87" s="8">
        <v>70.569999999999993</v>
      </c>
      <c r="AA87" s="8">
        <v>97.95</v>
      </c>
      <c r="AB87" s="8">
        <v>97.54</v>
      </c>
      <c r="AC87" s="8">
        <v>99.82</v>
      </c>
      <c r="AD87" s="8">
        <v>98.81</v>
      </c>
      <c r="AE87" s="8">
        <v>98.32</v>
      </c>
      <c r="AF87" s="8">
        <v>101.6</v>
      </c>
      <c r="AG87" s="8">
        <v>96.81</v>
      </c>
      <c r="AH87" s="8">
        <v>95.89</v>
      </c>
      <c r="AI87" s="8">
        <v>90.77</v>
      </c>
      <c r="AJ87" s="8">
        <v>99.85</v>
      </c>
      <c r="AK87" s="8">
        <v>96.27</v>
      </c>
      <c r="AL87" s="8">
        <v>84.63</v>
      </c>
      <c r="AM87" s="8">
        <v>96.74</v>
      </c>
      <c r="AN87" s="8">
        <v>98.93</v>
      </c>
      <c r="AO87" s="8">
        <v>95.43</v>
      </c>
      <c r="AP87" s="8">
        <v>94.77</v>
      </c>
      <c r="AQ87" s="8">
        <v>100.23</v>
      </c>
      <c r="AR87" s="8">
        <v>94.51</v>
      </c>
      <c r="AS87" s="8">
        <v>86.15</v>
      </c>
      <c r="AT87" s="8">
        <v>96.59</v>
      </c>
      <c r="AZ87" s="8">
        <v>93.65</v>
      </c>
      <c r="BB87" s="8">
        <v>92.28</v>
      </c>
      <c r="BC87" s="8">
        <v>80.94</v>
      </c>
      <c r="BD87" s="8">
        <v>80.94</v>
      </c>
      <c r="BR87" s="8">
        <v>90.94</v>
      </c>
      <c r="BS87" s="8">
        <v>90.94</v>
      </c>
      <c r="BT87" s="8">
        <v>94.54</v>
      </c>
      <c r="BU87" s="8">
        <v>94.54</v>
      </c>
      <c r="BX87" s="8">
        <v>87.28</v>
      </c>
      <c r="CA87" s="8">
        <v>79.790000000000006</v>
      </c>
      <c r="CB87" s="8">
        <v>97.17</v>
      </c>
      <c r="CN87" s="8">
        <v>100.15</v>
      </c>
      <c r="CO87" s="8">
        <v>100.16</v>
      </c>
      <c r="CP87" s="8">
        <v>99.68</v>
      </c>
      <c r="CQ87" s="8">
        <v>100.43</v>
      </c>
      <c r="DG87" s="8">
        <v>103.61</v>
      </c>
      <c r="DN87" s="8">
        <v>95.02</v>
      </c>
      <c r="DW87" s="8">
        <v>96.6</v>
      </c>
      <c r="DX87" s="8">
        <v>101.28</v>
      </c>
      <c r="DY87" s="8">
        <v>90.91</v>
      </c>
      <c r="EC87" s="8">
        <v>102.29</v>
      </c>
      <c r="EJ87" s="8">
        <v>88.03</v>
      </c>
      <c r="EK87" s="8">
        <v>90.21</v>
      </c>
      <c r="EO87" s="8">
        <v>94.24</v>
      </c>
      <c r="EP87" s="8">
        <v>95.81</v>
      </c>
      <c r="EQ87" s="8">
        <v>93.97</v>
      </c>
      <c r="ET87" s="8">
        <v>97.97</v>
      </c>
      <c r="EU87" s="8">
        <v>98.19</v>
      </c>
      <c r="EV87" s="8">
        <v>96.61</v>
      </c>
      <c r="EW87" s="8">
        <v>101.53</v>
      </c>
      <c r="EX87" s="8">
        <v>100.31</v>
      </c>
      <c r="EY87" s="8">
        <v>94.24</v>
      </c>
      <c r="EZ87" s="8">
        <v>93.42</v>
      </c>
      <c r="FA87" s="8">
        <v>96.93</v>
      </c>
      <c r="FB87" s="8">
        <v>72.709999999999994</v>
      </c>
      <c r="FC87" s="8">
        <v>98.06</v>
      </c>
      <c r="FD87" s="8">
        <v>98.26</v>
      </c>
      <c r="FE87" s="8">
        <v>98.55</v>
      </c>
      <c r="FF87" s="8">
        <v>98.45</v>
      </c>
      <c r="FG87" s="8">
        <v>96.95</v>
      </c>
      <c r="FH87" s="8">
        <v>101.62</v>
      </c>
      <c r="FI87" s="8">
        <v>97.08</v>
      </c>
      <c r="FJ87" s="8">
        <v>92.4</v>
      </c>
      <c r="FK87" s="8">
        <v>89.24</v>
      </c>
      <c r="FL87" s="8">
        <v>94.69</v>
      </c>
      <c r="FM87" s="8">
        <v>96.09</v>
      </c>
      <c r="FN87" s="8">
        <v>86.35</v>
      </c>
      <c r="FO87" s="8">
        <v>96.38</v>
      </c>
      <c r="FP87" s="8">
        <v>98.67</v>
      </c>
      <c r="FQ87" s="8">
        <v>95.87</v>
      </c>
      <c r="FR87" s="8">
        <v>94.19</v>
      </c>
      <c r="FS87" s="8">
        <v>100.27</v>
      </c>
      <c r="FT87" s="8">
        <v>93.62</v>
      </c>
      <c r="FU87" s="8">
        <v>85.5</v>
      </c>
      <c r="FV87" s="8">
        <v>96.29</v>
      </c>
      <c r="GB87" s="8">
        <v>91.61</v>
      </c>
      <c r="GD87" s="8">
        <v>93</v>
      </c>
      <c r="GE87" s="8">
        <v>79.61</v>
      </c>
      <c r="GF87" s="8">
        <v>79.61</v>
      </c>
      <c r="GT87" s="8">
        <v>91.42</v>
      </c>
      <c r="GU87" s="8">
        <v>91.42</v>
      </c>
      <c r="GV87" s="8">
        <v>94.08</v>
      </c>
      <c r="GW87" s="8">
        <v>94.08</v>
      </c>
      <c r="GZ87" s="8">
        <v>90.39</v>
      </c>
      <c r="HC87" s="8">
        <v>110.04</v>
      </c>
      <c r="HD87" s="8">
        <v>91.37</v>
      </c>
      <c r="HP87" s="8">
        <v>98.31</v>
      </c>
      <c r="HQ87" s="8">
        <v>99.63</v>
      </c>
      <c r="HR87" s="8">
        <v>100.55</v>
      </c>
      <c r="HS87" s="8">
        <v>96.71</v>
      </c>
      <c r="II87" s="8">
        <v>104.69</v>
      </c>
      <c r="IP87" s="8">
        <v>95.02</v>
      </c>
    </row>
    <row r="88" spans="1:251" x14ac:dyDescent="0.2">
      <c r="A88" s="9">
        <v>45323</v>
      </c>
      <c r="H88" s="8">
        <v>93.77</v>
      </c>
      <c r="I88" s="8">
        <v>96.22</v>
      </c>
      <c r="M88" s="8">
        <v>94.22</v>
      </c>
      <c r="N88" s="8">
        <v>95.9</v>
      </c>
      <c r="O88" s="8">
        <v>94.1</v>
      </c>
      <c r="R88" s="8">
        <v>97.53</v>
      </c>
      <c r="S88" s="8">
        <v>98.53</v>
      </c>
      <c r="T88" s="8">
        <v>96.15</v>
      </c>
      <c r="U88" s="8">
        <v>98</v>
      </c>
      <c r="V88" s="8">
        <v>99.36</v>
      </c>
      <c r="W88" s="8">
        <v>94.34</v>
      </c>
      <c r="X88" s="8">
        <v>91.11</v>
      </c>
      <c r="Y88" s="8">
        <v>96.95</v>
      </c>
      <c r="Z88" s="8">
        <v>75.53</v>
      </c>
      <c r="AA88" s="8">
        <v>97.81</v>
      </c>
      <c r="AB88" s="8">
        <v>99.02</v>
      </c>
      <c r="AC88" s="8">
        <v>98.89</v>
      </c>
      <c r="AD88" s="8">
        <v>98.03</v>
      </c>
      <c r="AE88" s="8">
        <v>97.71</v>
      </c>
      <c r="AF88" s="8">
        <v>100.71</v>
      </c>
      <c r="AG88" s="8">
        <v>95.86</v>
      </c>
      <c r="AH88" s="8">
        <v>96.73</v>
      </c>
      <c r="AI88" s="8">
        <v>91.51</v>
      </c>
      <c r="AJ88" s="8">
        <v>100.78</v>
      </c>
      <c r="AK88" s="8">
        <v>95.49</v>
      </c>
      <c r="AL88" s="8">
        <v>84.8</v>
      </c>
      <c r="AM88" s="8">
        <v>96.21</v>
      </c>
      <c r="AN88" s="8">
        <v>99.38</v>
      </c>
      <c r="AO88" s="8">
        <v>95.88</v>
      </c>
      <c r="AP88" s="8">
        <v>92.79</v>
      </c>
      <c r="AQ88" s="8">
        <v>99.9</v>
      </c>
      <c r="AR88" s="8">
        <v>95.14</v>
      </c>
      <c r="AS88" s="8">
        <v>86.19</v>
      </c>
      <c r="AT88" s="8">
        <v>97.37</v>
      </c>
      <c r="AZ88" s="8">
        <v>95.84</v>
      </c>
      <c r="BB88" s="8">
        <v>93.46</v>
      </c>
      <c r="BC88" s="8">
        <v>81.13</v>
      </c>
      <c r="BD88" s="8">
        <v>81.13</v>
      </c>
      <c r="BR88" s="8">
        <v>91.88</v>
      </c>
      <c r="BS88" s="8">
        <v>91.88</v>
      </c>
      <c r="BT88" s="8">
        <v>94.55</v>
      </c>
      <c r="BU88" s="8">
        <v>94.55</v>
      </c>
      <c r="BX88" s="8">
        <v>87.28</v>
      </c>
      <c r="CA88" s="8">
        <v>79.790000000000006</v>
      </c>
      <c r="CB88" s="8">
        <v>97.17</v>
      </c>
      <c r="CN88" s="8">
        <v>99.71</v>
      </c>
      <c r="CO88" s="8">
        <v>100.42</v>
      </c>
      <c r="CP88" s="8">
        <v>98.13</v>
      </c>
      <c r="CQ88" s="8">
        <v>100.55</v>
      </c>
      <c r="DG88" s="8">
        <v>104.63</v>
      </c>
      <c r="DN88" s="8">
        <v>96.22</v>
      </c>
      <c r="DW88" s="8">
        <v>88.83</v>
      </c>
      <c r="DX88" s="8">
        <v>93.6</v>
      </c>
      <c r="DY88" s="8">
        <v>83.08</v>
      </c>
      <c r="EC88" s="8">
        <v>100.99</v>
      </c>
      <c r="EJ88" s="8">
        <v>94.53</v>
      </c>
      <c r="EK88" s="8">
        <v>96.23</v>
      </c>
      <c r="EO88" s="8">
        <v>94.25</v>
      </c>
      <c r="EP88" s="8">
        <v>95.9</v>
      </c>
      <c r="EQ88" s="8">
        <v>93.97</v>
      </c>
      <c r="ET88" s="8">
        <v>97.14</v>
      </c>
      <c r="EU88" s="8">
        <v>98.08</v>
      </c>
      <c r="EV88" s="8">
        <v>95.69</v>
      </c>
      <c r="EW88" s="8">
        <v>97.77</v>
      </c>
      <c r="EX88" s="8">
        <v>98.98</v>
      </c>
      <c r="EY88" s="8">
        <v>94.09</v>
      </c>
      <c r="EZ88" s="8">
        <v>92.03</v>
      </c>
      <c r="FA88" s="8">
        <v>96.24</v>
      </c>
      <c r="FB88" s="8">
        <v>76.11</v>
      </c>
      <c r="FC88" s="8">
        <v>97.19</v>
      </c>
      <c r="FD88" s="8">
        <v>98.92</v>
      </c>
      <c r="FE88" s="8">
        <v>97.8</v>
      </c>
      <c r="FF88" s="8">
        <v>97.62</v>
      </c>
      <c r="FG88" s="8">
        <v>96.27</v>
      </c>
      <c r="FH88" s="8">
        <v>100.82</v>
      </c>
      <c r="FI88" s="8">
        <v>95.99</v>
      </c>
      <c r="FJ88" s="8">
        <v>92.69</v>
      </c>
      <c r="FK88" s="8">
        <v>88.26</v>
      </c>
      <c r="FL88" s="8">
        <v>95.9</v>
      </c>
      <c r="FM88" s="8">
        <v>95.52</v>
      </c>
      <c r="FN88" s="8">
        <v>86.85</v>
      </c>
      <c r="FO88" s="8">
        <v>95.85</v>
      </c>
      <c r="FP88" s="8">
        <v>99.08</v>
      </c>
      <c r="FQ88" s="8">
        <v>96.49</v>
      </c>
      <c r="FR88" s="8">
        <v>92.76</v>
      </c>
      <c r="FS88" s="8">
        <v>99.87</v>
      </c>
      <c r="FT88" s="8">
        <v>94.15</v>
      </c>
      <c r="FU88" s="8">
        <v>85.54</v>
      </c>
      <c r="FV88" s="8">
        <v>96.98</v>
      </c>
      <c r="GB88" s="8">
        <v>93.83</v>
      </c>
      <c r="GD88" s="8">
        <v>93.53</v>
      </c>
      <c r="GE88" s="8">
        <v>79.83</v>
      </c>
      <c r="GF88" s="8">
        <v>79.83</v>
      </c>
      <c r="GT88" s="8">
        <v>92.24</v>
      </c>
      <c r="GU88" s="8">
        <v>92.24</v>
      </c>
      <c r="GV88" s="8">
        <v>94.15</v>
      </c>
      <c r="GW88" s="8">
        <v>94.15</v>
      </c>
      <c r="GZ88" s="8">
        <v>90.39</v>
      </c>
      <c r="HC88" s="8">
        <v>110.04</v>
      </c>
      <c r="HD88" s="8">
        <v>91.37</v>
      </c>
      <c r="HP88" s="8">
        <v>97.66</v>
      </c>
      <c r="HQ88" s="8">
        <v>99.88</v>
      </c>
      <c r="HR88" s="8">
        <v>98.96</v>
      </c>
      <c r="HS88" s="8">
        <v>96.52</v>
      </c>
      <c r="II88" s="8">
        <v>110.56</v>
      </c>
      <c r="IP88" s="8">
        <v>96.22</v>
      </c>
    </row>
    <row r="89" spans="1:251" x14ac:dyDescent="0.2">
      <c r="A89" s="9">
        <v>45352</v>
      </c>
      <c r="H89" s="8">
        <v>93.77</v>
      </c>
      <c r="I89" s="8">
        <v>96.22</v>
      </c>
      <c r="M89" s="8">
        <v>95.64</v>
      </c>
      <c r="N89" s="8">
        <v>96.22</v>
      </c>
      <c r="O89" s="8">
        <v>95.6</v>
      </c>
      <c r="R89" s="8">
        <v>97.91</v>
      </c>
      <c r="S89" s="8">
        <v>98.22</v>
      </c>
      <c r="T89" s="8">
        <v>96.86</v>
      </c>
      <c r="U89" s="8">
        <v>99.3</v>
      </c>
      <c r="V89" s="8">
        <v>100.46</v>
      </c>
      <c r="W89" s="8">
        <v>95.12</v>
      </c>
      <c r="X89" s="8">
        <v>91.56</v>
      </c>
      <c r="Y89" s="8">
        <v>96.96</v>
      </c>
      <c r="Z89" s="8">
        <v>78.489999999999995</v>
      </c>
      <c r="AA89" s="8">
        <v>98.2</v>
      </c>
      <c r="AB89" s="8">
        <v>101.38</v>
      </c>
      <c r="AC89" s="8">
        <v>98.24</v>
      </c>
      <c r="AD89" s="8">
        <v>98.44</v>
      </c>
      <c r="AE89" s="8">
        <v>98.31</v>
      </c>
      <c r="AF89" s="8">
        <v>100.36</v>
      </c>
      <c r="AG89" s="8">
        <v>96.72</v>
      </c>
      <c r="AH89" s="8">
        <v>96.55</v>
      </c>
      <c r="AI89" s="8">
        <v>89.95</v>
      </c>
      <c r="AJ89" s="8">
        <v>101.66</v>
      </c>
      <c r="AK89" s="8">
        <v>95.15</v>
      </c>
      <c r="AL89" s="8">
        <v>84.95</v>
      </c>
      <c r="AM89" s="8">
        <v>97.01</v>
      </c>
      <c r="AN89" s="8">
        <v>98.38</v>
      </c>
      <c r="AO89" s="8">
        <v>94.99</v>
      </c>
      <c r="AP89" s="8">
        <v>92.69</v>
      </c>
      <c r="AQ89" s="8">
        <v>99.41</v>
      </c>
      <c r="AR89" s="8">
        <v>96.42</v>
      </c>
      <c r="AS89" s="8">
        <v>87.32</v>
      </c>
      <c r="AT89" s="8">
        <v>98.68</v>
      </c>
      <c r="AZ89" s="8">
        <v>95.75</v>
      </c>
      <c r="BB89" s="8">
        <v>93.65</v>
      </c>
      <c r="BC89" s="8">
        <v>83.03</v>
      </c>
      <c r="BD89" s="8">
        <v>83.03</v>
      </c>
      <c r="BR89" s="8">
        <v>92.64</v>
      </c>
      <c r="BS89" s="8">
        <v>92.64</v>
      </c>
      <c r="BT89" s="8">
        <v>95.46</v>
      </c>
      <c r="BU89" s="8">
        <v>95.46</v>
      </c>
      <c r="BX89" s="8">
        <v>87.28</v>
      </c>
      <c r="CA89" s="8">
        <v>79.790000000000006</v>
      </c>
      <c r="CB89" s="8">
        <v>97.17</v>
      </c>
      <c r="CN89" s="8">
        <v>100.43</v>
      </c>
      <c r="CO89" s="8">
        <v>100.69</v>
      </c>
      <c r="CP89" s="8">
        <v>99.39</v>
      </c>
      <c r="CQ89" s="8">
        <v>101.02</v>
      </c>
      <c r="DG89" s="8">
        <v>111.71</v>
      </c>
      <c r="DN89" s="8">
        <v>96.21</v>
      </c>
      <c r="DW89" s="8">
        <v>86.62</v>
      </c>
      <c r="DX89" s="8">
        <v>91.09</v>
      </c>
      <c r="DY89" s="8">
        <v>81.209999999999994</v>
      </c>
      <c r="EC89" s="8">
        <v>101.13</v>
      </c>
      <c r="EJ89" s="8">
        <v>94.53</v>
      </c>
      <c r="EK89" s="8">
        <v>96.23</v>
      </c>
      <c r="EO89" s="8">
        <v>95.78</v>
      </c>
      <c r="EP89" s="8">
        <v>96.22</v>
      </c>
      <c r="EQ89" s="8">
        <v>95.72</v>
      </c>
      <c r="ET89" s="8">
        <v>97.66</v>
      </c>
      <c r="EU89" s="8">
        <v>97.87</v>
      </c>
      <c r="EV89" s="8">
        <v>96.67</v>
      </c>
      <c r="EW89" s="8">
        <v>98.84</v>
      </c>
      <c r="EX89" s="8">
        <v>100.16</v>
      </c>
      <c r="EY89" s="8">
        <v>95.06</v>
      </c>
      <c r="EZ89" s="8">
        <v>92.57</v>
      </c>
      <c r="FA89" s="8">
        <v>97.04</v>
      </c>
      <c r="FB89" s="8">
        <v>77.92</v>
      </c>
      <c r="FC89" s="8">
        <v>98.08</v>
      </c>
      <c r="FD89" s="8">
        <v>101.14</v>
      </c>
      <c r="FE89" s="8">
        <v>97.16</v>
      </c>
      <c r="FF89" s="8">
        <v>98.29</v>
      </c>
      <c r="FG89" s="8">
        <v>97.63</v>
      </c>
      <c r="FH89" s="8">
        <v>100.5</v>
      </c>
      <c r="FI89" s="8">
        <v>96.71</v>
      </c>
      <c r="FJ89" s="8">
        <v>93.62</v>
      </c>
      <c r="FK89" s="8">
        <v>88.89</v>
      </c>
      <c r="FL89" s="8">
        <v>97.05</v>
      </c>
      <c r="FM89" s="8">
        <v>95.18</v>
      </c>
      <c r="FN89" s="8">
        <v>86.25</v>
      </c>
      <c r="FO89" s="8">
        <v>96.65</v>
      </c>
      <c r="FP89" s="8">
        <v>98.14</v>
      </c>
      <c r="FQ89" s="8">
        <v>95.54</v>
      </c>
      <c r="FR89" s="8">
        <v>92.72</v>
      </c>
      <c r="FS89" s="8">
        <v>99.43</v>
      </c>
      <c r="FT89" s="8">
        <v>95.25</v>
      </c>
      <c r="FU89" s="8">
        <v>86.05</v>
      </c>
      <c r="FV89" s="8">
        <v>98.29</v>
      </c>
      <c r="GB89" s="8">
        <v>93.85</v>
      </c>
      <c r="GD89" s="8">
        <v>94.9</v>
      </c>
      <c r="GE89" s="8">
        <v>81.61</v>
      </c>
      <c r="GF89" s="8">
        <v>81.61</v>
      </c>
      <c r="GT89" s="8">
        <v>92.8</v>
      </c>
      <c r="GU89" s="8">
        <v>92.8</v>
      </c>
      <c r="GV89" s="8">
        <v>95.1</v>
      </c>
      <c r="GW89" s="8">
        <v>95.1</v>
      </c>
      <c r="GZ89" s="8">
        <v>90.39</v>
      </c>
      <c r="HC89" s="8">
        <v>110.04</v>
      </c>
      <c r="HD89" s="8">
        <v>93.71</v>
      </c>
      <c r="HP89" s="8">
        <v>98.65</v>
      </c>
      <c r="HQ89" s="8">
        <v>100.43</v>
      </c>
      <c r="HR89" s="8">
        <v>100.36</v>
      </c>
      <c r="HS89" s="8">
        <v>97.32</v>
      </c>
      <c r="II89" s="8">
        <v>108.81</v>
      </c>
      <c r="IP89" s="8">
        <v>96.21</v>
      </c>
    </row>
    <row r="90" spans="1:251" x14ac:dyDescent="0.2">
      <c r="A90" s="9">
        <v>45383</v>
      </c>
      <c r="B90" s="8">
        <v>95.64</v>
      </c>
      <c r="C90" s="8">
        <v>94.22</v>
      </c>
      <c r="D90" s="8">
        <v>105.77</v>
      </c>
      <c r="E90" s="8">
        <v>94.64</v>
      </c>
      <c r="F90" s="8">
        <v>94.64</v>
      </c>
      <c r="G90" s="8">
        <v>93.03</v>
      </c>
      <c r="H90" s="8">
        <v>93.77</v>
      </c>
      <c r="I90" s="8">
        <v>96.22</v>
      </c>
      <c r="J90" s="8">
        <v>95.07</v>
      </c>
      <c r="K90" s="8">
        <v>92.77</v>
      </c>
      <c r="L90" s="8">
        <v>92.77</v>
      </c>
      <c r="M90" s="8">
        <v>95.66</v>
      </c>
      <c r="N90" s="8">
        <v>96.53</v>
      </c>
      <c r="O90" s="8">
        <v>95.6</v>
      </c>
      <c r="P90" s="8">
        <v>95.49</v>
      </c>
      <c r="Q90" s="8">
        <v>96.17</v>
      </c>
      <c r="R90" s="8">
        <v>97.49</v>
      </c>
      <c r="S90" s="8">
        <v>98.57</v>
      </c>
      <c r="T90" s="8">
        <v>95.88</v>
      </c>
      <c r="U90" s="8">
        <v>99.26</v>
      </c>
      <c r="V90" s="8">
        <v>99.08</v>
      </c>
      <c r="W90" s="8">
        <v>95.22</v>
      </c>
      <c r="X90" s="8">
        <v>90.81</v>
      </c>
      <c r="Y90" s="8">
        <v>97.27</v>
      </c>
      <c r="Z90" s="8">
        <v>78.489999999999995</v>
      </c>
      <c r="AA90" s="8">
        <v>98.38</v>
      </c>
      <c r="AB90" s="8">
        <v>100.47</v>
      </c>
      <c r="AC90" s="8">
        <v>100.54</v>
      </c>
      <c r="AD90" s="8">
        <v>98.44</v>
      </c>
      <c r="AE90" s="8">
        <v>97.97</v>
      </c>
      <c r="AF90" s="8">
        <v>100.39</v>
      </c>
      <c r="AG90" s="8">
        <v>97.26</v>
      </c>
      <c r="AH90" s="8">
        <v>99.36</v>
      </c>
      <c r="AI90" s="8">
        <v>95.18</v>
      </c>
      <c r="AJ90" s="8">
        <v>102.62</v>
      </c>
      <c r="AK90" s="8">
        <v>95.48</v>
      </c>
      <c r="AL90" s="8">
        <v>84.89</v>
      </c>
      <c r="AM90" s="8">
        <v>95.9</v>
      </c>
      <c r="AN90" s="8">
        <v>98.99</v>
      </c>
      <c r="AO90" s="8">
        <v>98.58</v>
      </c>
      <c r="AP90" s="8">
        <v>93.55</v>
      </c>
      <c r="AQ90" s="8">
        <v>97.8</v>
      </c>
      <c r="AR90" s="8">
        <v>95.64</v>
      </c>
      <c r="AS90" s="8">
        <v>85.92</v>
      </c>
      <c r="AT90" s="8">
        <v>98.05</v>
      </c>
      <c r="AU90" s="8">
        <v>95.11</v>
      </c>
      <c r="AV90" s="8">
        <v>95.32</v>
      </c>
      <c r="AW90" s="8">
        <v>94.91</v>
      </c>
      <c r="AX90" s="8">
        <v>91.17</v>
      </c>
      <c r="AY90" s="8">
        <v>94.97</v>
      </c>
      <c r="AZ90" s="8">
        <v>95.11</v>
      </c>
      <c r="BA90" s="8">
        <v>97.3</v>
      </c>
      <c r="BB90" s="8">
        <v>93.44</v>
      </c>
      <c r="BC90" s="8">
        <v>83.88</v>
      </c>
      <c r="BD90" s="8">
        <v>83.88</v>
      </c>
      <c r="BE90" s="8">
        <v>98.17</v>
      </c>
      <c r="BF90" s="8">
        <v>102.89</v>
      </c>
      <c r="BG90" s="8">
        <v>107.49</v>
      </c>
      <c r="BH90" s="8">
        <v>101</v>
      </c>
      <c r="BI90" s="8">
        <v>103.77</v>
      </c>
      <c r="BJ90" s="8">
        <v>101.23</v>
      </c>
      <c r="BK90" s="8">
        <v>99.55</v>
      </c>
      <c r="BL90" s="8">
        <v>101.76</v>
      </c>
      <c r="BM90" s="8">
        <v>100.83</v>
      </c>
      <c r="BN90" s="8">
        <v>87.85</v>
      </c>
      <c r="BO90" s="8">
        <v>87.7</v>
      </c>
      <c r="BP90" s="8">
        <v>92.08</v>
      </c>
      <c r="BQ90" s="8">
        <v>92.46</v>
      </c>
      <c r="BR90" s="8">
        <v>93.15</v>
      </c>
      <c r="BS90" s="8">
        <v>93.15</v>
      </c>
      <c r="BT90" s="8">
        <v>95.59</v>
      </c>
      <c r="BU90" s="8">
        <v>95.59</v>
      </c>
      <c r="BV90" s="8">
        <v>91.98</v>
      </c>
      <c r="BW90" s="8">
        <v>97.05</v>
      </c>
      <c r="BX90" s="8">
        <v>87.28</v>
      </c>
      <c r="BY90" s="8">
        <v>86.23</v>
      </c>
      <c r="BZ90" s="8">
        <v>92.62</v>
      </c>
      <c r="CA90" s="8">
        <v>78.33</v>
      </c>
      <c r="CB90" s="8">
        <v>97.36</v>
      </c>
      <c r="CC90" s="8">
        <v>96.04</v>
      </c>
      <c r="CD90" s="8">
        <v>96.75</v>
      </c>
      <c r="CE90" s="8">
        <v>95.63</v>
      </c>
      <c r="CF90" s="8">
        <v>102.66</v>
      </c>
      <c r="CG90" s="8">
        <v>95.7</v>
      </c>
      <c r="CH90" s="8">
        <v>95.7</v>
      </c>
      <c r="CI90" s="8">
        <v>101.58</v>
      </c>
      <c r="CJ90" s="8">
        <v>100.91</v>
      </c>
      <c r="CK90" s="8">
        <v>102.26</v>
      </c>
      <c r="CL90" s="8">
        <v>98.58</v>
      </c>
      <c r="CM90" s="8">
        <v>104.71</v>
      </c>
      <c r="CN90" s="8">
        <v>100.74</v>
      </c>
      <c r="CO90" s="8">
        <v>99.87</v>
      </c>
      <c r="CP90" s="8">
        <v>98.65</v>
      </c>
      <c r="CQ90" s="8">
        <v>102.2</v>
      </c>
      <c r="CR90" s="8">
        <v>90.45</v>
      </c>
      <c r="CS90" s="8">
        <v>81.38</v>
      </c>
      <c r="CT90" s="8">
        <v>93.58</v>
      </c>
      <c r="CU90" s="8">
        <v>97.04</v>
      </c>
      <c r="CV90" s="8">
        <v>96.5</v>
      </c>
      <c r="CW90" s="8">
        <v>102.8</v>
      </c>
      <c r="CX90" s="8">
        <v>103.24</v>
      </c>
      <c r="CY90" s="8">
        <v>99.1</v>
      </c>
      <c r="CZ90" s="8">
        <v>95.27</v>
      </c>
      <c r="DA90" s="8">
        <v>95.49</v>
      </c>
      <c r="DB90" s="8">
        <v>93.72</v>
      </c>
      <c r="DC90" s="8">
        <v>102.88</v>
      </c>
      <c r="DD90" s="8">
        <v>101.76</v>
      </c>
      <c r="DE90" s="8">
        <v>101.13</v>
      </c>
      <c r="DF90" s="8">
        <v>97.3</v>
      </c>
      <c r="DG90" s="8">
        <v>110.8</v>
      </c>
      <c r="DH90" s="8">
        <v>92.04</v>
      </c>
      <c r="DI90" s="8">
        <v>97</v>
      </c>
      <c r="DJ90" s="8">
        <v>197.64</v>
      </c>
      <c r="DK90" s="8">
        <v>197.64</v>
      </c>
      <c r="DL90" s="8">
        <v>98.56</v>
      </c>
      <c r="DM90" s="8">
        <v>98.56</v>
      </c>
      <c r="DN90" s="8">
        <v>96.77</v>
      </c>
      <c r="DO90" s="8">
        <v>98.63</v>
      </c>
      <c r="DP90" s="8">
        <v>93.35</v>
      </c>
      <c r="DQ90" s="8">
        <v>93.71</v>
      </c>
      <c r="DR90" s="8">
        <v>100.05</v>
      </c>
      <c r="DS90" s="8">
        <v>86.63</v>
      </c>
      <c r="DT90" s="8">
        <v>95.86</v>
      </c>
      <c r="DU90" s="8">
        <v>101.5</v>
      </c>
      <c r="DV90" s="8">
        <v>93.63</v>
      </c>
      <c r="DW90" s="8">
        <v>90.1</v>
      </c>
      <c r="DX90" s="8">
        <v>91.17</v>
      </c>
      <c r="DY90" s="8">
        <v>88.4</v>
      </c>
      <c r="DZ90" s="8">
        <v>96.63</v>
      </c>
      <c r="EA90" s="8">
        <v>104.27</v>
      </c>
      <c r="EB90" s="8">
        <v>100.14</v>
      </c>
      <c r="EC90" s="8">
        <v>100.16</v>
      </c>
      <c r="ED90" s="8">
        <v>93.44</v>
      </c>
      <c r="EE90" s="8">
        <v>90.73</v>
      </c>
      <c r="EF90" s="8">
        <v>95.46</v>
      </c>
      <c r="EG90" s="8">
        <v>95.27</v>
      </c>
      <c r="EH90" s="8">
        <v>95.27</v>
      </c>
      <c r="EI90" s="8">
        <v>94.79</v>
      </c>
      <c r="EJ90" s="8">
        <v>94.53</v>
      </c>
      <c r="EK90" s="8">
        <v>96.23</v>
      </c>
      <c r="EL90" s="8">
        <v>96.02</v>
      </c>
      <c r="EM90" s="8">
        <v>96.46</v>
      </c>
      <c r="EN90" s="8">
        <v>96.46</v>
      </c>
      <c r="EO90" s="8">
        <v>95.83</v>
      </c>
      <c r="EP90" s="8">
        <v>96.53</v>
      </c>
      <c r="EQ90" s="8">
        <v>95.72</v>
      </c>
      <c r="ER90" s="8">
        <v>96.91</v>
      </c>
      <c r="ES90" s="8">
        <v>95.9</v>
      </c>
      <c r="ET90" s="8">
        <v>97.36</v>
      </c>
      <c r="EU90" s="8">
        <v>98.13</v>
      </c>
      <c r="EV90" s="8">
        <v>95.88</v>
      </c>
      <c r="EW90" s="8">
        <v>98.96</v>
      </c>
      <c r="EX90" s="8">
        <v>99.29</v>
      </c>
      <c r="EY90" s="8">
        <v>95.57</v>
      </c>
      <c r="EZ90" s="8">
        <v>92.42</v>
      </c>
      <c r="FA90" s="8">
        <v>97.02</v>
      </c>
      <c r="FB90" s="8">
        <v>79.62</v>
      </c>
      <c r="FC90" s="8">
        <v>98.58</v>
      </c>
      <c r="FD90" s="8">
        <v>100.47</v>
      </c>
      <c r="FE90" s="8">
        <v>99.97</v>
      </c>
      <c r="FF90" s="8">
        <v>98.21</v>
      </c>
      <c r="FG90" s="8">
        <v>97.28</v>
      </c>
      <c r="FH90" s="8">
        <v>100.56</v>
      </c>
      <c r="FI90" s="8">
        <v>96.92</v>
      </c>
      <c r="FJ90" s="8">
        <v>97.5</v>
      </c>
      <c r="FK90" s="8">
        <v>95.33</v>
      </c>
      <c r="FL90" s="8">
        <v>99.05</v>
      </c>
      <c r="FM90" s="8">
        <v>95.47</v>
      </c>
      <c r="FN90" s="8">
        <v>86.27</v>
      </c>
      <c r="FO90" s="8">
        <v>95.66</v>
      </c>
      <c r="FP90" s="8">
        <v>98.32</v>
      </c>
      <c r="FQ90" s="8">
        <v>99.2</v>
      </c>
      <c r="FR90" s="8">
        <v>93.58</v>
      </c>
      <c r="FS90" s="8">
        <v>97.68</v>
      </c>
      <c r="FT90" s="8">
        <v>94.6</v>
      </c>
      <c r="FU90" s="8">
        <v>84.96</v>
      </c>
      <c r="FV90" s="8">
        <v>97.79</v>
      </c>
      <c r="FW90" s="8">
        <v>95.1</v>
      </c>
      <c r="FX90" s="8">
        <v>95.4</v>
      </c>
      <c r="FY90" s="8">
        <v>94.77</v>
      </c>
      <c r="FZ90" s="8">
        <v>90.55</v>
      </c>
      <c r="GA90" s="8">
        <v>95.3</v>
      </c>
      <c r="GB90" s="8">
        <v>93.91</v>
      </c>
      <c r="GC90" s="8">
        <v>96.51</v>
      </c>
      <c r="GD90" s="8">
        <v>94.84</v>
      </c>
      <c r="GE90" s="8">
        <v>82.4</v>
      </c>
      <c r="GF90" s="8">
        <v>82.4</v>
      </c>
      <c r="GG90" s="8">
        <v>100.17</v>
      </c>
      <c r="GH90" s="8">
        <v>102.75</v>
      </c>
      <c r="GI90" s="8">
        <v>106.43</v>
      </c>
      <c r="GJ90" s="8">
        <v>100.56</v>
      </c>
      <c r="GK90" s="8">
        <v>104.75</v>
      </c>
      <c r="GL90" s="8">
        <v>99.67</v>
      </c>
      <c r="GM90" s="8">
        <v>102.16</v>
      </c>
      <c r="GN90" s="8">
        <v>97.38</v>
      </c>
      <c r="GO90" s="8">
        <v>102.54</v>
      </c>
      <c r="GP90" s="8">
        <v>91.92</v>
      </c>
      <c r="GQ90" s="8">
        <v>91.62</v>
      </c>
      <c r="GR90" s="8">
        <v>93.92</v>
      </c>
      <c r="GS90" s="8">
        <v>96.93</v>
      </c>
      <c r="GT90" s="8">
        <v>93.15</v>
      </c>
      <c r="GU90" s="8">
        <v>93.15</v>
      </c>
      <c r="GV90" s="8">
        <v>96.53</v>
      </c>
      <c r="GW90" s="8">
        <v>96.53</v>
      </c>
      <c r="GX90" s="8">
        <v>93.7</v>
      </c>
      <c r="GY90" s="8">
        <v>96.55</v>
      </c>
      <c r="GZ90" s="8">
        <v>90.39</v>
      </c>
      <c r="HA90" s="8">
        <v>103.4</v>
      </c>
      <c r="HB90" s="8">
        <v>89.78</v>
      </c>
      <c r="HC90" s="8">
        <v>108.87</v>
      </c>
      <c r="HD90" s="8">
        <v>93.75</v>
      </c>
      <c r="HE90" s="8">
        <v>96.68</v>
      </c>
      <c r="HF90" s="8">
        <v>94.79</v>
      </c>
      <c r="HG90" s="8">
        <v>94.06</v>
      </c>
      <c r="HH90" s="8">
        <v>98.28</v>
      </c>
      <c r="HI90" s="8">
        <v>99.59</v>
      </c>
      <c r="HJ90" s="8">
        <v>99.59</v>
      </c>
      <c r="HK90" s="8">
        <v>101.57</v>
      </c>
      <c r="HL90" s="8">
        <v>106.06</v>
      </c>
      <c r="HM90" s="8">
        <v>101.31</v>
      </c>
      <c r="HN90" s="8">
        <v>97.15</v>
      </c>
      <c r="HO90" s="8">
        <v>104.9</v>
      </c>
      <c r="HP90" s="8">
        <v>98.31</v>
      </c>
      <c r="HQ90" s="8">
        <v>99.24</v>
      </c>
      <c r="HR90" s="8">
        <v>99.19</v>
      </c>
      <c r="HS90" s="8">
        <v>97.64</v>
      </c>
      <c r="HT90" s="8">
        <v>92.98</v>
      </c>
      <c r="HU90" s="8">
        <v>82.3</v>
      </c>
      <c r="HV90" s="8">
        <v>96.81</v>
      </c>
      <c r="HW90" s="8">
        <v>95.91</v>
      </c>
      <c r="HX90" s="8">
        <v>95.95</v>
      </c>
      <c r="HY90" s="8">
        <v>101.33</v>
      </c>
      <c r="HZ90" s="8">
        <v>102.18</v>
      </c>
      <c r="IA90" s="8">
        <v>96.58</v>
      </c>
      <c r="IB90" s="8">
        <v>94.85</v>
      </c>
      <c r="IC90" s="8">
        <v>94.75</v>
      </c>
      <c r="ID90" s="8">
        <v>96</v>
      </c>
      <c r="IE90" s="8">
        <v>102.61</v>
      </c>
      <c r="IF90" s="8">
        <v>102.74</v>
      </c>
      <c r="IG90" s="8">
        <v>101.23</v>
      </c>
      <c r="IH90" s="8">
        <v>100.1</v>
      </c>
      <c r="II90" s="8">
        <v>112.82</v>
      </c>
      <c r="IJ90" s="8">
        <v>94.34</v>
      </c>
      <c r="IK90" s="8">
        <v>93.96</v>
      </c>
      <c r="IL90" s="8">
        <v>96.07</v>
      </c>
      <c r="IM90" s="8">
        <v>96.07</v>
      </c>
      <c r="IN90" s="8">
        <v>98.59</v>
      </c>
      <c r="IO90" s="8">
        <v>98.59</v>
      </c>
      <c r="IP90" s="8">
        <v>96.77</v>
      </c>
      <c r="IQ90" s="8">
        <v>98.66</v>
      </c>
    </row>
    <row r="91" spans="1:251" x14ac:dyDescent="0.2">
      <c r="A91" s="9">
        <v>45413</v>
      </c>
      <c r="B91" s="8">
        <v>95.76</v>
      </c>
      <c r="C91" s="8">
        <v>94.49</v>
      </c>
      <c r="D91" s="8">
        <v>105.96</v>
      </c>
      <c r="E91" s="8">
        <v>94.65</v>
      </c>
      <c r="F91" s="8">
        <v>94.65</v>
      </c>
      <c r="G91" s="8">
        <v>93.06</v>
      </c>
      <c r="H91" s="8">
        <v>93.77</v>
      </c>
      <c r="I91" s="8">
        <v>96.22</v>
      </c>
      <c r="J91" s="8">
        <v>95.16</v>
      </c>
      <c r="K91" s="8">
        <v>93.18</v>
      </c>
      <c r="L91" s="8">
        <v>93.18</v>
      </c>
      <c r="M91" s="8">
        <v>95.67</v>
      </c>
      <c r="N91" s="8">
        <v>96.59</v>
      </c>
      <c r="O91" s="8">
        <v>95.6</v>
      </c>
      <c r="P91" s="8">
        <v>95.42</v>
      </c>
      <c r="Q91" s="8">
        <v>96.61</v>
      </c>
      <c r="R91" s="8">
        <v>97.72</v>
      </c>
      <c r="S91" s="8">
        <v>98.37</v>
      </c>
      <c r="T91" s="8">
        <v>96.38</v>
      </c>
      <c r="U91" s="8">
        <v>98.99</v>
      </c>
      <c r="V91" s="8">
        <v>100.21</v>
      </c>
      <c r="W91" s="8">
        <v>95.66</v>
      </c>
      <c r="X91" s="8">
        <v>92.02</v>
      </c>
      <c r="Y91" s="8">
        <v>97.31</v>
      </c>
      <c r="Z91" s="8">
        <v>79.989999999999995</v>
      </c>
      <c r="AA91" s="8">
        <v>98.99</v>
      </c>
      <c r="AB91" s="8">
        <v>100.31</v>
      </c>
      <c r="AC91" s="8">
        <v>99.92</v>
      </c>
      <c r="AD91" s="8">
        <v>98.06</v>
      </c>
      <c r="AE91" s="8">
        <v>97.45</v>
      </c>
      <c r="AF91" s="8">
        <v>100.15</v>
      </c>
      <c r="AG91" s="8">
        <v>96.95</v>
      </c>
      <c r="AH91" s="8">
        <v>101.05</v>
      </c>
      <c r="AI91" s="8">
        <v>97.52</v>
      </c>
      <c r="AJ91" s="8">
        <v>103.8</v>
      </c>
      <c r="AK91" s="8">
        <v>95.19</v>
      </c>
      <c r="AL91" s="8">
        <v>85.11</v>
      </c>
      <c r="AM91" s="8">
        <v>95.67</v>
      </c>
      <c r="AN91" s="8">
        <v>98.34</v>
      </c>
      <c r="AO91" s="8">
        <v>99.01</v>
      </c>
      <c r="AP91" s="8">
        <v>92.87</v>
      </c>
      <c r="AQ91" s="8">
        <v>97.85</v>
      </c>
      <c r="AR91" s="8">
        <v>96.49</v>
      </c>
      <c r="AS91" s="8">
        <v>85.68</v>
      </c>
      <c r="AT91" s="8">
        <v>99.18</v>
      </c>
      <c r="AU91" s="8">
        <v>95.51</v>
      </c>
      <c r="AV91" s="8">
        <v>95.84</v>
      </c>
      <c r="AW91" s="8">
        <v>95.22</v>
      </c>
      <c r="AX91" s="8">
        <v>91.65</v>
      </c>
      <c r="AY91" s="8">
        <v>95.67</v>
      </c>
      <c r="AZ91" s="8">
        <v>97.09</v>
      </c>
      <c r="BA91" s="8">
        <v>98</v>
      </c>
      <c r="BB91" s="8">
        <v>93.55</v>
      </c>
      <c r="BC91" s="8">
        <v>83.95</v>
      </c>
      <c r="BD91" s="8">
        <v>83.95</v>
      </c>
      <c r="BE91" s="8">
        <v>94.52</v>
      </c>
      <c r="BF91" s="8">
        <v>98.87</v>
      </c>
      <c r="BG91" s="8">
        <v>104.22</v>
      </c>
      <c r="BH91" s="8">
        <v>96.34</v>
      </c>
      <c r="BI91" s="8">
        <v>101.07</v>
      </c>
      <c r="BJ91" s="8">
        <v>91.63</v>
      </c>
      <c r="BK91" s="8">
        <v>96.28</v>
      </c>
      <c r="BL91" s="8">
        <v>89.2</v>
      </c>
      <c r="BM91" s="8">
        <v>100.46</v>
      </c>
      <c r="BN91" s="8">
        <v>87.64</v>
      </c>
      <c r="BO91" s="8">
        <v>87.49</v>
      </c>
      <c r="BP91" s="8">
        <v>92.08</v>
      </c>
      <c r="BQ91" s="8">
        <v>92.77</v>
      </c>
      <c r="BR91" s="8">
        <v>93.88</v>
      </c>
      <c r="BS91" s="8">
        <v>93.88</v>
      </c>
      <c r="BT91" s="8">
        <v>95.68</v>
      </c>
      <c r="BU91" s="8">
        <v>95.68</v>
      </c>
      <c r="BV91" s="8">
        <v>92.2</v>
      </c>
      <c r="BW91" s="8">
        <v>97.49</v>
      </c>
      <c r="BX91" s="8">
        <v>87.28</v>
      </c>
      <c r="BY91" s="8">
        <v>86.24</v>
      </c>
      <c r="BZ91" s="8">
        <v>92.62</v>
      </c>
      <c r="CA91" s="8">
        <v>78.33</v>
      </c>
      <c r="CB91" s="8">
        <v>97.56</v>
      </c>
      <c r="CC91" s="8">
        <v>95.98</v>
      </c>
      <c r="CD91" s="8">
        <v>95.86</v>
      </c>
      <c r="CE91" s="8">
        <v>95.17</v>
      </c>
      <c r="CF91" s="8">
        <v>99.54</v>
      </c>
      <c r="CG91" s="8">
        <v>98.58</v>
      </c>
      <c r="CH91" s="8">
        <v>98.58</v>
      </c>
      <c r="CI91" s="8">
        <v>102.16</v>
      </c>
      <c r="CJ91" s="8">
        <v>99.38</v>
      </c>
      <c r="CK91" s="8">
        <v>105.11</v>
      </c>
      <c r="CL91" s="8">
        <v>100.47</v>
      </c>
      <c r="CM91" s="8">
        <v>104.73</v>
      </c>
      <c r="CN91" s="8">
        <v>100.39</v>
      </c>
      <c r="CO91" s="8">
        <v>98.89</v>
      </c>
      <c r="CP91" s="8">
        <v>99</v>
      </c>
      <c r="CQ91" s="8">
        <v>101.54</v>
      </c>
      <c r="CR91" s="8">
        <v>90.34</v>
      </c>
      <c r="CS91" s="8">
        <v>80.22</v>
      </c>
      <c r="CT91" s="8">
        <v>93.91</v>
      </c>
      <c r="CU91" s="8">
        <v>97.58</v>
      </c>
      <c r="CV91" s="8">
        <v>96.5</v>
      </c>
      <c r="CW91" s="8">
        <v>103.49</v>
      </c>
      <c r="CX91" s="8">
        <v>103.98</v>
      </c>
      <c r="CY91" s="8">
        <v>99.3</v>
      </c>
      <c r="CZ91" s="8">
        <v>95.14</v>
      </c>
      <c r="DA91" s="8">
        <v>95.3</v>
      </c>
      <c r="DB91" s="8">
        <v>93.99</v>
      </c>
      <c r="DC91" s="8">
        <v>101.58</v>
      </c>
      <c r="DD91" s="8">
        <v>100.44</v>
      </c>
      <c r="DE91" s="8">
        <v>101.26</v>
      </c>
      <c r="DF91" s="8">
        <v>97.23</v>
      </c>
      <c r="DG91" s="8">
        <v>106.59</v>
      </c>
      <c r="DH91" s="8">
        <v>92.37</v>
      </c>
      <c r="DI91" s="8">
        <v>97</v>
      </c>
      <c r="DJ91" s="8">
        <v>197.64</v>
      </c>
      <c r="DK91" s="8">
        <v>197.64</v>
      </c>
      <c r="DL91" s="8">
        <v>97.93</v>
      </c>
      <c r="DM91" s="8">
        <v>97.93</v>
      </c>
      <c r="DN91" s="8">
        <v>94.61</v>
      </c>
      <c r="DO91" s="8">
        <v>98.07</v>
      </c>
      <c r="DP91" s="8">
        <v>93.56</v>
      </c>
      <c r="DQ91" s="8">
        <v>95.54</v>
      </c>
      <c r="DR91" s="8">
        <v>101.32</v>
      </c>
      <c r="DS91" s="8">
        <v>89.09</v>
      </c>
      <c r="DT91" s="8">
        <v>95.63</v>
      </c>
      <c r="DU91" s="8">
        <v>101.47</v>
      </c>
      <c r="DV91" s="8">
        <v>93.33</v>
      </c>
      <c r="DW91" s="8">
        <v>90.2</v>
      </c>
      <c r="DX91" s="8">
        <v>88.65</v>
      </c>
      <c r="DY91" s="8">
        <v>91.39</v>
      </c>
      <c r="DZ91" s="8">
        <v>96.37</v>
      </c>
      <c r="EA91" s="8">
        <v>104.91</v>
      </c>
      <c r="EB91" s="8">
        <v>97.59</v>
      </c>
      <c r="EC91" s="8">
        <v>99.93</v>
      </c>
      <c r="ED91" s="8">
        <v>93.44</v>
      </c>
      <c r="EE91" s="8">
        <v>91.17</v>
      </c>
      <c r="EF91" s="8">
        <v>94.72</v>
      </c>
      <c r="EG91" s="8">
        <v>95.25</v>
      </c>
      <c r="EH91" s="8">
        <v>95.25</v>
      </c>
      <c r="EI91" s="8">
        <v>94.71</v>
      </c>
      <c r="EJ91" s="8">
        <v>94.53</v>
      </c>
      <c r="EK91" s="8">
        <v>96.23</v>
      </c>
      <c r="EL91" s="8">
        <v>96.54</v>
      </c>
      <c r="EM91" s="8">
        <v>98.26</v>
      </c>
      <c r="EN91" s="8">
        <v>98.26</v>
      </c>
      <c r="EO91" s="8">
        <v>95.84</v>
      </c>
      <c r="EP91" s="8">
        <v>96.59</v>
      </c>
      <c r="EQ91" s="8">
        <v>95.72</v>
      </c>
      <c r="ER91" s="8">
        <v>96.63</v>
      </c>
      <c r="ES91" s="8">
        <v>96.54</v>
      </c>
      <c r="ET91" s="8">
        <v>97.34</v>
      </c>
      <c r="EU91" s="8">
        <v>98</v>
      </c>
      <c r="EV91" s="8">
        <v>95.99</v>
      </c>
      <c r="EW91" s="8">
        <v>98.55</v>
      </c>
      <c r="EX91" s="8">
        <v>99.42</v>
      </c>
      <c r="EY91" s="8">
        <v>95.61</v>
      </c>
      <c r="EZ91" s="8">
        <v>92.59</v>
      </c>
      <c r="FA91" s="8">
        <v>97.21</v>
      </c>
      <c r="FB91" s="8">
        <v>81.14</v>
      </c>
      <c r="FC91" s="8">
        <v>98.47</v>
      </c>
      <c r="FD91" s="8">
        <v>100.13</v>
      </c>
      <c r="FE91" s="8">
        <v>99.23</v>
      </c>
      <c r="FF91" s="8">
        <v>97.81</v>
      </c>
      <c r="FG91" s="8">
        <v>96.98</v>
      </c>
      <c r="FH91" s="8">
        <v>100.06</v>
      </c>
      <c r="FI91" s="8">
        <v>96.44</v>
      </c>
      <c r="FJ91" s="8">
        <v>100</v>
      </c>
      <c r="FK91" s="8">
        <v>98.76</v>
      </c>
      <c r="FL91" s="8">
        <v>100.87</v>
      </c>
      <c r="FM91" s="8">
        <v>95.06</v>
      </c>
      <c r="FN91" s="8">
        <v>86.47</v>
      </c>
      <c r="FO91" s="8">
        <v>95.43</v>
      </c>
      <c r="FP91" s="8">
        <v>97.7</v>
      </c>
      <c r="FQ91" s="8">
        <v>99.56</v>
      </c>
      <c r="FR91" s="8">
        <v>92.8</v>
      </c>
      <c r="FS91" s="8">
        <v>97.5</v>
      </c>
      <c r="FT91" s="8">
        <v>95.63</v>
      </c>
      <c r="FU91" s="8">
        <v>84.82</v>
      </c>
      <c r="FV91" s="8">
        <v>99.21</v>
      </c>
      <c r="FW91" s="8">
        <v>96.04</v>
      </c>
      <c r="FX91" s="8">
        <v>96.74</v>
      </c>
      <c r="FY91" s="8">
        <v>95.28</v>
      </c>
      <c r="FZ91" s="8">
        <v>91</v>
      </c>
      <c r="GA91" s="8">
        <v>95.99</v>
      </c>
      <c r="GB91" s="8">
        <v>95.95</v>
      </c>
      <c r="GC91" s="8">
        <v>97.47</v>
      </c>
      <c r="GD91" s="8">
        <v>94.66</v>
      </c>
      <c r="GE91" s="8">
        <v>82.45</v>
      </c>
      <c r="GF91" s="8">
        <v>82.45</v>
      </c>
      <c r="GG91" s="8">
        <v>96.16</v>
      </c>
      <c r="GH91" s="8">
        <v>98.46</v>
      </c>
      <c r="GI91" s="8">
        <v>103.05</v>
      </c>
      <c r="GJ91" s="8">
        <v>95.43</v>
      </c>
      <c r="GK91" s="8">
        <v>102.01</v>
      </c>
      <c r="GL91" s="8">
        <v>94.85</v>
      </c>
      <c r="GM91" s="8">
        <v>103.97</v>
      </c>
      <c r="GN91" s="8">
        <v>89.5</v>
      </c>
      <c r="GO91" s="8">
        <v>97.64</v>
      </c>
      <c r="GP91" s="8">
        <v>89.51</v>
      </c>
      <c r="GQ91" s="8">
        <v>88.94</v>
      </c>
      <c r="GR91" s="8">
        <v>93.67</v>
      </c>
      <c r="GS91" s="8">
        <v>97.57</v>
      </c>
      <c r="GT91" s="8">
        <v>93.98</v>
      </c>
      <c r="GU91" s="8">
        <v>93.98</v>
      </c>
      <c r="GV91" s="8">
        <v>97.72</v>
      </c>
      <c r="GW91" s="8">
        <v>97.72</v>
      </c>
      <c r="GX91" s="8">
        <v>93.74</v>
      </c>
      <c r="GY91" s="8">
        <v>96.61</v>
      </c>
      <c r="GZ91" s="8">
        <v>90.39</v>
      </c>
      <c r="HA91" s="8">
        <v>103.4</v>
      </c>
      <c r="HB91" s="8">
        <v>89.78</v>
      </c>
      <c r="HC91" s="8">
        <v>108.87</v>
      </c>
      <c r="HD91" s="8">
        <v>93.75</v>
      </c>
      <c r="HE91" s="8">
        <v>97.11</v>
      </c>
      <c r="HF91" s="8">
        <v>95.44</v>
      </c>
      <c r="HG91" s="8">
        <v>95.16</v>
      </c>
      <c r="HH91" s="8">
        <v>96.87</v>
      </c>
      <c r="HI91" s="8">
        <v>101.66</v>
      </c>
      <c r="HJ91" s="8">
        <v>101.66</v>
      </c>
      <c r="HK91" s="8">
        <v>101.91</v>
      </c>
      <c r="HL91" s="8">
        <v>103.78</v>
      </c>
      <c r="HM91" s="8">
        <v>105.65</v>
      </c>
      <c r="HN91" s="8">
        <v>97.44</v>
      </c>
      <c r="HO91" s="8">
        <v>104.44</v>
      </c>
      <c r="HP91" s="8">
        <v>99.41</v>
      </c>
      <c r="HQ91" s="8">
        <v>98.55</v>
      </c>
      <c r="HR91" s="8">
        <v>99.59</v>
      </c>
      <c r="HS91" s="8">
        <v>99.45</v>
      </c>
      <c r="HT91" s="8">
        <v>92.11</v>
      </c>
      <c r="HU91" s="8">
        <v>82.3</v>
      </c>
      <c r="HV91" s="8">
        <v>95.52</v>
      </c>
      <c r="HW91" s="8">
        <v>94.98</v>
      </c>
      <c r="HX91" s="8">
        <v>95.96</v>
      </c>
      <c r="HY91" s="8">
        <v>100.87</v>
      </c>
      <c r="HZ91" s="8">
        <v>101.62</v>
      </c>
      <c r="IA91" s="8">
        <v>96.72</v>
      </c>
      <c r="IB91" s="8">
        <v>94.95</v>
      </c>
      <c r="IC91" s="8">
        <v>94.85</v>
      </c>
      <c r="ID91" s="8">
        <v>96.14</v>
      </c>
      <c r="IE91" s="8">
        <v>100.46</v>
      </c>
      <c r="IF91" s="8">
        <v>100.55</v>
      </c>
      <c r="IG91" s="8">
        <v>101.14</v>
      </c>
      <c r="IH91" s="8">
        <v>101.53</v>
      </c>
      <c r="II91" s="8">
        <v>105.39</v>
      </c>
      <c r="IJ91" s="8">
        <v>95</v>
      </c>
      <c r="IK91" s="8">
        <v>93.96</v>
      </c>
      <c r="IL91" s="8">
        <v>96.07</v>
      </c>
      <c r="IM91" s="8">
        <v>96.07</v>
      </c>
      <c r="IN91" s="8">
        <v>97.96</v>
      </c>
      <c r="IO91" s="8">
        <v>97.96</v>
      </c>
      <c r="IP91" s="8">
        <v>94.61</v>
      </c>
      <c r="IQ91" s="8">
        <v>98.11</v>
      </c>
    </row>
    <row r="92" spans="1:251" x14ac:dyDescent="0.2">
      <c r="A92" s="9">
        <v>45444</v>
      </c>
      <c r="B92" s="8">
        <v>96.19</v>
      </c>
      <c r="C92" s="8">
        <v>94.54</v>
      </c>
      <c r="D92" s="8">
        <v>109.62</v>
      </c>
      <c r="E92" s="8">
        <v>94.66</v>
      </c>
      <c r="F92" s="8">
        <v>94.66</v>
      </c>
      <c r="G92" s="8">
        <v>93.14</v>
      </c>
      <c r="H92" s="8">
        <v>93.77</v>
      </c>
      <c r="I92" s="8">
        <v>96.22</v>
      </c>
      <c r="J92" s="8">
        <v>95.48</v>
      </c>
      <c r="K92" s="8">
        <v>93.7</v>
      </c>
      <c r="L92" s="8">
        <v>93.7</v>
      </c>
      <c r="M92" s="8">
        <v>95.94</v>
      </c>
      <c r="N92" s="8">
        <v>96.92</v>
      </c>
      <c r="O92" s="8">
        <v>95.87</v>
      </c>
      <c r="P92" s="8">
        <v>95.75</v>
      </c>
      <c r="Q92" s="8">
        <v>96.2</v>
      </c>
      <c r="R92" s="8">
        <v>97.28</v>
      </c>
      <c r="S92" s="8">
        <v>98.5</v>
      </c>
      <c r="T92" s="8">
        <v>95.74</v>
      </c>
      <c r="U92" s="8">
        <v>97.07</v>
      </c>
      <c r="V92" s="8">
        <v>99.44</v>
      </c>
      <c r="W92" s="8">
        <v>95.05</v>
      </c>
      <c r="X92" s="8">
        <v>91.37</v>
      </c>
      <c r="Y92" s="8">
        <v>95.97</v>
      </c>
      <c r="Z92" s="8">
        <v>80.680000000000007</v>
      </c>
      <c r="AA92" s="8">
        <v>98.32</v>
      </c>
      <c r="AB92" s="8">
        <v>99.34</v>
      </c>
      <c r="AC92" s="8">
        <v>99.79</v>
      </c>
      <c r="AD92" s="8">
        <v>98.05</v>
      </c>
      <c r="AE92" s="8">
        <v>97.65</v>
      </c>
      <c r="AF92" s="8">
        <v>99.71</v>
      </c>
      <c r="AG92" s="8">
        <v>97.05</v>
      </c>
      <c r="AH92" s="8">
        <v>100.85</v>
      </c>
      <c r="AI92" s="8">
        <v>100.91</v>
      </c>
      <c r="AJ92" s="8">
        <v>100.82</v>
      </c>
      <c r="AK92" s="8">
        <v>95.09</v>
      </c>
      <c r="AL92" s="8">
        <v>85.17</v>
      </c>
      <c r="AM92" s="8">
        <v>96.17</v>
      </c>
      <c r="AN92" s="8">
        <v>98.41</v>
      </c>
      <c r="AO92" s="8">
        <v>99.83</v>
      </c>
      <c r="AP92" s="8">
        <v>92.51</v>
      </c>
      <c r="AQ92" s="8">
        <v>97.51</v>
      </c>
      <c r="AR92" s="8">
        <v>96.94</v>
      </c>
      <c r="AS92" s="8">
        <v>85.43</v>
      </c>
      <c r="AT92" s="8">
        <v>99.81</v>
      </c>
      <c r="AU92" s="8">
        <v>94.75</v>
      </c>
      <c r="AV92" s="8">
        <v>95.94</v>
      </c>
      <c r="AW92" s="8">
        <v>93.67</v>
      </c>
      <c r="AX92" s="8">
        <v>91.61</v>
      </c>
      <c r="AY92" s="8">
        <v>95.57</v>
      </c>
      <c r="AZ92" s="8">
        <v>95.93</v>
      </c>
      <c r="BA92" s="8">
        <v>98.92</v>
      </c>
      <c r="BB92" s="8">
        <v>93.3</v>
      </c>
      <c r="BC92" s="8">
        <v>84.04</v>
      </c>
      <c r="BD92" s="8">
        <v>84.04</v>
      </c>
      <c r="BE92" s="8">
        <v>92.91</v>
      </c>
      <c r="BF92" s="8">
        <v>96.85</v>
      </c>
      <c r="BG92" s="8">
        <v>97.59</v>
      </c>
      <c r="BH92" s="8">
        <v>95.9</v>
      </c>
      <c r="BI92" s="8">
        <v>99.33</v>
      </c>
      <c r="BJ92" s="8">
        <v>97.88</v>
      </c>
      <c r="BK92" s="8">
        <v>96.05</v>
      </c>
      <c r="BL92" s="8">
        <v>97.38</v>
      </c>
      <c r="BM92" s="8">
        <v>103.61</v>
      </c>
      <c r="BN92" s="8">
        <v>83.19</v>
      </c>
      <c r="BO92" s="8">
        <v>82.9</v>
      </c>
      <c r="BP92" s="8">
        <v>92.08</v>
      </c>
      <c r="BQ92" s="8">
        <v>93.09</v>
      </c>
      <c r="BR92" s="8">
        <v>94.45</v>
      </c>
      <c r="BS92" s="8">
        <v>94.45</v>
      </c>
      <c r="BT92" s="8">
        <v>96.1</v>
      </c>
      <c r="BU92" s="8">
        <v>96.1</v>
      </c>
      <c r="BV92" s="8">
        <v>92.17</v>
      </c>
      <c r="BW92" s="8">
        <v>97.43</v>
      </c>
      <c r="BX92" s="8">
        <v>87.28</v>
      </c>
      <c r="BY92" s="8">
        <v>86.2</v>
      </c>
      <c r="BZ92" s="8">
        <v>92.62</v>
      </c>
      <c r="CA92" s="8">
        <v>78.33</v>
      </c>
      <c r="CB92" s="8">
        <v>96.95</v>
      </c>
      <c r="CC92" s="8">
        <v>95.01</v>
      </c>
      <c r="CD92" s="8">
        <v>92.7</v>
      </c>
      <c r="CE92" s="8">
        <v>91.48</v>
      </c>
      <c r="CF92" s="8">
        <v>99.18</v>
      </c>
      <c r="CG92" s="8">
        <v>91.47</v>
      </c>
      <c r="CH92" s="8">
        <v>91.47</v>
      </c>
      <c r="CI92" s="8">
        <v>99.45</v>
      </c>
      <c r="CJ92" s="8">
        <v>97.98</v>
      </c>
      <c r="CK92" s="8">
        <v>99.88</v>
      </c>
      <c r="CL92" s="8">
        <v>95.2</v>
      </c>
      <c r="CM92" s="8">
        <v>104.89</v>
      </c>
      <c r="CN92" s="8">
        <v>100.16</v>
      </c>
      <c r="CO92" s="8">
        <v>99.05</v>
      </c>
      <c r="CP92" s="8">
        <v>98.91</v>
      </c>
      <c r="CQ92" s="8">
        <v>101.14</v>
      </c>
      <c r="CR92" s="8">
        <v>91.41</v>
      </c>
      <c r="CS92" s="8">
        <v>81.75</v>
      </c>
      <c r="CT92" s="8">
        <v>94.97</v>
      </c>
      <c r="CU92" s="8">
        <v>97.94</v>
      </c>
      <c r="CV92" s="8">
        <v>96.38</v>
      </c>
      <c r="CW92" s="8">
        <v>102.57</v>
      </c>
      <c r="CX92" s="8">
        <v>103.08</v>
      </c>
      <c r="CY92" s="8">
        <v>98.25</v>
      </c>
      <c r="CZ92" s="8">
        <v>95.17</v>
      </c>
      <c r="DA92" s="8">
        <v>95.35</v>
      </c>
      <c r="DB92" s="8">
        <v>93.92</v>
      </c>
      <c r="DC92" s="8">
        <v>101.73</v>
      </c>
      <c r="DD92" s="8">
        <v>100.6</v>
      </c>
      <c r="DE92" s="8">
        <v>99.76</v>
      </c>
      <c r="DF92" s="8">
        <v>98.18</v>
      </c>
      <c r="DG92" s="8">
        <v>107.95</v>
      </c>
      <c r="DH92" s="8">
        <v>92.69</v>
      </c>
      <c r="DI92" s="8">
        <v>97</v>
      </c>
      <c r="DJ92" s="8">
        <v>197.64</v>
      </c>
      <c r="DK92" s="8">
        <v>197.64</v>
      </c>
      <c r="DL92" s="8">
        <v>97.31</v>
      </c>
      <c r="DM92" s="8">
        <v>97.31</v>
      </c>
      <c r="DN92" s="8">
        <v>92.38</v>
      </c>
      <c r="DO92" s="8">
        <v>97.53</v>
      </c>
      <c r="DP92" s="8">
        <v>97.02</v>
      </c>
      <c r="DQ92" s="8">
        <v>94.93</v>
      </c>
      <c r="DR92" s="8">
        <v>99.38</v>
      </c>
      <c r="DS92" s="8">
        <v>90.02</v>
      </c>
      <c r="DT92" s="8">
        <v>95.96</v>
      </c>
      <c r="DU92" s="8">
        <v>102.55</v>
      </c>
      <c r="DV92" s="8">
        <v>93.38</v>
      </c>
      <c r="DW92" s="8">
        <v>97.9</v>
      </c>
      <c r="DX92" s="8">
        <v>90.91</v>
      </c>
      <c r="DY92" s="8">
        <v>105.02</v>
      </c>
      <c r="DZ92" s="8">
        <v>96.63</v>
      </c>
      <c r="EA92" s="8">
        <v>104.21</v>
      </c>
      <c r="EB92" s="8">
        <v>97.83</v>
      </c>
      <c r="EC92" s="8">
        <v>101.84</v>
      </c>
      <c r="ED92" s="8">
        <v>94.44</v>
      </c>
      <c r="EE92" s="8">
        <v>90.99</v>
      </c>
      <c r="EF92" s="8">
        <v>94.41</v>
      </c>
      <c r="EG92" s="8">
        <v>95.29</v>
      </c>
      <c r="EH92" s="8">
        <v>95.29</v>
      </c>
      <c r="EI92" s="8">
        <v>94.88</v>
      </c>
      <c r="EJ92" s="8">
        <v>94.53</v>
      </c>
      <c r="EK92" s="8">
        <v>96.23</v>
      </c>
      <c r="EL92" s="8">
        <v>97.02</v>
      </c>
      <c r="EM92" s="8">
        <v>98.74</v>
      </c>
      <c r="EN92" s="8">
        <v>98.74</v>
      </c>
      <c r="EO92" s="8">
        <v>96.31</v>
      </c>
      <c r="EP92" s="8">
        <v>96.92</v>
      </c>
      <c r="EQ92" s="8">
        <v>96.22</v>
      </c>
      <c r="ER92" s="8">
        <v>96.58</v>
      </c>
      <c r="ES92" s="8">
        <v>96.34</v>
      </c>
      <c r="ET92" s="8">
        <v>97.26</v>
      </c>
      <c r="EU92" s="8">
        <v>98.05</v>
      </c>
      <c r="EV92" s="8">
        <v>95.91</v>
      </c>
      <c r="EW92" s="8">
        <v>96.9</v>
      </c>
      <c r="EX92" s="8">
        <v>99.89</v>
      </c>
      <c r="EY92" s="8">
        <v>95.38</v>
      </c>
      <c r="EZ92" s="8">
        <v>92.37</v>
      </c>
      <c r="FA92" s="8">
        <v>96.29</v>
      </c>
      <c r="FB92" s="8">
        <v>82.09</v>
      </c>
      <c r="FC92" s="8">
        <v>98.57</v>
      </c>
      <c r="FD92" s="8">
        <v>99.46</v>
      </c>
      <c r="FE92" s="8">
        <v>98.76</v>
      </c>
      <c r="FF92" s="8">
        <v>97.81</v>
      </c>
      <c r="FG92" s="8">
        <v>97.05</v>
      </c>
      <c r="FH92" s="8">
        <v>99.65</v>
      </c>
      <c r="FI92" s="8">
        <v>96.82</v>
      </c>
      <c r="FJ92" s="8">
        <v>100.29</v>
      </c>
      <c r="FK92" s="8">
        <v>101.94</v>
      </c>
      <c r="FL92" s="8">
        <v>99.04</v>
      </c>
      <c r="FM92" s="8">
        <v>95.08</v>
      </c>
      <c r="FN92" s="8">
        <v>87.5</v>
      </c>
      <c r="FO92" s="8">
        <v>96.03</v>
      </c>
      <c r="FP92" s="8">
        <v>97.83</v>
      </c>
      <c r="FQ92" s="8">
        <v>100.23</v>
      </c>
      <c r="FR92" s="8">
        <v>92.45</v>
      </c>
      <c r="FS92" s="8">
        <v>97.46</v>
      </c>
      <c r="FT92" s="8">
        <v>95.74</v>
      </c>
      <c r="FU92" s="8">
        <v>84.47</v>
      </c>
      <c r="FV92" s="8">
        <v>99.47</v>
      </c>
      <c r="FW92" s="8">
        <v>95.5</v>
      </c>
      <c r="FX92" s="8">
        <v>96.74</v>
      </c>
      <c r="FY92" s="8">
        <v>94.14</v>
      </c>
      <c r="FZ92" s="8">
        <v>90.85</v>
      </c>
      <c r="GA92" s="8">
        <v>95.72</v>
      </c>
      <c r="GB92" s="8">
        <v>93.66</v>
      </c>
      <c r="GC92" s="8">
        <v>97.67</v>
      </c>
      <c r="GD92" s="8">
        <v>94.92</v>
      </c>
      <c r="GE92" s="8">
        <v>82.5</v>
      </c>
      <c r="GF92" s="8">
        <v>82.5</v>
      </c>
      <c r="GG92" s="8">
        <v>95.2</v>
      </c>
      <c r="GH92" s="8">
        <v>96.75</v>
      </c>
      <c r="GI92" s="8">
        <v>96.75</v>
      </c>
      <c r="GJ92" s="8">
        <v>94.89</v>
      </c>
      <c r="GK92" s="8">
        <v>103.48</v>
      </c>
      <c r="GL92" s="8">
        <v>96.72</v>
      </c>
      <c r="GM92" s="8">
        <v>100.71</v>
      </c>
      <c r="GN92" s="8">
        <v>93.35</v>
      </c>
      <c r="GO92" s="8">
        <v>100.5</v>
      </c>
      <c r="GP92" s="8">
        <v>88.84</v>
      </c>
      <c r="GQ92" s="8">
        <v>87.98</v>
      </c>
      <c r="GR92" s="8">
        <v>95.33</v>
      </c>
      <c r="GS92" s="8">
        <v>97.88</v>
      </c>
      <c r="GT92" s="8">
        <v>94.57</v>
      </c>
      <c r="GU92" s="8">
        <v>94.57</v>
      </c>
      <c r="GV92" s="8">
        <v>98.12</v>
      </c>
      <c r="GW92" s="8">
        <v>98.12</v>
      </c>
      <c r="GX92" s="8">
        <v>93.86</v>
      </c>
      <c r="GY92" s="8">
        <v>96.85</v>
      </c>
      <c r="GZ92" s="8">
        <v>90.39</v>
      </c>
      <c r="HA92" s="8">
        <v>103.4</v>
      </c>
      <c r="HB92" s="8">
        <v>89.78</v>
      </c>
      <c r="HC92" s="8">
        <v>108.87</v>
      </c>
      <c r="HD92" s="8">
        <v>93.75</v>
      </c>
      <c r="HE92" s="8">
        <v>95.59</v>
      </c>
      <c r="HF92" s="8">
        <v>91.46</v>
      </c>
      <c r="HG92" s="8">
        <v>90.43</v>
      </c>
      <c r="HH92" s="8">
        <v>96.38</v>
      </c>
      <c r="HI92" s="8">
        <v>94.25</v>
      </c>
      <c r="HJ92" s="8">
        <v>94.25</v>
      </c>
      <c r="HK92" s="8">
        <v>99.22</v>
      </c>
      <c r="HL92" s="8">
        <v>104.26</v>
      </c>
      <c r="HM92" s="8">
        <v>101.18</v>
      </c>
      <c r="HN92" s="8">
        <v>92.45</v>
      </c>
      <c r="HO92" s="8">
        <v>104.05</v>
      </c>
      <c r="HP92" s="8">
        <v>99.84</v>
      </c>
      <c r="HQ92" s="8">
        <v>98.5</v>
      </c>
      <c r="HR92" s="8">
        <v>99.3</v>
      </c>
      <c r="HS92" s="8">
        <v>100.41</v>
      </c>
      <c r="HT92" s="8">
        <v>92.35</v>
      </c>
      <c r="HU92" s="8">
        <v>83.23</v>
      </c>
      <c r="HV92" s="8">
        <v>95.42</v>
      </c>
      <c r="HW92" s="8">
        <v>95.17</v>
      </c>
      <c r="HX92" s="8">
        <v>96.02</v>
      </c>
      <c r="HY92" s="8">
        <v>100.76</v>
      </c>
      <c r="HZ92" s="8">
        <v>101.59</v>
      </c>
      <c r="IA92" s="8">
        <v>96.08</v>
      </c>
      <c r="IB92" s="8">
        <v>95.05</v>
      </c>
      <c r="IC92" s="8">
        <v>94.89</v>
      </c>
      <c r="ID92" s="8">
        <v>96.75</v>
      </c>
      <c r="IE92" s="8">
        <v>99.51</v>
      </c>
      <c r="IF92" s="8">
        <v>99.58</v>
      </c>
      <c r="IG92" s="8">
        <v>100.76</v>
      </c>
      <c r="IH92" s="8">
        <v>98.96</v>
      </c>
      <c r="II92" s="8">
        <v>104.62</v>
      </c>
      <c r="IJ92" s="8">
        <v>93.15</v>
      </c>
      <c r="IK92" s="8">
        <v>93.96</v>
      </c>
      <c r="IL92" s="8">
        <v>96.07</v>
      </c>
      <c r="IM92" s="8">
        <v>96.07</v>
      </c>
      <c r="IN92" s="8">
        <v>97.33</v>
      </c>
      <c r="IO92" s="8">
        <v>97.33</v>
      </c>
      <c r="IP92" s="8">
        <v>92.38</v>
      </c>
      <c r="IQ92" s="8">
        <v>97.56</v>
      </c>
    </row>
    <row r="93" spans="1:251" x14ac:dyDescent="0.2">
      <c r="A93" s="9">
        <v>45474</v>
      </c>
      <c r="B93" s="8">
        <v>97.04</v>
      </c>
      <c r="C93" s="8">
        <v>96.11</v>
      </c>
      <c r="D93" s="8">
        <v>107.51</v>
      </c>
      <c r="E93" s="8">
        <v>94.67</v>
      </c>
      <c r="F93" s="8">
        <v>94.67</v>
      </c>
      <c r="G93" s="8">
        <v>93.23</v>
      </c>
      <c r="H93" s="8">
        <v>93.77</v>
      </c>
      <c r="I93" s="8">
        <v>96.22</v>
      </c>
      <c r="J93" s="8">
        <v>95.6</v>
      </c>
      <c r="K93" s="8">
        <v>94.23</v>
      </c>
      <c r="L93" s="8">
        <v>94.23</v>
      </c>
      <c r="M93" s="8">
        <v>95.94</v>
      </c>
      <c r="N93" s="8">
        <v>96.98</v>
      </c>
      <c r="O93" s="8">
        <v>95.87</v>
      </c>
      <c r="P93" s="8">
        <v>94.69</v>
      </c>
      <c r="Q93" s="8">
        <v>97.05</v>
      </c>
      <c r="R93" s="8">
        <v>98.26</v>
      </c>
      <c r="S93" s="8">
        <v>98.98</v>
      </c>
      <c r="T93" s="8">
        <v>97.31</v>
      </c>
      <c r="U93" s="8">
        <v>97.48</v>
      </c>
      <c r="V93" s="8">
        <v>100.25</v>
      </c>
      <c r="W93" s="8">
        <v>96.09</v>
      </c>
      <c r="X93" s="8">
        <v>91.82</v>
      </c>
      <c r="Y93" s="8">
        <v>96.99</v>
      </c>
      <c r="Z93" s="8">
        <v>83.57</v>
      </c>
      <c r="AA93" s="8">
        <v>100.76</v>
      </c>
      <c r="AB93" s="8">
        <v>99.53</v>
      </c>
      <c r="AC93" s="8">
        <v>99.6</v>
      </c>
      <c r="AD93" s="8">
        <v>98.16</v>
      </c>
      <c r="AE93" s="8">
        <v>97.69</v>
      </c>
      <c r="AF93" s="8">
        <v>100.18</v>
      </c>
      <c r="AG93" s="8">
        <v>96.9</v>
      </c>
      <c r="AH93" s="8">
        <v>101.94</v>
      </c>
      <c r="AI93" s="8">
        <v>105.33</v>
      </c>
      <c r="AJ93" s="8">
        <v>99.36</v>
      </c>
      <c r="AK93" s="8">
        <v>95.64</v>
      </c>
      <c r="AL93" s="8">
        <v>86.11</v>
      </c>
      <c r="AM93" s="8">
        <v>95.8</v>
      </c>
      <c r="AN93" s="8">
        <v>97.66</v>
      </c>
      <c r="AO93" s="8">
        <v>100.31</v>
      </c>
      <c r="AP93" s="8">
        <v>93.43</v>
      </c>
      <c r="AQ93" s="8">
        <v>98.23</v>
      </c>
      <c r="AR93" s="8">
        <v>96.71</v>
      </c>
      <c r="AS93" s="8">
        <v>85.53</v>
      </c>
      <c r="AT93" s="8">
        <v>99.5</v>
      </c>
      <c r="AU93" s="8">
        <v>95.89</v>
      </c>
      <c r="AV93" s="8">
        <v>96.27</v>
      </c>
      <c r="AW93" s="8">
        <v>95.54</v>
      </c>
      <c r="AX93" s="8">
        <v>91.77</v>
      </c>
      <c r="AY93" s="8">
        <v>95.72</v>
      </c>
      <c r="AZ93" s="8">
        <v>96.7</v>
      </c>
      <c r="BA93" s="8">
        <v>97.24</v>
      </c>
      <c r="BB93" s="8">
        <v>94.3</v>
      </c>
      <c r="BC93" s="8">
        <v>84.21</v>
      </c>
      <c r="BD93" s="8">
        <v>84.21</v>
      </c>
      <c r="BE93" s="8">
        <v>95.97</v>
      </c>
      <c r="BF93" s="8">
        <v>99.92</v>
      </c>
      <c r="BG93" s="8">
        <v>102.25</v>
      </c>
      <c r="BH93" s="8">
        <v>99</v>
      </c>
      <c r="BI93" s="8">
        <v>100.27</v>
      </c>
      <c r="BJ93" s="8">
        <v>96.88</v>
      </c>
      <c r="BK93" s="8">
        <v>102.67</v>
      </c>
      <c r="BL93" s="8">
        <v>94.78</v>
      </c>
      <c r="BM93" s="8">
        <v>102.44</v>
      </c>
      <c r="BN93" s="8">
        <v>88.1</v>
      </c>
      <c r="BO93" s="8">
        <v>87.9</v>
      </c>
      <c r="BP93" s="8">
        <v>94.03</v>
      </c>
      <c r="BQ93" s="8">
        <v>87.36</v>
      </c>
      <c r="BR93" s="8">
        <v>95.01</v>
      </c>
      <c r="BS93" s="8">
        <v>95.01</v>
      </c>
      <c r="BT93" s="8">
        <v>96.48</v>
      </c>
      <c r="BU93" s="8">
        <v>96.48</v>
      </c>
      <c r="BV93" s="8">
        <v>92.67</v>
      </c>
      <c r="BW93" s="8">
        <v>98.48</v>
      </c>
      <c r="BX93" s="8">
        <v>87.28</v>
      </c>
      <c r="BY93" s="8">
        <v>43.29</v>
      </c>
      <c r="BZ93" s="8">
        <v>96.1</v>
      </c>
      <c r="CA93" s="8">
        <v>5.57</v>
      </c>
      <c r="CB93" s="8">
        <v>98.94</v>
      </c>
      <c r="CC93" s="8">
        <v>97.13</v>
      </c>
      <c r="CD93" s="8">
        <v>98.48</v>
      </c>
      <c r="CE93" s="8">
        <v>98.58</v>
      </c>
      <c r="CF93" s="8">
        <v>97.99</v>
      </c>
      <c r="CG93" s="8">
        <v>99.56</v>
      </c>
      <c r="CH93" s="8">
        <v>99.56</v>
      </c>
      <c r="CI93" s="8">
        <v>103.77</v>
      </c>
      <c r="CJ93" s="8">
        <v>101.86</v>
      </c>
      <c r="CK93" s="8">
        <v>104.54</v>
      </c>
      <c r="CL93" s="8">
        <v>104.18</v>
      </c>
      <c r="CM93" s="8">
        <v>104.9</v>
      </c>
      <c r="CN93" s="8">
        <v>99.83</v>
      </c>
      <c r="CO93" s="8">
        <v>99.84</v>
      </c>
      <c r="CP93" s="8">
        <v>98.64</v>
      </c>
      <c r="CQ93" s="8">
        <v>100.57</v>
      </c>
      <c r="CR93" s="8">
        <v>91.8</v>
      </c>
      <c r="CS93" s="8">
        <v>81.77</v>
      </c>
      <c r="CT93" s="8">
        <v>96.02</v>
      </c>
      <c r="CU93" s="8">
        <v>97.5</v>
      </c>
      <c r="CV93" s="8">
        <v>96.51</v>
      </c>
      <c r="CW93" s="8">
        <v>102.12</v>
      </c>
      <c r="CX93" s="8">
        <v>102.48</v>
      </c>
      <c r="CY93" s="8">
        <v>98.98</v>
      </c>
      <c r="CZ93" s="8">
        <v>95.42</v>
      </c>
      <c r="DA93" s="8">
        <v>95.48</v>
      </c>
      <c r="DB93" s="8">
        <v>95.07</v>
      </c>
      <c r="DC93" s="8">
        <v>100.54</v>
      </c>
      <c r="DD93" s="8">
        <v>99.39</v>
      </c>
      <c r="DE93" s="8">
        <v>99.63</v>
      </c>
      <c r="DF93" s="8">
        <v>97.5</v>
      </c>
      <c r="DG93" s="8">
        <v>104.71</v>
      </c>
      <c r="DH93" s="8">
        <v>92.37</v>
      </c>
      <c r="DI93" s="8">
        <v>97.13</v>
      </c>
      <c r="DJ93" s="8">
        <v>197.64</v>
      </c>
      <c r="DK93" s="8">
        <v>197.64</v>
      </c>
      <c r="DL93" s="8">
        <v>98.92</v>
      </c>
      <c r="DM93" s="8">
        <v>98.92</v>
      </c>
      <c r="DN93" s="8">
        <v>96.26</v>
      </c>
      <c r="DO93" s="8">
        <v>99.03</v>
      </c>
      <c r="DP93" s="8">
        <v>95.19</v>
      </c>
      <c r="DQ93" s="8">
        <v>95.44</v>
      </c>
      <c r="DR93" s="8">
        <v>99.8</v>
      </c>
      <c r="DS93" s="8">
        <v>90.61</v>
      </c>
      <c r="DT93" s="8">
        <v>96.17</v>
      </c>
      <c r="DU93" s="8">
        <v>102.17</v>
      </c>
      <c r="DV93" s="8">
        <v>93.81</v>
      </c>
      <c r="DW93" s="8">
        <v>93.16</v>
      </c>
      <c r="DX93" s="8">
        <v>92.34</v>
      </c>
      <c r="DY93" s="8">
        <v>93.54</v>
      </c>
      <c r="DZ93" s="8">
        <v>97.19</v>
      </c>
      <c r="EA93" s="8">
        <v>103.85</v>
      </c>
      <c r="EB93" s="8">
        <v>95.1</v>
      </c>
      <c r="EC93" s="8">
        <v>102.55</v>
      </c>
      <c r="ED93" s="8">
        <v>94.53</v>
      </c>
      <c r="EE93" s="8">
        <v>93.44</v>
      </c>
      <c r="EF93" s="8">
        <v>95.96</v>
      </c>
      <c r="EG93" s="8">
        <v>95.3</v>
      </c>
      <c r="EH93" s="8">
        <v>95.3</v>
      </c>
      <c r="EI93" s="8">
        <v>94.9</v>
      </c>
      <c r="EJ93" s="8">
        <v>94.53</v>
      </c>
      <c r="EK93" s="8">
        <v>96.23</v>
      </c>
      <c r="EL93" s="8">
        <v>97.17</v>
      </c>
      <c r="EM93" s="8">
        <v>99.23</v>
      </c>
      <c r="EN93" s="8">
        <v>99.23</v>
      </c>
      <c r="EO93" s="8">
        <v>96.32</v>
      </c>
      <c r="EP93" s="8">
        <v>96.98</v>
      </c>
      <c r="EQ93" s="8">
        <v>96.22</v>
      </c>
      <c r="ER93" s="8">
        <v>97.72</v>
      </c>
      <c r="ES93" s="8">
        <v>97.26</v>
      </c>
      <c r="ET93" s="8">
        <v>97.94</v>
      </c>
      <c r="EU93" s="8">
        <v>98.37</v>
      </c>
      <c r="EV93" s="8">
        <v>97.07</v>
      </c>
      <c r="EW93" s="8">
        <v>97.07</v>
      </c>
      <c r="EX93" s="8">
        <v>100.28</v>
      </c>
      <c r="EY93" s="8">
        <v>96.17</v>
      </c>
      <c r="EZ93" s="8">
        <v>92.6</v>
      </c>
      <c r="FA93" s="8">
        <v>96.13</v>
      </c>
      <c r="FB93" s="8">
        <v>85.33</v>
      </c>
      <c r="FC93" s="8">
        <v>100.64</v>
      </c>
      <c r="FD93" s="8">
        <v>99.48</v>
      </c>
      <c r="FE93" s="8">
        <v>98.48</v>
      </c>
      <c r="FF93" s="8">
        <v>97.98</v>
      </c>
      <c r="FG93" s="8">
        <v>96.97</v>
      </c>
      <c r="FH93" s="8">
        <v>100.27</v>
      </c>
      <c r="FI93" s="8">
        <v>96.86</v>
      </c>
      <c r="FJ93" s="8">
        <v>101.32</v>
      </c>
      <c r="FK93" s="8">
        <v>105.09</v>
      </c>
      <c r="FL93" s="8">
        <v>98.51</v>
      </c>
      <c r="FM93" s="8">
        <v>95.61</v>
      </c>
      <c r="FN93" s="8">
        <v>88.71</v>
      </c>
      <c r="FO93" s="8">
        <v>95.6</v>
      </c>
      <c r="FP93" s="8">
        <v>97.4</v>
      </c>
      <c r="FQ93" s="8">
        <v>100.73</v>
      </c>
      <c r="FR93" s="8">
        <v>93.29</v>
      </c>
      <c r="FS93" s="8">
        <v>98.02</v>
      </c>
      <c r="FT93" s="8">
        <v>95.82</v>
      </c>
      <c r="FU93" s="8">
        <v>84.87</v>
      </c>
      <c r="FV93" s="8">
        <v>99.45</v>
      </c>
      <c r="FW93" s="8">
        <v>96.93</v>
      </c>
      <c r="FX93" s="8">
        <v>97.74</v>
      </c>
      <c r="FY93" s="8">
        <v>96.04</v>
      </c>
      <c r="FZ93" s="8">
        <v>91.59</v>
      </c>
      <c r="GA93" s="8">
        <v>96.78</v>
      </c>
      <c r="GB93" s="8">
        <v>94.86</v>
      </c>
      <c r="GC93" s="8">
        <v>99.41</v>
      </c>
      <c r="GD93" s="8">
        <v>95.28</v>
      </c>
      <c r="GE93" s="8">
        <v>82.74</v>
      </c>
      <c r="GF93" s="8">
        <v>82.74</v>
      </c>
      <c r="GG93" s="8">
        <v>99.05</v>
      </c>
      <c r="GH93" s="8">
        <v>101.04</v>
      </c>
      <c r="GI93" s="8">
        <v>103</v>
      </c>
      <c r="GJ93" s="8">
        <v>99.56</v>
      </c>
      <c r="GK93" s="8">
        <v>103.29</v>
      </c>
      <c r="GL93" s="8">
        <v>98.78</v>
      </c>
      <c r="GM93" s="8">
        <v>106.97</v>
      </c>
      <c r="GN93" s="8">
        <v>93.8</v>
      </c>
      <c r="GO93" s="8">
        <v>101.69</v>
      </c>
      <c r="GP93" s="8">
        <v>92.67</v>
      </c>
      <c r="GQ93" s="8">
        <v>92.32</v>
      </c>
      <c r="GR93" s="8">
        <v>95.03</v>
      </c>
      <c r="GS93" s="8">
        <v>99.39</v>
      </c>
      <c r="GT93" s="8">
        <v>95.15</v>
      </c>
      <c r="GU93" s="8">
        <v>95.15</v>
      </c>
      <c r="GV93" s="8">
        <v>97.86</v>
      </c>
      <c r="GW93" s="8">
        <v>97.86</v>
      </c>
      <c r="GX93" s="8">
        <v>93.98</v>
      </c>
      <c r="GY93" s="8">
        <v>97.07</v>
      </c>
      <c r="GZ93" s="8">
        <v>90.39</v>
      </c>
      <c r="HA93" s="8">
        <v>109.29</v>
      </c>
      <c r="HB93" s="8">
        <v>95.46</v>
      </c>
      <c r="HC93" s="8">
        <v>115.21</v>
      </c>
      <c r="HD93" s="8">
        <v>98.18</v>
      </c>
      <c r="HE93" s="8">
        <v>97.7</v>
      </c>
      <c r="HF93" s="8">
        <v>95.28</v>
      </c>
      <c r="HG93" s="8">
        <v>94.44</v>
      </c>
      <c r="HH93" s="8">
        <v>99.29</v>
      </c>
      <c r="HI93" s="8">
        <v>100.71</v>
      </c>
      <c r="HJ93" s="8">
        <v>100.71</v>
      </c>
      <c r="HK93" s="8">
        <v>103.43</v>
      </c>
      <c r="HL93" s="8">
        <v>104.45</v>
      </c>
      <c r="HM93" s="8">
        <v>105.11</v>
      </c>
      <c r="HN93" s="8">
        <v>101.12</v>
      </c>
      <c r="HO93" s="8">
        <v>104.89</v>
      </c>
      <c r="HP93" s="8">
        <v>100.37</v>
      </c>
      <c r="HQ93" s="8">
        <v>99.39</v>
      </c>
      <c r="HR93" s="8">
        <v>99.3</v>
      </c>
      <c r="HS93" s="8">
        <v>101.22</v>
      </c>
      <c r="HT93" s="8">
        <v>92.77</v>
      </c>
      <c r="HU93" s="8">
        <v>83.3</v>
      </c>
      <c r="HV93" s="8">
        <v>95.86</v>
      </c>
      <c r="HW93" s="8">
        <v>95.87</v>
      </c>
      <c r="HX93" s="8">
        <v>96.21</v>
      </c>
      <c r="HY93" s="8">
        <v>100.33</v>
      </c>
      <c r="HZ93" s="8">
        <v>100.97</v>
      </c>
      <c r="IA93" s="8">
        <v>96.76</v>
      </c>
      <c r="IB93" s="8">
        <v>95.38</v>
      </c>
      <c r="IC93" s="8">
        <v>95.2</v>
      </c>
      <c r="ID93" s="8">
        <v>97.23</v>
      </c>
      <c r="IE93" s="8">
        <v>99.97</v>
      </c>
      <c r="IF93" s="8">
        <v>100.01</v>
      </c>
      <c r="IG93" s="8">
        <v>100.58</v>
      </c>
      <c r="IH93" s="8">
        <v>100.52</v>
      </c>
      <c r="II93" s="8">
        <v>104.01</v>
      </c>
      <c r="IJ93" s="8">
        <v>94.75</v>
      </c>
      <c r="IK93" s="8">
        <v>95.91</v>
      </c>
      <c r="IL93" s="8">
        <v>98.07</v>
      </c>
      <c r="IM93" s="8">
        <v>98.07</v>
      </c>
      <c r="IN93" s="8">
        <v>98.95</v>
      </c>
      <c r="IO93" s="8">
        <v>98.95</v>
      </c>
      <c r="IP93" s="8">
        <v>96.26</v>
      </c>
      <c r="IQ93" s="8">
        <v>99.06</v>
      </c>
    </row>
    <row r="94" spans="1:251" x14ac:dyDescent="0.2">
      <c r="A94" s="9">
        <v>45505</v>
      </c>
      <c r="B94" s="8">
        <v>97.71</v>
      </c>
      <c r="C94" s="8">
        <v>96.57</v>
      </c>
      <c r="D94" s="8">
        <v>113.36</v>
      </c>
      <c r="E94" s="8">
        <v>94.73</v>
      </c>
      <c r="F94" s="8">
        <v>94.73</v>
      </c>
      <c r="G94" s="8">
        <v>93.71</v>
      </c>
      <c r="H94" s="8">
        <v>93.77</v>
      </c>
      <c r="I94" s="8">
        <v>96.19</v>
      </c>
      <c r="J94" s="8">
        <v>95.7</v>
      </c>
      <c r="K94" s="8">
        <v>95.32</v>
      </c>
      <c r="L94" s="8">
        <v>95.32</v>
      </c>
      <c r="M94" s="8">
        <v>95.8</v>
      </c>
      <c r="N94" s="8">
        <v>94.95</v>
      </c>
      <c r="O94" s="8">
        <v>95.87</v>
      </c>
      <c r="P94" s="8">
        <v>94.79</v>
      </c>
      <c r="Q94" s="8">
        <v>97.36</v>
      </c>
      <c r="R94" s="8">
        <v>98.41</v>
      </c>
      <c r="S94" s="8">
        <v>98.68</v>
      </c>
      <c r="T94" s="8">
        <v>97.42</v>
      </c>
      <c r="U94" s="8">
        <v>101.42</v>
      </c>
      <c r="V94" s="8">
        <v>99.62</v>
      </c>
      <c r="W94" s="8">
        <v>96.83</v>
      </c>
      <c r="X94" s="8">
        <v>92.77</v>
      </c>
      <c r="Y94" s="8">
        <v>96.84</v>
      </c>
      <c r="Z94" s="8">
        <v>88.6</v>
      </c>
      <c r="AA94" s="8">
        <v>100.8</v>
      </c>
      <c r="AB94" s="8">
        <v>98.82</v>
      </c>
      <c r="AC94" s="8">
        <v>100.57</v>
      </c>
      <c r="AD94" s="8">
        <v>98.28</v>
      </c>
      <c r="AE94" s="8">
        <v>98.84</v>
      </c>
      <c r="AF94" s="8">
        <v>98.8</v>
      </c>
      <c r="AG94" s="8">
        <v>96.87</v>
      </c>
      <c r="AH94" s="8">
        <v>103.21</v>
      </c>
      <c r="AI94" s="8">
        <v>104.93</v>
      </c>
      <c r="AJ94" s="8">
        <v>101.91</v>
      </c>
      <c r="AK94" s="8">
        <v>95.71</v>
      </c>
      <c r="AL94" s="8">
        <v>87.52</v>
      </c>
      <c r="AM94" s="8">
        <v>97.38</v>
      </c>
      <c r="AN94" s="8">
        <v>98.54</v>
      </c>
      <c r="AO94" s="8">
        <v>100.42</v>
      </c>
      <c r="AP94" s="8">
        <v>92.6</v>
      </c>
      <c r="AQ94" s="8">
        <v>98.69</v>
      </c>
      <c r="AR94" s="8">
        <v>96.62</v>
      </c>
      <c r="AS94" s="8">
        <v>86.05</v>
      </c>
      <c r="AT94" s="8">
        <v>99.25</v>
      </c>
      <c r="AU94" s="8">
        <v>95.98</v>
      </c>
      <c r="AV94" s="8">
        <v>96.26</v>
      </c>
      <c r="AW94" s="8">
        <v>95.73</v>
      </c>
      <c r="AX94" s="8">
        <v>92.04</v>
      </c>
      <c r="AY94" s="8">
        <v>96.15</v>
      </c>
      <c r="AZ94" s="8">
        <v>96.43</v>
      </c>
      <c r="BA94" s="8">
        <v>98.29</v>
      </c>
      <c r="BB94" s="8">
        <v>94.67</v>
      </c>
      <c r="BC94" s="8">
        <v>84.19</v>
      </c>
      <c r="BD94" s="8">
        <v>84.19</v>
      </c>
      <c r="BE94" s="8">
        <v>95.3</v>
      </c>
      <c r="BF94" s="8">
        <v>100.23</v>
      </c>
      <c r="BG94" s="8">
        <v>104.6</v>
      </c>
      <c r="BH94" s="8">
        <v>98.48</v>
      </c>
      <c r="BI94" s="8">
        <v>100.9</v>
      </c>
      <c r="BJ94" s="8">
        <v>92.2</v>
      </c>
      <c r="BK94" s="8">
        <v>98.44</v>
      </c>
      <c r="BL94" s="8">
        <v>89.06</v>
      </c>
      <c r="BM94" s="8">
        <v>103.15</v>
      </c>
      <c r="BN94" s="8">
        <v>87.39</v>
      </c>
      <c r="BO94" s="8">
        <v>87.15</v>
      </c>
      <c r="BP94" s="8">
        <v>94.51</v>
      </c>
      <c r="BQ94" s="8">
        <v>87.78</v>
      </c>
      <c r="BR94" s="8">
        <v>95.54</v>
      </c>
      <c r="BS94" s="8">
        <v>95.54</v>
      </c>
      <c r="BT94" s="8">
        <v>97.15</v>
      </c>
      <c r="BU94" s="8">
        <v>97.15</v>
      </c>
      <c r="BV94" s="8">
        <v>92.63</v>
      </c>
      <c r="BW94" s="8">
        <v>98.4</v>
      </c>
      <c r="BX94" s="8">
        <v>87.28</v>
      </c>
      <c r="BY94" s="8">
        <v>43.32</v>
      </c>
      <c r="BZ94" s="8">
        <v>96.1</v>
      </c>
      <c r="CA94" s="8">
        <v>5.57</v>
      </c>
      <c r="CB94" s="8">
        <v>99.4</v>
      </c>
      <c r="CC94" s="8">
        <v>98.19</v>
      </c>
      <c r="CD94" s="8">
        <v>97.77</v>
      </c>
      <c r="CE94" s="8">
        <v>97.62</v>
      </c>
      <c r="CF94" s="8">
        <v>98.58</v>
      </c>
      <c r="CG94" s="8">
        <v>101.58</v>
      </c>
      <c r="CH94" s="8">
        <v>101.58</v>
      </c>
      <c r="CI94" s="8">
        <v>103.58</v>
      </c>
      <c r="CJ94" s="8">
        <v>100.98</v>
      </c>
      <c r="CK94" s="8">
        <v>103.2</v>
      </c>
      <c r="CL94" s="8">
        <v>105.92</v>
      </c>
      <c r="CM94" s="8">
        <v>104.47</v>
      </c>
      <c r="CN94" s="8">
        <v>100.04</v>
      </c>
      <c r="CO94" s="8">
        <v>99.22</v>
      </c>
      <c r="CP94" s="8">
        <v>99.02</v>
      </c>
      <c r="CQ94" s="8">
        <v>100.82</v>
      </c>
      <c r="CR94" s="8">
        <v>94.58</v>
      </c>
      <c r="CS94" s="8">
        <v>89.3</v>
      </c>
      <c r="CT94" s="8">
        <v>96.64</v>
      </c>
      <c r="CU94" s="8">
        <v>97.58</v>
      </c>
      <c r="CV94" s="8">
        <v>96.43</v>
      </c>
      <c r="CW94" s="8">
        <v>101.77</v>
      </c>
      <c r="CX94" s="8">
        <v>102.09</v>
      </c>
      <c r="CY94" s="8">
        <v>98.98</v>
      </c>
      <c r="CZ94" s="8">
        <v>95.39</v>
      </c>
      <c r="DA94" s="8">
        <v>95.44</v>
      </c>
      <c r="DB94" s="8">
        <v>95.07</v>
      </c>
      <c r="DC94" s="8">
        <v>98.75</v>
      </c>
      <c r="DD94" s="8">
        <v>98.61</v>
      </c>
      <c r="DE94" s="8">
        <v>99.51</v>
      </c>
      <c r="DF94" s="8">
        <v>99.08</v>
      </c>
      <c r="DG94" s="8">
        <v>101.4</v>
      </c>
      <c r="DH94" s="8">
        <v>93.67</v>
      </c>
      <c r="DI94" s="8">
        <v>97.13</v>
      </c>
      <c r="DJ94" s="8">
        <v>111.58</v>
      </c>
      <c r="DK94" s="8">
        <v>111.58</v>
      </c>
      <c r="DL94" s="8">
        <v>98.4</v>
      </c>
      <c r="DM94" s="8">
        <v>98.4</v>
      </c>
      <c r="DN94" s="8">
        <v>96.17</v>
      </c>
      <c r="DO94" s="8">
        <v>98.49</v>
      </c>
      <c r="DP94" s="8">
        <v>95.85</v>
      </c>
      <c r="DQ94" s="8">
        <v>97</v>
      </c>
      <c r="DR94" s="8">
        <v>102.43</v>
      </c>
      <c r="DS94" s="8">
        <v>90.96</v>
      </c>
      <c r="DT94" s="8">
        <v>96.93</v>
      </c>
      <c r="DU94" s="8">
        <v>101.1</v>
      </c>
      <c r="DV94" s="8">
        <v>95.28</v>
      </c>
      <c r="DW94" s="8">
        <v>93.25</v>
      </c>
      <c r="DX94" s="8">
        <v>90.9</v>
      </c>
      <c r="DY94" s="8">
        <v>95.31</v>
      </c>
      <c r="DZ94" s="8">
        <v>98.17</v>
      </c>
      <c r="EA94" s="8">
        <v>105.25</v>
      </c>
      <c r="EB94" s="8">
        <v>98.17</v>
      </c>
      <c r="EC94" s="8">
        <v>102.05</v>
      </c>
      <c r="ED94" s="8">
        <v>95.27</v>
      </c>
      <c r="EE94" s="8">
        <v>94.61</v>
      </c>
      <c r="EF94" s="8">
        <v>96.41</v>
      </c>
      <c r="EG94" s="8">
        <v>95.42</v>
      </c>
      <c r="EH94" s="8">
        <v>95.42</v>
      </c>
      <c r="EI94" s="8">
        <v>95.4</v>
      </c>
      <c r="EJ94" s="8">
        <v>94.53</v>
      </c>
      <c r="EK94" s="8">
        <v>96.23</v>
      </c>
      <c r="EL94" s="8">
        <v>97.09</v>
      </c>
      <c r="EM94" s="8">
        <v>99.72</v>
      </c>
      <c r="EN94" s="8">
        <v>99.72</v>
      </c>
      <c r="EO94" s="8">
        <v>96.02</v>
      </c>
      <c r="EP94" s="8">
        <v>94.95</v>
      </c>
      <c r="EQ94" s="8">
        <v>96.22</v>
      </c>
      <c r="ER94" s="8">
        <v>97.01</v>
      </c>
      <c r="ES94" s="8">
        <v>97.4</v>
      </c>
      <c r="ET94" s="8">
        <v>98.06</v>
      </c>
      <c r="EU94" s="8">
        <v>98.2</v>
      </c>
      <c r="EV94" s="8">
        <v>97.09</v>
      </c>
      <c r="EW94" s="8">
        <v>101.02</v>
      </c>
      <c r="EX94" s="8">
        <v>99.61</v>
      </c>
      <c r="EY94" s="8">
        <v>96.49</v>
      </c>
      <c r="EZ94" s="8">
        <v>93.43</v>
      </c>
      <c r="FA94" s="8">
        <v>96.57</v>
      </c>
      <c r="FB94" s="8">
        <v>85.64</v>
      </c>
      <c r="FC94" s="8">
        <v>100.99</v>
      </c>
      <c r="FD94" s="8">
        <v>99.09</v>
      </c>
      <c r="FE94" s="8">
        <v>98.94</v>
      </c>
      <c r="FF94" s="8">
        <v>97.8</v>
      </c>
      <c r="FG94" s="8">
        <v>97.75</v>
      </c>
      <c r="FH94" s="8">
        <v>98.77</v>
      </c>
      <c r="FI94" s="8">
        <v>96.72</v>
      </c>
      <c r="FJ94" s="8">
        <v>101.43</v>
      </c>
      <c r="FK94" s="8">
        <v>102.73</v>
      </c>
      <c r="FL94" s="8">
        <v>100.44</v>
      </c>
      <c r="FM94" s="8">
        <v>95.66</v>
      </c>
      <c r="FN94" s="8">
        <v>89.79</v>
      </c>
      <c r="FO94" s="8">
        <v>97.33</v>
      </c>
      <c r="FP94" s="8">
        <v>98.48</v>
      </c>
      <c r="FQ94" s="8">
        <v>101</v>
      </c>
      <c r="FR94" s="8">
        <v>92.47</v>
      </c>
      <c r="FS94" s="8">
        <v>98.34</v>
      </c>
      <c r="FT94" s="8">
        <v>95.53</v>
      </c>
      <c r="FU94" s="8">
        <v>85.44</v>
      </c>
      <c r="FV94" s="8">
        <v>98.86</v>
      </c>
      <c r="FW94" s="8">
        <v>97.2</v>
      </c>
      <c r="FX94" s="8">
        <v>98.13</v>
      </c>
      <c r="FY94" s="8">
        <v>96.18</v>
      </c>
      <c r="FZ94" s="8">
        <v>91.33</v>
      </c>
      <c r="GA94" s="8">
        <v>96.4</v>
      </c>
      <c r="GB94" s="8">
        <v>94.68</v>
      </c>
      <c r="GC94" s="8">
        <v>97.34</v>
      </c>
      <c r="GD94" s="8">
        <v>96.35</v>
      </c>
      <c r="GE94" s="8">
        <v>82.68</v>
      </c>
      <c r="GF94" s="8">
        <v>82.68</v>
      </c>
      <c r="GG94" s="8">
        <v>98.28</v>
      </c>
      <c r="GH94" s="8">
        <v>101.17</v>
      </c>
      <c r="GI94" s="8">
        <v>106.8</v>
      </c>
      <c r="GJ94" s="8">
        <v>98.03</v>
      </c>
      <c r="GK94" s="8">
        <v>103.47</v>
      </c>
      <c r="GL94" s="8">
        <v>96.39</v>
      </c>
      <c r="GM94" s="8">
        <v>101.21</v>
      </c>
      <c r="GN94" s="8">
        <v>92.08</v>
      </c>
      <c r="GO94" s="8">
        <v>101.47</v>
      </c>
      <c r="GP94" s="8">
        <v>90.06</v>
      </c>
      <c r="GQ94" s="8">
        <v>89.3</v>
      </c>
      <c r="GR94" s="8">
        <v>95.75</v>
      </c>
      <c r="GS94" s="8">
        <v>96.91</v>
      </c>
      <c r="GT94" s="8">
        <v>95.72</v>
      </c>
      <c r="GU94" s="8">
        <v>95.72</v>
      </c>
      <c r="GV94" s="8">
        <v>97.87</v>
      </c>
      <c r="GW94" s="8">
        <v>97.87</v>
      </c>
      <c r="GX94" s="8">
        <v>93.91</v>
      </c>
      <c r="GY94" s="8">
        <v>96.93</v>
      </c>
      <c r="GZ94" s="8">
        <v>90.39</v>
      </c>
      <c r="HA94" s="8">
        <v>98.6</v>
      </c>
      <c r="HB94" s="8">
        <v>95.46</v>
      </c>
      <c r="HC94" s="8">
        <v>99.14</v>
      </c>
      <c r="HD94" s="8">
        <v>98.99</v>
      </c>
      <c r="HE94" s="8">
        <v>98.14</v>
      </c>
      <c r="HF94" s="8">
        <v>94.77</v>
      </c>
      <c r="HG94" s="8">
        <v>94.22</v>
      </c>
      <c r="HH94" s="8">
        <v>97.45</v>
      </c>
      <c r="HI94" s="8">
        <v>107.36</v>
      </c>
      <c r="HJ94" s="8">
        <v>107.36</v>
      </c>
      <c r="HK94" s="8">
        <v>102.49</v>
      </c>
      <c r="HL94" s="8">
        <v>103.44</v>
      </c>
      <c r="HM94" s="8">
        <v>107.86</v>
      </c>
      <c r="HN94" s="8">
        <v>98.01</v>
      </c>
      <c r="HO94" s="8">
        <v>104.51</v>
      </c>
      <c r="HP94" s="8">
        <v>100.2</v>
      </c>
      <c r="HQ94" s="8">
        <v>98.88</v>
      </c>
      <c r="HR94" s="8">
        <v>99.51</v>
      </c>
      <c r="HS94" s="8">
        <v>100.85</v>
      </c>
      <c r="HT94" s="8">
        <v>93.91</v>
      </c>
      <c r="HU94" s="8">
        <v>87.79</v>
      </c>
      <c r="HV94" s="8">
        <v>95.83</v>
      </c>
      <c r="HW94" s="8">
        <v>95.94</v>
      </c>
      <c r="HX94" s="8">
        <v>96.23</v>
      </c>
      <c r="HY94" s="8">
        <v>100.01</v>
      </c>
      <c r="HZ94" s="8">
        <v>100.68</v>
      </c>
      <c r="IA94" s="8">
        <v>96.24</v>
      </c>
      <c r="IB94" s="8">
        <v>95.46</v>
      </c>
      <c r="IC94" s="8">
        <v>95.27</v>
      </c>
      <c r="ID94" s="8">
        <v>97.42</v>
      </c>
      <c r="IE94" s="8">
        <v>99.79</v>
      </c>
      <c r="IF94" s="8">
        <v>99.87</v>
      </c>
      <c r="IG94" s="8">
        <v>100.22</v>
      </c>
      <c r="IH94" s="8">
        <v>100.72</v>
      </c>
      <c r="II94" s="8">
        <v>103.1</v>
      </c>
      <c r="IJ94" s="8">
        <v>95.71</v>
      </c>
      <c r="IK94" s="8">
        <v>96.3</v>
      </c>
      <c r="IL94" s="8">
        <v>96.02</v>
      </c>
      <c r="IM94" s="8">
        <v>96.02</v>
      </c>
      <c r="IN94" s="8">
        <v>98.42</v>
      </c>
      <c r="IO94" s="8">
        <v>98.42</v>
      </c>
      <c r="IP94" s="8">
        <v>96.17</v>
      </c>
      <c r="IQ94" s="8">
        <v>98.51</v>
      </c>
    </row>
    <row r="95" spans="1:251" x14ac:dyDescent="0.2">
      <c r="A95" s="9">
        <v>45536</v>
      </c>
      <c r="B95" s="8">
        <v>97.71</v>
      </c>
      <c r="C95" s="8">
        <v>96.91</v>
      </c>
      <c r="D95" s="8">
        <v>113.52</v>
      </c>
      <c r="E95" s="8">
        <v>94.75</v>
      </c>
      <c r="F95" s="8">
        <v>94.75</v>
      </c>
      <c r="G95" s="8">
        <v>93.87</v>
      </c>
      <c r="H95" s="8">
        <v>93.77</v>
      </c>
      <c r="I95" s="8">
        <v>96.19</v>
      </c>
      <c r="J95" s="8">
        <v>96.84</v>
      </c>
      <c r="K95" s="8">
        <v>96</v>
      </c>
      <c r="L95" s="8">
        <v>96</v>
      </c>
      <c r="M95" s="8">
        <v>97.05</v>
      </c>
      <c r="N95" s="8">
        <v>95.16</v>
      </c>
      <c r="O95" s="8">
        <v>97.19</v>
      </c>
      <c r="P95" s="8">
        <v>95.06</v>
      </c>
      <c r="Q95" s="8">
        <v>96.85</v>
      </c>
      <c r="R95" s="8">
        <v>98.2</v>
      </c>
      <c r="S95" s="8">
        <v>98.41</v>
      </c>
      <c r="T95" s="8">
        <v>97.03</v>
      </c>
      <c r="U95" s="8">
        <v>101.63</v>
      </c>
      <c r="V95" s="8">
        <v>100.22</v>
      </c>
      <c r="W95" s="8">
        <v>96.54</v>
      </c>
      <c r="X95" s="8">
        <v>92.68</v>
      </c>
      <c r="Y95" s="8">
        <v>96.76</v>
      </c>
      <c r="Z95" s="8">
        <v>88.27</v>
      </c>
      <c r="AA95" s="8">
        <v>99.92</v>
      </c>
      <c r="AB95" s="8">
        <v>98.64</v>
      </c>
      <c r="AC95" s="8">
        <v>100.44</v>
      </c>
      <c r="AD95" s="8">
        <v>97.63</v>
      </c>
      <c r="AE95" s="8">
        <v>97.99</v>
      </c>
      <c r="AF95" s="8">
        <v>98.53</v>
      </c>
      <c r="AG95" s="8">
        <v>96.14</v>
      </c>
      <c r="AH95" s="8">
        <v>99.21</v>
      </c>
      <c r="AI95" s="8">
        <v>97.75</v>
      </c>
      <c r="AJ95" s="8">
        <v>100.36</v>
      </c>
      <c r="AK95" s="8">
        <v>96.08</v>
      </c>
      <c r="AL95" s="8">
        <v>91.09</v>
      </c>
      <c r="AM95" s="8">
        <v>96.54</v>
      </c>
      <c r="AN95" s="8">
        <v>98.06</v>
      </c>
      <c r="AO95" s="8">
        <v>99.37</v>
      </c>
      <c r="AP95" s="8">
        <v>93.44</v>
      </c>
      <c r="AQ95" s="8">
        <v>98.82</v>
      </c>
      <c r="AR95" s="8">
        <v>95.42</v>
      </c>
      <c r="AS95" s="8">
        <v>86.75</v>
      </c>
      <c r="AT95" s="8">
        <v>97.57</v>
      </c>
      <c r="AU95" s="8">
        <v>96.31</v>
      </c>
      <c r="AV95" s="8">
        <v>96.57</v>
      </c>
      <c r="AW95" s="8">
        <v>96.06</v>
      </c>
      <c r="AX95" s="8">
        <v>93.66</v>
      </c>
      <c r="AY95" s="8">
        <v>96.45</v>
      </c>
      <c r="AZ95" s="8">
        <v>97.73</v>
      </c>
      <c r="BA95" s="8">
        <v>98.18</v>
      </c>
      <c r="BB95" s="8">
        <v>94.77</v>
      </c>
      <c r="BC95" s="8">
        <v>88.1</v>
      </c>
      <c r="BD95" s="8">
        <v>88.1</v>
      </c>
      <c r="BE95" s="8">
        <v>95.39</v>
      </c>
      <c r="BF95" s="8">
        <v>98.36</v>
      </c>
      <c r="BG95" s="8">
        <v>101.46</v>
      </c>
      <c r="BH95" s="8">
        <v>97.24</v>
      </c>
      <c r="BI95" s="8">
        <v>98.4</v>
      </c>
      <c r="BJ95" s="8">
        <v>93.6</v>
      </c>
      <c r="BK95" s="8">
        <v>101.8</v>
      </c>
      <c r="BL95" s="8">
        <v>90.61</v>
      </c>
      <c r="BM95" s="8">
        <v>101.29</v>
      </c>
      <c r="BN95" s="8">
        <v>90.69</v>
      </c>
      <c r="BO95" s="8">
        <v>90.53</v>
      </c>
      <c r="BP95" s="8">
        <v>95.16</v>
      </c>
      <c r="BQ95" s="8">
        <v>88.3</v>
      </c>
      <c r="BR95" s="8">
        <v>95.59</v>
      </c>
      <c r="BS95" s="8">
        <v>95.59</v>
      </c>
      <c r="BT95" s="8">
        <v>97.35</v>
      </c>
      <c r="BU95" s="8">
        <v>97.35</v>
      </c>
      <c r="BV95" s="8">
        <v>95.31</v>
      </c>
      <c r="BW95" s="8">
        <v>98.5</v>
      </c>
      <c r="BX95" s="8">
        <v>92.33</v>
      </c>
      <c r="BY95" s="8">
        <v>43.43</v>
      </c>
      <c r="BZ95" s="8">
        <v>96.1</v>
      </c>
      <c r="CA95" s="8">
        <v>5.57</v>
      </c>
      <c r="CB95" s="8">
        <v>100.93</v>
      </c>
      <c r="CC95" s="8">
        <v>98.02</v>
      </c>
      <c r="CD95" s="8">
        <v>99.8</v>
      </c>
      <c r="CE95" s="8">
        <v>100.08</v>
      </c>
      <c r="CF95" s="8">
        <v>98.37</v>
      </c>
      <c r="CG95" s="8">
        <v>100.62</v>
      </c>
      <c r="CH95" s="8">
        <v>100.62</v>
      </c>
      <c r="CI95" s="8">
        <v>100.07</v>
      </c>
      <c r="CJ95" s="8">
        <v>98.22</v>
      </c>
      <c r="CK95" s="8">
        <v>96.05</v>
      </c>
      <c r="CL95" s="8">
        <v>100.78</v>
      </c>
      <c r="CM95" s="8">
        <v>104.41</v>
      </c>
      <c r="CN95" s="8">
        <v>99.38</v>
      </c>
      <c r="CO95" s="8">
        <v>98.63</v>
      </c>
      <c r="CP95" s="8">
        <v>97.81</v>
      </c>
      <c r="CQ95" s="8">
        <v>100.5</v>
      </c>
      <c r="CR95" s="8">
        <v>95.04</v>
      </c>
      <c r="CS95" s="8">
        <v>89.64</v>
      </c>
      <c r="CT95" s="8">
        <v>97.2</v>
      </c>
      <c r="CU95" s="8">
        <v>98.03</v>
      </c>
      <c r="CV95" s="8">
        <v>96.31</v>
      </c>
      <c r="CW95" s="8">
        <v>101.64</v>
      </c>
      <c r="CX95" s="8">
        <v>101.95</v>
      </c>
      <c r="CY95" s="8">
        <v>98.98</v>
      </c>
      <c r="CZ95" s="8">
        <v>95.28</v>
      </c>
      <c r="DA95" s="8">
        <v>95.27</v>
      </c>
      <c r="DB95" s="8">
        <v>95.36</v>
      </c>
      <c r="DC95" s="8">
        <v>97.13</v>
      </c>
      <c r="DD95" s="8">
        <v>97.12</v>
      </c>
      <c r="DE95" s="8">
        <v>100.62</v>
      </c>
      <c r="DF95" s="8">
        <v>94.71</v>
      </c>
      <c r="DG95" s="8">
        <v>96.62</v>
      </c>
      <c r="DH95" s="8">
        <v>94.46</v>
      </c>
      <c r="DI95" s="8">
        <v>97.13</v>
      </c>
      <c r="DJ95" s="8">
        <v>97.91</v>
      </c>
      <c r="DK95" s="8">
        <v>97.91</v>
      </c>
      <c r="DL95" s="8">
        <v>98.45</v>
      </c>
      <c r="DM95" s="8">
        <v>98.45</v>
      </c>
      <c r="DN95" s="8">
        <v>95.96</v>
      </c>
      <c r="DO95" s="8">
        <v>98.55</v>
      </c>
      <c r="DP95" s="8">
        <v>97.96</v>
      </c>
      <c r="DQ95" s="8">
        <v>94.82</v>
      </c>
      <c r="DR95" s="8">
        <v>98.26</v>
      </c>
      <c r="DS95" s="8">
        <v>91.05</v>
      </c>
      <c r="DT95" s="8">
        <v>95.96</v>
      </c>
      <c r="DU95" s="8">
        <v>98.1</v>
      </c>
      <c r="DV95" s="8">
        <v>95.09</v>
      </c>
      <c r="DW95" s="8">
        <v>98.46</v>
      </c>
      <c r="DX95" s="8">
        <v>96.46</v>
      </c>
      <c r="DY95" s="8">
        <v>100.1</v>
      </c>
      <c r="DZ95" s="8">
        <v>98.52</v>
      </c>
      <c r="EA95" s="8">
        <v>105.41</v>
      </c>
      <c r="EB95" s="8">
        <v>100.15</v>
      </c>
      <c r="EC95" s="8">
        <v>101.37</v>
      </c>
      <c r="ED95" s="8">
        <v>95.27</v>
      </c>
      <c r="EE95" s="8">
        <v>95.47</v>
      </c>
      <c r="EF95" s="8">
        <v>96.4</v>
      </c>
      <c r="EG95" s="8">
        <v>95.43</v>
      </c>
      <c r="EH95" s="8">
        <v>95.43</v>
      </c>
      <c r="EI95" s="8">
        <v>95.45</v>
      </c>
      <c r="EJ95" s="8">
        <v>94.53</v>
      </c>
      <c r="EK95" s="8">
        <v>96.23</v>
      </c>
      <c r="EL95" s="8">
        <v>97.84</v>
      </c>
      <c r="EM95" s="8">
        <v>99.96</v>
      </c>
      <c r="EN95" s="8">
        <v>99.96</v>
      </c>
      <c r="EO95" s="8">
        <v>96.97</v>
      </c>
      <c r="EP95" s="8">
        <v>95.16</v>
      </c>
      <c r="EQ95" s="8">
        <v>97.29</v>
      </c>
      <c r="ER95" s="8">
        <v>97.06</v>
      </c>
      <c r="ES95" s="8">
        <v>97.01</v>
      </c>
      <c r="ET95" s="8">
        <v>97.85</v>
      </c>
      <c r="EU95" s="8">
        <v>97.82</v>
      </c>
      <c r="EV95" s="8">
        <v>96.86</v>
      </c>
      <c r="EW95" s="8">
        <v>101.17</v>
      </c>
      <c r="EX95" s="8">
        <v>99.9</v>
      </c>
      <c r="EY95" s="8">
        <v>96.46</v>
      </c>
      <c r="EZ95" s="8">
        <v>93.34</v>
      </c>
      <c r="FA95" s="8">
        <v>96.96</v>
      </c>
      <c r="FB95" s="8">
        <v>87.43</v>
      </c>
      <c r="FC95" s="8">
        <v>99.92</v>
      </c>
      <c r="FD95" s="8">
        <v>98.81</v>
      </c>
      <c r="FE95" s="8">
        <v>99.01</v>
      </c>
      <c r="FF95" s="8">
        <v>97.4</v>
      </c>
      <c r="FG95" s="8">
        <v>97.59</v>
      </c>
      <c r="FH95" s="8">
        <v>98.25</v>
      </c>
      <c r="FI95" s="8">
        <v>96.07</v>
      </c>
      <c r="FJ95" s="8">
        <v>98.9</v>
      </c>
      <c r="FK95" s="8">
        <v>98.21</v>
      </c>
      <c r="FL95" s="8">
        <v>99.38</v>
      </c>
      <c r="FM95" s="8">
        <v>95.97</v>
      </c>
      <c r="FN95" s="8">
        <v>93.4</v>
      </c>
      <c r="FO95" s="8">
        <v>96.45</v>
      </c>
      <c r="FP95" s="8">
        <v>97.9</v>
      </c>
      <c r="FQ95" s="8">
        <v>99.69</v>
      </c>
      <c r="FR95" s="8">
        <v>93.18</v>
      </c>
      <c r="FS95" s="8">
        <v>98.62</v>
      </c>
      <c r="FT95" s="8">
        <v>94.24</v>
      </c>
      <c r="FU95" s="8">
        <v>85.61</v>
      </c>
      <c r="FV95" s="8">
        <v>97.09</v>
      </c>
      <c r="FW95" s="8">
        <v>97.22</v>
      </c>
      <c r="FX95" s="8">
        <v>98.13</v>
      </c>
      <c r="FY95" s="8">
        <v>96.21</v>
      </c>
      <c r="FZ95" s="8">
        <v>93.33</v>
      </c>
      <c r="GA95" s="8">
        <v>97.1</v>
      </c>
      <c r="GB95" s="8">
        <v>95.9</v>
      </c>
      <c r="GC95" s="8">
        <v>98.46</v>
      </c>
      <c r="GD95" s="8">
        <v>96.44</v>
      </c>
      <c r="GE95" s="8">
        <v>86.63</v>
      </c>
      <c r="GF95" s="8">
        <v>86.63</v>
      </c>
      <c r="GG95" s="8">
        <v>98.01</v>
      </c>
      <c r="GH95" s="8">
        <v>99.36</v>
      </c>
      <c r="GI95" s="8">
        <v>104.46</v>
      </c>
      <c r="GJ95" s="8">
        <v>96.85</v>
      </c>
      <c r="GK95" s="8">
        <v>100.24</v>
      </c>
      <c r="GL95" s="8">
        <v>95.7</v>
      </c>
      <c r="GM95" s="8">
        <v>104.27</v>
      </c>
      <c r="GN95" s="8">
        <v>89.65</v>
      </c>
      <c r="GO95" s="8">
        <v>100.74</v>
      </c>
      <c r="GP95" s="8">
        <v>95.5</v>
      </c>
      <c r="GQ95" s="8">
        <v>95.29</v>
      </c>
      <c r="GR95" s="8">
        <v>96.75</v>
      </c>
      <c r="GS95" s="8">
        <v>96.78</v>
      </c>
      <c r="GT95" s="8">
        <v>95.59</v>
      </c>
      <c r="GU95" s="8">
        <v>95.59</v>
      </c>
      <c r="GV95" s="8">
        <v>96.53</v>
      </c>
      <c r="GW95" s="8">
        <v>96.53</v>
      </c>
      <c r="GX95" s="8">
        <v>96.44</v>
      </c>
      <c r="GY95" s="8">
        <v>97.16</v>
      </c>
      <c r="GZ95" s="8">
        <v>95.59</v>
      </c>
      <c r="HA95" s="8">
        <v>98.6</v>
      </c>
      <c r="HB95" s="8">
        <v>95.46</v>
      </c>
      <c r="HC95" s="8">
        <v>99.14</v>
      </c>
      <c r="HD95" s="8">
        <v>98.99</v>
      </c>
      <c r="HE95" s="8">
        <v>97.97</v>
      </c>
      <c r="HF95" s="8">
        <v>98.45</v>
      </c>
      <c r="HG95" s="8">
        <v>98.62</v>
      </c>
      <c r="HH95" s="8">
        <v>97.83</v>
      </c>
      <c r="HI95" s="8">
        <v>100.89</v>
      </c>
      <c r="HJ95" s="8">
        <v>100.89</v>
      </c>
      <c r="HK95" s="8">
        <v>100.16</v>
      </c>
      <c r="HL95" s="8">
        <v>103.03</v>
      </c>
      <c r="HM95" s="8">
        <v>100.27</v>
      </c>
      <c r="HN95" s="8">
        <v>97.11</v>
      </c>
      <c r="HO95" s="8">
        <v>102.46</v>
      </c>
      <c r="HP95" s="8">
        <v>98.96</v>
      </c>
      <c r="HQ95" s="8">
        <v>98.24</v>
      </c>
      <c r="HR95" s="8">
        <v>98.02</v>
      </c>
      <c r="HS95" s="8">
        <v>99.68</v>
      </c>
      <c r="HT95" s="8">
        <v>94.56</v>
      </c>
      <c r="HU95" s="8">
        <v>89.76</v>
      </c>
      <c r="HV95" s="8">
        <v>96.04</v>
      </c>
      <c r="HW95" s="8">
        <v>96.1</v>
      </c>
      <c r="HX95" s="8">
        <v>96.31</v>
      </c>
      <c r="HY95" s="8">
        <v>99.91</v>
      </c>
      <c r="HZ95" s="8">
        <v>100.26</v>
      </c>
      <c r="IA95" s="8">
        <v>97.9</v>
      </c>
      <c r="IB95" s="8">
        <v>95.59</v>
      </c>
      <c r="IC95" s="8">
        <v>95.41</v>
      </c>
      <c r="ID95" s="8">
        <v>97.4</v>
      </c>
      <c r="IE95" s="8">
        <v>98.07</v>
      </c>
      <c r="IF95" s="8">
        <v>98.11</v>
      </c>
      <c r="IG95" s="8">
        <v>99.84</v>
      </c>
      <c r="IH95" s="8">
        <v>101.35</v>
      </c>
      <c r="II95" s="8">
        <v>97.39</v>
      </c>
      <c r="IJ95" s="8">
        <v>96.48</v>
      </c>
      <c r="IK95" s="8">
        <v>96.3</v>
      </c>
      <c r="IL95" s="8">
        <v>96.02</v>
      </c>
      <c r="IM95" s="8">
        <v>96.02</v>
      </c>
      <c r="IN95" s="8">
        <v>98.47</v>
      </c>
      <c r="IO95" s="8">
        <v>98.47</v>
      </c>
      <c r="IP95" s="8">
        <v>95.96</v>
      </c>
      <c r="IQ95" s="8">
        <v>98.57</v>
      </c>
    </row>
    <row r="96" spans="1:251" x14ac:dyDescent="0.2">
      <c r="A96" s="9">
        <v>45566</v>
      </c>
      <c r="B96" s="8">
        <v>97.72</v>
      </c>
      <c r="C96" s="8">
        <v>96.85</v>
      </c>
      <c r="D96" s="8">
        <v>108.63</v>
      </c>
      <c r="E96" s="8">
        <v>94.76</v>
      </c>
      <c r="F96" s="8">
        <v>94.76</v>
      </c>
      <c r="G96" s="8">
        <v>93.9</v>
      </c>
      <c r="H96" s="8">
        <v>93.77</v>
      </c>
      <c r="I96" s="8">
        <v>96.19</v>
      </c>
      <c r="J96" s="8">
        <v>97.09</v>
      </c>
      <c r="K96" s="8">
        <v>96.68</v>
      </c>
      <c r="L96" s="8">
        <v>96.68</v>
      </c>
      <c r="M96" s="8">
        <v>97.2</v>
      </c>
      <c r="N96" s="8">
        <v>97.32</v>
      </c>
      <c r="O96" s="8">
        <v>97.19</v>
      </c>
      <c r="P96" s="8">
        <v>95.23</v>
      </c>
      <c r="Q96" s="8">
        <v>97.22</v>
      </c>
      <c r="R96" s="8">
        <v>99.41</v>
      </c>
      <c r="S96" s="8">
        <v>99.44</v>
      </c>
      <c r="T96" s="8">
        <v>99.53</v>
      </c>
      <c r="U96" s="8">
        <v>97.86</v>
      </c>
      <c r="V96" s="8">
        <v>99.94</v>
      </c>
      <c r="W96" s="8">
        <v>97.33</v>
      </c>
      <c r="X96" s="8">
        <v>92.97</v>
      </c>
      <c r="Y96" s="8">
        <v>98.49</v>
      </c>
      <c r="Z96" s="8">
        <v>89.15</v>
      </c>
      <c r="AA96" s="8">
        <v>100.78</v>
      </c>
      <c r="AB96" s="8">
        <v>100.29</v>
      </c>
      <c r="AC96" s="8">
        <v>99.84</v>
      </c>
      <c r="AD96" s="8">
        <v>96.74</v>
      </c>
      <c r="AE96" s="8">
        <v>96.72</v>
      </c>
      <c r="AF96" s="8">
        <v>98.15</v>
      </c>
      <c r="AG96" s="8">
        <v>95.35</v>
      </c>
      <c r="AH96" s="8">
        <v>99.9</v>
      </c>
      <c r="AI96" s="8">
        <v>101.31</v>
      </c>
      <c r="AJ96" s="8">
        <v>98.84</v>
      </c>
      <c r="AK96" s="8">
        <v>96</v>
      </c>
      <c r="AL96" s="8">
        <v>91.99</v>
      </c>
      <c r="AM96" s="8">
        <v>97.55</v>
      </c>
      <c r="AN96" s="8">
        <v>98.53</v>
      </c>
      <c r="AO96" s="8">
        <v>99.55</v>
      </c>
      <c r="AP96" s="8">
        <v>92.4</v>
      </c>
      <c r="AQ96" s="8">
        <v>99.4</v>
      </c>
      <c r="AR96" s="8">
        <v>95.58</v>
      </c>
      <c r="AS96" s="8">
        <v>85.61</v>
      </c>
      <c r="AT96" s="8">
        <v>98.06</v>
      </c>
      <c r="AU96" s="8">
        <v>96.68</v>
      </c>
      <c r="AV96" s="8">
        <v>96.64</v>
      </c>
      <c r="AW96" s="8">
        <v>96.72</v>
      </c>
      <c r="AX96" s="8">
        <v>94.89</v>
      </c>
      <c r="AY96" s="8">
        <v>97.03</v>
      </c>
      <c r="AZ96" s="8">
        <v>97.15</v>
      </c>
      <c r="BA96" s="8">
        <v>99.65</v>
      </c>
      <c r="BB96" s="8">
        <v>95.32</v>
      </c>
      <c r="BC96" s="8">
        <v>90.43</v>
      </c>
      <c r="BD96" s="8">
        <v>90.43</v>
      </c>
      <c r="BE96" s="8">
        <v>96.85</v>
      </c>
      <c r="BF96" s="8">
        <v>100.4</v>
      </c>
      <c r="BG96" s="8">
        <v>101.29</v>
      </c>
      <c r="BH96" s="8">
        <v>99.43</v>
      </c>
      <c r="BI96" s="8">
        <v>102.79</v>
      </c>
      <c r="BJ96" s="8">
        <v>97.86</v>
      </c>
      <c r="BK96" s="8">
        <v>103.01</v>
      </c>
      <c r="BL96" s="8">
        <v>95.95</v>
      </c>
      <c r="BM96" s="8">
        <v>103.12</v>
      </c>
      <c r="BN96" s="8">
        <v>89.72</v>
      </c>
      <c r="BO96" s="8">
        <v>89.53</v>
      </c>
      <c r="BP96" s="8">
        <v>95.16</v>
      </c>
      <c r="BQ96" s="8">
        <v>89.46</v>
      </c>
      <c r="BR96" s="8">
        <v>95.2</v>
      </c>
      <c r="BS96" s="8">
        <v>95.2</v>
      </c>
      <c r="BT96" s="8">
        <v>98.06</v>
      </c>
      <c r="BU96" s="8">
        <v>98.06</v>
      </c>
      <c r="BV96" s="8">
        <v>95.39</v>
      </c>
      <c r="BW96" s="8">
        <v>98.67</v>
      </c>
      <c r="BX96" s="8">
        <v>92.33</v>
      </c>
      <c r="BY96" s="8">
        <v>50.46</v>
      </c>
      <c r="BZ96" s="8">
        <v>96.1</v>
      </c>
      <c r="CA96" s="8">
        <v>17.559999999999999</v>
      </c>
      <c r="CB96" s="8">
        <v>97.05</v>
      </c>
      <c r="CC96" s="8">
        <v>97.8</v>
      </c>
      <c r="CD96" s="8">
        <v>97.85</v>
      </c>
      <c r="CE96" s="8">
        <v>97.76</v>
      </c>
      <c r="CF96" s="8">
        <v>98.38</v>
      </c>
      <c r="CG96" s="8">
        <v>97.07</v>
      </c>
      <c r="CH96" s="8">
        <v>97.07</v>
      </c>
      <c r="CI96" s="8">
        <v>102.8</v>
      </c>
      <c r="CJ96" s="8">
        <v>101.18</v>
      </c>
      <c r="CK96" s="8">
        <v>99.79</v>
      </c>
      <c r="CL96" s="8">
        <v>105.87</v>
      </c>
      <c r="CM96" s="8">
        <v>103.78</v>
      </c>
      <c r="CN96" s="8">
        <v>98.58</v>
      </c>
      <c r="CO96" s="8">
        <v>99.04</v>
      </c>
      <c r="CP96" s="8">
        <v>96.91</v>
      </c>
      <c r="CQ96" s="8">
        <v>99.52</v>
      </c>
      <c r="CR96" s="8">
        <v>95.41</v>
      </c>
      <c r="CS96" s="8">
        <v>90.18</v>
      </c>
      <c r="CT96" s="8">
        <v>97.13</v>
      </c>
      <c r="CU96" s="8">
        <v>99.07</v>
      </c>
      <c r="CV96" s="8">
        <v>96.24</v>
      </c>
      <c r="CW96" s="8">
        <v>101.38</v>
      </c>
      <c r="CX96" s="8">
        <v>101.66</v>
      </c>
      <c r="CY96" s="8">
        <v>99.07</v>
      </c>
      <c r="CZ96" s="8">
        <v>95.24</v>
      </c>
      <c r="DA96" s="8">
        <v>95.22</v>
      </c>
      <c r="DB96" s="8">
        <v>95.41</v>
      </c>
      <c r="DC96" s="8">
        <v>97.01</v>
      </c>
      <c r="DD96" s="8">
        <v>97</v>
      </c>
      <c r="DE96" s="8">
        <v>100.74</v>
      </c>
      <c r="DF96" s="8">
        <v>98.45</v>
      </c>
      <c r="DG96" s="8">
        <v>98.76</v>
      </c>
      <c r="DH96" s="8">
        <v>95.72</v>
      </c>
      <c r="DI96" s="8">
        <v>87</v>
      </c>
      <c r="DJ96" s="8">
        <v>97.91</v>
      </c>
      <c r="DK96" s="8">
        <v>97.91</v>
      </c>
      <c r="DL96" s="8">
        <v>99.1</v>
      </c>
      <c r="DM96" s="8">
        <v>99.1</v>
      </c>
      <c r="DN96" s="8">
        <v>95.36</v>
      </c>
      <c r="DO96" s="8">
        <v>99.26</v>
      </c>
      <c r="DP96" s="8">
        <v>95.86</v>
      </c>
      <c r="DQ96" s="8">
        <v>96.39</v>
      </c>
      <c r="DR96" s="8">
        <v>101.05</v>
      </c>
      <c r="DS96" s="8">
        <v>91.23</v>
      </c>
      <c r="DT96" s="8">
        <v>96.49</v>
      </c>
      <c r="DU96" s="8">
        <v>99.09</v>
      </c>
      <c r="DV96" s="8">
        <v>95.44</v>
      </c>
      <c r="DW96" s="8">
        <v>93.91</v>
      </c>
      <c r="DX96" s="8">
        <v>96.67</v>
      </c>
      <c r="DY96" s="8">
        <v>90.33</v>
      </c>
      <c r="DZ96" s="8">
        <v>97.69</v>
      </c>
      <c r="EA96" s="8">
        <v>104.39</v>
      </c>
      <c r="EB96" s="8">
        <v>98.69</v>
      </c>
      <c r="EC96" s="8">
        <v>97.15</v>
      </c>
      <c r="ED96" s="8">
        <v>95.3</v>
      </c>
      <c r="EE96" s="8">
        <v>95.47</v>
      </c>
      <c r="EF96" s="8">
        <v>97.02</v>
      </c>
      <c r="EG96" s="8">
        <v>95.45</v>
      </c>
      <c r="EH96" s="8">
        <v>95.45</v>
      </c>
      <c r="EI96" s="8">
        <v>95.51</v>
      </c>
      <c r="EJ96" s="8">
        <v>94.53</v>
      </c>
      <c r="EK96" s="8">
        <v>96.23</v>
      </c>
      <c r="EL96" s="8">
        <v>98.13</v>
      </c>
      <c r="EM96" s="8">
        <v>100.2</v>
      </c>
      <c r="EN96" s="8">
        <v>100.2</v>
      </c>
      <c r="EO96" s="8">
        <v>97.29</v>
      </c>
      <c r="EP96" s="8">
        <v>97.32</v>
      </c>
      <c r="EQ96" s="8">
        <v>97.29</v>
      </c>
      <c r="ER96" s="8">
        <v>96.5</v>
      </c>
      <c r="ES96" s="8">
        <v>96.83</v>
      </c>
      <c r="ET96" s="8">
        <v>99.23</v>
      </c>
      <c r="EU96" s="8">
        <v>99.22</v>
      </c>
      <c r="EV96" s="8">
        <v>99.31</v>
      </c>
      <c r="EW96" s="8">
        <v>97.53</v>
      </c>
      <c r="EX96" s="8">
        <v>100.08</v>
      </c>
      <c r="EY96" s="8">
        <v>96.98</v>
      </c>
      <c r="EZ96" s="8">
        <v>93.19</v>
      </c>
      <c r="FA96" s="8">
        <v>98.06</v>
      </c>
      <c r="FB96" s="8">
        <v>87.91</v>
      </c>
      <c r="FC96" s="8">
        <v>100.74</v>
      </c>
      <c r="FD96" s="8">
        <v>100.24</v>
      </c>
      <c r="FE96" s="8">
        <v>98.29</v>
      </c>
      <c r="FF96" s="8">
        <v>96.68</v>
      </c>
      <c r="FG96" s="8">
        <v>96.45</v>
      </c>
      <c r="FH96" s="8">
        <v>98.08</v>
      </c>
      <c r="FI96" s="8">
        <v>95.39</v>
      </c>
      <c r="FJ96" s="8">
        <v>97.51</v>
      </c>
      <c r="FK96" s="8">
        <v>98.3</v>
      </c>
      <c r="FL96" s="8">
        <v>96.9</v>
      </c>
      <c r="FM96" s="8">
        <v>95.99</v>
      </c>
      <c r="FN96" s="8">
        <v>93.79</v>
      </c>
      <c r="FO96" s="8">
        <v>97.36</v>
      </c>
      <c r="FP96" s="8">
        <v>98.8</v>
      </c>
      <c r="FQ96" s="8">
        <v>100.26</v>
      </c>
      <c r="FR96" s="8">
        <v>92.18</v>
      </c>
      <c r="FS96" s="8">
        <v>99.4</v>
      </c>
      <c r="FT96" s="8">
        <v>94.7</v>
      </c>
      <c r="FU96" s="8">
        <v>84.82</v>
      </c>
      <c r="FV96" s="8">
        <v>97.97</v>
      </c>
      <c r="FW96" s="8">
        <v>96.69</v>
      </c>
      <c r="FX96" s="8">
        <v>97.06</v>
      </c>
      <c r="FY96" s="8">
        <v>96.28</v>
      </c>
      <c r="FZ96" s="8">
        <v>94.44</v>
      </c>
      <c r="GA96" s="8">
        <v>97.49</v>
      </c>
      <c r="GB96" s="8">
        <v>96.08</v>
      </c>
      <c r="GC96" s="8">
        <v>99.07</v>
      </c>
      <c r="GD96" s="8">
        <v>96.73</v>
      </c>
      <c r="GE96" s="8">
        <v>88.85</v>
      </c>
      <c r="GF96" s="8">
        <v>88.85</v>
      </c>
      <c r="GG96" s="8">
        <v>98.81</v>
      </c>
      <c r="GH96" s="8">
        <v>99.74</v>
      </c>
      <c r="GI96" s="8">
        <v>104.46</v>
      </c>
      <c r="GJ96" s="8">
        <v>97.96</v>
      </c>
      <c r="GK96" s="8">
        <v>98.56</v>
      </c>
      <c r="GL96" s="8">
        <v>100.74</v>
      </c>
      <c r="GM96" s="8">
        <v>108.03</v>
      </c>
      <c r="GN96" s="8">
        <v>96.31</v>
      </c>
      <c r="GO96" s="8">
        <v>103.35</v>
      </c>
      <c r="GP96" s="8">
        <v>94.3</v>
      </c>
      <c r="GQ96" s="8">
        <v>93.91</v>
      </c>
      <c r="GR96" s="8">
        <v>96.95</v>
      </c>
      <c r="GS96" s="8">
        <v>93.81</v>
      </c>
      <c r="GT96" s="8">
        <v>94.92</v>
      </c>
      <c r="GU96" s="8">
        <v>94.92</v>
      </c>
      <c r="GV96" s="8">
        <v>95.88</v>
      </c>
      <c r="GW96" s="8">
        <v>95.88</v>
      </c>
      <c r="GX96" s="8">
        <v>96.81</v>
      </c>
      <c r="GY96" s="8">
        <v>97.85</v>
      </c>
      <c r="GZ96" s="8">
        <v>95.59</v>
      </c>
      <c r="HA96" s="8">
        <v>87.81</v>
      </c>
      <c r="HB96" s="8">
        <v>95.46</v>
      </c>
      <c r="HC96" s="8">
        <v>83.56</v>
      </c>
      <c r="HD96" s="8">
        <v>97.45</v>
      </c>
      <c r="HE96" s="8">
        <v>98.11</v>
      </c>
      <c r="HF96" s="8">
        <v>97.86</v>
      </c>
      <c r="HG96" s="8">
        <v>98.4</v>
      </c>
      <c r="HH96" s="8">
        <v>95.5</v>
      </c>
      <c r="HI96" s="8">
        <v>98.38</v>
      </c>
      <c r="HJ96" s="8">
        <v>98.38</v>
      </c>
      <c r="HK96" s="8">
        <v>102.08</v>
      </c>
      <c r="HL96" s="8">
        <v>105.47</v>
      </c>
      <c r="HM96" s="8">
        <v>105.21</v>
      </c>
      <c r="HN96" s="8">
        <v>99.1</v>
      </c>
      <c r="HO96" s="8">
        <v>101.37</v>
      </c>
      <c r="HP96" s="8">
        <v>98.92</v>
      </c>
      <c r="HQ96" s="8">
        <v>98.8</v>
      </c>
      <c r="HR96" s="8">
        <v>97.3</v>
      </c>
      <c r="HS96" s="8">
        <v>99.97</v>
      </c>
      <c r="HT96" s="8">
        <v>95.13</v>
      </c>
      <c r="HU96" s="8">
        <v>90.68</v>
      </c>
      <c r="HV96" s="8">
        <v>96.78</v>
      </c>
      <c r="HW96" s="8">
        <v>96.08</v>
      </c>
      <c r="HX96" s="8">
        <v>96.14</v>
      </c>
      <c r="HY96" s="8">
        <v>100.15</v>
      </c>
      <c r="HZ96" s="8">
        <v>100.55</v>
      </c>
      <c r="IA96" s="8">
        <v>97.9</v>
      </c>
      <c r="IB96" s="8">
        <v>95.33</v>
      </c>
      <c r="IC96" s="8">
        <v>95.13</v>
      </c>
      <c r="ID96" s="8">
        <v>97.4</v>
      </c>
      <c r="IE96" s="8">
        <v>98.73</v>
      </c>
      <c r="IF96" s="8">
        <v>98.78</v>
      </c>
      <c r="IG96" s="8">
        <v>100.01</v>
      </c>
      <c r="IH96" s="8">
        <v>101.15</v>
      </c>
      <c r="II96" s="8">
        <v>99.56</v>
      </c>
      <c r="IJ96" s="8">
        <v>96.15</v>
      </c>
      <c r="IK96" s="8">
        <v>96.3</v>
      </c>
      <c r="IL96" s="8">
        <v>96.02</v>
      </c>
      <c r="IM96" s="8">
        <v>96.02</v>
      </c>
      <c r="IN96" s="8">
        <v>99.13</v>
      </c>
      <c r="IO96" s="8">
        <v>99.13</v>
      </c>
      <c r="IP96" s="8">
        <v>95.36</v>
      </c>
      <c r="IQ96" s="8">
        <v>99.29</v>
      </c>
    </row>
    <row r="97" spans="1:251" x14ac:dyDescent="0.2">
      <c r="A97" s="9">
        <v>45597</v>
      </c>
      <c r="B97" s="8">
        <v>97.21</v>
      </c>
      <c r="C97" s="8">
        <v>96.85</v>
      </c>
      <c r="D97" s="8">
        <v>112.69</v>
      </c>
      <c r="E97" s="8">
        <v>94.77</v>
      </c>
      <c r="F97" s="8">
        <v>94.77</v>
      </c>
      <c r="G97" s="8">
        <v>93.95</v>
      </c>
      <c r="H97" s="8">
        <v>93.77</v>
      </c>
      <c r="I97" s="8">
        <v>96.19</v>
      </c>
      <c r="J97" s="8">
        <v>97.2</v>
      </c>
      <c r="K97" s="8">
        <v>97.61</v>
      </c>
      <c r="L97" s="8">
        <v>97.61</v>
      </c>
      <c r="M97" s="8">
        <v>97.09</v>
      </c>
      <c r="N97" s="8">
        <v>95.75</v>
      </c>
      <c r="O97" s="8">
        <v>97.19</v>
      </c>
      <c r="P97" s="8">
        <v>95.11</v>
      </c>
      <c r="Q97" s="8">
        <v>97.39</v>
      </c>
      <c r="R97" s="8">
        <v>99.82</v>
      </c>
      <c r="S97" s="8">
        <v>100.27</v>
      </c>
      <c r="T97" s="8">
        <v>99.36</v>
      </c>
      <c r="U97" s="8">
        <v>100.21</v>
      </c>
      <c r="V97" s="8">
        <v>99.75</v>
      </c>
      <c r="W97" s="8">
        <v>97.45</v>
      </c>
      <c r="X97" s="8">
        <v>93.4</v>
      </c>
      <c r="Y97" s="8">
        <v>99.4</v>
      </c>
      <c r="Z97" s="8">
        <v>88.97</v>
      </c>
      <c r="AA97" s="8">
        <v>100.26</v>
      </c>
      <c r="AB97" s="8">
        <v>100.43</v>
      </c>
      <c r="AC97" s="8">
        <v>99.59</v>
      </c>
      <c r="AD97" s="8">
        <v>97.53</v>
      </c>
      <c r="AE97" s="8">
        <v>97.53</v>
      </c>
      <c r="AF97" s="8">
        <v>99.41</v>
      </c>
      <c r="AG97" s="8">
        <v>95.65</v>
      </c>
      <c r="AH97" s="8">
        <v>99.17</v>
      </c>
      <c r="AI97" s="8">
        <v>100.41</v>
      </c>
      <c r="AJ97" s="8">
        <v>98.23</v>
      </c>
      <c r="AK97" s="8">
        <v>96.52</v>
      </c>
      <c r="AL97" s="8">
        <v>93.05</v>
      </c>
      <c r="AM97" s="8">
        <v>97.73</v>
      </c>
      <c r="AN97" s="8">
        <v>98.34</v>
      </c>
      <c r="AO97" s="8">
        <v>99.8</v>
      </c>
      <c r="AP97" s="8">
        <v>93.19</v>
      </c>
      <c r="AQ97" s="8">
        <v>99.93</v>
      </c>
      <c r="AR97" s="8">
        <v>95.68</v>
      </c>
      <c r="AS97" s="8">
        <v>87.19</v>
      </c>
      <c r="AT97" s="8">
        <v>97.78</v>
      </c>
      <c r="AU97" s="8">
        <v>96.87</v>
      </c>
      <c r="AV97" s="8">
        <v>96.75</v>
      </c>
      <c r="AW97" s="8">
        <v>96.98</v>
      </c>
      <c r="AX97" s="8">
        <v>94.87</v>
      </c>
      <c r="AY97" s="8">
        <v>96.96</v>
      </c>
      <c r="AZ97" s="8">
        <v>98.04</v>
      </c>
      <c r="BA97" s="8">
        <v>98.65</v>
      </c>
      <c r="BB97" s="8">
        <v>95.39</v>
      </c>
      <c r="BC97" s="8">
        <v>90.52</v>
      </c>
      <c r="BD97" s="8">
        <v>90.52</v>
      </c>
      <c r="BE97" s="8">
        <v>93.87</v>
      </c>
      <c r="BF97" s="8">
        <v>99.08</v>
      </c>
      <c r="BG97" s="8">
        <v>100.1</v>
      </c>
      <c r="BH97" s="8">
        <v>98.17</v>
      </c>
      <c r="BI97" s="8">
        <v>101.07</v>
      </c>
      <c r="BJ97" s="8">
        <v>95.46</v>
      </c>
      <c r="BK97" s="8">
        <v>99.07</v>
      </c>
      <c r="BL97" s="8">
        <v>93.41</v>
      </c>
      <c r="BM97" s="8">
        <v>103.37</v>
      </c>
      <c r="BN97" s="8">
        <v>83.25</v>
      </c>
      <c r="BO97" s="8">
        <v>82.86</v>
      </c>
      <c r="BP97" s="8">
        <v>95.16</v>
      </c>
      <c r="BQ97" s="8">
        <v>89.78</v>
      </c>
      <c r="BR97" s="8">
        <v>95.77</v>
      </c>
      <c r="BS97" s="8">
        <v>95.77</v>
      </c>
      <c r="BT97" s="8">
        <v>98.25</v>
      </c>
      <c r="BU97" s="8">
        <v>98.25</v>
      </c>
      <c r="BV97" s="8">
        <v>95.6</v>
      </c>
      <c r="BW97" s="8">
        <v>99.1</v>
      </c>
      <c r="BX97" s="8">
        <v>92.33</v>
      </c>
      <c r="BY97" s="8">
        <v>50.7</v>
      </c>
      <c r="BZ97" s="8">
        <v>96.1</v>
      </c>
      <c r="CA97" s="8">
        <v>17.95</v>
      </c>
      <c r="CB97" s="8">
        <v>97.05</v>
      </c>
      <c r="CC97" s="8">
        <v>97.64</v>
      </c>
      <c r="CD97" s="8">
        <v>97.15</v>
      </c>
      <c r="CE97" s="8">
        <v>96.98</v>
      </c>
      <c r="CF97" s="8">
        <v>98.08</v>
      </c>
      <c r="CG97" s="8">
        <v>101.41</v>
      </c>
      <c r="CH97" s="8">
        <v>101.41</v>
      </c>
      <c r="CI97" s="8">
        <v>99.84</v>
      </c>
      <c r="CJ97" s="8">
        <v>99.29</v>
      </c>
      <c r="CK97" s="8">
        <v>98.22</v>
      </c>
      <c r="CL97" s="8">
        <v>99.09</v>
      </c>
      <c r="CM97" s="8">
        <v>102.29</v>
      </c>
      <c r="CN97" s="8">
        <v>98.7</v>
      </c>
      <c r="CO97" s="8">
        <v>98.04</v>
      </c>
      <c r="CP97" s="8">
        <v>96.77</v>
      </c>
      <c r="CQ97" s="8">
        <v>100.02</v>
      </c>
      <c r="CR97" s="8">
        <v>95.68</v>
      </c>
      <c r="CS97" s="8">
        <v>90.38</v>
      </c>
      <c r="CT97" s="8">
        <v>97.19</v>
      </c>
      <c r="CU97" s="8">
        <v>99.86</v>
      </c>
      <c r="CV97" s="8">
        <v>96.41</v>
      </c>
      <c r="CW97" s="8">
        <v>100.28</v>
      </c>
      <c r="CX97" s="8">
        <v>100.45</v>
      </c>
      <c r="CY97" s="8">
        <v>98.83</v>
      </c>
      <c r="CZ97" s="8">
        <v>95.66</v>
      </c>
      <c r="DA97" s="8">
        <v>95.7</v>
      </c>
      <c r="DB97" s="8">
        <v>95.41</v>
      </c>
      <c r="DC97" s="8">
        <v>96.77</v>
      </c>
      <c r="DD97" s="8">
        <v>96.78</v>
      </c>
      <c r="DE97" s="8">
        <v>100.7</v>
      </c>
      <c r="DF97" s="8">
        <v>98.73</v>
      </c>
      <c r="DG97" s="8">
        <v>97.88</v>
      </c>
      <c r="DH97" s="8">
        <v>96.09</v>
      </c>
      <c r="DI97" s="8">
        <v>87</v>
      </c>
      <c r="DJ97" s="8">
        <v>96.08</v>
      </c>
      <c r="DK97" s="8">
        <v>96.08</v>
      </c>
      <c r="DL97" s="8">
        <v>98.99</v>
      </c>
      <c r="DM97" s="8">
        <v>98.99</v>
      </c>
      <c r="DN97" s="8">
        <v>95.19</v>
      </c>
      <c r="DO97" s="8">
        <v>99.15</v>
      </c>
      <c r="DP97" s="8">
        <v>95.43</v>
      </c>
      <c r="DQ97" s="8">
        <v>96.29</v>
      </c>
      <c r="DR97" s="8">
        <v>100.39</v>
      </c>
      <c r="DS97" s="8">
        <v>91.78</v>
      </c>
      <c r="DT97" s="8">
        <v>96.78</v>
      </c>
      <c r="DU97" s="8">
        <v>100.2</v>
      </c>
      <c r="DV97" s="8">
        <v>95.41</v>
      </c>
      <c r="DW97" s="8">
        <v>92.42</v>
      </c>
      <c r="DX97" s="8">
        <v>96</v>
      </c>
      <c r="DY97" s="8">
        <v>87.97</v>
      </c>
      <c r="DZ97" s="8">
        <v>98.32</v>
      </c>
      <c r="EA97" s="8">
        <v>104.62</v>
      </c>
      <c r="EB97" s="8">
        <v>101.2</v>
      </c>
      <c r="EC97" s="8">
        <v>99.36</v>
      </c>
      <c r="ED97" s="8">
        <v>95.27</v>
      </c>
      <c r="EE97" s="8">
        <v>95.77</v>
      </c>
      <c r="EF97" s="8">
        <v>96.61</v>
      </c>
      <c r="EG97" s="8">
        <v>95.45</v>
      </c>
      <c r="EH97" s="8">
        <v>95.45</v>
      </c>
      <c r="EI97" s="8">
        <v>95.55</v>
      </c>
      <c r="EJ97" s="8">
        <v>94.53</v>
      </c>
      <c r="EK97" s="8">
        <v>96.23</v>
      </c>
      <c r="EL97" s="8">
        <v>97.9</v>
      </c>
      <c r="EM97" s="8">
        <v>99.96</v>
      </c>
      <c r="EN97" s="8">
        <v>99.96</v>
      </c>
      <c r="EO97" s="8">
        <v>97.06</v>
      </c>
      <c r="EP97" s="8">
        <v>95.75</v>
      </c>
      <c r="EQ97" s="8">
        <v>97.29</v>
      </c>
      <c r="ER97" s="8">
        <v>96.96</v>
      </c>
      <c r="ES97" s="8">
        <v>97.29</v>
      </c>
      <c r="ET97" s="8">
        <v>99.54</v>
      </c>
      <c r="EU97" s="8">
        <v>100.13</v>
      </c>
      <c r="EV97" s="8">
        <v>98.99</v>
      </c>
      <c r="EW97" s="8">
        <v>99.47</v>
      </c>
      <c r="EX97" s="8">
        <v>99.63</v>
      </c>
      <c r="EY97" s="8">
        <v>97.17</v>
      </c>
      <c r="EZ97" s="8">
        <v>93.61</v>
      </c>
      <c r="FA97" s="8">
        <v>98.8</v>
      </c>
      <c r="FB97" s="8">
        <v>88.8</v>
      </c>
      <c r="FC97" s="8">
        <v>100.51</v>
      </c>
      <c r="FD97" s="8">
        <v>99.93</v>
      </c>
      <c r="FE97" s="8">
        <v>98.33</v>
      </c>
      <c r="FF97" s="8">
        <v>97.53</v>
      </c>
      <c r="FG97" s="8">
        <v>97.19</v>
      </c>
      <c r="FH97" s="8">
        <v>99.33</v>
      </c>
      <c r="FI97" s="8">
        <v>95.95</v>
      </c>
      <c r="FJ97" s="8">
        <v>96.87</v>
      </c>
      <c r="FK97" s="8">
        <v>99.01</v>
      </c>
      <c r="FL97" s="8">
        <v>95.27</v>
      </c>
      <c r="FM97" s="8">
        <v>96.37</v>
      </c>
      <c r="FN97" s="8">
        <v>93.95</v>
      </c>
      <c r="FO97" s="8">
        <v>97.81</v>
      </c>
      <c r="FP97" s="8">
        <v>98.34</v>
      </c>
      <c r="FQ97" s="8">
        <v>99.86</v>
      </c>
      <c r="FR97" s="8">
        <v>93.15</v>
      </c>
      <c r="FS97" s="8">
        <v>99.6</v>
      </c>
      <c r="FT97" s="8">
        <v>94.91</v>
      </c>
      <c r="FU97" s="8">
        <v>86.48</v>
      </c>
      <c r="FV97" s="8">
        <v>97.68</v>
      </c>
      <c r="FW97" s="8">
        <v>97.62</v>
      </c>
      <c r="FX97" s="8">
        <v>98.54</v>
      </c>
      <c r="FY97" s="8">
        <v>96.62</v>
      </c>
      <c r="FZ97" s="8">
        <v>94.82</v>
      </c>
      <c r="GA97" s="8">
        <v>98.03</v>
      </c>
      <c r="GB97" s="8">
        <v>96.74</v>
      </c>
      <c r="GC97" s="8">
        <v>99.68</v>
      </c>
      <c r="GD97" s="8">
        <v>97.15</v>
      </c>
      <c r="GE97" s="8">
        <v>88.96</v>
      </c>
      <c r="GF97" s="8">
        <v>88.96</v>
      </c>
      <c r="GG97" s="8">
        <v>95.92</v>
      </c>
      <c r="GH97" s="8">
        <v>98.43</v>
      </c>
      <c r="GI97" s="8">
        <v>102.44</v>
      </c>
      <c r="GJ97" s="8">
        <v>96.79</v>
      </c>
      <c r="GK97" s="8">
        <v>97.93</v>
      </c>
      <c r="GL97" s="8">
        <v>94.98</v>
      </c>
      <c r="GM97" s="8">
        <v>102.49</v>
      </c>
      <c r="GN97" s="8">
        <v>89.62</v>
      </c>
      <c r="GO97" s="8">
        <v>99.55</v>
      </c>
      <c r="GP97" s="8">
        <v>88.28</v>
      </c>
      <c r="GQ97" s="8">
        <v>87.15</v>
      </c>
      <c r="GR97" s="8">
        <v>96.95</v>
      </c>
      <c r="GS97" s="8">
        <v>96.31</v>
      </c>
      <c r="GT97" s="8">
        <v>95.71</v>
      </c>
      <c r="GU97" s="8">
        <v>95.71</v>
      </c>
      <c r="GV97" s="8">
        <v>95.41</v>
      </c>
      <c r="GW97" s="8">
        <v>95.41</v>
      </c>
      <c r="GX97" s="8">
        <v>96.72</v>
      </c>
      <c r="GY97" s="8">
        <v>97.7</v>
      </c>
      <c r="GZ97" s="8">
        <v>95.59</v>
      </c>
      <c r="HA97" s="8">
        <v>98.01</v>
      </c>
      <c r="HB97" s="8">
        <v>95.46</v>
      </c>
      <c r="HC97" s="8">
        <v>99.14</v>
      </c>
      <c r="HD97" s="8">
        <v>95.82</v>
      </c>
      <c r="HE97" s="8">
        <v>98</v>
      </c>
      <c r="HF97" s="8">
        <v>94.03</v>
      </c>
      <c r="HG97" s="8">
        <v>93.52</v>
      </c>
      <c r="HH97" s="8">
        <v>96.5</v>
      </c>
      <c r="HI97" s="8">
        <v>104.54</v>
      </c>
      <c r="HJ97" s="8">
        <v>104.54</v>
      </c>
      <c r="HK97" s="8">
        <v>102.98</v>
      </c>
      <c r="HL97" s="8">
        <v>106.4</v>
      </c>
      <c r="HM97" s="8">
        <v>104.61</v>
      </c>
      <c r="HN97" s="8">
        <v>101.38</v>
      </c>
      <c r="HO97" s="8">
        <v>101.29</v>
      </c>
      <c r="HP97" s="8">
        <v>99.15</v>
      </c>
      <c r="HQ97" s="8">
        <v>97.69</v>
      </c>
      <c r="HR97" s="8">
        <v>97.24</v>
      </c>
      <c r="HS97" s="8">
        <v>100.59</v>
      </c>
      <c r="HT97" s="8">
        <v>95.55</v>
      </c>
      <c r="HU97" s="8">
        <v>90.87</v>
      </c>
      <c r="HV97" s="8">
        <v>97.37</v>
      </c>
      <c r="HW97" s="8">
        <v>96.41</v>
      </c>
      <c r="HX97" s="8">
        <v>96.08</v>
      </c>
      <c r="HY97" s="8">
        <v>99.49</v>
      </c>
      <c r="HZ97" s="8">
        <v>99.75</v>
      </c>
      <c r="IA97" s="8">
        <v>98.04</v>
      </c>
      <c r="IB97" s="8">
        <v>95.38</v>
      </c>
      <c r="IC97" s="8">
        <v>95.19</v>
      </c>
      <c r="ID97" s="8">
        <v>97.4</v>
      </c>
      <c r="IE97" s="8">
        <v>98.16</v>
      </c>
      <c r="IF97" s="8">
        <v>98.2</v>
      </c>
      <c r="IG97" s="8">
        <v>99.44</v>
      </c>
      <c r="IH97" s="8">
        <v>100.73</v>
      </c>
      <c r="II97" s="8">
        <v>97.93</v>
      </c>
      <c r="IJ97" s="8">
        <v>96.87</v>
      </c>
      <c r="IK97" s="8">
        <v>96.3</v>
      </c>
      <c r="IL97" s="8">
        <v>96.02</v>
      </c>
      <c r="IM97" s="8">
        <v>96.02</v>
      </c>
      <c r="IN97" s="8">
        <v>99.01</v>
      </c>
      <c r="IO97" s="8">
        <v>99.01</v>
      </c>
      <c r="IP97" s="8">
        <v>95.19</v>
      </c>
      <c r="IQ97" s="8">
        <v>99.18</v>
      </c>
    </row>
    <row r="98" spans="1:251" x14ac:dyDescent="0.2">
      <c r="A98" s="9">
        <v>45627</v>
      </c>
      <c r="B98" s="8">
        <v>97.86</v>
      </c>
      <c r="C98" s="8">
        <v>96.49</v>
      </c>
      <c r="D98" s="8">
        <v>113.28</v>
      </c>
      <c r="E98" s="8">
        <v>94.78</v>
      </c>
      <c r="F98" s="8">
        <v>94.78</v>
      </c>
      <c r="G98" s="8">
        <v>94.02</v>
      </c>
      <c r="H98" s="8">
        <v>93.77</v>
      </c>
      <c r="I98" s="8">
        <v>96.19</v>
      </c>
      <c r="J98" s="8">
        <v>97.8</v>
      </c>
      <c r="K98" s="8">
        <v>97.98</v>
      </c>
      <c r="L98" s="8">
        <v>97.98</v>
      </c>
      <c r="M98" s="8">
        <v>97.75</v>
      </c>
      <c r="N98" s="8">
        <v>95.94</v>
      </c>
      <c r="O98" s="8">
        <v>97.89</v>
      </c>
      <c r="P98" s="8">
        <v>96.02</v>
      </c>
      <c r="Q98" s="8">
        <v>97.84</v>
      </c>
      <c r="R98" s="8">
        <v>100.27</v>
      </c>
      <c r="S98" s="8">
        <v>101.05</v>
      </c>
      <c r="T98" s="8">
        <v>98.71</v>
      </c>
      <c r="U98" s="8">
        <v>103.87</v>
      </c>
      <c r="V98" s="8">
        <v>101.54</v>
      </c>
      <c r="W98" s="8">
        <v>97.82</v>
      </c>
      <c r="X98" s="8">
        <v>93.55</v>
      </c>
      <c r="Y98" s="8">
        <v>99.26</v>
      </c>
      <c r="Z98" s="8">
        <v>88.92</v>
      </c>
      <c r="AA98" s="8">
        <v>100.82</v>
      </c>
      <c r="AB98" s="8">
        <v>101.71</v>
      </c>
      <c r="AC98" s="8">
        <v>99.86</v>
      </c>
      <c r="AD98" s="8">
        <v>98.49</v>
      </c>
      <c r="AE98" s="8">
        <v>98.44</v>
      </c>
      <c r="AF98" s="8">
        <v>99.86</v>
      </c>
      <c r="AG98" s="8">
        <v>97.21</v>
      </c>
      <c r="AH98" s="8">
        <v>98.83</v>
      </c>
      <c r="AI98" s="8">
        <v>98.32</v>
      </c>
      <c r="AJ98" s="8">
        <v>99.25</v>
      </c>
      <c r="AK98" s="8">
        <v>97.71</v>
      </c>
      <c r="AL98" s="8">
        <v>93.78</v>
      </c>
      <c r="AM98" s="8">
        <v>97.47</v>
      </c>
      <c r="AN98" s="8">
        <v>98.77</v>
      </c>
      <c r="AO98" s="8">
        <v>99.21</v>
      </c>
      <c r="AP98" s="8">
        <v>95.24</v>
      </c>
      <c r="AQ98" s="8">
        <v>101.27</v>
      </c>
      <c r="AR98" s="8">
        <v>95.69</v>
      </c>
      <c r="AS98" s="8">
        <v>89.26</v>
      </c>
      <c r="AT98" s="8">
        <v>97.28</v>
      </c>
      <c r="AU98" s="8">
        <v>97.33</v>
      </c>
      <c r="AV98" s="8">
        <v>97.36</v>
      </c>
      <c r="AW98" s="8">
        <v>97.29</v>
      </c>
      <c r="AX98" s="8">
        <v>94.58</v>
      </c>
      <c r="AY98" s="8">
        <v>96.39</v>
      </c>
      <c r="AZ98" s="8">
        <v>97.66</v>
      </c>
      <c r="BA98" s="8">
        <v>97.23</v>
      </c>
      <c r="BB98" s="8">
        <v>95.26</v>
      </c>
      <c r="BC98" s="8">
        <v>90.7</v>
      </c>
      <c r="BD98" s="8">
        <v>90.7</v>
      </c>
      <c r="BE98" s="8">
        <v>94.4</v>
      </c>
      <c r="BF98" s="8">
        <v>99.11</v>
      </c>
      <c r="BG98" s="8">
        <v>99.71</v>
      </c>
      <c r="BH98" s="8">
        <v>99.35</v>
      </c>
      <c r="BI98" s="8">
        <v>97.48</v>
      </c>
      <c r="BJ98" s="8">
        <v>92.05</v>
      </c>
      <c r="BK98" s="8">
        <v>94.72</v>
      </c>
      <c r="BL98" s="8">
        <v>90.16</v>
      </c>
      <c r="BM98" s="8">
        <v>100.15</v>
      </c>
      <c r="BN98" s="8">
        <v>86.57</v>
      </c>
      <c r="BO98" s="8">
        <v>86.29</v>
      </c>
      <c r="BP98" s="8">
        <v>95.16</v>
      </c>
      <c r="BQ98" s="8">
        <v>89.94</v>
      </c>
      <c r="BR98" s="8">
        <v>96.04</v>
      </c>
      <c r="BS98" s="8">
        <v>96.04</v>
      </c>
      <c r="BT98" s="8">
        <v>98.55</v>
      </c>
      <c r="BU98" s="8">
        <v>98.55</v>
      </c>
      <c r="BV98" s="8">
        <v>95.3</v>
      </c>
      <c r="BW98" s="8">
        <v>98.49</v>
      </c>
      <c r="BX98" s="8">
        <v>92.33</v>
      </c>
      <c r="BY98" s="8">
        <v>50.71</v>
      </c>
      <c r="BZ98" s="8">
        <v>96.1</v>
      </c>
      <c r="CA98" s="8">
        <v>17.95</v>
      </c>
      <c r="CB98" s="8">
        <v>97.31</v>
      </c>
      <c r="CC98" s="8">
        <v>97.14</v>
      </c>
      <c r="CD98" s="8">
        <v>96.92</v>
      </c>
      <c r="CE98" s="8">
        <v>96.57</v>
      </c>
      <c r="CF98" s="8">
        <v>98.82</v>
      </c>
      <c r="CG98" s="8">
        <v>93.69</v>
      </c>
      <c r="CH98" s="8">
        <v>93.69</v>
      </c>
      <c r="CI98" s="8">
        <v>98.07</v>
      </c>
      <c r="CJ98" s="8">
        <v>96.41</v>
      </c>
      <c r="CK98" s="8">
        <v>94.39</v>
      </c>
      <c r="CL98" s="8">
        <v>98.01</v>
      </c>
      <c r="CM98" s="8">
        <v>102.68</v>
      </c>
      <c r="CN98" s="8">
        <v>99.03</v>
      </c>
      <c r="CO98" s="8">
        <v>100.16</v>
      </c>
      <c r="CP98" s="8">
        <v>97.53</v>
      </c>
      <c r="CQ98" s="8">
        <v>99.73</v>
      </c>
      <c r="CR98" s="8">
        <v>96</v>
      </c>
      <c r="CS98" s="8">
        <v>90.64</v>
      </c>
      <c r="CT98" s="8">
        <v>97.48</v>
      </c>
      <c r="CU98" s="8">
        <v>100.36</v>
      </c>
      <c r="CV98" s="8">
        <v>95.75</v>
      </c>
      <c r="CW98" s="8">
        <v>99.67</v>
      </c>
      <c r="CX98" s="8">
        <v>99.82</v>
      </c>
      <c r="CY98" s="8">
        <v>98.35</v>
      </c>
      <c r="CZ98" s="8">
        <v>94.99</v>
      </c>
      <c r="DA98" s="8">
        <v>94.93</v>
      </c>
      <c r="DB98" s="8">
        <v>95.41</v>
      </c>
      <c r="DC98" s="8">
        <v>98.32</v>
      </c>
      <c r="DD98" s="8">
        <v>98.33</v>
      </c>
      <c r="DE98" s="8">
        <v>100.55</v>
      </c>
      <c r="DF98" s="8">
        <v>97.96</v>
      </c>
      <c r="DG98" s="8">
        <v>102.47</v>
      </c>
      <c r="DH98" s="8">
        <v>96.81</v>
      </c>
      <c r="DI98" s="8">
        <v>87</v>
      </c>
      <c r="DJ98" s="8">
        <v>97.91</v>
      </c>
      <c r="DK98" s="8">
        <v>97.91</v>
      </c>
      <c r="DL98" s="8">
        <v>98.77</v>
      </c>
      <c r="DM98" s="8">
        <v>98.77</v>
      </c>
      <c r="DN98" s="8">
        <v>95.05</v>
      </c>
      <c r="DO98" s="8">
        <v>98.93</v>
      </c>
      <c r="DP98" s="8">
        <v>100.78</v>
      </c>
      <c r="DQ98" s="8">
        <v>93.82</v>
      </c>
      <c r="DR98" s="8">
        <v>95.85</v>
      </c>
      <c r="DS98" s="8">
        <v>91.67</v>
      </c>
      <c r="DT98" s="8">
        <v>95.86</v>
      </c>
      <c r="DU98" s="8">
        <v>98.28</v>
      </c>
      <c r="DV98" s="8">
        <v>94.89</v>
      </c>
      <c r="DW98" s="8">
        <v>105.63</v>
      </c>
      <c r="DX98" s="8">
        <v>101.13</v>
      </c>
      <c r="DY98" s="8">
        <v>109.98</v>
      </c>
      <c r="DZ98" s="8">
        <v>97.89</v>
      </c>
      <c r="EA98" s="8">
        <v>103.31</v>
      </c>
      <c r="EB98" s="8">
        <v>95.32</v>
      </c>
      <c r="EC98" s="8">
        <v>100.73</v>
      </c>
      <c r="ED98" s="8">
        <v>95.27</v>
      </c>
      <c r="EE98" s="8">
        <v>96.08</v>
      </c>
      <c r="EF98" s="8">
        <v>97.71</v>
      </c>
      <c r="EG98" s="8">
        <v>95.47</v>
      </c>
      <c r="EH98" s="8">
        <v>95.47</v>
      </c>
      <c r="EI98" s="8">
        <v>95.6</v>
      </c>
      <c r="EJ98" s="8">
        <v>94.53</v>
      </c>
      <c r="EK98" s="8">
        <v>96.23</v>
      </c>
      <c r="EL98" s="8">
        <v>98.11</v>
      </c>
      <c r="EM98" s="8">
        <v>98.88</v>
      </c>
      <c r="EN98" s="8">
        <v>98.88</v>
      </c>
      <c r="EO98" s="8">
        <v>97.78</v>
      </c>
      <c r="EP98" s="8">
        <v>95.94</v>
      </c>
      <c r="EQ98" s="8">
        <v>98.11</v>
      </c>
      <c r="ER98" s="8">
        <v>97.77</v>
      </c>
      <c r="ES98" s="8">
        <v>97.61</v>
      </c>
      <c r="ET98" s="8">
        <v>100.07</v>
      </c>
      <c r="EU98" s="8">
        <v>100.76</v>
      </c>
      <c r="EV98" s="8">
        <v>98.42</v>
      </c>
      <c r="EW98" s="8">
        <v>103.97</v>
      </c>
      <c r="EX98" s="8">
        <v>101.6</v>
      </c>
      <c r="EY98" s="8">
        <v>97.59</v>
      </c>
      <c r="EZ98" s="8">
        <v>93.81</v>
      </c>
      <c r="FA98" s="8">
        <v>98.82</v>
      </c>
      <c r="FB98" s="8">
        <v>88.63</v>
      </c>
      <c r="FC98" s="8">
        <v>100.68</v>
      </c>
      <c r="FD98" s="8">
        <v>101.3</v>
      </c>
      <c r="FE98" s="8">
        <v>98.96</v>
      </c>
      <c r="FF98" s="8">
        <v>98.17</v>
      </c>
      <c r="FG98" s="8">
        <v>97.53</v>
      </c>
      <c r="FH98" s="8">
        <v>99.84</v>
      </c>
      <c r="FI98" s="8">
        <v>97.19</v>
      </c>
      <c r="FJ98" s="8">
        <v>95.69</v>
      </c>
      <c r="FK98" s="8">
        <v>96.45</v>
      </c>
      <c r="FL98" s="8">
        <v>95.1</v>
      </c>
      <c r="FM98" s="8">
        <v>97.77</v>
      </c>
      <c r="FN98" s="8">
        <v>94.28</v>
      </c>
      <c r="FO98" s="8">
        <v>97.58</v>
      </c>
      <c r="FP98" s="8">
        <v>98.75</v>
      </c>
      <c r="FQ98" s="8">
        <v>99.85</v>
      </c>
      <c r="FR98" s="8">
        <v>95.39</v>
      </c>
      <c r="FS98" s="8">
        <v>101.28</v>
      </c>
      <c r="FT98" s="8">
        <v>95.09</v>
      </c>
      <c r="FU98" s="8">
        <v>88.44</v>
      </c>
      <c r="FV98" s="8">
        <v>97.27</v>
      </c>
      <c r="FW98" s="8">
        <v>97.91</v>
      </c>
      <c r="FX98" s="8">
        <v>99.05</v>
      </c>
      <c r="FY98" s="8">
        <v>96.66</v>
      </c>
      <c r="FZ98" s="8">
        <v>93.74</v>
      </c>
      <c r="GA98" s="8">
        <v>96.18</v>
      </c>
      <c r="GB98" s="8">
        <v>95.82</v>
      </c>
      <c r="GC98" s="8">
        <v>95.84</v>
      </c>
      <c r="GD98" s="8">
        <v>96.67</v>
      </c>
      <c r="GE98" s="8">
        <v>89.1</v>
      </c>
      <c r="GF98" s="8">
        <v>89.1</v>
      </c>
      <c r="GG98" s="8">
        <v>96.6</v>
      </c>
      <c r="GH98" s="8">
        <v>99.23</v>
      </c>
      <c r="GI98" s="8">
        <v>99.52</v>
      </c>
      <c r="GJ98" s="8">
        <v>99.37</v>
      </c>
      <c r="GK98" s="8">
        <v>98.28</v>
      </c>
      <c r="GL98" s="8">
        <v>94.11</v>
      </c>
      <c r="GM98" s="8">
        <v>100.46</v>
      </c>
      <c r="GN98" s="8">
        <v>89.97</v>
      </c>
      <c r="GO98" s="8">
        <v>97.09</v>
      </c>
      <c r="GP98" s="8">
        <v>89.8</v>
      </c>
      <c r="GQ98" s="8">
        <v>88.79</v>
      </c>
      <c r="GR98" s="8">
        <v>97.52</v>
      </c>
      <c r="GS98" s="8">
        <v>96.63</v>
      </c>
      <c r="GT98" s="8">
        <v>96.18</v>
      </c>
      <c r="GU98" s="8">
        <v>96.18</v>
      </c>
      <c r="GV98" s="8">
        <v>95.99</v>
      </c>
      <c r="GW98" s="8">
        <v>95.99</v>
      </c>
      <c r="GX98" s="8">
        <v>96.71</v>
      </c>
      <c r="GY98" s="8">
        <v>97.66</v>
      </c>
      <c r="GZ98" s="8">
        <v>95.59</v>
      </c>
      <c r="HA98" s="8">
        <v>98.01</v>
      </c>
      <c r="HB98" s="8">
        <v>95.46</v>
      </c>
      <c r="HC98" s="8">
        <v>99.14</v>
      </c>
      <c r="HD98" s="8">
        <v>95.82</v>
      </c>
      <c r="HE98" s="8">
        <v>96.88</v>
      </c>
      <c r="HF98" s="8">
        <v>94.94</v>
      </c>
      <c r="HG98" s="8">
        <v>94.27</v>
      </c>
      <c r="HH98" s="8">
        <v>98.14</v>
      </c>
      <c r="HI98" s="8">
        <v>92.57</v>
      </c>
      <c r="HJ98" s="8">
        <v>92.57</v>
      </c>
      <c r="HK98" s="8">
        <v>96.37</v>
      </c>
      <c r="HL98" s="8">
        <v>97.42</v>
      </c>
      <c r="HM98" s="8">
        <v>95.55</v>
      </c>
      <c r="HN98" s="8">
        <v>92.84</v>
      </c>
      <c r="HO98" s="8">
        <v>101.78</v>
      </c>
      <c r="HP98" s="8">
        <v>99.85</v>
      </c>
      <c r="HQ98" s="8">
        <v>99.83</v>
      </c>
      <c r="HR98" s="8">
        <v>98.18</v>
      </c>
      <c r="HS98" s="8">
        <v>100.93</v>
      </c>
      <c r="HT98" s="8">
        <v>96.29</v>
      </c>
      <c r="HU98" s="8">
        <v>91.25</v>
      </c>
      <c r="HV98" s="8">
        <v>98.22</v>
      </c>
      <c r="HW98" s="8">
        <v>97.27</v>
      </c>
      <c r="HX98" s="8">
        <v>95.96</v>
      </c>
      <c r="HY98" s="8">
        <v>98.68</v>
      </c>
      <c r="HZ98" s="8">
        <v>98.85</v>
      </c>
      <c r="IA98" s="8">
        <v>97.74</v>
      </c>
      <c r="IB98" s="8">
        <v>95.41</v>
      </c>
      <c r="IC98" s="8">
        <v>95.16</v>
      </c>
      <c r="ID98" s="8">
        <v>97.98</v>
      </c>
      <c r="IE98" s="8">
        <v>100.08</v>
      </c>
      <c r="IF98" s="8">
        <v>100.12</v>
      </c>
      <c r="IG98" s="8">
        <v>100.06</v>
      </c>
      <c r="IH98" s="8">
        <v>100.05</v>
      </c>
      <c r="II98" s="8">
        <v>103.51</v>
      </c>
      <c r="IJ98" s="8">
        <v>96.87</v>
      </c>
      <c r="IK98" s="8">
        <v>96.23</v>
      </c>
      <c r="IL98" s="8">
        <v>98.06</v>
      </c>
      <c r="IM98" s="8">
        <v>98.06</v>
      </c>
      <c r="IN98" s="8">
        <v>98.79</v>
      </c>
      <c r="IO98" s="8">
        <v>98.79</v>
      </c>
      <c r="IP98" s="8">
        <v>95.05</v>
      </c>
      <c r="IQ98" s="8">
        <v>98.96</v>
      </c>
    </row>
    <row r="99" spans="1:251" x14ac:dyDescent="0.2">
      <c r="A99" s="9">
        <v>45658</v>
      </c>
      <c r="B99" s="8">
        <v>97.86</v>
      </c>
      <c r="C99" s="8">
        <v>96.77</v>
      </c>
      <c r="D99" s="8">
        <v>106.88</v>
      </c>
      <c r="E99" s="8">
        <v>94.74</v>
      </c>
      <c r="F99" s="8">
        <v>94.74</v>
      </c>
      <c r="G99" s="8">
        <v>93.79</v>
      </c>
      <c r="H99" s="8">
        <v>93.77</v>
      </c>
      <c r="I99" s="8">
        <v>96.19</v>
      </c>
      <c r="J99" s="8">
        <v>98.13</v>
      </c>
      <c r="K99" s="8">
        <v>99.56</v>
      </c>
      <c r="L99" s="8">
        <v>99.56</v>
      </c>
      <c r="M99" s="8">
        <v>97.75</v>
      </c>
      <c r="N99" s="8">
        <v>95.99</v>
      </c>
      <c r="O99" s="8">
        <v>97.89</v>
      </c>
      <c r="P99" s="8">
        <v>96.94</v>
      </c>
      <c r="Q99" s="8">
        <v>98.86</v>
      </c>
      <c r="R99" s="8">
        <v>101.22</v>
      </c>
      <c r="S99" s="8">
        <v>101.34</v>
      </c>
      <c r="T99" s="8">
        <v>100.9</v>
      </c>
      <c r="U99" s="8">
        <v>102.76</v>
      </c>
      <c r="V99" s="8">
        <v>101.07</v>
      </c>
      <c r="W99" s="8">
        <v>98.42</v>
      </c>
      <c r="X99" s="8">
        <v>94.65</v>
      </c>
      <c r="Y99" s="8">
        <v>100.86</v>
      </c>
      <c r="Z99" s="8">
        <v>89.8</v>
      </c>
      <c r="AA99" s="8">
        <v>101.71</v>
      </c>
      <c r="AB99" s="8">
        <v>101.19</v>
      </c>
      <c r="AC99" s="8">
        <v>99.49</v>
      </c>
      <c r="AD99" s="8">
        <v>98.44</v>
      </c>
      <c r="AE99" s="8">
        <v>98.07</v>
      </c>
      <c r="AF99" s="8">
        <v>100.67</v>
      </c>
      <c r="AG99" s="8">
        <v>96.8</v>
      </c>
      <c r="AH99" s="8">
        <v>101.51</v>
      </c>
      <c r="AI99" s="8">
        <v>101.01</v>
      </c>
      <c r="AJ99" s="8">
        <v>101.92</v>
      </c>
      <c r="AK99" s="8">
        <v>98.94</v>
      </c>
      <c r="AL99" s="8">
        <v>93.94</v>
      </c>
      <c r="AM99" s="8">
        <v>97.62</v>
      </c>
      <c r="AN99" s="8">
        <v>100.3</v>
      </c>
      <c r="AO99" s="8">
        <v>100.31</v>
      </c>
      <c r="AP99" s="8">
        <v>97.82</v>
      </c>
      <c r="AQ99" s="8">
        <v>100.81</v>
      </c>
      <c r="AR99" s="8">
        <v>97.18</v>
      </c>
      <c r="AS99" s="8">
        <v>88.56</v>
      </c>
      <c r="AT99" s="8">
        <v>99.3</v>
      </c>
      <c r="AU99" s="8">
        <v>98</v>
      </c>
      <c r="AV99" s="8">
        <v>98.44</v>
      </c>
      <c r="AW99" s="8">
        <v>97.6</v>
      </c>
      <c r="AX99" s="8">
        <v>94.77</v>
      </c>
      <c r="AY99" s="8">
        <v>96.45</v>
      </c>
      <c r="AZ99" s="8">
        <v>97.21</v>
      </c>
      <c r="BA99" s="8">
        <v>97.18</v>
      </c>
      <c r="BB99" s="8">
        <v>95.64</v>
      </c>
      <c r="BC99" s="8">
        <v>91.17</v>
      </c>
      <c r="BD99" s="8">
        <v>91.17</v>
      </c>
      <c r="BE99" s="8">
        <v>94.62</v>
      </c>
      <c r="BF99" s="8">
        <v>97.53</v>
      </c>
      <c r="BG99" s="8">
        <v>98.95</v>
      </c>
      <c r="BH99" s="8">
        <v>97.11</v>
      </c>
      <c r="BI99" s="8">
        <v>97.18</v>
      </c>
      <c r="BJ99" s="8">
        <v>97.46</v>
      </c>
      <c r="BK99" s="8">
        <v>101.2</v>
      </c>
      <c r="BL99" s="8">
        <v>95.52</v>
      </c>
      <c r="BM99" s="8">
        <v>104.61</v>
      </c>
      <c r="BN99" s="8">
        <v>87.79</v>
      </c>
      <c r="BO99" s="8">
        <v>87.52</v>
      </c>
      <c r="BP99" s="8">
        <v>95.96</v>
      </c>
      <c r="BQ99" s="8">
        <v>95.49</v>
      </c>
      <c r="BR99" s="8">
        <v>96.59</v>
      </c>
      <c r="BS99" s="8">
        <v>96.59</v>
      </c>
      <c r="BT99" s="8">
        <v>98.23</v>
      </c>
      <c r="BU99" s="8">
        <v>98.23</v>
      </c>
      <c r="BV99" s="8">
        <v>95.72</v>
      </c>
      <c r="BW99" s="8">
        <v>99.35</v>
      </c>
      <c r="BX99" s="8">
        <v>92.33</v>
      </c>
      <c r="BY99" s="8">
        <v>86.4</v>
      </c>
      <c r="BZ99" s="8">
        <v>96.1</v>
      </c>
      <c r="CA99" s="8">
        <v>79.290000000000006</v>
      </c>
      <c r="CB99" s="8">
        <v>97.31</v>
      </c>
      <c r="CC99" s="8">
        <v>97.14</v>
      </c>
      <c r="CD99" s="8">
        <v>95.64</v>
      </c>
      <c r="CE99" s="8">
        <v>94.99</v>
      </c>
      <c r="CF99" s="8">
        <v>99.1</v>
      </c>
      <c r="CG99" s="8">
        <v>94.91</v>
      </c>
      <c r="CH99" s="8">
        <v>94.91</v>
      </c>
      <c r="CI99" s="8">
        <v>99.1</v>
      </c>
      <c r="CJ99" s="8">
        <v>96.26</v>
      </c>
      <c r="CK99" s="8">
        <v>97.88</v>
      </c>
      <c r="CL99" s="8">
        <v>100.14</v>
      </c>
      <c r="CM99" s="8">
        <v>102.1</v>
      </c>
      <c r="CN99" s="8">
        <v>99.48</v>
      </c>
      <c r="CO99" s="8">
        <v>98.87</v>
      </c>
      <c r="CP99" s="8">
        <v>99.22</v>
      </c>
      <c r="CQ99" s="8">
        <v>99.76</v>
      </c>
      <c r="CR99" s="8">
        <v>95.69</v>
      </c>
      <c r="CS99" s="8">
        <v>89.68</v>
      </c>
      <c r="CT99" s="8">
        <v>97.48</v>
      </c>
      <c r="CU99" s="8">
        <v>100.36</v>
      </c>
      <c r="CV99" s="8">
        <v>99.13</v>
      </c>
      <c r="CW99" s="8">
        <v>104.9</v>
      </c>
      <c r="CX99" s="8">
        <v>105.66</v>
      </c>
      <c r="CY99" s="8">
        <v>98.45</v>
      </c>
      <c r="CZ99" s="8">
        <v>98.02</v>
      </c>
      <c r="DA99" s="8">
        <v>98.27</v>
      </c>
      <c r="DB99" s="8">
        <v>96.04</v>
      </c>
      <c r="DC99" s="8">
        <v>97.67</v>
      </c>
      <c r="DD99" s="8">
        <v>97.67</v>
      </c>
      <c r="DE99" s="8">
        <v>100.73</v>
      </c>
      <c r="DF99" s="8">
        <v>99.3</v>
      </c>
      <c r="DG99" s="8">
        <v>99.58</v>
      </c>
      <c r="DH99" s="8">
        <v>96.96</v>
      </c>
      <c r="DI99" s="8">
        <v>87.4</v>
      </c>
      <c r="DJ99" s="8">
        <v>97.91</v>
      </c>
      <c r="DK99" s="8">
        <v>97.91</v>
      </c>
      <c r="DL99" s="8">
        <v>98.41</v>
      </c>
      <c r="DM99" s="8">
        <v>98.41</v>
      </c>
      <c r="DN99" s="8">
        <v>95.03</v>
      </c>
      <c r="DO99" s="8">
        <v>98.55</v>
      </c>
      <c r="DP99" s="8">
        <v>96.42</v>
      </c>
      <c r="DQ99" s="8">
        <v>94.47</v>
      </c>
      <c r="DR99" s="8">
        <v>97.15</v>
      </c>
      <c r="DS99" s="8">
        <v>91.62</v>
      </c>
      <c r="DT99" s="8">
        <v>96.4</v>
      </c>
      <c r="DU99" s="8">
        <v>101.11</v>
      </c>
      <c r="DV99" s="8">
        <v>94.51</v>
      </c>
      <c r="DW99" s="8">
        <v>95.29</v>
      </c>
      <c r="DX99" s="8">
        <v>102.17</v>
      </c>
      <c r="DY99" s="8">
        <v>88.64</v>
      </c>
      <c r="DZ99" s="8">
        <v>98.64</v>
      </c>
      <c r="EA99" s="8">
        <v>99.57</v>
      </c>
      <c r="EB99" s="8">
        <v>102.67</v>
      </c>
      <c r="EC99" s="8">
        <v>102.28</v>
      </c>
      <c r="ED99" s="8">
        <v>95.29</v>
      </c>
      <c r="EE99" s="8">
        <v>96.27</v>
      </c>
      <c r="EF99" s="8">
        <v>98.54</v>
      </c>
      <c r="EG99" s="8">
        <v>95.42</v>
      </c>
      <c r="EH99" s="8">
        <v>95.42</v>
      </c>
      <c r="EI99" s="8">
        <v>95.41</v>
      </c>
      <c r="EJ99" s="8">
        <v>94.53</v>
      </c>
      <c r="EK99" s="8">
        <v>96.23</v>
      </c>
      <c r="EL99" s="8">
        <v>98.43</v>
      </c>
      <c r="EM99" s="8">
        <v>99.96</v>
      </c>
      <c r="EN99" s="8">
        <v>99.96</v>
      </c>
      <c r="EO99" s="8">
        <v>97.78</v>
      </c>
      <c r="EP99" s="8">
        <v>95.99</v>
      </c>
      <c r="EQ99" s="8">
        <v>98.11</v>
      </c>
      <c r="ER99" s="8">
        <v>97.86</v>
      </c>
      <c r="ES99" s="8">
        <v>98.44</v>
      </c>
      <c r="ET99" s="8">
        <v>100.85</v>
      </c>
      <c r="EU99" s="8">
        <v>101.21</v>
      </c>
      <c r="EV99" s="8">
        <v>100.24</v>
      </c>
      <c r="EW99" s="8">
        <v>102.08</v>
      </c>
      <c r="EX99" s="8">
        <v>101.16</v>
      </c>
      <c r="EY99" s="8">
        <v>98.11</v>
      </c>
      <c r="EZ99" s="8">
        <v>94.7</v>
      </c>
      <c r="FA99" s="8">
        <v>100.08</v>
      </c>
      <c r="FB99" s="8">
        <v>89.25</v>
      </c>
      <c r="FC99" s="8">
        <v>101.8</v>
      </c>
      <c r="FD99" s="8">
        <v>100.79</v>
      </c>
      <c r="FE99" s="8">
        <v>98.94</v>
      </c>
      <c r="FF99" s="8">
        <v>98.3</v>
      </c>
      <c r="FG99" s="8">
        <v>97.22</v>
      </c>
      <c r="FH99" s="8">
        <v>100.69</v>
      </c>
      <c r="FI99" s="8">
        <v>97.15</v>
      </c>
      <c r="FJ99" s="8">
        <v>98.95</v>
      </c>
      <c r="FK99" s="8">
        <v>98.61</v>
      </c>
      <c r="FL99" s="8">
        <v>99.22</v>
      </c>
      <c r="FM99" s="8">
        <v>98.92</v>
      </c>
      <c r="FN99" s="8">
        <v>94.76</v>
      </c>
      <c r="FO99" s="8">
        <v>97.46</v>
      </c>
      <c r="FP99" s="8">
        <v>100.16</v>
      </c>
      <c r="FQ99" s="8">
        <v>101.09</v>
      </c>
      <c r="FR99" s="8">
        <v>97.48</v>
      </c>
      <c r="FS99" s="8">
        <v>101.08</v>
      </c>
      <c r="FT99" s="8">
        <v>96.52</v>
      </c>
      <c r="FU99" s="8">
        <v>88.23</v>
      </c>
      <c r="FV99" s="8">
        <v>99.24</v>
      </c>
      <c r="FW99" s="8">
        <v>98.01</v>
      </c>
      <c r="FX99" s="8">
        <v>99.05</v>
      </c>
      <c r="FY99" s="8">
        <v>96.86</v>
      </c>
      <c r="FZ99" s="8">
        <v>94.42</v>
      </c>
      <c r="GA99" s="8">
        <v>96.99</v>
      </c>
      <c r="GB99" s="8">
        <v>95.91</v>
      </c>
      <c r="GC99" s="8">
        <v>97.13</v>
      </c>
      <c r="GD99" s="8">
        <v>97.36</v>
      </c>
      <c r="GE99" s="8">
        <v>89.51</v>
      </c>
      <c r="GF99" s="8">
        <v>89.51</v>
      </c>
      <c r="GG99" s="8">
        <v>95.62</v>
      </c>
      <c r="GH99" s="8">
        <v>97.21</v>
      </c>
      <c r="GI99" s="8">
        <v>99.27</v>
      </c>
      <c r="GJ99" s="8">
        <v>96.23</v>
      </c>
      <c r="GK99" s="8">
        <v>97.41</v>
      </c>
      <c r="GL99" s="8">
        <v>96.45</v>
      </c>
      <c r="GM99" s="8">
        <v>101.92</v>
      </c>
      <c r="GN99" s="8">
        <v>91.31</v>
      </c>
      <c r="GO99" s="8">
        <v>102.72</v>
      </c>
      <c r="GP99" s="8">
        <v>89.62</v>
      </c>
      <c r="GQ99" s="8">
        <v>88.47</v>
      </c>
      <c r="GR99" s="8">
        <v>98.36</v>
      </c>
      <c r="GS99" s="8">
        <v>97.46</v>
      </c>
      <c r="GT99" s="8">
        <v>96.67</v>
      </c>
      <c r="GU99" s="8">
        <v>96.67</v>
      </c>
      <c r="GV99" s="8">
        <v>97.73</v>
      </c>
      <c r="GW99" s="8">
        <v>97.73</v>
      </c>
      <c r="GX99" s="8">
        <v>97.29</v>
      </c>
      <c r="GY99" s="8">
        <v>98.75</v>
      </c>
      <c r="GZ99" s="8">
        <v>95.59</v>
      </c>
      <c r="HA99" s="8">
        <v>98.01</v>
      </c>
      <c r="HB99" s="8">
        <v>95.46</v>
      </c>
      <c r="HC99" s="8">
        <v>99.14</v>
      </c>
      <c r="HD99" s="8">
        <v>95.82</v>
      </c>
      <c r="HE99" s="8">
        <v>96.76</v>
      </c>
      <c r="HF99" s="8">
        <v>91.7</v>
      </c>
      <c r="HG99" s="8">
        <v>90.48</v>
      </c>
      <c r="HH99" s="8">
        <v>97.59</v>
      </c>
      <c r="HI99" s="8">
        <v>92.72</v>
      </c>
      <c r="HJ99" s="8">
        <v>92.72</v>
      </c>
      <c r="HK99" s="8">
        <v>100.32</v>
      </c>
      <c r="HL99" s="8">
        <v>104.7</v>
      </c>
      <c r="HM99" s="8">
        <v>99.74</v>
      </c>
      <c r="HN99" s="8">
        <v>96.41</v>
      </c>
      <c r="HO99" s="8">
        <v>103.28</v>
      </c>
      <c r="HP99" s="8">
        <v>99.99</v>
      </c>
      <c r="HQ99" s="8">
        <v>99.06</v>
      </c>
      <c r="HR99" s="8">
        <v>100.15</v>
      </c>
      <c r="HS99" s="8">
        <v>100.03</v>
      </c>
      <c r="HT99" s="8">
        <v>95.92</v>
      </c>
      <c r="HU99" s="8">
        <v>89.68</v>
      </c>
      <c r="HV99" s="8">
        <v>98.2</v>
      </c>
      <c r="HW99" s="8">
        <v>97.32</v>
      </c>
      <c r="HX99" s="8">
        <v>97.41</v>
      </c>
      <c r="HY99" s="8">
        <v>102.74</v>
      </c>
      <c r="HZ99" s="8">
        <v>103.5</v>
      </c>
      <c r="IA99" s="8">
        <v>98.52</v>
      </c>
      <c r="IB99" s="8">
        <v>96.33</v>
      </c>
      <c r="IC99" s="8">
        <v>96.11</v>
      </c>
      <c r="ID99" s="8">
        <v>98.59</v>
      </c>
      <c r="IE99" s="8">
        <v>99.56</v>
      </c>
      <c r="IF99" s="8">
        <v>99.59</v>
      </c>
      <c r="IG99" s="8">
        <v>99.71</v>
      </c>
      <c r="IH99" s="8">
        <v>101.32</v>
      </c>
      <c r="II99" s="8">
        <v>101.74</v>
      </c>
      <c r="IJ99" s="8">
        <v>96.87</v>
      </c>
      <c r="IK99" s="8">
        <v>96.23</v>
      </c>
      <c r="IL99" s="8">
        <v>98.06</v>
      </c>
      <c r="IM99" s="8">
        <v>98.06</v>
      </c>
      <c r="IN99" s="8">
        <v>98.43</v>
      </c>
      <c r="IO99" s="8">
        <v>98.43</v>
      </c>
      <c r="IP99" s="8">
        <v>95.03</v>
      </c>
      <c r="IQ99" s="8">
        <v>98.58</v>
      </c>
    </row>
    <row r="100" spans="1:251" x14ac:dyDescent="0.2">
      <c r="A100" s="9">
        <v>45689</v>
      </c>
      <c r="B100" s="8">
        <v>98.18</v>
      </c>
      <c r="C100" s="8">
        <v>97.53</v>
      </c>
      <c r="D100" s="8">
        <v>113.04</v>
      </c>
      <c r="E100" s="8">
        <v>99.84</v>
      </c>
      <c r="F100" s="8">
        <v>99.84</v>
      </c>
      <c r="G100" s="8">
        <v>98.92</v>
      </c>
      <c r="H100" s="8">
        <v>100</v>
      </c>
      <c r="I100" s="8">
        <v>100</v>
      </c>
      <c r="J100" s="8">
        <v>98.21</v>
      </c>
      <c r="K100" s="8">
        <v>99.84</v>
      </c>
      <c r="L100" s="8">
        <v>99.84</v>
      </c>
      <c r="M100" s="8">
        <v>97.78</v>
      </c>
      <c r="N100" s="8">
        <v>96.32</v>
      </c>
      <c r="O100" s="8">
        <v>97.89</v>
      </c>
      <c r="P100" s="8">
        <v>97.44</v>
      </c>
      <c r="Q100" s="8">
        <v>98.84</v>
      </c>
      <c r="R100" s="8">
        <v>99.95</v>
      </c>
      <c r="S100" s="8">
        <v>101.09</v>
      </c>
      <c r="T100" s="8">
        <v>98.9</v>
      </c>
      <c r="U100" s="8">
        <v>99.96</v>
      </c>
      <c r="V100" s="8">
        <v>99.81</v>
      </c>
      <c r="W100" s="8">
        <v>98.12</v>
      </c>
      <c r="X100" s="8">
        <v>93.57</v>
      </c>
      <c r="Y100" s="8">
        <v>100.55</v>
      </c>
      <c r="Z100" s="8">
        <v>90.52</v>
      </c>
      <c r="AA100" s="8">
        <v>100.87</v>
      </c>
      <c r="AB100" s="8">
        <v>101.9</v>
      </c>
      <c r="AC100" s="8">
        <v>99.12</v>
      </c>
      <c r="AD100" s="8">
        <v>97.78</v>
      </c>
      <c r="AE100" s="8">
        <v>97.6</v>
      </c>
      <c r="AF100" s="8">
        <v>100.38</v>
      </c>
      <c r="AG100" s="8">
        <v>95.5</v>
      </c>
      <c r="AH100" s="8">
        <v>101.3</v>
      </c>
      <c r="AI100" s="8">
        <v>100.29</v>
      </c>
      <c r="AJ100" s="8">
        <v>102.12</v>
      </c>
      <c r="AK100" s="8">
        <v>97.76</v>
      </c>
      <c r="AL100" s="8">
        <v>94.14</v>
      </c>
      <c r="AM100" s="8">
        <v>97.19</v>
      </c>
      <c r="AN100" s="8">
        <v>99.74</v>
      </c>
      <c r="AO100" s="8">
        <v>100.35</v>
      </c>
      <c r="AP100" s="8">
        <v>95.29</v>
      </c>
      <c r="AQ100" s="8">
        <v>100.44</v>
      </c>
      <c r="AR100" s="8">
        <v>99.17</v>
      </c>
      <c r="AS100" s="8">
        <v>89.99</v>
      </c>
      <c r="AT100" s="8">
        <v>101.43</v>
      </c>
      <c r="AU100" s="8">
        <v>98.57</v>
      </c>
      <c r="AV100" s="8">
        <v>99.53</v>
      </c>
      <c r="AW100" s="8">
        <v>97.69</v>
      </c>
      <c r="AX100" s="8">
        <v>96.81</v>
      </c>
      <c r="AY100" s="8">
        <v>99.19</v>
      </c>
      <c r="AZ100" s="8">
        <v>101.27</v>
      </c>
      <c r="BA100" s="8">
        <v>99.81</v>
      </c>
      <c r="BB100" s="8">
        <v>97.83</v>
      </c>
      <c r="BC100" s="8">
        <v>91.7</v>
      </c>
      <c r="BD100" s="8">
        <v>91.7</v>
      </c>
      <c r="BE100" s="8">
        <v>98.73</v>
      </c>
      <c r="BF100" s="8">
        <v>101.72</v>
      </c>
      <c r="BG100" s="8">
        <v>102.62</v>
      </c>
      <c r="BH100" s="8">
        <v>102.14</v>
      </c>
      <c r="BI100" s="8">
        <v>99.1</v>
      </c>
      <c r="BJ100" s="8">
        <v>102.03</v>
      </c>
      <c r="BK100" s="8">
        <v>105.62</v>
      </c>
      <c r="BL100" s="8">
        <v>100.43</v>
      </c>
      <c r="BM100" s="8">
        <v>107.26</v>
      </c>
      <c r="BN100" s="8">
        <v>91.53</v>
      </c>
      <c r="BO100" s="8">
        <v>91.38</v>
      </c>
      <c r="BP100" s="8">
        <v>95.96</v>
      </c>
      <c r="BQ100" s="8">
        <v>95.7</v>
      </c>
      <c r="BR100" s="8">
        <v>97.21</v>
      </c>
      <c r="BS100" s="8">
        <v>97.21</v>
      </c>
      <c r="BT100" s="8">
        <v>98.44</v>
      </c>
      <c r="BU100" s="8">
        <v>98.44</v>
      </c>
      <c r="BV100" s="8">
        <v>95.65</v>
      </c>
      <c r="BW100" s="8">
        <v>99.21</v>
      </c>
      <c r="BX100" s="8">
        <v>92.33</v>
      </c>
      <c r="BY100" s="8">
        <v>85.93</v>
      </c>
      <c r="BZ100" s="8">
        <v>96.1</v>
      </c>
      <c r="CA100" s="8">
        <v>78.48</v>
      </c>
      <c r="CB100" s="8">
        <v>97.31</v>
      </c>
      <c r="CC100" s="8">
        <v>98.46</v>
      </c>
      <c r="CD100" s="8">
        <v>100.21</v>
      </c>
      <c r="CE100" s="8">
        <v>100.46</v>
      </c>
      <c r="CF100" s="8">
        <v>98.88</v>
      </c>
      <c r="CG100" s="8">
        <v>100.04</v>
      </c>
      <c r="CH100" s="8">
        <v>100.04</v>
      </c>
      <c r="CI100" s="8">
        <v>99.95</v>
      </c>
      <c r="CJ100" s="8">
        <v>98.23</v>
      </c>
      <c r="CK100" s="8">
        <v>99.76</v>
      </c>
      <c r="CL100" s="8">
        <v>100.33</v>
      </c>
      <c r="CM100" s="8">
        <v>101.62</v>
      </c>
      <c r="CN100" s="8">
        <v>99.41</v>
      </c>
      <c r="CO100" s="8">
        <v>99.02</v>
      </c>
      <c r="CP100" s="8">
        <v>98.96</v>
      </c>
      <c r="CQ100" s="8">
        <v>99.76</v>
      </c>
      <c r="CR100" s="8">
        <v>96.03</v>
      </c>
      <c r="CS100" s="8">
        <v>90.83</v>
      </c>
      <c r="CT100" s="8">
        <v>97.4</v>
      </c>
      <c r="CU100" s="8">
        <v>100.36</v>
      </c>
      <c r="CV100" s="8">
        <v>99.3</v>
      </c>
      <c r="CW100" s="8">
        <v>105.29</v>
      </c>
      <c r="CX100" s="8">
        <v>106.07</v>
      </c>
      <c r="CY100" s="8">
        <v>98.63</v>
      </c>
      <c r="CZ100" s="8">
        <v>98.14</v>
      </c>
      <c r="DA100" s="8">
        <v>98.35</v>
      </c>
      <c r="DB100" s="8">
        <v>96.44</v>
      </c>
      <c r="DC100" s="8">
        <v>99.38</v>
      </c>
      <c r="DD100" s="8">
        <v>99.41</v>
      </c>
      <c r="DE100" s="8">
        <v>100.72</v>
      </c>
      <c r="DF100" s="8">
        <v>100.16</v>
      </c>
      <c r="DG100" s="8">
        <v>104.93</v>
      </c>
      <c r="DH100" s="8">
        <v>96.96</v>
      </c>
      <c r="DI100" s="8">
        <v>87.4</v>
      </c>
      <c r="DJ100" s="8">
        <v>97.91</v>
      </c>
      <c r="DK100" s="8">
        <v>97.91</v>
      </c>
      <c r="DL100" s="8">
        <v>99.12</v>
      </c>
      <c r="DM100" s="8">
        <v>99.12</v>
      </c>
      <c r="DN100" s="8">
        <v>96.36</v>
      </c>
      <c r="DO100" s="8">
        <v>99.24</v>
      </c>
      <c r="DP100" s="8">
        <v>93.63</v>
      </c>
      <c r="DQ100" s="8">
        <v>95.56</v>
      </c>
      <c r="DR100" s="8">
        <v>98.67</v>
      </c>
      <c r="DS100" s="8">
        <v>92.27</v>
      </c>
      <c r="DT100" s="8">
        <v>97.45</v>
      </c>
      <c r="DU100" s="8">
        <v>101.25</v>
      </c>
      <c r="DV100" s="8">
        <v>95.92</v>
      </c>
      <c r="DW100" s="8">
        <v>88.38</v>
      </c>
      <c r="DX100" s="8">
        <v>90.51</v>
      </c>
      <c r="DY100" s="8">
        <v>86.33</v>
      </c>
      <c r="DZ100" s="8">
        <v>99.17</v>
      </c>
      <c r="EA100" s="8">
        <v>101.74</v>
      </c>
      <c r="EB100" s="8">
        <v>101.65</v>
      </c>
      <c r="EC100" s="8">
        <v>100.45</v>
      </c>
      <c r="ED100" s="8">
        <v>95.69</v>
      </c>
      <c r="EE100" s="8">
        <v>98.32</v>
      </c>
      <c r="EF100" s="8">
        <v>98.82</v>
      </c>
      <c r="EG100" s="8">
        <v>99.8</v>
      </c>
      <c r="EH100" s="8">
        <v>99.8</v>
      </c>
      <c r="EI100" s="8">
        <v>99.19</v>
      </c>
      <c r="EJ100" s="8">
        <v>100</v>
      </c>
      <c r="EK100" s="8">
        <v>100</v>
      </c>
      <c r="EL100" s="8">
        <v>98.36</v>
      </c>
      <c r="EM100" s="8">
        <v>99.58</v>
      </c>
      <c r="EN100" s="8">
        <v>99.58</v>
      </c>
      <c r="EO100" s="8">
        <v>97.83</v>
      </c>
      <c r="EP100" s="8">
        <v>96.32</v>
      </c>
      <c r="EQ100" s="8">
        <v>98.11</v>
      </c>
      <c r="ER100" s="8">
        <v>98.1</v>
      </c>
      <c r="ES100" s="8">
        <v>98.36</v>
      </c>
      <c r="ET100" s="8">
        <v>99.95</v>
      </c>
      <c r="EU100" s="8">
        <v>100.87</v>
      </c>
      <c r="EV100" s="8">
        <v>98.79</v>
      </c>
      <c r="EW100" s="8">
        <v>100.41</v>
      </c>
      <c r="EX100" s="8">
        <v>100.65</v>
      </c>
      <c r="EY100" s="8">
        <v>98.26</v>
      </c>
      <c r="EZ100" s="8">
        <v>93.9</v>
      </c>
      <c r="FA100" s="8">
        <v>100.36</v>
      </c>
      <c r="FB100" s="8">
        <v>89.69</v>
      </c>
      <c r="FC100" s="8">
        <v>101.78</v>
      </c>
      <c r="FD100" s="8">
        <v>101.78</v>
      </c>
      <c r="FE100" s="8">
        <v>99.05</v>
      </c>
      <c r="FF100" s="8">
        <v>97.84</v>
      </c>
      <c r="FG100" s="8">
        <v>96.92</v>
      </c>
      <c r="FH100" s="8">
        <v>100.39</v>
      </c>
      <c r="FI100" s="8">
        <v>96.26</v>
      </c>
      <c r="FJ100" s="8">
        <v>98.72</v>
      </c>
      <c r="FK100" s="8">
        <v>99.09</v>
      </c>
      <c r="FL100" s="8">
        <v>98.43</v>
      </c>
      <c r="FM100" s="8">
        <v>98.02</v>
      </c>
      <c r="FN100" s="8">
        <v>94.94</v>
      </c>
      <c r="FO100" s="8">
        <v>97.16</v>
      </c>
      <c r="FP100" s="8">
        <v>99.83</v>
      </c>
      <c r="FQ100" s="8">
        <v>101.12</v>
      </c>
      <c r="FR100" s="8">
        <v>95.61</v>
      </c>
      <c r="FS100" s="8">
        <v>100.75</v>
      </c>
      <c r="FT100" s="8">
        <v>98.52</v>
      </c>
      <c r="FU100" s="8">
        <v>90.15</v>
      </c>
      <c r="FV100" s="8">
        <v>101.26</v>
      </c>
      <c r="FW100" s="8">
        <v>98.08</v>
      </c>
      <c r="FX100" s="8">
        <v>99.05</v>
      </c>
      <c r="FY100" s="8">
        <v>97</v>
      </c>
      <c r="FZ100" s="8">
        <v>95.3</v>
      </c>
      <c r="GA100" s="8">
        <v>98.1</v>
      </c>
      <c r="GB100" s="8">
        <v>98.17</v>
      </c>
      <c r="GC100" s="8">
        <v>97.85</v>
      </c>
      <c r="GD100" s="8">
        <v>98.3</v>
      </c>
      <c r="GE100" s="8">
        <v>89.96</v>
      </c>
      <c r="GF100" s="8">
        <v>89.96</v>
      </c>
      <c r="GG100" s="8">
        <v>100.75</v>
      </c>
      <c r="GH100" s="8">
        <v>101.21</v>
      </c>
      <c r="GI100" s="8">
        <v>104.92</v>
      </c>
      <c r="GJ100" s="8">
        <v>100.6</v>
      </c>
      <c r="GK100" s="8">
        <v>97.66</v>
      </c>
      <c r="GL100" s="8">
        <v>102.77</v>
      </c>
      <c r="GM100" s="8">
        <v>108.25</v>
      </c>
      <c r="GN100" s="8">
        <v>98.53</v>
      </c>
      <c r="GO100" s="8">
        <v>106.91</v>
      </c>
      <c r="GP100" s="8">
        <v>97.59</v>
      </c>
      <c r="GQ100" s="8">
        <v>97.49</v>
      </c>
      <c r="GR100" s="8">
        <v>98.36</v>
      </c>
      <c r="GS100" s="8">
        <v>97.46</v>
      </c>
      <c r="GT100" s="8">
        <v>97.42</v>
      </c>
      <c r="GU100" s="8">
        <v>97.42</v>
      </c>
      <c r="GV100" s="8">
        <v>97.55</v>
      </c>
      <c r="GW100" s="8">
        <v>97.55</v>
      </c>
      <c r="GX100" s="8">
        <v>97.3</v>
      </c>
      <c r="GY100" s="8">
        <v>98.76</v>
      </c>
      <c r="GZ100" s="8">
        <v>95.59</v>
      </c>
      <c r="HA100" s="8">
        <v>97.47</v>
      </c>
      <c r="HB100" s="8">
        <v>95.46</v>
      </c>
      <c r="HC100" s="8">
        <v>98.25</v>
      </c>
      <c r="HD100" s="8">
        <v>96.14</v>
      </c>
      <c r="HE100" s="8">
        <v>98.64</v>
      </c>
      <c r="HF100" s="8">
        <v>97.26</v>
      </c>
      <c r="HG100" s="8">
        <v>97.43</v>
      </c>
      <c r="HH100" s="8">
        <v>96.41</v>
      </c>
      <c r="HI100" s="8">
        <v>100.24</v>
      </c>
      <c r="HJ100" s="8">
        <v>100.24</v>
      </c>
      <c r="HK100" s="8">
        <v>100.05</v>
      </c>
      <c r="HL100" s="8">
        <v>104.3</v>
      </c>
      <c r="HM100" s="8">
        <v>102.5</v>
      </c>
      <c r="HN100" s="8">
        <v>94.58</v>
      </c>
      <c r="HO100" s="8">
        <v>103.34</v>
      </c>
      <c r="HP100" s="8">
        <v>100.36</v>
      </c>
      <c r="HQ100" s="8">
        <v>98.99</v>
      </c>
      <c r="HR100" s="8">
        <v>99.51</v>
      </c>
      <c r="HS100" s="8">
        <v>101.13</v>
      </c>
      <c r="HT100" s="8">
        <v>96.4</v>
      </c>
      <c r="HU100" s="8">
        <v>89.8</v>
      </c>
      <c r="HV100" s="8">
        <v>99.1</v>
      </c>
      <c r="HW100" s="8">
        <v>97.46</v>
      </c>
      <c r="HX100" s="8">
        <v>97.73</v>
      </c>
      <c r="HY100" s="8">
        <v>103.42</v>
      </c>
      <c r="HZ100" s="8">
        <v>104.25</v>
      </c>
      <c r="IA100" s="8">
        <v>98.73</v>
      </c>
      <c r="IB100" s="8">
        <v>96.59</v>
      </c>
      <c r="IC100" s="8">
        <v>96.39</v>
      </c>
      <c r="ID100" s="8">
        <v>98.55</v>
      </c>
      <c r="IE100" s="8">
        <v>99.07</v>
      </c>
      <c r="IF100" s="8">
        <v>99.08</v>
      </c>
      <c r="IG100" s="8">
        <v>99.67</v>
      </c>
      <c r="IH100" s="8">
        <v>99.21</v>
      </c>
      <c r="II100" s="8">
        <v>100.8</v>
      </c>
      <c r="IJ100" s="8">
        <v>96.87</v>
      </c>
      <c r="IK100" s="8">
        <v>96.23</v>
      </c>
      <c r="IL100" s="8">
        <v>98.56</v>
      </c>
      <c r="IM100" s="8">
        <v>98.56</v>
      </c>
      <c r="IN100" s="8">
        <v>99.13</v>
      </c>
      <c r="IO100" s="8">
        <v>99.13</v>
      </c>
      <c r="IP100" s="8">
        <v>96.36</v>
      </c>
      <c r="IQ100" s="8">
        <v>99.26</v>
      </c>
    </row>
    <row r="101" spans="1:251" x14ac:dyDescent="0.2">
      <c r="A101" s="9">
        <v>45717</v>
      </c>
      <c r="B101" s="8">
        <v>98.84</v>
      </c>
      <c r="C101" s="8">
        <v>98.44</v>
      </c>
      <c r="D101" s="8">
        <v>105</v>
      </c>
      <c r="E101" s="8">
        <v>99.89</v>
      </c>
      <c r="F101" s="8">
        <v>99.89</v>
      </c>
      <c r="G101" s="8">
        <v>99.23</v>
      </c>
      <c r="H101" s="8">
        <v>100</v>
      </c>
      <c r="I101" s="8">
        <v>100</v>
      </c>
      <c r="J101" s="8">
        <v>98.53</v>
      </c>
      <c r="K101" s="8">
        <v>99.68</v>
      </c>
      <c r="L101" s="8">
        <v>99.68</v>
      </c>
      <c r="M101" s="8">
        <v>98.22</v>
      </c>
      <c r="N101" s="8">
        <v>98.47</v>
      </c>
      <c r="O101" s="8">
        <v>98.21</v>
      </c>
      <c r="P101" s="8">
        <v>97.53</v>
      </c>
      <c r="Q101" s="8">
        <v>99.71</v>
      </c>
      <c r="R101" s="8">
        <v>101.33</v>
      </c>
      <c r="S101" s="8">
        <v>101.73</v>
      </c>
      <c r="T101" s="8">
        <v>100.75</v>
      </c>
      <c r="U101" s="8">
        <v>101.86</v>
      </c>
      <c r="V101" s="8">
        <v>101.9</v>
      </c>
      <c r="W101" s="8">
        <v>98.96</v>
      </c>
      <c r="X101" s="8">
        <v>95.52</v>
      </c>
      <c r="Y101" s="8">
        <v>102.03</v>
      </c>
      <c r="Z101" s="8">
        <v>89.8</v>
      </c>
      <c r="AA101" s="8">
        <v>101.03</v>
      </c>
      <c r="AB101" s="8">
        <v>102.99</v>
      </c>
      <c r="AC101" s="8">
        <v>99.17</v>
      </c>
      <c r="AD101" s="8">
        <v>99.03</v>
      </c>
      <c r="AE101" s="8">
        <v>98.22</v>
      </c>
      <c r="AF101" s="8">
        <v>101.38</v>
      </c>
      <c r="AG101" s="8">
        <v>97.96</v>
      </c>
      <c r="AH101" s="8">
        <v>104.21</v>
      </c>
      <c r="AI101" s="8">
        <v>103.61</v>
      </c>
      <c r="AJ101" s="8">
        <v>104.7</v>
      </c>
      <c r="AK101" s="8">
        <v>98.53</v>
      </c>
      <c r="AL101" s="8">
        <v>95.93</v>
      </c>
      <c r="AM101" s="8">
        <v>98.09</v>
      </c>
      <c r="AN101" s="8">
        <v>99.94</v>
      </c>
      <c r="AO101" s="8">
        <v>99.32</v>
      </c>
      <c r="AP101" s="8">
        <v>96.54</v>
      </c>
      <c r="AQ101" s="8">
        <v>101.24</v>
      </c>
      <c r="AR101" s="8">
        <v>100.65</v>
      </c>
      <c r="AS101" s="8">
        <v>91.08</v>
      </c>
      <c r="AT101" s="8">
        <v>103.01</v>
      </c>
      <c r="AU101" s="8">
        <v>98.51</v>
      </c>
      <c r="AV101" s="8">
        <v>99.53</v>
      </c>
      <c r="AW101" s="8">
        <v>97.58</v>
      </c>
      <c r="AX101" s="8">
        <v>96.85</v>
      </c>
      <c r="AY101" s="8">
        <v>98.56</v>
      </c>
      <c r="AZ101" s="8">
        <v>99.95</v>
      </c>
      <c r="BA101" s="8">
        <v>98.65</v>
      </c>
      <c r="BB101" s="8">
        <v>97.85</v>
      </c>
      <c r="BC101" s="8">
        <v>93.19</v>
      </c>
      <c r="BD101" s="8">
        <v>93.19</v>
      </c>
      <c r="BE101" s="8">
        <v>94.31</v>
      </c>
      <c r="BF101" s="8">
        <v>97.34</v>
      </c>
      <c r="BG101" s="8">
        <v>98.29</v>
      </c>
      <c r="BH101" s="8">
        <v>97.33</v>
      </c>
      <c r="BI101" s="8">
        <v>96.18</v>
      </c>
      <c r="BJ101" s="8">
        <v>96.84</v>
      </c>
      <c r="BK101" s="8">
        <v>97.02</v>
      </c>
      <c r="BL101" s="8">
        <v>95.84</v>
      </c>
      <c r="BM101" s="8">
        <v>102.72</v>
      </c>
      <c r="BN101" s="8">
        <v>87.38</v>
      </c>
      <c r="BO101" s="8">
        <v>87.07</v>
      </c>
      <c r="BP101" s="8">
        <v>96.8</v>
      </c>
      <c r="BQ101" s="8">
        <v>95.87</v>
      </c>
      <c r="BR101" s="8">
        <v>97.65</v>
      </c>
      <c r="BS101" s="8">
        <v>97.65</v>
      </c>
      <c r="BT101" s="8">
        <v>98.55</v>
      </c>
      <c r="BU101" s="8">
        <v>98.55</v>
      </c>
      <c r="BV101" s="8">
        <v>95.74</v>
      </c>
      <c r="BW101" s="8">
        <v>99.4</v>
      </c>
      <c r="BX101" s="8">
        <v>92.33</v>
      </c>
      <c r="BY101" s="8">
        <v>85.78</v>
      </c>
      <c r="BZ101" s="8">
        <v>96.1</v>
      </c>
      <c r="CA101" s="8">
        <v>78.22</v>
      </c>
      <c r="CB101" s="8">
        <v>97.31</v>
      </c>
      <c r="CC101" s="8">
        <v>97.77</v>
      </c>
      <c r="CD101" s="8">
        <v>96.63</v>
      </c>
      <c r="CE101" s="8">
        <v>96.27</v>
      </c>
      <c r="CF101" s="8">
        <v>98.51</v>
      </c>
      <c r="CG101" s="8">
        <v>96.24</v>
      </c>
      <c r="CH101" s="8">
        <v>96.24</v>
      </c>
      <c r="CI101" s="8">
        <v>97.18</v>
      </c>
      <c r="CJ101" s="8">
        <v>96.29</v>
      </c>
      <c r="CK101" s="8">
        <v>98.93</v>
      </c>
      <c r="CL101" s="8">
        <v>93.77</v>
      </c>
      <c r="CM101" s="8">
        <v>100.17</v>
      </c>
      <c r="CN101" s="8">
        <v>100.13</v>
      </c>
      <c r="CO101" s="8">
        <v>99.59</v>
      </c>
      <c r="CP101" s="8">
        <v>99.57</v>
      </c>
      <c r="CQ101" s="8">
        <v>100.57</v>
      </c>
      <c r="CR101" s="8">
        <v>97.08</v>
      </c>
      <c r="CS101" s="8">
        <v>93.65</v>
      </c>
      <c r="CT101" s="8">
        <v>97.5</v>
      </c>
      <c r="CU101" s="8">
        <v>100.82</v>
      </c>
      <c r="CV101" s="8">
        <v>99.2</v>
      </c>
      <c r="CW101" s="8">
        <v>104.67</v>
      </c>
      <c r="CX101" s="8">
        <v>105.38</v>
      </c>
      <c r="CY101" s="8">
        <v>98.63</v>
      </c>
      <c r="CZ101" s="8">
        <v>98.14</v>
      </c>
      <c r="DA101" s="8">
        <v>98.35</v>
      </c>
      <c r="DB101" s="8">
        <v>96.44</v>
      </c>
      <c r="DC101" s="8">
        <v>99.37</v>
      </c>
      <c r="DD101" s="8">
        <v>99.4</v>
      </c>
      <c r="DE101" s="8">
        <v>100.98</v>
      </c>
      <c r="DF101" s="8">
        <v>101.33</v>
      </c>
      <c r="DG101" s="8">
        <v>103.97</v>
      </c>
      <c r="DH101" s="8">
        <v>97.37</v>
      </c>
      <c r="DI101" s="8">
        <v>87.79</v>
      </c>
      <c r="DJ101" s="8">
        <v>97.91</v>
      </c>
      <c r="DK101" s="8">
        <v>97.91</v>
      </c>
      <c r="DL101" s="8">
        <v>98.98</v>
      </c>
      <c r="DM101" s="8">
        <v>98.98</v>
      </c>
      <c r="DN101" s="8">
        <v>96.76</v>
      </c>
      <c r="DO101" s="8">
        <v>99.08</v>
      </c>
      <c r="DP101" s="8">
        <v>94.17</v>
      </c>
      <c r="DQ101" s="8">
        <v>96.8</v>
      </c>
      <c r="DR101" s="8">
        <v>100.11</v>
      </c>
      <c r="DS101" s="8">
        <v>93.3</v>
      </c>
      <c r="DT101" s="8">
        <v>97.38</v>
      </c>
      <c r="DU101" s="8">
        <v>99.76</v>
      </c>
      <c r="DV101" s="8">
        <v>96.42</v>
      </c>
      <c r="DW101" s="8">
        <v>88.96</v>
      </c>
      <c r="DX101" s="8">
        <v>91.35</v>
      </c>
      <c r="DY101" s="8">
        <v>86.66</v>
      </c>
      <c r="DZ101" s="8">
        <v>99.43</v>
      </c>
      <c r="EA101" s="8">
        <v>100.67</v>
      </c>
      <c r="EB101" s="8">
        <v>99.7</v>
      </c>
      <c r="EC101" s="8">
        <v>101.15</v>
      </c>
      <c r="ED101" s="8">
        <v>97.65</v>
      </c>
      <c r="EE101" s="8">
        <v>99.01</v>
      </c>
      <c r="EF101" s="8">
        <v>99.08</v>
      </c>
      <c r="EG101" s="8">
        <v>99.86</v>
      </c>
      <c r="EH101" s="8">
        <v>99.86</v>
      </c>
      <c r="EI101" s="8">
        <v>99.43</v>
      </c>
      <c r="EJ101" s="8">
        <v>100</v>
      </c>
      <c r="EK101" s="8">
        <v>100</v>
      </c>
      <c r="EL101" s="8">
        <v>99.28</v>
      </c>
      <c r="EM101" s="8">
        <v>99.17</v>
      </c>
      <c r="EN101" s="8">
        <v>99.17</v>
      </c>
      <c r="EO101" s="8">
        <v>99.32</v>
      </c>
      <c r="EP101" s="8">
        <v>98.47</v>
      </c>
      <c r="EQ101" s="8">
        <v>99.47</v>
      </c>
      <c r="ER101" s="8">
        <v>97.93</v>
      </c>
      <c r="ES101" s="8">
        <v>98.97</v>
      </c>
      <c r="ET101" s="8">
        <v>100.16</v>
      </c>
      <c r="EU101" s="8">
        <v>100.81</v>
      </c>
      <c r="EV101" s="8">
        <v>99.24</v>
      </c>
      <c r="EW101" s="8">
        <v>100.72</v>
      </c>
      <c r="EX101" s="8">
        <v>100.91</v>
      </c>
      <c r="EY101" s="8">
        <v>98.53</v>
      </c>
      <c r="EZ101" s="8">
        <v>95.83</v>
      </c>
      <c r="FA101" s="8">
        <v>100.89</v>
      </c>
      <c r="FB101" s="8">
        <v>89.64</v>
      </c>
      <c r="FC101" s="8">
        <v>101.52</v>
      </c>
      <c r="FD101" s="8">
        <v>101.93</v>
      </c>
      <c r="FE101" s="8">
        <v>97.77</v>
      </c>
      <c r="FF101" s="8">
        <v>98.27</v>
      </c>
      <c r="FG101" s="8">
        <v>96.6</v>
      </c>
      <c r="FH101" s="8">
        <v>101.09</v>
      </c>
      <c r="FI101" s="8">
        <v>97.49</v>
      </c>
      <c r="FJ101" s="8">
        <v>102.19</v>
      </c>
      <c r="FK101" s="8">
        <v>103.48</v>
      </c>
      <c r="FL101" s="8">
        <v>101.19</v>
      </c>
      <c r="FM101" s="8">
        <v>98.06</v>
      </c>
      <c r="FN101" s="8">
        <v>96.4</v>
      </c>
      <c r="FO101" s="8">
        <v>97.71</v>
      </c>
      <c r="FP101" s="8">
        <v>99.7</v>
      </c>
      <c r="FQ101" s="8">
        <v>99.96</v>
      </c>
      <c r="FR101" s="8">
        <v>96.04</v>
      </c>
      <c r="FS101" s="8">
        <v>100.3</v>
      </c>
      <c r="FT101" s="8">
        <v>99.23</v>
      </c>
      <c r="FU101" s="8">
        <v>89.9</v>
      </c>
      <c r="FV101" s="8">
        <v>102.28</v>
      </c>
      <c r="FW101" s="8">
        <v>98.26</v>
      </c>
      <c r="FX101" s="8">
        <v>99.24</v>
      </c>
      <c r="FY101" s="8">
        <v>97.19</v>
      </c>
      <c r="FZ101" s="8">
        <v>96.22</v>
      </c>
      <c r="GA101" s="8">
        <v>98.61</v>
      </c>
      <c r="GB101" s="8">
        <v>98.19</v>
      </c>
      <c r="GC101" s="8">
        <v>98.28</v>
      </c>
      <c r="GD101" s="8">
        <v>99.11</v>
      </c>
      <c r="GE101" s="8">
        <v>91.68</v>
      </c>
      <c r="GF101" s="8">
        <v>91.68</v>
      </c>
      <c r="GG101" s="8">
        <v>97.2</v>
      </c>
      <c r="GH101" s="8">
        <v>97.34</v>
      </c>
      <c r="GI101" s="8">
        <v>99.42</v>
      </c>
      <c r="GJ101" s="8">
        <v>97.43</v>
      </c>
      <c r="GK101" s="8">
        <v>93.94</v>
      </c>
      <c r="GL101" s="8">
        <v>99.28</v>
      </c>
      <c r="GM101" s="8">
        <v>104.97</v>
      </c>
      <c r="GN101" s="8">
        <v>93.19</v>
      </c>
      <c r="GO101" s="8">
        <v>107.56</v>
      </c>
      <c r="GP101" s="8">
        <v>95.07</v>
      </c>
      <c r="GQ101" s="8">
        <v>94.53</v>
      </c>
      <c r="GR101" s="8">
        <v>99.16</v>
      </c>
      <c r="GS101" s="8">
        <v>97.13</v>
      </c>
      <c r="GT101" s="8">
        <v>97.78</v>
      </c>
      <c r="GU101" s="8">
        <v>97.78</v>
      </c>
      <c r="GV101" s="8">
        <v>96.33</v>
      </c>
      <c r="GW101" s="8">
        <v>96.33</v>
      </c>
      <c r="GX101" s="8">
        <v>97.37</v>
      </c>
      <c r="GY101" s="8">
        <v>98.89</v>
      </c>
      <c r="GZ101" s="8">
        <v>95.59</v>
      </c>
      <c r="HA101" s="8">
        <v>97.47</v>
      </c>
      <c r="HB101" s="8">
        <v>95.46</v>
      </c>
      <c r="HC101" s="8">
        <v>98.25</v>
      </c>
      <c r="HD101" s="8">
        <v>96.14</v>
      </c>
      <c r="HE101" s="8">
        <v>98.41</v>
      </c>
      <c r="HF101" s="8">
        <v>96.76</v>
      </c>
      <c r="HG101" s="8">
        <v>96.75</v>
      </c>
      <c r="HH101" s="8">
        <v>96.8</v>
      </c>
      <c r="HI101" s="8">
        <v>99.4</v>
      </c>
      <c r="HJ101" s="8">
        <v>99.4</v>
      </c>
      <c r="HK101" s="8">
        <v>98.47</v>
      </c>
      <c r="HL101" s="8">
        <v>102.62</v>
      </c>
      <c r="HM101" s="8">
        <v>99.34</v>
      </c>
      <c r="HN101" s="8">
        <v>94.3</v>
      </c>
      <c r="HO101" s="8">
        <v>100.94</v>
      </c>
      <c r="HP101" s="8">
        <v>100.33</v>
      </c>
      <c r="HQ101" s="8">
        <v>99.3</v>
      </c>
      <c r="HR101" s="8">
        <v>99.81</v>
      </c>
      <c r="HS101" s="8">
        <v>100.82</v>
      </c>
      <c r="HT101" s="8">
        <v>97.15</v>
      </c>
      <c r="HU101" s="8">
        <v>93.71</v>
      </c>
      <c r="HV101" s="8">
        <v>98.71</v>
      </c>
      <c r="HW101" s="8">
        <v>97.46</v>
      </c>
      <c r="HX101" s="8">
        <v>97.49</v>
      </c>
      <c r="HY101" s="8">
        <v>102.69</v>
      </c>
      <c r="HZ101" s="8">
        <v>103.39</v>
      </c>
      <c r="IA101" s="8">
        <v>98.73</v>
      </c>
      <c r="IB101" s="8">
        <v>96.44</v>
      </c>
      <c r="IC101" s="8">
        <v>96.19</v>
      </c>
      <c r="ID101" s="8">
        <v>98.97</v>
      </c>
      <c r="IE101" s="8">
        <v>99.14</v>
      </c>
      <c r="IF101" s="8">
        <v>99.19</v>
      </c>
      <c r="IG101" s="8">
        <v>99.48</v>
      </c>
      <c r="IH101" s="8">
        <v>102.3</v>
      </c>
      <c r="II101" s="8">
        <v>100.42</v>
      </c>
      <c r="IJ101" s="8">
        <v>96.79</v>
      </c>
      <c r="IK101" s="8">
        <v>96.23</v>
      </c>
      <c r="IL101" s="8">
        <v>96.63</v>
      </c>
      <c r="IM101" s="8">
        <v>96.63</v>
      </c>
      <c r="IN101" s="8">
        <v>99</v>
      </c>
      <c r="IO101" s="8">
        <v>99</v>
      </c>
      <c r="IP101" s="8">
        <v>96.76</v>
      </c>
      <c r="IQ101" s="8">
        <v>99.1</v>
      </c>
    </row>
    <row r="102" spans="1:251" x14ac:dyDescent="0.2">
      <c r="A102" s="9">
        <v>45748</v>
      </c>
      <c r="B102" s="8">
        <v>98.9</v>
      </c>
      <c r="C102" s="8">
        <v>98.44</v>
      </c>
      <c r="D102" s="8">
        <v>102.95</v>
      </c>
      <c r="E102" s="8">
        <v>99.88</v>
      </c>
      <c r="F102" s="8">
        <v>99.88</v>
      </c>
      <c r="G102" s="8">
        <v>99.16</v>
      </c>
      <c r="H102" s="8">
        <v>100</v>
      </c>
      <c r="I102" s="8">
        <v>100</v>
      </c>
      <c r="J102" s="8">
        <v>98.53</v>
      </c>
      <c r="K102" s="8">
        <v>99.52</v>
      </c>
      <c r="L102" s="8">
        <v>99.52</v>
      </c>
      <c r="M102" s="8">
        <v>98.27</v>
      </c>
      <c r="N102" s="8">
        <v>99.05</v>
      </c>
      <c r="O102" s="8">
        <v>98.21</v>
      </c>
      <c r="P102" s="8">
        <v>98.17</v>
      </c>
      <c r="Q102" s="8">
        <v>99.75</v>
      </c>
      <c r="R102" s="8">
        <v>100.65</v>
      </c>
      <c r="S102" s="8">
        <v>101.18</v>
      </c>
      <c r="T102" s="8">
        <v>100.51</v>
      </c>
      <c r="U102" s="8">
        <v>99.83</v>
      </c>
      <c r="V102" s="8">
        <v>99.53</v>
      </c>
      <c r="W102" s="8">
        <v>97.85</v>
      </c>
      <c r="X102" s="8">
        <v>95.47</v>
      </c>
      <c r="Y102" s="8">
        <v>99.57</v>
      </c>
      <c r="Z102" s="8">
        <v>89.4</v>
      </c>
      <c r="AA102" s="8">
        <v>98.75</v>
      </c>
      <c r="AB102" s="8">
        <v>101.87</v>
      </c>
      <c r="AC102" s="8">
        <v>99</v>
      </c>
      <c r="AD102" s="8">
        <v>98.81</v>
      </c>
      <c r="AE102" s="8">
        <v>98.29</v>
      </c>
      <c r="AF102" s="8">
        <v>100.96</v>
      </c>
      <c r="AG102" s="8">
        <v>97.48</v>
      </c>
      <c r="AH102" s="8">
        <v>106.03</v>
      </c>
      <c r="AI102" s="8">
        <v>106.73</v>
      </c>
      <c r="AJ102" s="8">
        <v>105.46</v>
      </c>
      <c r="AK102" s="8">
        <v>99.09</v>
      </c>
      <c r="AL102" s="8">
        <v>100.37</v>
      </c>
      <c r="AM102" s="8">
        <v>97.53</v>
      </c>
      <c r="AN102" s="8">
        <v>98.89</v>
      </c>
      <c r="AO102" s="8">
        <v>99.56</v>
      </c>
      <c r="AP102" s="8">
        <v>98.81</v>
      </c>
      <c r="AQ102" s="8">
        <v>99.4</v>
      </c>
      <c r="AR102" s="8">
        <v>99.58</v>
      </c>
      <c r="AS102" s="8">
        <v>92.41</v>
      </c>
      <c r="AT102" s="8">
        <v>101.34</v>
      </c>
      <c r="AU102" s="8">
        <v>98.66</v>
      </c>
      <c r="AV102" s="8">
        <v>99.32</v>
      </c>
      <c r="AW102" s="8">
        <v>98.05</v>
      </c>
      <c r="AX102" s="8">
        <v>96.96</v>
      </c>
      <c r="AY102" s="8">
        <v>98.31</v>
      </c>
      <c r="AZ102" s="8">
        <v>99.95</v>
      </c>
      <c r="BA102" s="8">
        <v>97.99</v>
      </c>
      <c r="BB102" s="8">
        <v>97.75</v>
      </c>
      <c r="BC102" s="8">
        <v>94.06</v>
      </c>
      <c r="BD102" s="8">
        <v>94.06</v>
      </c>
      <c r="BE102" s="8">
        <v>99.13</v>
      </c>
      <c r="BF102" s="8">
        <v>103.2</v>
      </c>
      <c r="BG102" s="8">
        <v>104.79</v>
      </c>
      <c r="BH102" s="8">
        <v>103.31</v>
      </c>
      <c r="BI102" s="8">
        <v>100.79</v>
      </c>
      <c r="BJ102" s="8">
        <v>102.03</v>
      </c>
      <c r="BK102" s="8">
        <v>105.61</v>
      </c>
      <c r="BL102" s="8">
        <v>101.03</v>
      </c>
      <c r="BM102" s="8">
        <v>103.65</v>
      </c>
      <c r="BN102" s="8">
        <v>90.08</v>
      </c>
      <c r="BO102" s="8">
        <v>89.85</v>
      </c>
      <c r="BP102" s="8">
        <v>96.81</v>
      </c>
      <c r="BQ102" s="8">
        <v>97.37</v>
      </c>
      <c r="BR102" s="8">
        <v>98.01</v>
      </c>
      <c r="BS102" s="8">
        <v>98.01</v>
      </c>
      <c r="BT102" s="8">
        <v>97.99</v>
      </c>
      <c r="BU102" s="8">
        <v>97.99</v>
      </c>
      <c r="BV102" s="8">
        <v>95.95</v>
      </c>
      <c r="BW102" s="8">
        <v>99.83</v>
      </c>
      <c r="BX102" s="8">
        <v>92.33</v>
      </c>
      <c r="BY102" s="8">
        <v>95.92</v>
      </c>
      <c r="BZ102" s="8">
        <v>96.1</v>
      </c>
      <c r="CA102" s="8">
        <v>95.65</v>
      </c>
      <c r="CB102" s="8">
        <v>97.31</v>
      </c>
      <c r="CC102" s="8">
        <v>98.56</v>
      </c>
      <c r="CD102" s="8">
        <v>98.6</v>
      </c>
      <c r="CE102" s="8">
        <v>98.79</v>
      </c>
      <c r="CF102" s="8">
        <v>97.57</v>
      </c>
      <c r="CG102" s="8">
        <v>94.23</v>
      </c>
      <c r="CH102" s="8">
        <v>94.23</v>
      </c>
      <c r="CI102" s="8">
        <v>100.21</v>
      </c>
      <c r="CJ102" s="8">
        <v>97.41</v>
      </c>
      <c r="CK102" s="8">
        <v>102.53</v>
      </c>
      <c r="CL102" s="8">
        <v>99.39</v>
      </c>
      <c r="CM102" s="8">
        <v>102.36</v>
      </c>
      <c r="CN102" s="8">
        <v>100.65</v>
      </c>
      <c r="CO102" s="8">
        <v>98.69</v>
      </c>
      <c r="CP102" s="8">
        <v>100.76</v>
      </c>
      <c r="CQ102" s="8">
        <v>100.96</v>
      </c>
      <c r="CR102" s="8">
        <v>96.98</v>
      </c>
      <c r="CS102" s="8">
        <v>93.34</v>
      </c>
      <c r="CT102" s="8">
        <v>97.5</v>
      </c>
      <c r="CU102" s="8">
        <v>100.82</v>
      </c>
      <c r="CV102" s="8">
        <v>100.81</v>
      </c>
      <c r="CW102" s="8">
        <v>103.63</v>
      </c>
      <c r="CX102" s="8">
        <v>104.14</v>
      </c>
      <c r="CY102" s="8">
        <v>99.33</v>
      </c>
      <c r="CZ102" s="8">
        <v>100.26</v>
      </c>
      <c r="DA102" s="8">
        <v>100.5</v>
      </c>
      <c r="DB102" s="8">
        <v>98.39</v>
      </c>
      <c r="DC102" s="8">
        <v>96.59</v>
      </c>
      <c r="DD102" s="8">
        <v>96.56</v>
      </c>
      <c r="DE102" s="8">
        <v>101.35</v>
      </c>
      <c r="DF102" s="8">
        <v>98.11</v>
      </c>
      <c r="DG102" s="8">
        <v>95.23</v>
      </c>
      <c r="DH102" s="8">
        <v>97.67</v>
      </c>
      <c r="DI102" s="8">
        <v>87.79</v>
      </c>
      <c r="DJ102" s="8">
        <v>97.91</v>
      </c>
      <c r="DK102" s="8">
        <v>97.91</v>
      </c>
      <c r="DL102" s="8">
        <v>99.23</v>
      </c>
      <c r="DM102" s="8">
        <v>99.23</v>
      </c>
      <c r="DN102" s="8">
        <v>98.13</v>
      </c>
      <c r="DO102" s="8">
        <v>99.28</v>
      </c>
      <c r="DP102" s="8">
        <v>96.52</v>
      </c>
      <c r="DQ102" s="8">
        <v>96.83</v>
      </c>
      <c r="DR102" s="8">
        <v>100.15</v>
      </c>
      <c r="DS102" s="8">
        <v>93.31</v>
      </c>
      <c r="DT102" s="8">
        <v>98.38</v>
      </c>
      <c r="DU102" s="8">
        <v>101.49</v>
      </c>
      <c r="DV102" s="8">
        <v>97.13</v>
      </c>
      <c r="DW102" s="8">
        <v>94.08</v>
      </c>
      <c r="DX102" s="8">
        <v>95.84</v>
      </c>
      <c r="DY102" s="8">
        <v>92.37</v>
      </c>
      <c r="DZ102" s="8">
        <v>99.31</v>
      </c>
      <c r="EA102" s="8">
        <v>99.57</v>
      </c>
      <c r="EB102" s="8">
        <v>97.53</v>
      </c>
      <c r="EC102" s="8">
        <v>101.32</v>
      </c>
      <c r="ED102" s="8">
        <v>97.65</v>
      </c>
      <c r="EE102" s="8">
        <v>99.01</v>
      </c>
      <c r="EF102" s="8">
        <v>100.58</v>
      </c>
      <c r="EG102" s="8">
        <v>99.85</v>
      </c>
      <c r="EH102" s="8">
        <v>99.85</v>
      </c>
      <c r="EI102" s="8">
        <v>99.42</v>
      </c>
      <c r="EJ102" s="8">
        <v>100</v>
      </c>
      <c r="EK102" s="8">
        <v>100</v>
      </c>
      <c r="EL102" s="8">
        <v>99.26</v>
      </c>
      <c r="EM102" s="8">
        <v>98.9</v>
      </c>
      <c r="EN102" s="8">
        <v>98.9</v>
      </c>
      <c r="EO102" s="8">
        <v>99.41</v>
      </c>
      <c r="EP102" s="8">
        <v>99.05</v>
      </c>
      <c r="EQ102" s="8">
        <v>99.47</v>
      </c>
      <c r="ER102" s="8">
        <v>98.84</v>
      </c>
      <c r="ES102" s="8">
        <v>99.33</v>
      </c>
      <c r="ET102" s="8">
        <v>100.03</v>
      </c>
      <c r="EU102" s="8">
        <v>100.39</v>
      </c>
      <c r="EV102" s="8">
        <v>99.8</v>
      </c>
      <c r="EW102" s="8">
        <v>99.13</v>
      </c>
      <c r="EX102" s="8">
        <v>100.02</v>
      </c>
      <c r="EY102" s="8">
        <v>98</v>
      </c>
      <c r="EZ102" s="8">
        <v>95.6</v>
      </c>
      <c r="FA102" s="8">
        <v>99.57</v>
      </c>
      <c r="FB102" s="8">
        <v>89.02</v>
      </c>
      <c r="FC102" s="8">
        <v>100.45</v>
      </c>
      <c r="FD102" s="8">
        <v>101.3</v>
      </c>
      <c r="FE102" s="8">
        <v>98.61</v>
      </c>
      <c r="FF102" s="8">
        <v>98.37</v>
      </c>
      <c r="FG102" s="8">
        <v>96.74</v>
      </c>
      <c r="FH102" s="8">
        <v>100.93</v>
      </c>
      <c r="FI102" s="8">
        <v>97.86</v>
      </c>
      <c r="FJ102" s="8">
        <v>104.46</v>
      </c>
      <c r="FK102" s="8">
        <v>107.45</v>
      </c>
      <c r="FL102" s="8">
        <v>102.12</v>
      </c>
      <c r="FM102" s="8">
        <v>99.04</v>
      </c>
      <c r="FN102" s="8">
        <v>100.97</v>
      </c>
      <c r="FO102" s="8">
        <v>97.5</v>
      </c>
      <c r="FP102" s="8">
        <v>99.01</v>
      </c>
      <c r="FQ102" s="8">
        <v>100.31</v>
      </c>
      <c r="FR102" s="8">
        <v>98.47</v>
      </c>
      <c r="FS102" s="8">
        <v>99.34</v>
      </c>
      <c r="FT102" s="8">
        <v>98.77</v>
      </c>
      <c r="FU102" s="8">
        <v>91.71</v>
      </c>
      <c r="FV102" s="8">
        <v>101.08</v>
      </c>
      <c r="FW102" s="8">
        <v>98.43</v>
      </c>
      <c r="FX102" s="8">
        <v>98.91</v>
      </c>
      <c r="FY102" s="8">
        <v>97.91</v>
      </c>
      <c r="FZ102" s="8">
        <v>96.3</v>
      </c>
      <c r="GA102" s="8">
        <v>98.19</v>
      </c>
      <c r="GB102" s="8">
        <v>98</v>
      </c>
      <c r="GC102" s="8">
        <v>97.73</v>
      </c>
      <c r="GD102" s="8">
        <v>98.71</v>
      </c>
      <c r="GE102" s="8">
        <v>92.7</v>
      </c>
      <c r="GF102" s="8">
        <v>92.7</v>
      </c>
      <c r="GG102" s="8">
        <v>101.68</v>
      </c>
      <c r="GH102" s="8">
        <v>104.66</v>
      </c>
      <c r="GI102" s="8">
        <v>107.27</v>
      </c>
      <c r="GJ102" s="8">
        <v>104.38</v>
      </c>
      <c r="GK102" s="8">
        <v>101.69</v>
      </c>
      <c r="GL102" s="8">
        <v>100.33</v>
      </c>
      <c r="GM102" s="8">
        <v>106.66</v>
      </c>
      <c r="GN102" s="8">
        <v>95.68</v>
      </c>
      <c r="GO102" s="8">
        <v>104.53</v>
      </c>
      <c r="GP102" s="8">
        <v>92.78</v>
      </c>
      <c r="GQ102" s="8">
        <v>91.92</v>
      </c>
      <c r="GR102" s="8">
        <v>99.28</v>
      </c>
      <c r="GS102" s="8">
        <v>97.1</v>
      </c>
      <c r="GT102" s="8">
        <v>98.15</v>
      </c>
      <c r="GU102" s="8">
        <v>98.15</v>
      </c>
      <c r="GV102" s="8">
        <v>96.4</v>
      </c>
      <c r="GW102" s="8">
        <v>96.4</v>
      </c>
      <c r="GX102" s="8">
        <v>96.8</v>
      </c>
      <c r="GY102" s="8">
        <v>97.83</v>
      </c>
      <c r="GZ102" s="8">
        <v>95.59</v>
      </c>
      <c r="HA102" s="8">
        <v>97.21</v>
      </c>
      <c r="HB102" s="8">
        <v>95.46</v>
      </c>
      <c r="HC102" s="8">
        <v>98.39</v>
      </c>
      <c r="HD102" s="8">
        <v>94.19</v>
      </c>
      <c r="HE102" s="8">
        <v>98.82</v>
      </c>
      <c r="HF102" s="8">
        <v>96.36</v>
      </c>
      <c r="HG102" s="8">
        <v>96.36</v>
      </c>
      <c r="HH102" s="8">
        <v>96.36</v>
      </c>
      <c r="HI102" s="8">
        <v>96.64</v>
      </c>
      <c r="HJ102" s="8">
        <v>96.64</v>
      </c>
      <c r="HK102" s="8">
        <v>101.47</v>
      </c>
      <c r="HL102" s="8">
        <v>104.93</v>
      </c>
      <c r="HM102" s="8">
        <v>100.52</v>
      </c>
      <c r="HN102" s="8">
        <v>100.12</v>
      </c>
      <c r="HO102" s="8">
        <v>101.38</v>
      </c>
      <c r="HP102" s="8">
        <v>101.04</v>
      </c>
      <c r="HQ102" s="8">
        <v>98.62</v>
      </c>
      <c r="HR102" s="8">
        <v>100.72</v>
      </c>
      <c r="HS102" s="8">
        <v>101.62</v>
      </c>
      <c r="HT102" s="8">
        <v>97.12</v>
      </c>
      <c r="HU102" s="8">
        <v>93.04</v>
      </c>
      <c r="HV102" s="8">
        <v>98.85</v>
      </c>
      <c r="HW102" s="8">
        <v>97.69</v>
      </c>
      <c r="HX102" s="8">
        <v>100.2</v>
      </c>
      <c r="HY102" s="8">
        <v>102.54</v>
      </c>
      <c r="HZ102" s="8">
        <v>102.99</v>
      </c>
      <c r="IA102" s="8">
        <v>100.04</v>
      </c>
      <c r="IB102" s="8">
        <v>99.72</v>
      </c>
      <c r="IC102" s="8">
        <v>99.76</v>
      </c>
      <c r="ID102" s="8">
        <v>99.4</v>
      </c>
      <c r="IE102" s="8">
        <v>99.31</v>
      </c>
      <c r="IF102" s="8">
        <v>99.32</v>
      </c>
      <c r="IG102" s="8">
        <v>99.94</v>
      </c>
      <c r="IH102" s="8">
        <v>101.96</v>
      </c>
      <c r="II102" s="8">
        <v>100.05</v>
      </c>
      <c r="IJ102" s="8">
        <v>97.54</v>
      </c>
      <c r="IK102" s="8">
        <v>96.23</v>
      </c>
      <c r="IL102" s="8">
        <v>98.56</v>
      </c>
      <c r="IM102" s="8">
        <v>98.56</v>
      </c>
      <c r="IN102" s="8">
        <v>99.26</v>
      </c>
      <c r="IO102" s="8">
        <v>99.26</v>
      </c>
      <c r="IP102" s="8">
        <v>98.13</v>
      </c>
      <c r="IQ102" s="8">
        <v>99.31</v>
      </c>
    </row>
    <row r="103" spans="1:251" x14ac:dyDescent="0.2">
      <c r="A103" s="9">
        <v>45778</v>
      </c>
      <c r="B103" s="8">
        <v>98.97</v>
      </c>
      <c r="C103" s="8">
        <v>98.44</v>
      </c>
      <c r="D103" s="8">
        <v>112.03</v>
      </c>
      <c r="E103" s="8">
        <v>99.87</v>
      </c>
      <c r="F103" s="8">
        <v>99.87</v>
      </c>
      <c r="G103" s="8">
        <v>99.09</v>
      </c>
      <c r="H103" s="8">
        <v>100</v>
      </c>
      <c r="I103" s="8">
        <v>100</v>
      </c>
      <c r="J103" s="8">
        <v>98.6</v>
      </c>
      <c r="K103" s="8">
        <v>99.86</v>
      </c>
      <c r="L103" s="8">
        <v>99.86</v>
      </c>
      <c r="M103" s="8">
        <v>98.27</v>
      </c>
      <c r="N103" s="8">
        <v>99.08</v>
      </c>
      <c r="O103" s="8">
        <v>98.21</v>
      </c>
      <c r="P103" s="8">
        <v>97.98</v>
      </c>
      <c r="Q103" s="8">
        <v>99.84</v>
      </c>
      <c r="R103" s="8">
        <v>99.8</v>
      </c>
      <c r="S103" s="8">
        <v>100.6</v>
      </c>
      <c r="T103" s="8">
        <v>99.14</v>
      </c>
      <c r="U103" s="8">
        <v>99.15</v>
      </c>
      <c r="V103" s="8">
        <v>99.85</v>
      </c>
      <c r="W103" s="8">
        <v>98.65</v>
      </c>
      <c r="X103" s="8">
        <v>95.62</v>
      </c>
      <c r="Y103" s="8">
        <v>100.88</v>
      </c>
      <c r="Z103" s="8">
        <v>90.03</v>
      </c>
      <c r="AA103" s="8">
        <v>100.12</v>
      </c>
      <c r="AB103" s="8">
        <v>101.92</v>
      </c>
      <c r="AC103" s="8">
        <v>100.62</v>
      </c>
      <c r="AD103" s="8">
        <v>98.38</v>
      </c>
      <c r="AE103" s="8">
        <v>97.81</v>
      </c>
      <c r="AF103" s="8">
        <v>101.04</v>
      </c>
      <c r="AG103" s="8">
        <v>96.61</v>
      </c>
      <c r="AH103" s="8">
        <v>104.73</v>
      </c>
      <c r="AI103" s="8">
        <v>103.53</v>
      </c>
      <c r="AJ103" s="8">
        <v>105.71</v>
      </c>
      <c r="AK103" s="8">
        <v>98.77</v>
      </c>
      <c r="AL103" s="8">
        <v>101.65</v>
      </c>
      <c r="AM103" s="8">
        <v>97.11</v>
      </c>
      <c r="AN103" s="8">
        <v>99.37</v>
      </c>
      <c r="AO103" s="8">
        <v>100.22</v>
      </c>
      <c r="AP103" s="8">
        <v>97.59</v>
      </c>
      <c r="AQ103" s="8">
        <v>99.32</v>
      </c>
      <c r="AR103" s="8">
        <v>101.41</v>
      </c>
      <c r="AS103" s="8">
        <v>92.64</v>
      </c>
      <c r="AT103" s="8">
        <v>103.57</v>
      </c>
      <c r="AU103" s="8">
        <v>99.03</v>
      </c>
      <c r="AV103" s="8">
        <v>99.33</v>
      </c>
      <c r="AW103" s="8">
        <v>98.75</v>
      </c>
      <c r="AX103" s="8">
        <v>97.29</v>
      </c>
      <c r="AY103" s="8">
        <v>98.83</v>
      </c>
      <c r="AZ103" s="8">
        <v>99.9</v>
      </c>
      <c r="BA103" s="8">
        <v>98.86</v>
      </c>
      <c r="BB103" s="8">
        <v>98.31</v>
      </c>
      <c r="BC103" s="8">
        <v>94</v>
      </c>
      <c r="BD103" s="8">
        <v>94</v>
      </c>
      <c r="BE103" s="8">
        <v>97.06</v>
      </c>
      <c r="BF103" s="8">
        <v>101.5</v>
      </c>
      <c r="BG103" s="8">
        <v>102.31</v>
      </c>
      <c r="BH103" s="8">
        <v>101.4</v>
      </c>
      <c r="BI103" s="8">
        <v>100.82</v>
      </c>
      <c r="BJ103" s="8">
        <v>97.59</v>
      </c>
      <c r="BK103" s="8">
        <v>101.5</v>
      </c>
      <c r="BL103" s="8">
        <v>96.77</v>
      </c>
      <c r="BM103" s="8">
        <v>97.69</v>
      </c>
      <c r="BN103" s="8">
        <v>88.39</v>
      </c>
      <c r="BO103" s="8">
        <v>88.11</v>
      </c>
      <c r="BP103" s="8">
        <v>96.81</v>
      </c>
      <c r="BQ103" s="8">
        <v>97.32</v>
      </c>
      <c r="BR103" s="8">
        <v>98.45</v>
      </c>
      <c r="BS103" s="8">
        <v>98.45</v>
      </c>
      <c r="BT103" s="8">
        <v>97.58</v>
      </c>
      <c r="BU103" s="8">
        <v>97.58</v>
      </c>
      <c r="BV103" s="8">
        <v>95.96</v>
      </c>
      <c r="BW103" s="8">
        <v>99.85</v>
      </c>
      <c r="BX103" s="8">
        <v>92.33</v>
      </c>
      <c r="BY103" s="8">
        <v>95.56</v>
      </c>
      <c r="BZ103" s="8">
        <v>96.1</v>
      </c>
      <c r="CA103" s="8">
        <v>95.04</v>
      </c>
      <c r="CB103" s="8">
        <v>97.31</v>
      </c>
      <c r="CC103" s="8">
        <v>98.86</v>
      </c>
      <c r="CD103" s="8">
        <v>97.87</v>
      </c>
      <c r="CE103" s="8">
        <v>97.79</v>
      </c>
      <c r="CF103" s="8">
        <v>98.32</v>
      </c>
      <c r="CG103" s="8">
        <v>99.27</v>
      </c>
      <c r="CH103" s="8">
        <v>99.27</v>
      </c>
      <c r="CI103" s="8">
        <v>101.93</v>
      </c>
      <c r="CJ103" s="8">
        <v>103.9</v>
      </c>
      <c r="CK103" s="8">
        <v>100.87</v>
      </c>
      <c r="CL103" s="8">
        <v>100.95</v>
      </c>
      <c r="CM103" s="8">
        <v>101.48</v>
      </c>
      <c r="CN103" s="8">
        <v>100.07</v>
      </c>
      <c r="CO103" s="8">
        <v>98.9</v>
      </c>
      <c r="CP103" s="8">
        <v>99.25</v>
      </c>
      <c r="CQ103" s="8">
        <v>100.8</v>
      </c>
      <c r="CR103" s="8">
        <v>97.13</v>
      </c>
      <c r="CS103" s="8">
        <v>93.08</v>
      </c>
      <c r="CT103" s="8">
        <v>98.04</v>
      </c>
      <c r="CU103" s="8">
        <v>100.79</v>
      </c>
      <c r="CV103" s="8">
        <v>100.44</v>
      </c>
      <c r="CW103" s="8">
        <v>102.63</v>
      </c>
      <c r="CX103" s="8">
        <v>103.01</v>
      </c>
      <c r="CY103" s="8">
        <v>99.33</v>
      </c>
      <c r="CZ103" s="8">
        <v>100.01</v>
      </c>
      <c r="DA103" s="8">
        <v>100.24</v>
      </c>
      <c r="DB103" s="8">
        <v>98.17</v>
      </c>
      <c r="DC103" s="8">
        <v>97.38</v>
      </c>
      <c r="DD103" s="8">
        <v>97.37</v>
      </c>
      <c r="DE103" s="8">
        <v>100.98</v>
      </c>
      <c r="DF103" s="8">
        <v>101.42</v>
      </c>
      <c r="DG103" s="8">
        <v>96.75</v>
      </c>
      <c r="DH103" s="8">
        <v>98.51</v>
      </c>
      <c r="DI103" s="8">
        <v>88.07</v>
      </c>
      <c r="DJ103" s="8">
        <v>97.91</v>
      </c>
      <c r="DK103" s="8">
        <v>97.91</v>
      </c>
      <c r="DL103" s="8">
        <v>98.85</v>
      </c>
      <c r="DM103" s="8">
        <v>98.85</v>
      </c>
      <c r="DN103" s="8">
        <v>97.98</v>
      </c>
      <c r="DO103" s="8">
        <v>98.89</v>
      </c>
      <c r="DP103" s="8">
        <v>94.71</v>
      </c>
      <c r="DQ103" s="8">
        <v>97</v>
      </c>
      <c r="DR103" s="8">
        <v>100.26</v>
      </c>
      <c r="DS103" s="8">
        <v>93.54</v>
      </c>
      <c r="DT103" s="8">
        <v>98.78</v>
      </c>
      <c r="DU103" s="8">
        <v>101.88</v>
      </c>
      <c r="DV103" s="8">
        <v>97.53</v>
      </c>
      <c r="DW103" s="8">
        <v>89.78</v>
      </c>
      <c r="DX103" s="8">
        <v>89.79</v>
      </c>
      <c r="DY103" s="8">
        <v>89.78</v>
      </c>
      <c r="DZ103" s="8">
        <v>99.66</v>
      </c>
      <c r="EA103" s="8">
        <v>100.48</v>
      </c>
      <c r="EB103" s="8">
        <v>101.27</v>
      </c>
      <c r="EC103" s="8">
        <v>100.18</v>
      </c>
      <c r="ED103" s="8">
        <v>98.98</v>
      </c>
      <c r="EE103" s="8">
        <v>99.01</v>
      </c>
      <c r="EF103" s="8">
        <v>99.03</v>
      </c>
      <c r="EG103" s="8">
        <v>99.86</v>
      </c>
      <c r="EH103" s="8">
        <v>99.86</v>
      </c>
      <c r="EI103" s="8">
        <v>99.44</v>
      </c>
      <c r="EJ103" s="8">
        <v>100</v>
      </c>
      <c r="EK103" s="8">
        <v>100</v>
      </c>
      <c r="EL103" s="8">
        <v>99.26</v>
      </c>
      <c r="EM103" s="8">
        <v>98.9</v>
      </c>
      <c r="EN103" s="8">
        <v>98.9</v>
      </c>
      <c r="EO103" s="8">
        <v>99.41</v>
      </c>
      <c r="EP103" s="8">
        <v>99.08</v>
      </c>
      <c r="EQ103" s="8">
        <v>99.47</v>
      </c>
      <c r="ER103" s="8">
        <v>98.31</v>
      </c>
      <c r="ES103" s="8">
        <v>99.44</v>
      </c>
      <c r="ET103" s="8">
        <v>99.43</v>
      </c>
      <c r="EU103" s="8">
        <v>100.25</v>
      </c>
      <c r="EV103" s="8">
        <v>98.54</v>
      </c>
      <c r="EW103" s="8">
        <v>99.37</v>
      </c>
      <c r="EX103" s="8">
        <v>99.79</v>
      </c>
      <c r="EY103" s="8">
        <v>98.52</v>
      </c>
      <c r="EZ103" s="8">
        <v>95.89</v>
      </c>
      <c r="FA103" s="8">
        <v>100.55</v>
      </c>
      <c r="FB103" s="8">
        <v>90.95</v>
      </c>
      <c r="FC103" s="8">
        <v>100.22</v>
      </c>
      <c r="FD103" s="8">
        <v>101.16</v>
      </c>
      <c r="FE103" s="8">
        <v>100.04</v>
      </c>
      <c r="FF103" s="8">
        <v>98.08</v>
      </c>
      <c r="FG103" s="8">
        <v>96.66</v>
      </c>
      <c r="FH103" s="8">
        <v>100.87</v>
      </c>
      <c r="FI103" s="8">
        <v>96.99</v>
      </c>
      <c r="FJ103" s="8">
        <v>103.72</v>
      </c>
      <c r="FK103" s="8">
        <v>105.54</v>
      </c>
      <c r="FL103" s="8">
        <v>102.3</v>
      </c>
      <c r="FM103" s="8">
        <v>98.6</v>
      </c>
      <c r="FN103" s="8">
        <v>102.24</v>
      </c>
      <c r="FO103" s="8">
        <v>97.01</v>
      </c>
      <c r="FP103" s="8">
        <v>98.94</v>
      </c>
      <c r="FQ103" s="8">
        <v>100.34</v>
      </c>
      <c r="FR103" s="8">
        <v>97.52</v>
      </c>
      <c r="FS103" s="8">
        <v>98.98</v>
      </c>
      <c r="FT103" s="8">
        <v>100.95</v>
      </c>
      <c r="FU103" s="8">
        <v>92.64</v>
      </c>
      <c r="FV103" s="8">
        <v>103.66</v>
      </c>
      <c r="FW103" s="8">
        <v>98.73</v>
      </c>
      <c r="FX103" s="8">
        <v>99</v>
      </c>
      <c r="FY103" s="8">
        <v>98.44</v>
      </c>
      <c r="FZ103" s="8">
        <v>96.68</v>
      </c>
      <c r="GA103" s="8">
        <v>98.66</v>
      </c>
      <c r="GB103" s="8">
        <v>98.02</v>
      </c>
      <c r="GC103" s="8">
        <v>98.53</v>
      </c>
      <c r="GD103" s="8">
        <v>99.08</v>
      </c>
      <c r="GE103" s="8">
        <v>92.9</v>
      </c>
      <c r="GF103" s="8">
        <v>92.9</v>
      </c>
      <c r="GG103" s="8">
        <v>99.8</v>
      </c>
      <c r="GH103" s="8">
        <v>101.68</v>
      </c>
      <c r="GI103" s="8">
        <v>102.88</v>
      </c>
      <c r="GJ103" s="8">
        <v>101.11</v>
      </c>
      <c r="GK103" s="8">
        <v>101.81</v>
      </c>
      <c r="GL103" s="8">
        <v>99.03</v>
      </c>
      <c r="GM103" s="8">
        <v>103.22</v>
      </c>
      <c r="GN103" s="8">
        <v>95.66</v>
      </c>
      <c r="GO103" s="8">
        <v>102.49</v>
      </c>
      <c r="GP103" s="8">
        <v>94.12</v>
      </c>
      <c r="GQ103" s="8">
        <v>93.44</v>
      </c>
      <c r="GR103" s="8">
        <v>99.28</v>
      </c>
      <c r="GS103" s="8">
        <v>97.38</v>
      </c>
      <c r="GT103" s="8">
        <v>98.63</v>
      </c>
      <c r="GU103" s="8">
        <v>98.63</v>
      </c>
      <c r="GV103" s="8">
        <v>96.59</v>
      </c>
      <c r="GW103" s="8">
        <v>96.59</v>
      </c>
      <c r="GX103" s="8">
        <v>97.38</v>
      </c>
      <c r="GY103" s="8">
        <v>98.91</v>
      </c>
      <c r="GZ103" s="8">
        <v>95.59</v>
      </c>
      <c r="HA103" s="8">
        <v>97.21</v>
      </c>
      <c r="HB103" s="8">
        <v>95.46</v>
      </c>
      <c r="HC103" s="8">
        <v>98.39</v>
      </c>
      <c r="HD103" s="8">
        <v>94.19</v>
      </c>
      <c r="HE103" s="8">
        <v>98.27</v>
      </c>
      <c r="HF103" s="8">
        <v>95.34</v>
      </c>
      <c r="HG103" s="8">
        <v>94.91</v>
      </c>
      <c r="HH103" s="8">
        <v>97.41</v>
      </c>
      <c r="HI103" s="8">
        <v>100.85</v>
      </c>
      <c r="HJ103" s="8">
        <v>100.85</v>
      </c>
      <c r="HK103" s="8">
        <v>100.22</v>
      </c>
      <c r="HL103" s="8">
        <v>104.1</v>
      </c>
      <c r="HM103" s="8">
        <v>99.6</v>
      </c>
      <c r="HN103" s="8">
        <v>97.84</v>
      </c>
      <c r="HO103" s="8">
        <v>101.16</v>
      </c>
      <c r="HP103" s="8">
        <v>100.24</v>
      </c>
      <c r="HQ103" s="8">
        <v>98.72</v>
      </c>
      <c r="HR103" s="8">
        <v>99.49</v>
      </c>
      <c r="HS103" s="8">
        <v>100.96</v>
      </c>
      <c r="HT103" s="8">
        <v>96.44</v>
      </c>
      <c r="HU103" s="8">
        <v>90.63</v>
      </c>
      <c r="HV103" s="8">
        <v>98.59</v>
      </c>
      <c r="HW103" s="8">
        <v>97.69</v>
      </c>
      <c r="HX103" s="8">
        <v>99.85</v>
      </c>
      <c r="HY103" s="8">
        <v>101.68</v>
      </c>
      <c r="HZ103" s="8">
        <v>102.29</v>
      </c>
      <c r="IA103" s="8">
        <v>98.25</v>
      </c>
      <c r="IB103" s="8">
        <v>99.48</v>
      </c>
      <c r="IC103" s="8">
        <v>99.49</v>
      </c>
      <c r="ID103" s="8">
        <v>99.4</v>
      </c>
      <c r="IE103" s="8">
        <v>98.92</v>
      </c>
      <c r="IF103" s="8">
        <v>98.92</v>
      </c>
      <c r="IG103" s="8">
        <v>100.32</v>
      </c>
      <c r="IH103" s="8">
        <v>103.14</v>
      </c>
      <c r="II103" s="8">
        <v>97.97</v>
      </c>
      <c r="IJ103" s="8">
        <v>97.72</v>
      </c>
      <c r="IK103" s="8">
        <v>96.23</v>
      </c>
      <c r="IL103" s="8">
        <v>98.56</v>
      </c>
      <c r="IM103" s="8">
        <v>98.56</v>
      </c>
      <c r="IN103" s="8">
        <v>98.85</v>
      </c>
      <c r="IO103" s="8">
        <v>98.85</v>
      </c>
      <c r="IP103" s="8">
        <v>97.98</v>
      </c>
      <c r="IQ103" s="8">
        <v>98.89</v>
      </c>
    </row>
    <row r="104" spans="1:251" x14ac:dyDescent="0.2">
      <c r="A104" s="9">
        <v>45809</v>
      </c>
      <c r="B104" s="8">
        <v>98.98</v>
      </c>
      <c r="C104" s="8">
        <v>98.44</v>
      </c>
      <c r="D104" s="8">
        <v>105.87</v>
      </c>
      <c r="E104" s="8">
        <v>99.91</v>
      </c>
      <c r="F104" s="8">
        <v>99.91</v>
      </c>
      <c r="G104" s="8">
        <v>99.39</v>
      </c>
      <c r="H104" s="8">
        <v>100</v>
      </c>
      <c r="I104" s="8">
        <v>100</v>
      </c>
      <c r="J104" s="8">
        <v>99.49</v>
      </c>
      <c r="K104" s="8">
        <v>100.32</v>
      </c>
      <c r="L104" s="8">
        <v>100.32</v>
      </c>
      <c r="M104" s="8">
        <v>99.27</v>
      </c>
      <c r="N104" s="8">
        <v>100.3</v>
      </c>
      <c r="O104" s="8">
        <v>99.19</v>
      </c>
      <c r="P104" s="8">
        <v>97.96</v>
      </c>
      <c r="Q104" s="8">
        <v>100.11</v>
      </c>
      <c r="R104" s="8">
        <v>99.71</v>
      </c>
      <c r="S104" s="8">
        <v>100.17</v>
      </c>
      <c r="T104" s="8">
        <v>99.52</v>
      </c>
      <c r="U104" s="8">
        <v>99.32</v>
      </c>
      <c r="V104" s="8">
        <v>98.84</v>
      </c>
      <c r="W104" s="8">
        <v>98.47</v>
      </c>
      <c r="X104" s="8">
        <v>97.2</v>
      </c>
      <c r="Y104" s="8">
        <v>99.43</v>
      </c>
      <c r="Z104" s="8">
        <v>90.01</v>
      </c>
      <c r="AA104" s="8">
        <v>99.66</v>
      </c>
      <c r="AB104" s="8">
        <v>101.43</v>
      </c>
      <c r="AC104" s="8">
        <v>99.78</v>
      </c>
      <c r="AD104" s="8">
        <v>98.56</v>
      </c>
      <c r="AE104" s="8">
        <v>98.73</v>
      </c>
      <c r="AF104" s="8">
        <v>100.33</v>
      </c>
      <c r="AG104" s="8">
        <v>96.53</v>
      </c>
      <c r="AH104" s="8">
        <v>106.76</v>
      </c>
      <c r="AI104" s="8">
        <v>103.65</v>
      </c>
      <c r="AJ104" s="8">
        <v>109.31</v>
      </c>
      <c r="AK104" s="8">
        <v>98.8</v>
      </c>
      <c r="AL104" s="8">
        <v>101.62</v>
      </c>
      <c r="AM104" s="8">
        <v>97.65</v>
      </c>
      <c r="AN104" s="8">
        <v>99.2</v>
      </c>
      <c r="AO104" s="8">
        <v>99.54</v>
      </c>
      <c r="AP104" s="8">
        <v>97.99</v>
      </c>
      <c r="AQ104" s="8">
        <v>99.09</v>
      </c>
      <c r="AR104" s="8">
        <v>101.67</v>
      </c>
      <c r="AS104" s="8">
        <v>95.66</v>
      </c>
      <c r="AT104" s="8">
        <v>103.15</v>
      </c>
      <c r="AU104" s="8">
        <v>99.09</v>
      </c>
      <c r="AV104" s="8">
        <v>99.38</v>
      </c>
      <c r="AW104" s="8">
        <v>98.83</v>
      </c>
      <c r="AX104" s="8">
        <v>97.51</v>
      </c>
      <c r="AY104" s="8">
        <v>99.25</v>
      </c>
      <c r="AZ104" s="8">
        <v>101.05</v>
      </c>
      <c r="BA104" s="8">
        <v>99.96</v>
      </c>
      <c r="BB104" s="8">
        <v>97.97</v>
      </c>
      <c r="BC104" s="8">
        <v>93.77</v>
      </c>
      <c r="BD104" s="8">
        <v>93.77</v>
      </c>
      <c r="BE104" s="8">
        <v>96.99</v>
      </c>
      <c r="BF104" s="8">
        <v>99.72</v>
      </c>
      <c r="BG104" s="8">
        <v>99.97</v>
      </c>
      <c r="BH104" s="8">
        <v>100.66</v>
      </c>
      <c r="BI104" s="8">
        <v>96.11</v>
      </c>
      <c r="BJ104" s="8">
        <v>100.67</v>
      </c>
      <c r="BK104" s="8">
        <v>101.42</v>
      </c>
      <c r="BL104" s="8">
        <v>101</v>
      </c>
      <c r="BM104" s="8">
        <v>97.74</v>
      </c>
      <c r="BN104" s="8">
        <v>90.11</v>
      </c>
      <c r="BO104" s="8">
        <v>89.84</v>
      </c>
      <c r="BP104" s="8">
        <v>98.12</v>
      </c>
      <c r="BQ104" s="8">
        <v>97.38</v>
      </c>
      <c r="BR104" s="8">
        <v>98.83</v>
      </c>
      <c r="BS104" s="8">
        <v>98.83</v>
      </c>
      <c r="BT104" s="8">
        <v>97.68</v>
      </c>
      <c r="BU104" s="8">
        <v>97.68</v>
      </c>
      <c r="BV104" s="8">
        <v>95.83</v>
      </c>
      <c r="BW104" s="8">
        <v>99.58</v>
      </c>
      <c r="BX104" s="8">
        <v>92.33</v>
      </c>
      <c r="BY104" s="8">
        <v>94.99</v>
      </c>
      <c r="BZ104" s="8">
        <v>96.1</v>
      </c>
      <c r="CA104" s="8">
        <v>94.08</v>
      </c>
      <c r="CB104" s="8">
        <v>96.99</v>
      </c>
      <c r="CC104" s="8">
        <v>97.11</v>
      </c>
      <c r="CD104" s="8">
        <v>94.67</v>
      </c>
      <c r="CE104" s="8">
        <v>94.13</v>
      </c>
      <c r="CF104" s="8">
        <v>97.54</v>
      </c>
      <c r="CG104" s="8">
        <v>90.18</v>
      </c>
      <c r="CH104" s="8">
        <v>90.18</v>
      </c>
      <c r="CI104" s="8">
        <v>96.45</v>
      </c>
      <c r="CJ104" s="8">
        <v>99.32</v>
      </c>
      <c r="CK104" s="8">
        <v>95.8</v>
      </c>
      <c r="CL104" s="8">
        <v>89.19</v>
      </c>
      <c r="CM104" s="8">
        <v>100.84</v>
      </c>
      <c r="CN104" s="8">
        <v>99.88</v>
      </c>
      <c r="CO104" s="8">
        <v>99.3</v>
      </c>
      <c r="CP104" s="8">
        <v>98.83</v>
      </c>
      <c r="CQ104" s="8">
        <v>100.63</v>
      </c>
      <c r="CR104" s="8">
        <v>97.64</v>
      </c>
      <c r="CS104" s="8">
        <v>94.64</v>
      </c>
      <c r="CT104" s="8">
        <v>98.07</v>
      </c>
      <c r="CU104" s="8">
        <v>100.79</v>
      </c>
      <c r="CV104" s="8">
        <v>100.21</v>
      </c>
      <c r="CW104" s="8">
        <v>101.83</v>
      </c>
      <c r="CX104" s="8">
        <v>102.09</v>
      </c>
      <c r="CY104" s="8">
        <v>99.58</v>
      </c>
      <c r="CZ104" s="8">
        <v>99.9</v>
      </c>
      <c r="DA104" s="8">
        <v>100.12</v>
      </c>
      <c r="DB104" s="8">
        <v>98.17</v>
      </c>
      <c r="DC104" s="8">
        <v>96.44</v>
      </c>
      <c r="DD104" s="8">
        <v>96.39</v>
      </c>
      <c r="DE104" s="8">
        <v>99.82</v>
      </c>
      <c r="DF104" s="8">
        <v>100.33</v>
      </c>
      <c r="DG104" s="8">
        <v>95.01</v>
      </c>
      <c r="DH104" s="8">
        <v>98.5</v>
      </c>
      <c r="DI104" s="8">
        <v>88.07</v>
      </c>
      <c r="DJ104" s="8">
        <v>98.74</v>
      </c>
      <c r="DK104" s="8">
        <v>98.74</v>
      </c>
      <c r="DL104" s="8">
        <v>98.01</v>
      </c>
      <c r="DM104" s="8">
        <v>98.01</v>
      </c>
      <c r="DN104" s="8">
        <v>98.29</v>
      </c>
      <c r="DO104" s="8">
        <v>97.99</v>
      </c>
      <c r="DP104" s="8">
        <v>95.87</v>
      </c>
      <c r="DQ104" s="8">
        <v>96.23</v>
      </c>
      <c r="DR104" s="8">
        <v>98.14</v>
      </c>
      <c r="DS104" s="8">
        <v>94.2</v>
      </c>
      <c r="DT104" s="8">
        <v>97.85</v>
      </c>
      <c r="DU104" s="8">
        <v>99.54</v>
      </c>
      <c r="DV104" s="8">
        <v>97.17</v>
      </c>
      <c r="DW104" s="8">
        <v>92.89</v>
      </c>
      <c r="DX104" s="8">
        <v>90.28</v>
      </c>
      <c r="DY104" s="8">
        <v>95.41</v>
      </c>
      <c r="DZ104" s="8">
        <v>99.34</v>
      </c>
      <c r="EA104" s="8">
        <v>99.44</v>
      </c>
      <c r="EB104" s="8">
        <v>98.95</v>
      </c>
      <c r="EC104" s="8">
        <v>100.99</v>
      </c>
      <c r="ED104" s="8">
        <v>98.98</v>
      </c>
      <c r="EE104" s="8">
        <v>98.76</v>
      </c>
      <c r="EF104" s="8">
        <v>99.26</v>
      </c>
      <c r="EG104" s="8">
        <v>99.89</v>
      </c>
      <c r="EH104" s="8">
        <v>99.89</v>
      </c>
      <c r="EI104" s="8">
        <v>99.58</v>
      </c>
      <c r="EJ104" s="8">
        <v>100</v>
      </c>
      <c r="EK104" s="8">
        <v>100</v>
      </c>
      <c r="EL104" s="8">
        <v>100.31</v>
      </c>
      <c r="EM104" s="8">
        <v>99.11</v>
      </c>
      <c r="EN104" s="8">
        <v>99.11</v>
      </c>
      <c r="EO104" s="8">
        <v>100.82</v>
      </c>
      <c r="EP104" s="8">
        <v>100.3</v>
      </c>
      <c r="EQ104" s="8">
        <v>100.92</v>
      </c>
      <c r="ER104" s="8">
        <v>98.3</v>
      </c>
      <c r="ES104" s="8">
        <v>99.75</v>
      </c>
      <c r="ET104" s="8">
        <v>99.52</v>
      </c>
      <c r="EU104" s="8">
        <v>99.89</v>
      </c>
      <c r="EV104" s="8">
        <v>99.37</v>
      </c>
      <c r="EW104" s="8">
        <v>98.83</v>
      </c>
      <c r="EX104" s="8">
        <v>99.03</v>
      </c>
      <c r="EY104" s="8">
        <v>98.52</v>
      </c>
      <c r="EZ104" s="8">
        <v>97.71</v>
      </c>
      <c r="FA104" s="8">
        <v>99.49</v>
      </c>
      <c r="FB104" s="8">
        <v>90.59</v>
      </c>
      <c r="FC104" s="8">
        <v>99.62</v>
      </c>
      <c r="FD104" s="8">
        <v>101.16</v>
      </c>
      <c r="FE104" s="8">
        <v>99.5</v>
      </c>
      <c r="FF104" s="8">
        <v>98.16</v>
      </c>
      <c r="FG104" s="8">
        <v>97.33</v>
      </c>
      <c r="FH104" s="8">
        <v>100.28</v>
      </c>
      <c r="FI104" s="8">
        <v>96.97</v>
      </c>
      <c r="FJ104" s="8">
        <v>105.86</v>
      </c>
      <c r="FK104" s="8">
        <v>106.32</v>
      </c>
      <c r="FL104" s="8">
        <v>105.51</v>
      </c>
      <c r="FM104" s="8">
        <v>98.64</v>
      </c>
      <c r="FN104" s="8">
        <v>102</v>
      </c>
      <c r="FO104" s="8">
        <v>97.79</v>
      </c>
      <c r="FP104" s="8">
        <v>98.73</v>
      </c>
      <c r="FQ104" s="8">
        <v>99.57</v>
      </c>
      <c r="FR104" s="8">
        <v>97.99</v>
      </c>
      <c r="FS104" s="8">
        <v>98.72</v>
      </c>
      <c r="FT104" s="8">
        <v>101.28</v>
      </c>
      <c r="FU104" s="8">
        <v>95.31</v>
      </c>
      <c r="FV104" s="8">
        <v>103.24</v>
      </c>
      <c r="FW104" s="8">
        <v>98.78</v>
      </c>
      <c r="FX104" s="8">
        <v>99</v>
      </c>
      <c r="FY104" s="8">
        <v>98.53</v>
      </c>
      <c r="FZ104" s="8">
        <v>97.13</v>
      </c>
      <c r="GA104" s="8">
        <v>99.49</v>
      </c>
      <c r="GB104" s="8">
        <v>98.88</v>
      </c>
      <c r="GC104" s="8">
        <v>100.47</v>
      </c>
      <c r="GD104" s="8">
        <v>98.87</v>
      </c>
      <c r="GE104" s="8">
        <v>92.62</v>
      </c>
      <c r="GF104" s="8">
        <v>92.62</v>
      </c>
      <c r="GG104" s="8">
        <v>98.27</v>
      </c>
      <c r="GH104" s="8">
        <v>99.82</v>
      </c>
      <c r="GI104" s="8">
        <v>98.82</v>
      </c>
      <c r="GJ104" s="8">
        <v>100.51</v>
      </c>
      <c r="GK104" s="8">
        <v>98.99</v>
      </c>
      <c r="GL104" s="8">
        <v>99.13</v>
      </c>
      <c r="GM104" s="8">
        <v>104.4</v>
      </c>
      <c r="GN104" s="8">
        <v>96.18</v>
      </c>
      <c r="GO104" s="8">
        <v>100.45</v>
      </c>
      <c r="GP104" s="8">
        <v>92.43</v>
      </c>
      <c r="GQ104" s="8">
        <v>91.53</v>
      </c>
      <c r="GR104" s="8">
        <v>99.28</v>
      </c>
      <c r="GS104" s="8">
        <v>97.67</v>
      </c>
      <c r="GT104" s="8">
        <v>99</v>
      </c>
      <c r="GU104" s="8">
        <v>99</v>
      </c>
      <c r="GV104" s="8">
        <v>96.54</v>
      </c>
      <c r="GW104" s="8">
        <v>96.54</v>
      </c>
      <c r="GX104" s="8">
        <v>97.44</v>
      </c>
      <c r="GY104" s="8">
        <v>99.02</v>
      </c>
      <c r="GZ104" s="8">
        <v>95.59</v>
      </c>
      <c r="HA104" s="8">
        <v>98.06</v>
      </c>
      <c r="HB104" s="8">
        <v>95.46</v>
      </c>
      <c r="HC104" s="8">
        <v>99.65</v>
      </c>
      <c r="HD104" s="8">
        <v>94.19</v>
      </c>
      <c r="HE104" s="8">
        <v>96.59</v>
      </c>
      <c r="HF104" s="8">
        <v>91.17</v>
      </c>
      <c r="HG104" s="8">
        <v>89.97</v>
      </c>
      <c r="HH104" s="8">
        <v>96.97</v>
      </c>
      <c r="HI104" s="8">
        <v>92.11</v>
      </c>
      <c r="HJ104" s="8">
        <v>92.11</v>
      </c>
      <c r="HK104" s="8">
        <v>97.37</v>
      </c>
      <c r="HL104" s="8">
        <v>104.12</v>
      </c>
      <c r="HM104" s="8">
        <v>97</v>
      </c>
      <c r="HN104" s="8">
        <v>91.84</v>
      </c>
      <c r="HO104" s="8">
        <v>100.71</v>
      </c>
      <c r="HP104" s="8">
        <v>99.94</v>
      </c>
      <c r="HQ104" s="8">
        <v>98.97</v>
      </c>
      <c r="HR104" s="8">
        <v>98.72</v>
      </c>
      <c r="HS104" s="8">
        <v>100.88</v>
      </c>
      <c r="HT104" s="8">
        <v>97.67</v>
      </c>
      <c r="HU104" s="8">
        <v>94.79</v>
      </c>
      <c r="HV104" s="8">
        <v>99.16</v>
      </c>
      <c r="HW104" s="8">
        <v>97.69</v>
      </c>
      <c r="HX104" s="8">
        <v>99.76</v>
      </c>
      <c r="HY104" s="8">
        <v>100.8</v>
      </c>
      <c r="HZ104" s="8">
        <v>101.22</v>
      </c>
      <c r="IA104" s="8">
        <v>98.46</v>
      </c>
      <c r="IB104" s="8">
        <v>99.55</v>
      </c>
      <c r="IC104" s="8">
        <v>99.56</v>
      </c>
      <c r="ID104" s="8">
        <v>99.4</v>
      </c>
      <c r="IE104" s="8">
        <v>98.48</v>
      </c>
      <c r="IF104" s="8">
        <v>98.48</v>
      </c>
      <c r="IG104" s="8">
        <v>99.19</v>
      </c>
      <c r="IH104" s="8">
        <v>100.92</v>
      </c>
      <c r="II104" s="8">
        <v>97.96</v>
      </c>
      <c r="IJ104" s="8">
        <v>97.73</v>
      </c>
      <c r="IK104" s="8">
        <v>97.2</v>
      </c>
      <c r="IL104" s="8">
        <v>98.66</v>
      </c>
      <c r="IM104" s="8">
        <v>98.66</v>
      </c>
      <c r="IN104" s="8">
        <v>98.01</v>
      </c>
      <c r="IO104" s="8">
        <v>98.01</v>
      </c>
      <c r="IP104" s="8">
        <v>98.29</v>
      </c>
      <c r="IQ104" s="8">
        <v>98</v>
      </c>
    </row>
    <row r="105" spans="1:251" x14ac:dyDescent="0.2">
      <c r="A105" s="9">
        <v>45839</v>
      </c>
      <c r="B105" s="8">
        <v>99.82</v>
      </c>
      <c r="C105" s="8">
        <v>99.56</v>
      </c>
      <c r="D105" s="8">
        <v>107.13</v>
      </c>
      <c r="E105" s="8">
        <v>99.93</v>
      </c>
      <c r="F105" s="8">
        <v>99.93</v>
      </c>
      <c r="G105" s="8">
        <v>99.5</v>
      </c>
      <c r="H105" s="8">
        <v>100</v>
      </c>
      <c r="I105" s="8">
        <v>100</v>
      </c>
      <c r="J105" s="8">
        <v>99.69</v>
      </c>
      <c r="K105" s="8">
        <v>101.16</v>
      </c>
      <c r="L105" s="8">
        <v>101.16</v>
      </c>
      <c r="M105" s="8">
        <v>99.3</v>
      </c>
      <c r="N105" s="8">
        <v>100.79</v>
      </c>
      <c r="O105" s="8">
        <v>99.19</v>
      </c>
      <c r="P105" s="8">
        <v>99.21</v>
      </c>
      <c r="Q105" s="8">
        <v>100.43</v>
      </c>
      <c r="R105" s="8">
        <v>100.39</v>
      </c>
      <c r="S105" s="8">
        <v>100.23</v>
      </c>
      <c r="T105" s="8">
        <v>101.03</v>
      </c>
      <c r="U105" s="8">
        <v>99.27</v>
      </c>
      <c r="V105" s="8">
        <v>98.86</v>
      </c>
      <c r="W105" s="8">
        <v>98.56</v>
      </c>
      <c r="X105" s="8">
        <v>96.97</v>
      </c>
      <c r="Y105" s="8">
        <v>99.86</v>
      </c>
      <c r="Z105" s="8">
        <v>90.72</v>
      </c>
      <c r="AA105" s="8">
        <v>100.38</v>
      </c>
      <c r="AB105" s="8">
        <v>100.81</v>
      </c>
      <c r="AC105" s="8">
        <v>99.63</v>
      </c>
      <c r="AD105" s="8">
        <v>98.5</v>
      </c>
      <c r="AE105" s="8">
        <v>98.31</v>
      </c>
      <c r="AF105" s="8">
        <v>99.89</v>
      </c>
      <c r="AG105" s="8">
        <v>97.4</v>
      </c>
      <c r="AH105" s="8">
        <v>107.22</v>
      </c>
      <c r="AI105" s="8">
        <v>105.41</v>
      </c>
      <c r="AJ105" s="8">
        <v>108.69</v>
      </c>
      <c r="AK105" s="8">
        <v>99.1</v>
      </c>
      <c r="AL105" s="8">
        <v>101.45</v>
      </c>
      <c r="AM105" s="8">
        <v>97.63</v>
      </c>
      <c r="AN105" s="8">
        <v>99.38</v>
      </c>
      <c r="AO105" s="8">
        <v>100.02</v>
      </c>
      <c r="AP105" s="8">
        <v>98.27</v>
      </c>
      <c r="AQ105" s="8">
        <v>99.57</v>
      </c>
      <c r="AR105" s="8">
        <v>101.64</v>
      </c>
      <c r="AS105" s="8">
        <v>97.74</v>
      </c>
      <c r="AT105" s="8">
        <v>102.6</v>
      </c>
      <c r="AU105" s="8">
        <v>99.52</v>
      </c>
      <c r="AV105" s="8">
        <v>99.38</v>
      </c>
      <c r="AW105" s="8">
        <v>99.65</v>
      </c>
      <c r="AX105" s="8">
        <v>98.2</v>
      </c>
      <c r="AY105" s="8">
        <v>99.71</v>
      </c>
      <c r="AZ105" s="8">
        <v>100</v>
      </c>
      <c r="BA105" s="8">
        <v>101</v>
      </c>
      <c r="BB105" s="8">
        <v>98.75</v>
      </c>
      <c r="BC105" s="8">
        <v>94.98</v>
      </c>
      <c r="BD105" s="8">
        <v>94.98</v>
      </c>
      <c r="BE105" s="8">
        <v>99.57</v>
      </c>
      <c r="BF105" s="8">
        <v>102.5</v>
      </c>
      <c r="BG105" s="8">
        <v>100.49</v>
      </c>
      <c r="BH105" s="8">
        <v>104.11</v>
      </c>
      <c r="BI105" s="8">
        <v>99.47</v>
      </c>
      <c r="BJ105" s="8">
        <v>98.71</v>
      </c>
      <c r="BK105" s="8">
        <v>103.25</v>
      </c>
      <c r="BL105" s="8">
        <v>98.32</v>
      </c>
      <c r="BM105" s="8">
        <v>95.44</v>
      </c>
      <c r="BN105" s="8">
        <v>94.39</v>
      </c>
      <c r="BO105" s="8">
        <v>94.22</v>
      </c>
      <c r="BP105" s="8">
        <v>99.64</v>
      </c>
      <c r="BQ105" s="8">
        <v>98.52</v>
      </c>
      <c r="BR105" s="8">
        <v>99.26</v>
      </c>
      <c r="BS105" s="8">
        <v>99.26</v>
      </c>
      <c r="BT105" s="8">
        <v>98.34</v>
      </c>
      <c r="BU105" s="8">
        <v>98.34</v>
      </c>
      <c r="BV105" s="8">
        <v>95.99</v>
      </c>
      <c r="BW105" s="8">
        <v>99.92</v>
      </c>
      <c r="BX105" s="8">
        <v>92.33</v>
      </c>
      <c r="BY105" s="8">
        <v>99.85</v>
      </c>
      <c r="BZ105" s="8">
        <v>100</v>
      </c>
      <c r="CA105" s="8">
        <v>99.84</v>
      </c>
      <c r="CB105" s="8">
        <v>99.2</v>
      </c>
      <c r="CC105" s="8">
        <v>99.78</v>
      </c>
      <c r="CD105" s="8">
        <v>101.51</v>
      </c>
      <c r="CE105" s="8">
        <v>101.92</v>
      </c>
      <c r="CF105" s="8">
        <v>99.32</v>
      </c>
      <c r="CG105" s="8">
        <v>101.3</v>
      </c>
      <c r="CH105" s="8">
        <v>101.3</v>
      </c>
      <c r="CI105" s="8">
        <v>99.19</v>
      </c>
      <c r="CJ105" s="8">
        <v>105.16</v>
      </c>
      <c r="CK105" s="8">
        <v>96.38</v>
      </c>
      <c r="CL105" s="8">
        <v>93.94</v>
      </c>
      <c r="CM105" s="8">
        <v>99.83</v>
      </c>
      <c r="CN105" s="8">
        <v>100.46</v>
      </c>
      <c r="CO105" s="8">
        <v>100.83</v>
      </c>
      <c r="CP105" s="8">
        <v>99.95</v>
      </c>
      <c r="CQ105" s="8">
        <v>100.71</v>
      </c>
      <c r="CR105" s="8">
        <v>98.41</v>
      </c>
      <c r="CS105" s="8">
        <v>94.86</v>
      </c>
      <c r="CT105" s="8">
        <v>99.29</v>
      </c>
      <c r="CU105" s="8">
        <v>101.48</v>
      </c>
      <c r="CV105" s="8">
        <v>100.49</v>
      </c>
      <c r="CW105" s="8">
        <v>101.52</v>
      </c>
      <c r="CX105" s="8">
        <v>101.7</v>
      </c>
      <c r="CY105" s="8">
        <v>100</v>
      </c>
      <c r="CZ105" s="8">
        <v>100.29</v>
      </c>
      <c r="DA105" s="8">
        <v>100.45</v>
      </c>
      <c r="DB105" s="8">
        <v>99.05</v>
      </c>
      <c r="DC105" s="8">
        <v>98.34</v>
      </c>
      <c r="DD105" s="8">
        <v>98.3</v>
      </c>
      <c r="DE105" s="8">
        <v>100.36</v>
      </c>
      <c r="DF105" s="8">
        <v>99.21</v>
      </c>
      <c r="DG105" s="8">
        <v>100.11</v>
      </c>
      <c r="DH105" s="8">
        <v>99.75</v>
      </c>
      <c r="DI105" s="8">
        <v>88.31</v>
      </c>
      <c r="DJ105" s="8">
        <v>100</v>
      </c>
      <c r="DK105" s="8">
        <v>100</v>
      </c>
      <c r="DL105" s="8">
        <v>99.5</v>
      </c>
      <c r="DM105" s="8">
        <v>99.5</v>
      </c>
      <c r="DN105" s="8">
        <v>99.4</v>
      </c>
      <c r="DO105" s="8">
        <v>99.5</v>
      </c>
      <c r="DP105" s="8">
        <v>98.19</v>
      </c>
      <c r="DQ105" s="8">
        <v>96.4</v>
      </c>
      <c r="DR105" s="8">
        <v>98.43</v>
      </c>
      <c r="DS105" s="8">
        <v>94.26</v>
      </c>
      <c r="DT105" s="8">
        <v>101.53</v>
      </c>
      <c r="DU105" s="8">
        <v>101.18</v>
      </c>
      <c r="DV105" s="8">
        <v>101.67</v>
      </c>
      <c r="DW105" s="8">
        <v>97.5</v>
      </c>
      <c r="DX105" s="8">
        <v>101.51</v>
      </c>
      <c r="DY105" s="8">
        <v>93.63</v>
      </c>
      <c r="DZ105" s="8">
        <v>99.46</v>
      </c>
      <c r="EA105" s="8">
        <v>102.31</v>
      </c>
      <c r="EB105" s="8">
        <v>97.07</v>
      </c>
      <c r="EC105" s="8">
        <v>100.6</v>
      </c>
      <c r="ED105" s="8">
        <v>98.98</v>
      </c>
      <c r="EE105" s="8">
        <v>98.92</v>
      </c>
      <c r="EF105" s="8">
        <v>98.96</v>
      </c>
      <c r="EG105" s="8">
        <v>99.91</v>
      </c>
      <c r="EH105" s="8">
        <v>99.91</v>
      </c>
      <c r="EI105" s="8">
        <v>99.62</v>
      </c>
      <c r="EJ105" s="8">
        <v>100</v>
      </c>
      <c r="EK105" s="8">
        <v>100</v>
      </c>
      <c r="EL105" s="8">
        <v>100.63</v>
      </c>
      <c r="EM105" s="8">
        <v>100.01</v>
      </c>
      <c r="EN105" s="8">
        <v>100.01</v>
      </c>
      <c r="EO105" s="8">
        <v>100.9</v>
      </c>
      <c r="EP105" s="8">
        <v>100.79</v>
      </c>
      <c r="EQ105" s="8">
        <v>100.92</v>
      </c>
      <c r="ER105" s="8">
        <v>99.4</v>
      </c>
      <c r="ES105" s="8">
        <v>100.22</v>
      </c>
      <c r="ET105" s="8">
        <v>100.21</v>
      </c>
      <c r="EU105" s="8">
        <v>99.96</v>
      </c>
      <c r="EV105" s="8">
        <v>100.81</v>
      </c>
      <c r="EW105" s="8">
        <v>99.02</v>
      </c>
      <c r="EX105" s="8">
        <v>99.53</v>
      </c>
      <c r="EY105" s="8">
        <v>98.74</v>
      </c>
      <c r="EZ105" s="8">
        <v>97.04</v>
      </c>
      <c r="FA105" s="8">
        <v>100.01</v>
      </c>
      <c r="FB105" s="8">
        <v>92.73</v>
      </c>
      <c r="FC105" s="8">
        <v>100.22</v>
      </c>
      <c r="FD105" s="8">
        <v>100.78</v>
      </c>
      <c r="FE105" s="8">
        <v>99.55</v>
      </c>
      <c r="FF105" s="8">
        <v>98.44</v>
      </c>
      <c r="FG105" s="8">
        <v>97.68</v>
      </c>
      <c r="FH105" s="8">
        <v>99.88</v>
      </c>
      <c r="FI105" s="8">
        <v>97.92</v>
      </c>
      <c r="FJ105" s="8">
        <v>106.36</v>
      </c>
      <c r="FK105" s="8">
        <v>106.91</v>
      </c>
      <c r="FL105" s="8">
        <v>105.93</v>
      </c>
      <c r="FM105" s="8">
        <v>99.17</v>
      </c>
      <c r="FN105" s="8">
        <v>102.78</v>
      </c>
      <c r="FO105" s="8">
        <v>97.48</v>
      </c>
      <c r="FP105" s="8">
        <v>99.03</v>
      </c>
      <c r="FQ105" s="8">
        <v>99.51</v>
      </c>
      <c r="FR105" s="8">
        <v>98.55</v>
      </c>
      <c r="FS105" s="8">
        <v>99.67</v>
      </c>
      <c r="FT105" s="8">
        <v>101.7</v>
      </c>
      <c r="FU105" s="8">
        <v>97.77</v>
      </c>
      <c r="FV105" s="8">
        <v>102.99</v>
      </c>
      <c r="FW105" s="8">
        <v>99.3</v>
      </c>
      <c r="FX105" s="8">
        <v>99.36</v>
      </c>
      <c r="FY105" s="8">
        <v>99.24</v>
      </c>
      <c r="FZ105" s="8">
        <v>98.45</v>
      </c>
      <c r="GA105" s="8">
        <v>99.75</v>
      </c>
      <c r="GB105" s="8">
        <v>98.37</v>
      </c>
      <c r="GC105" s="8">
        <v>100.86</v>
      </c>
      <c r="GD105" s="8">
        <v>99.36</v>
      </c>
      <c r="GE105" s="8">
        <v>95.99</v>
      </c>
      <c r="GF105" s="8">
        <v>95.99</v>
      </c>
      <c r="GG105" s="8">
        <v>100.59</v>
      </c>
      <c r="GH105" s="8">
        <v>101.83</v>
      </c>
      <c r="GI105" s="8">
        <v>100.17</v>
      </c>
      <c r="GJ105" s="8">
        <v>103.13</v>
      </c>
      <c r="GK105" s="8">
        <v>100.02</v>
      </c>
      <c r="GL105" s="8">
        <v>98.45</v>
      </c>
      <c r="GM105" s="8">
        <v>103.5</v>
      </c>
      <c r="GN105" s="8">
        <v>95.05</v>
      </c>
      <c r="GO105" s="8">
        <v>101.07</v>
      </c>
      <c r="GP105" s="8">
        <v>98.13</v>
      </c>
      <c r="GQ105" s="8">
        <v>97.88</v>
      </c>
      <c r="GR105" s="8">
        <v>100</v>
      </c>
      <c r="GS105" s="8">
        <v>98.41</v>
      </c>
      <c r="GT105" s="8">
        <v>99.44</v>
      </c>
      <c r="GU105" s="8">
        <v>99.44</v>
      </c>
      <c r="GV105" s="8">
        <v>96.68</v>
      </c>
      <c r="GW105" s="8">
        <v>96.68</v>
      </c>
      <c r="GX105" s="8">
        <v>97.94</v>
      </c>
      <c r="GY105" s="8">
        <v>99.96</v>
      </c>
      <c r="GZ105" s="8">
        <v>95.59</v>
      </c>
      <c r="HA105" s="8">
        <v>100.14</v>
      </c>
      <c r="HB105" s="8">
        <v>100</v>
      </c>
      <c r="HC105" s="8">
        <v>100.17</v>
      </c>
      <c r="HD105" s="8">
        <v>100.12</v>
      </c>
      <c r="HE105" s="8">
        <v>99.87</v>
      </c>
      <c r="HF105" s="8">
        <v>98.07</v>
      </c>
      <c r="HG105" s="8">
        <v>97.77</v>
      </c>
      <c r="HH105" s="8">
        <v>99.5</v>
      </c>
      <c r="HI105" s="8">
        <v>103.73</v>
      </c>
      <c r="HJ105" s="8">
        <v>103.73</v>
      </c>
      <c r="HK105" s="8">
        <v>100.43</v>
      </c>
      <c r="HL105" s="8">
        <v>104.64</v>
      </c>
      <c r="HM105" s="8">
        <v>98.67</v>
      </c>
      <c r="HN105" s="8">
        <v>100.54</v>
      </c>
      <c r="HO105" s="8">
        <v>97.97</v>
      </c>
      <c r="HP105" s="8">
        <v>101</v>
      </c>
      <c r="HQ105" s="8">
        <v>100.69</v>
      </c>
      <c r="HR105" s="8">
        <v>100.67</v>
      </c>
      <c r="HS105" s="8">
        <v>101.26</v>
      </c>
      <c r="HT105" s="8">
        <v>98.62</v>
      </c>
      <c r="HU105" s="8">
        <v>94.73</v>
      </c>
      <c r="HV105" s="8">
        <v>99.1</v>
      </c>
      <c r="HW105" s="8">
        <v>100.85</v>
      </c>
      <c r="HX105" s="8">
        <v>99.92</v>
      </c>
      <c r="HY105" s="8">
        <v>100.78</v>
      </c>
      <c r="HZ105" s="8">
        <v>101.08</v>
      </c>
      <c r="IA105" s="8">
        <v>99.16</v>
      </c>
      <c r="IB105" s="8">
        <v>99.75</v>
      </c>
      <c r="IC105" s="8">
        <v>99.72</v>
      </c>
      <c r="ID105" s="8">
        <v>100.02</v>
      </c>
      <c r="IE105" s="8">
        <v>99.18</v>
      </c>
      <c r="IF105" s="8">
        <v>99.16</v>
      </c>
      <c r="IG105" s="8">
        <v>100.44</v>
      </c>
      <c r="IH105" s="8">
        <v>102.3</v>
      </c>
      <c r="II105" s="8">
        <v>96.76</v>
      </c>
      <c r="IJ105" s="8">
        <v>99.35</v>
      </c>
      <c r="IK105" s="8">
        <v>99.59</v>
      </c>
      <c r="IL105" s="8">
        <v>100</v>
      </c>
      <c r="IM105" s="8">
        <v>100</v>
      </c>
      <c r="IN105" s="8">
        <v>99.5</v>
      </c>
      <c r="IO105" s="8">
        <v>99.5</v>
      </c>
      <c r="IP105" s="8">
        <v>99.4</v>
      </c>
      <c r="IQ105" s="8">
        <v>99.5</v>
      </c>
    </row>
    <row r="106" spans="1:251" x14ac:dyDescent="0.2">
      <c r="A106" s="9">
        <v>45870</v>
      </c>
      <c r="B106" s="8">
        <v>99.15</v>
      </c>
      <c r="C106" s="8">
        <v>99.93</v>
      </c>
      <c r="D106" s="8">
        <v>105.38</v>
      </c>
      <c r="E106" s="8">
        <v>99.99</v>
      </c>
      <c r="F106" s="8">
        <v>99.99</v>
      </c>
      <c r="G106" s="8">
        <v>99.9</v>
      </c>
      <c r="H106" s="8">
        <v>100</v>
      </c>
      <c r="I106" s="8">
        <v>100</v>
      </c>
      <c r="J106" s="8">
        <v>99.42</v>
      </c>
      <c r="K106" s="8">
        <v>99.81</v>
      </c>
      <c r="L106" s="8">
        <v>99.81</v>
      </c>
      <c r="M106" s="8">
        <v>99.32</v>
      </c>
      <c r="N106" s="8">
        <v>101.03</v>
      </c>
      <c r="O106" s="8">
        <v>99.19</v>
      </c>
      <c r="P106" s="8">
        <v>99.23</v>
      </c>
      <c r="Q106" s="8">
        <v>100.35</v>
      </c>
      <c r="R106" s="8">
        <v>100.36</v>
      </c>
      <c r="S106" s="8">
        <v>100.1</v>
      </c>
      <c r="T106" s="8">
        <v>100.9</v>
      </c>
      <c r="U106" s="8">
        <v>99.56</v>
      </c>
      <c r="V106" s="8">
        <v>99.56</v>
      </c>
      <c r="W106" s="8">
        <v>99.4</v>
      </c>
      <c r="X106" s="8">
        <v>98.22</v>
      </c>
      <c r="Y106" s="8">
        <v>100.36</v>
      </c>
      <c r="Z106" s="8">
        <v>93.88</v>
      </c>
      <c r="AA106" s="8">
        <v>100.41</v>
      </c>
      <c r="AB106" s="8">
        <v>101.22</v>
      </c>
      <c r="AC106" s="8">
        <v>100.27</v>
      </c>
      <c r="AD106" s="8">
        <v>99.49</v>
      </c>
      <c r="AE106" s="8">
        <v>100.06</v>
      </c>
      <c r="AF106" s="8">
        <v>99.92</v>
      </c>
      <c r="AG106" s="8">
        <v>98.19</v>
      </c>
      <c r="AH106" s="8">
        <v>103.91</v>
      </c>
      <c r="AI106" s="8">
        <v>105.98</v>
      </c>
      <c r="AJ106" s="8">
        <v>102.22</v>
      </c>
      <c r="AK106" s="8">
        <v>99.61</v>
      </c>
      <c r="AL106" s="8">
        <v>101.5</v>
      </c>
      <c r="AM106" s="8">
        <v>98.75</v>
      </c>
      <c r="AN106" s="8">
        <v>100.18</v>
      </c>
      <c r="AO106" s="8">
        <v>100.18</v>
      </c>
      <c r="AP106" s="8">
        <v>99.13</v>
      </c>
      <c r="AQ106" s="8">
        <v>99.53</v>
      </c>
      <c r="AR106" s="8">
        <v>100.86</v>
      </c>
      <c r="AS106" s="8">
        <v>98.02</v>
      </c>
      <c r="AT106" s="8">
        <v>101.56</v>
      </c>
      <c r="AU106" s="8">
        <v>99.85</v>
      </c>
      <c r="AV106" s="8">
        <v>100</v>
      </c>
      <c r="AW106" s="8">
        <v>99.72</v>
      </c>
      <c r="AX106" s="8">
        <v>98.85</v>
      </c>
      <c r="AY106" s="8">
        <v>100.57</v>
      </c>
      <c r="AZ106" s="8">
        <v>100.92</v>
      </c>
      <c r="BA106" s="8">
        <v>101.62</v>
      </c>
      <c r="BB106" s="8">
        <v>99.75</v>
      </c>
      <c r="BC106" s="8">
        <v>95.16</v>
      </c>
      <c r="BD106" s="8">
        <v>95.16</v>
      </c>
      <c r="BE106" s="8">
        <v>100.66</v>
      </c>
      <c r="BF106" s="8">
        <v>103.46</v>
      </c>
      <c r="BG106" s="8">
        <v>103.03</v>
      </c>
      <c r="BH106" s="8">
        <v>104.04</v>
      </c>
      <c r="BI106" s="8">
        <v>101.96</v>
      </c>
      <c r="BJ106" s="8">
        <v>97.5</v>
      </c>
      <c r="BK106" s="8">
        <v>100.02</v>
      </c>
      <c r="BL106" s="8">
        <v>97.3</v>
      </c>
      <c r="BM106" s="8">
        <v>95.6</v>
      </c>
      <c r="BN106" s="8">
        <v>96.82</v>
      </c>
      <c r="BO106" s="8">
        <v>96.73</v>
      </c>
      <c r="BP106" s="8">
        <v>99.64</v>
      </c>
      <c r="BQ106" s="8">
        <v>98.79</v>
      </c>
      <c r="BR106" s="8">
        <v>99.62</v>
      </c>
      <c r="BS106" s="8">
        <v>99.62</v>
      </c>
      <c r="BT106" s="8">
        <v>98.67</v>
      </c>
      <c r="BU106" s="8">
        <v>98.67</v>
      </c>
      <c r="BV106" s="8">
        <v>96.05</v>
      </c>
      <c r="BW106" s="8">
        <v>100.04</v>
      </c>
      <c r="BX106" s="8">
        <v>92.33</v>
      </c>
      <c r="BY106" s="8">
        <v>100</v>
      </c>
      <c r="BZ106" s="8">
        <v>100</v>
      </c>
      <c r="CA106" s="8">
        <v>100</v>
      </c>
      <c r="CB106" s="8">
        <v>99.96</v>
      </c>
      <c r="CC106" s="8">
        <v>100.34</v>
      </c>
      <c r="CD106" s="8">
        <v>98.41</v>
      </c>
      <c r="CE106" s="8">
        <v>98.05</v>
      </c>
      <c r="CF106" s="8">
        <v>100.33</v>
      </c>
      <c r="CG106" s="8">
        <v>100.13</v>
      </c>
      <c r="CH106" s="8">
        <v>100.13</v>
      </c>
      <c r="CI106" s="8">
        <v>103.77</v>
      </c>
      <c r="CJ106" s="8">
        <v>103.27</v>
      </c>
      <c r="CK106" s="8">
        <v>102.76</v>
      </c>
      <c r="CL106" s="8">
        <v>106.86</v>
      </c>
      <c r="CM106" s="8">
        <v>102.07</v>
      </c>
      <c r="CN106" s="8">
        <v>100.49</v>
      </c>
      <c r="CO106" s="8">
        <v>99.68</v>
      </c>
      <c r="CP106" s="8">
        <v>100.33</v>
      </c>
      <c r="CQ106" s="8">
        <v>100.74</v>
      </c>
      <c r="CR106" s="8">
        <v>99.81</v>
      </c>
      <c r="CS106" s="8">
        <v>98.8</v>
      </c>
      <c r="CT106" s="8">
        <v>99.59</v>
      </c>
      <c r="CU106" s="8">
        <v>101.53</v>
      </c>
      <c r="CV106" s="8">
        <v>100.26</v>
      </c>
      <c r="CW106" s="8">
        <v>100.41</v>
      </c>
      <c r="CX106" s="8">
        <v>100.46</v>
      </c>
      <c r="CY106" s="8">
        <v>100</v>
      </c>
      <c r="CZ106" s="8">
        <v>100.23</v>
      </c>
      <c r="DA106" s="8">
        <v>100.26</v>
      </c>
      <c r="DB106" s="8">
        <v>100</v>
      </c>
      <c r="DC106" s="8">
        <v>98.45</v>
      </c>
      <c r="DD106" s="8">
        <v>98.42</v>
      </c>
      <c r="DE106" s="8">
        <v>100.24</v>
      </c>
      <c r="DF106" s="8">
        <v>99.76</v>
      </c>
      <c r="DG106" s="8">
        <v>99.85</v>
      </c>
      <c r="DH106" s="8">
        <v>100.55</v>
      </c>
      <c r="DI106" s="8">
        <v>88.73</v>
      </c>
      <c r="DJ106" s="8">
        <v>100</v>
      </c>
      <c r="DK106" s="8">
        <v>100</v>
      </c>
      <c r="DL106" s="8">
        <v>100.2</v>
      </c>
      <c r="DM106" s="8">
        <v>100.2</v>
      </c>
      <c r="DN106" s="8">
        <v>99.59</v>
      </c>
      <c r="DO106" s="8">
        <v>100.23</v>
      </c>
      <c r="DP106" s="8">
        <v>97.01</v>
      </c>
      <c r="DQ106" s="8">
        <v>99.81</v>
      </c>
      <c r="DR106" s="8">
        <v>100.31</v>
      </c>
      <c r="DS106" s="8">
        <v>99.27</v>
      </c>
      <c r="DT106" s="8">
        <v>101.98</v>
      </c>
      <c r="DU106" s="8">
        <v>101.67</v>
      </c>
      <c r="DV106" s="8">
        <v>102.1</v>
      </c>
      <c r="DW106" s="8">
        <v>93.58</v>
      </c>
      <c r="DX106" s="8">
        <v>94.95</v>
      </c>
      <c r="DY106" s="8">
        <v>92.25</v>
      </c>
      <c r="DZ106" s="8">
        <v>99.77</v>
      </c>
      <c r="EA106" s="8">
        <v>101.16</v>
      </c>
      <c r="EB106" s="8">
        <v>97.62</v>
      </c>
      <c r="EC106" s="8">
        <v>100.49</v>
      </c>
      <c r="ED106" s="8">
        <v>100</v>
      </c>
      <c r="EE106" s="8">
        <v>99.57</v>
      </c>
      <c r="EF106" s="8">
        <v>99.5</v>
      </c>
      <c r="EG106" s="8">
        <v>99.97</v>
      </c>
      <c r="EH106" s="8">
        <v>99.97</v>
      </c>
      <c r="EI106" s="8">
        <v>99.86</v>
      </c>
      <c r="EJ106" s="8">
        <v>100</v>
      </c>
      <c r="EK106" s="8">
        <v>100</v>
      </c>
      <c r="EL106" s="8">
        <v>100.42</v>
      </c>
      <c r="EM106" s="8">
        <v>99.2</v>
      </c>
      <c r="EN106" s="8">
        <v>99.2</v>
      </c>
      <c r="EO106" s="8">
        <v>100.94</v>
      </c>
      <c r="EP106" s="8">
        <v>101.03</v>
      </c>
      <c r="EQ106" s="8">
        <v>100.92</v>
      </c>
      <c r="ER106" s="8">
        <v>99.52</v>
      </c>
      <c r="ES106" s="8">
        <v>100.23</v>
      </c>
      <c r="ET106" s="8">
        <v>100.07</v>
      </c>
      <c r="EU106" s="8">
        <v>100.04</v>
      </c>
      <c r="EV106" s="8">
        <v>100.33</v>
      </c>
      <c r="EW106" s="8">
        <v>98.81</v>
      </c>
      <c r="EX106" s="8">
        <v>99.85</v>
      </c>
      <c r="EY106" s="8">
        <v>99.41</v>
      </c>
      <c r="EZ106" s="8">
        <v>98.34</v>
      </c>
      <c r="FA106" s="8">
        <v>100.14</v>
      </c>
      <c r="FB106" s="8">
        <v>95.38</v>
      </c>
      <c r="FC106" s="8">
        <v>100.18</v>
      </c>
      <c r="FD106" s="8">
        <v>100.99</v>
      </c>
      <c r="FE106" s="8">
        <v>99.94</v>
      </c>
      <c r="FF106" s="8">
        <v>99.33</v>
      </c>
      <c r="FG106" s="8">
        <v>99.32</v>
      </c>
      <c r="FH106" s="8">
        <v>100.04</v>
      </c>
      <c r="FI106" s="8">
        <v>98.52</v>
      </c>
      <c r="FJ106" s="8">
        <v>103.23</v>
      </c>
      <c r="FK106" s="8">
        <v>105.32</v>
      </c>
      <c r="FL106" s="8">
        <v>101.61</v>
      </c>
      <c r="FM106" s="8">
        <v>99.6</v>
      </c>
      <c r="FN106" s="8">
        <v>102.55</v>
      </c>
      <c r="FO106" s="8">
        <v>98.93</v>
      </c>
      <c r="FP106" s="8">
        <v>100.25</v>
      </c>
      <c r="FQ106" s="8">
        <v>99.93</v>
      </c>
      <c r="FR106" s="8">
        <v>99.07</v>
      </c>
      <c r="FS106" s="8">
        <v>99.43</v>
      </c>
      <c r="FT106" s="8">
        <v>100.81</v>
      </c>
      <c r="FU106" s="8">
        <v>97.72</v>
      </c>
      <c r="FV106" s="8">
        <v>101.82</v>
      </c>
      <c r="FW106" s="8">
        <v>99.93</v>
      </c>
      <c r="FX106" s="8">
        <v>99.76</v>
      </c>
      <c r="FY106" s="8">
        <v>100.11</v>
      </c>
      <c r="FZ106" s="8">
        <v>98.43</v>
      </c>
      <c r="GA106" s="8">
        <v>99.83</v>
      </c>
      <c r="GB106" s="8">
        <v>99.35</v>
      </c>
      <c r="GC106" s="8">
        <v>100.18</v>
      </c>
      <c r="GD106" s="8">
        <v>99.72</v>
      </c>
      <c r="GE106" s="8">
        <v>95.75</v>
      </c>
      <c r="GF106" s="8">
        <v>95.75</v>
      </c>
      <c r="GG106" s="8">
        <v>101.62</v>
      </c>
      <c r="GH106" s="8">
        <v>104.11</v>
      </c>
      <c r="GI106" s="8">
        <v>104.74</v>
      </c>
      <c r="GJ106" s="8">
        <v>104.39</v>
      </c>
      <c r="GK106" s="8">
        <v>102.23</v>
      </c>
      <c r="GL106" s="8">
        <v>94.92</v>
      </c>
      <c r="GM106" s="8">
        <v>98.94</v>
      </c>
      <c r="GN106" s="8">
        <v>92.71</v>
      </c>
      <c r="GO106" s="8">
        <v>95.84</v>
      </c>
      <c r="GP106" s="8">
        <v>98.68</v>
      </c>
      <c r="GQ106" s="8">
        <v>98.51</v>
      </c>
      <c r="GR106" s="8">
        <v>100</v>
      </c>
      <c r="GS106" s="8">
        <v>99.11</v>
      </c>
      <c r="GT106" s="8">
        <v>99.79</v>
      </c>
      <c r="GU106" s="8">
        <v>99.79</v>
      </c>
      <c r="GV106" s="8">
        <v>98.46</v>
      </c>
      <c r="GW106" s="8">
        <v>98.46</v>
      </c>
      <c r="GX106" s="8">
        <v>97.97</v>
      </c>
      <c r="GY106" s="8">
        <v>100</v>
      </c>
      <c r="GZ106" s="8">
        <v>95.59</v>
      </c>
      <c r="HA106" s="8">
        <v>100.02</v>
      </c>
      <c r="HB106" s="8">
        <v>100</v>
      </c>
      <c r="HC106" s="8">
        <v>100</v>
      </c>
      <c r="HD106" s="8">
        <v>100.12</v>
      </c>
      <c r="HE106" s="8">
        <v>99.36</v>
      </c>
      <c r="HF106" s="8">
        <v>94.81</v>
      </c>
      <c r="HG106" s="8">
        <v>93.56</v>
      </c>
      <c r="HH106" s="8">
        <v>100.85</v>
      </c>
      <c r="HI106" s="8">
        <v>99.76</v>
      </c>
      <c r="HJ106" s="8">
        <v>99.76</v>
      </c>
      <c r="HK106" s="8">
        <v>102.84</v>
      </c>
      <c r="HL106" s="8">
        <v>102.27</v>
      </c>
      <c r="HM106" s="8">
        <v>104.2</v>
      </c>
      <c r="HN106" s="8">
        <v>104.9</v>
      </c>
      <c r="HO106" s="8">
        <v>99</v>
      </c>
      <c r="HP106" s="8">
        <v>100.81</v>
      </c>
      <c r="HQ106" s="8">
        <v>99.88</v>
      </c>
      <c r="HR106" s="8">
        <v>100.69</v>
      </c>
      <c r="HS106" s="8">
        <v>101.04</v>
      </c>
      <c r="HT106" s="8">
        <v>99.14</v>
      </c>
      <c r="HU106" s="8">
        <v>97.97</v>
      </c>
      <c r="HV106" s="8">
        <v>98.42</v>
      </c>
      <c r="HW106" s="8">
        <v>101.05</v>
      </c>
      <c r="HX106" s="8">
        <v>99.96</v>
      </c>
      <c r="HY106" s="8">
        <v>100.78</v>
      </c>
      <c r="HZ106" s="8">
        <v>101.05</v>
      </c>
      <c r="IA106" s="8">
        <v>99.3</v>
      </c>
      <c r="IB106" s="8">
        <v>99.79</v>
      </c>
      <c r="IC106" s="8">
        <v>99.77</v>
      </c>
      <c r="ID106" s="8">
        <v>100</v>
      </c>
      <c r="IE106" s="8">
        <v>100.03</v>
      </c>
      <c r="IF106" s="8">
        <v>100.03</v>
      </c>
      <c r="IG106" s="8">
        <v>100.79</v>
      </c>
      <c r="IH106" s="8">
        <v>100.05</v>
      </c>
      <c r="II106" s="8">
        <v>99.76</v>
      </c>
      <c r="IJ106" s="8">
        <v>99.66</v>
      </c>
      <c r="IK106" s="8">
        <v>99.43</v>
      </c>
      <c r="IL106" s="8">
        <v>100</v>
      </c>
      <c r="IM106" s="8">
        <v>100</v>
      </c>
      <c r="IN106" s="8">
        <v>100.19</v>
      </c>
      <c r="IO106" s="8">
        <v>100.19</v>
      </c>
      <c r="IP106" s="8">
        <v>99.59</v>
      </c>
      <c r="IQ106" s="8">
        <v>100.22</v>
      </c>
    </row>
    <row r="107" spans="1:251" x14ac:dyDescent="0.2">
      <c r="A107" s="9">
        <v>45901</v>
      </c>
      <c r="B107" s="8">
        <v>100</v>
      </c>
      <c r="C107" s="8">
        <v>100</v>
      </c>
      <c r="D107" s="8">
        <v>100</v>
      </c>
      <c r="E107" s="8">
        <v>100</v>
      </c>
      <c r="F107" s="8">
        <v>100</v>
      </c>
      <c r="G107" s="8">
        <v>100</v>
      </c>
      <c r="H107" s="8">
        <v>100</v>
      </c>
      <c r="I107" s="8">
        <v>100</v>
      </c>
      <c r="J107" s="8">
        <v>100</v>
      </c>
      <c r="K107" s="8">
        <v>100</v>
      </c>
      <c r="L107" s="8">
        <v>100</v>
      </c>
      <c r="M107" s="8">
        <v>100</v>
      </c>
      <c r="N107" s="8">
        <v>100</v>
      </c>
      <c r="O107" s="8">
        <v>100</v>
      </c>
      <c r="P107" s="8">
        <v>100</v>
      </c>
      <c r="Q107" s="8">
        <v>100</v>
      </c>
      <c r="R107" s="8">
        <v>100</v>
      </c>
      <c r="S107" s="8">
        <v>100</v>
      </c>
      <c r="T107" s="8">
        <v>100</v>
      </c>
      <c r="U107" s="8">
        <v>100</v>
      </c>
      <c r="V107" s="8">
        <v>100</v>
      </c>
      <c r="W107" s="8">
        <v>100</v>
      </c>
      <c r="X107" s="8">
        <v>100</v>
      </c>
      <c r="Y107" s="8">
        <v>100</v>
      </c>
      <c r="Z107" s="8">
        <v>100</v>
      </c>
      <c r="AA107" s="8">
        <v>100</v>
      </c>
      <c r="AB107" s="8">
        <v>100</v>
      </c>
      <c r="AC107" s="8">
        <v>100</v>
      </c>
      <c r="AD107" s="8">
        <v>100</v>
      </c>
      <c r="AE107" s="8">
        <v>100</v>
      </c>
      <c r="AF107" s="8">
        <v>100</v>
      </c>
      <c r="AG107" s="8">
        <v>100</v>
      </c>
      <c r="AH107" s="8">
        <v>100</v>
      </c>
      <c r="AI107" s="8">
        <v>100</v>
      </c>
      <c r="AJ107" s="8">
        <v>100</v>
      </c>
      <c r="AK107" s="8">
        <v>100</v>
      </c>
      <c r="AL107" s="8">
        <v>100</v>
      </c>
      <c r="AM107" s="8">
        <v>100</v>
      </c>
      <c r="AN107" s="8">
        <v>100</v>
      </c>
      <c r="AO107" s="8">
        <v>100</v>
      </c>
      <c r="AP107" s="8">
        <v>100</v>
      </c>
      <c r="AQ107" s="8">
        <v>100</v>
      </c>
      <c r="AR107" s="8">
        <v>100</v>
      </c>
      <c r="AS107" s="8">
        <v>100</v>
      </c>
      <c r="AT107" s="8">
        <v>100</v>
      </c>
      <c r="AU107" s="8">
        <v>100</v>
      </c>
      <c r="AV107" s="8">
        <v>100</v>
      </c>
      <c r="AW107" s="8">
        <v>100</v>
      </c>
      <c r="AX107" s="8">
        <v>100</v>
      </c>
      <c r="AY107" s="8">
        <v>100</v>
      </c>
      <c r="AZ107" s="8">
        <v>100</v>
      </c>
      <c r="BA107" s="8">
        <v>100</v>
      </c>
      <c r="BB107" s="8">
        <v>100</v>
      </c>
      <c r="BC107" s="8">
        <v>100</v>
      </c>
      <c r="BD107" s="8">
        <v>100</v>
      </c>
      <c r="BE107" s="8">
        <v>100</v>
      </c>
      <c r="BF107" s="8">
        <v>100</v>
      </c>
      <c r="BG107" s="8">
        <v>100</v>
      </c>
      <c r="BH107" s="8">
        <v>100</v>
      </c>
      <c r="BI107" s="8">
        <v>100</v>
      </c>
      <c r="BJ107" s="8">
        <v>100</v>
      </c>
      <c r="BK107" s="8">
        <v>100</v>
      </c>
      <c r="BL107" s="8">
        <v>100</v>
      </c>
      <c r="BM107" s="8">
        <v>100</v>
      </c>
      <c r="BN107" s="8">
        <v>100</v>
      </c>
      <c r="BO107" s="8">
        <v>100</v>
      </c>
      <c r="BP107" s="8">
        <v>100</v>
      </c>
      <c r="BQ107" s="8">
        <v>100</v>
      </c>
      <c r="BR107" s="8">
        <v>100</v>
      </c>
      <c r="BS107" s="8">
        <v>100</v>
      </c>
      <c r="BT107" s="8">
        <v>100</v>
      </c>
      <c r="BU107" s="8">
        <v>100</v>
      </c>
      <c r="BV107" s="8">
        <v>100</v>
      </c>
      <c r="BW107" s="8">
        <v>100</v>
      </c>
      <c r="BX107" s="8">
        <v>100</v>
      </c>
      <c r="BY107" s="8">
        <v>100</v>
      </c>
      <c r="BZ107" s="8">
        <v>100</v>
      </c>
      <c r="CA107" s="8">
        <v>100</v>
      </c>
      <c r="CB107" s="8">
        <v>100</v>
      </c>
      <c r="CC107" s="8">
        <v>100</v>
      </c>
      <c r="CD107" s="8">
        <v>100</v>
      </c>
      <c r="CE107" s="8">
        <v>100</v>
      </c>
      <c r="CF107" s="8">
        <v>100</v>
      </c>
      <c r="CG107" s="8">
        <v>100</v>
      </c>
      <c r="CH107" s="8">
        <v>100</v>
      </c>
      <c r="CI107" s="8">
        <v>100</v>
      </c>
      <c r="CJ107" s="8">
        <v>100</v>
      </c>
      <c r="CK107" s="8">
        <v>100</v>
      </c>
      <c r="CL107" s="8">
        <v>100</v>
      </c>
      <c r="CM107" s="8">
        <v>100</v>
      </c>
      <c r="CN107" s="8">
        <v>100</v>
      </c>
      <c r="CO107" s="8">
        <v>100</v>
      </c>
      <c r="CP107" s="8">
        <v>100</v>
      </c>
      <c r="CQ107" s="8">
        <v>100</v>
      </c>
      <c r="CR107" s="8">
        <v>100</v>
      </c>
      <c r="CS107" s="8">
        <v>100</v>
      </c>
      <c r="CT107" s="8">
        <v>100</v>
      </c>
      <c r="CU107" s="8">
        <v>100</v>
      </c>
      <c r="CV107" s="8">
        <v>100</v>
      </c>
      <c r="CW107" s="8">
        <v>100</v>
      </c>
      <c r="CX107" s="8">
        <v>100</v>
      </c>
      <c r="CY107" s="8">
        <v>100</v>
      </c>
      <c r="CZ107" s="8">
        <v>100</v>
      </c>
      <c r="DA107" s="8">
        <v>100</v>
      </c>
      <c r="DB107" s="8">
        <v>100</v>
      </c>
      <c r="DC107" s="8">
        <v>100</v>
      </c>
      <c r="DD107" s="8">
        <v>100</v>
      </c>
      <c r="DE107" s="8">
        <v>100</v>
      </c>
      <c r="DF107" s="8">
        <v>100</v>
      </c>
      <c r="DG107" s="8">
        <v>100</v>
      </c>
      <c r="DH107" s="8">
        <v>100</v>
      </c>
      <c r="DI107" s="8">
        <v>100</v>
      </c>
      <c r="DJ107" s="8">
        <v>100</v>
      </c>
      <c r="DK107" s="8">
        <v>100</v>
      </c>
      <c r="DL107" s="8">
        <v>100</v>
      </c>
      <c r="DM107" s="8">
        <v>100</v>
      </c>
      <c r="DN107" s="8">
        <v>100</v>
      </c>
      <c r="DO107" s="8">
        <v>100</v>
      </c>
      <c r="DP107" s="8">
        <v>100</v>
      </c>
      <c r="DQ107" s="8">
        <v>100</v>
      </c>
      <c r="DR107" s="8">
        <v>100</v>
      </c>
      <c r="DS107" s="8">
        <v>100</v>
      </c>
      <c r="DT107" s="8">
        <v>100</v>
      </c>
      <c r="DU107" s="8">
        <v>100</v>
      </c>
      <c r="DV107" s="8">
        <v>100</v>
      </c>
      <c r="DW107" s="8">
        <v>100</v>
      </c>
      <c r="DX107" s="8">
        <v>100</v>
      </c>
      <c r="DY107" s="8">
        <v>100</v>
      </c>
      <c r="DZ107" s="8">
        <v>100</v>
      </c>
      <c r="EA107" s="8">
        <v>100</v>
      </c>
      <c r="EB107" s="8">
        <v>100</v>
      </c>
      <c r="EC107" s="8">
        <v>100</v>
      </c>
      <c r="ED107" s="8">
        <v>100</v>
      </c>
      <c r="EE107" s="8">
        <v>100</v>
      </c>
      <c r="EF107" s="8">
        <v>100</v>
      </c>
      <c r="EG107" s="8">
        <v>100</v>
      </c>
      <c r="EH107" s="8">
        <v>100</v>
      </c>
      <c r="EI107" s="8">
        <v>100</v>
      </c>
      <c r="EJ107" s="8">
        <v>100</v>
      </c>
      <c r="EK107" s="8">
        <v>100</v>
      </c>
      <c r="EL107" s="8">
        <v>100</v>
      </c>
      <c r="EM107" s="8">
        <v>100</v>
      </c>
      <c r="EN107" s="8">
        <v>100</v>
      </c>
      <c r="EO107" s="8">
        <v>100</v>
      </c>
      <c r="EP107" s="8">
        <v>100</v>
      </c>
      <c r="EQ107" s="8">
        <v>100</v>
      </c>
      <c r="ER107" s="8">
        <v>100</v>
      </c>
      <c r="ES107" s="8">
        <v>100</v>
      </c>
      <c r="ET107" s="8">
        <v>100</v>
      </c>
      <c r="EU107" s="8">
        <v>100</v>
      </c>
      <c r="EV107" s="8">
        <v>100</v>
      </c>
      <c r="EW107" s="8">
        <v>100</v>
      </c>
      <c r="EX107" s="8">
        <v>100</v>
      </c>
      <c r="EY107" s="8">
        <v>100</v>
      </c>
      <c r="EZ107" s="8">
        <v>100</v>
      </c>
      <c r="FA107" s="8">
        <v>100</v>
      </c>
      <c r="FB107" s="8">
        <v>100</v>
      </c>
      <c r="FC107" s="8">
        <v>100</v>
      </c>
      <c r="FD107" s="8">
        <v>100</v>
      </c>
      <c r="FE107" s="8">
        <v>100</v>
      </c>
      <c r="FF107" s="8">
        <v>100</v>
      </c>
      <c r="FG107" s="8">
        <v>100</v>
      </c>
      <c r="FH107" s="8">
        <v>100</v>
      </c>
      <c r="FI107" s="8">
        <v>100</v>
      </c>
      <c r="FJ107" s="8">
        <v>100</v>
      </c>
      <c r="FK107" s="8">
        <v>100</v>
      </c>
      <c r="FL107" s="8">
        <v>100</v>
      </c>
      <c r="FM107" s="8">
        <v>100</v>
      </c>
      <c r="FN107" s="8">
        <v>100</v>
      </c>
      <c r="FO107" s="8">
        <v>100</v>
      </c>
      <c r="FP107" s="8">
        <v>100</v>
      </c>
      <c r="FQ107" s="8">
        <v>100</v>
      </c>
      <c r="FR107" s="8">
        <v>100</v>
      </c>
      <c r="FS107" s="8">
        <v>100</v>
      </c>
      <c r="FT107" s="8">
        <v>100</v>
      </c>
      <c r="FU107" s="8">
        <v>100</v>
      </c>
      <c r="FV107" s="8">
        <v>100</v>
      </c>
      <c r="FW107" s="8">
        <v>100</v>
      </c>
      <c r="FX107" s="8">
        <v>100</v>
      </c>
      <c r="FY107" s="8">
        <v>100</v>
      </c>
      <c r="FZ107" s="8">
        <v>100</v>
      </c>
      <c r="GA107" s="8">
        <v>100</v>
      </c>
      <c r="GB107" s="8">
        <v>100</v>
      </c>
      <c r="GC107" s="8">
        <v>100</v>
      </c>
      <c r="GD107" s="8">
        <v>100</v>
      </c>
      <c r="GE107" s="8">
        <v>100</v>
      </c>
      <c r="GF107" s="8">
        <v>100</v>
      </c>
      <c r="GG107" s="8">
        <v>100</v>
      </c>
      <c r="GH107" s="8">
        <v>100</v>
      </c>
      <c r="GI107" s="8">
        <v>100</v>
      </c>
      <c r="GJ107" s="8">
        <v>100</v>
      </c>
      <c r="GK107" s="8">
        <v>100</v>
      </c>
      <c r="GL107" s="8">
        <v>100</v>
      </c>
      <c r="GM107" s="8">
        <v>100</v>
      </c>
      <c r="GN107" s="8">
        <v>100</v>
      </c>
      <c r="GO107" s="8">
        <v>100</v>
      </c>
      <c r="GP107" s="8">
        <v>100</v>
      </c>
      <c r="GQ107" s="8">
        <v>100</v>
      </c>
      <c r="GR107" s="8">
        <v>100</v>
      </c>
      <c r="GS107" s="8">
        <v>100</v>
      </c>
      <c r="GT107" s="8">
        <v>100</v>
      </c>
      <c r="GU107" s="8">
        <v>100</v>
      </c>
      <c r="GV107" s="8">
        <v>100</v>
      </c>
      <c r="GW107" s="8">
        <v>100</v>
      </c>
      <c r="GX107" s="8">
        <v>100</v>
      </c>
      <c r="GY107" s="8">
        <v>100</v>
      </c>
      <c r="GZ107" s="8">
        <v>100</v>
      </c>
      <c r="HA107" s="8">
        <v>100</v>
      </c>
      <c r="HB107" s="8">
        <v>100</v>
      </c>
      <c r="HC107" s="8">
        <v>100</v>
      </c>
      <c r="HD107" s="8">
        <v>100</v>
      </c>
      <c r="HE107" s="8">
        <v>100</v>
      </c>
      <c r="HF107" s="8">
        <v>100</v>
      </c>
      <c r="HG107" s="8">
        <v>100</v>
      </c>
      <c r="HH107" s="8">
        <v>100</v>
      </c>
      <c r="HI107" s="8">
        <v>100</v>
      </c>
      <c r="HJ107" s="8">
        <v>100</v>
      </c>
      <c r="HK107" s="8">
        <v>100</v>
      </c>
      <c r="HL107" s="8">
        <v>100</v>
      </c>
      <c r="HM107" s="8">
        <v>100</v>
      </c>
      <c r="HN107" s="8">
        <v>100</v>
      </c>
      <c r="HO107" s="8">
        <v>100</v>
      </c>
      <c r="HP107" s="8">
        <v>100</v>
      </c>
      <c r="HQ107" s="8">
        <v>100</v>
      </c>
      <c r="HR107" s="8">
        <v>100</v>
      </c>
      <c r="HS107" s="8">
        <v>100</v>
      </c>
      <c r="HT107" s="8">
        <v>100</v>
      </c>
      <c r="HU107" s="8">
        <v>100</v>
      </c>
      <c r="HV107" s="8">
        <v>100</v>
      </c>
      <c r="HW107" s="8">
        <v>100</v>
      </c>
      <c r="HX107" s="8">
        <v>100</v>
      </c>
      <c r="HY107" s="8">
        <v>100</v>
      </c>
      <c r="HZ107" s="8">
        <v>100</v>
      </c>
      <c r="IA107" s="8">
        <v>100</v>
      </c>
      <c r="IB107" s="8">
        <v>100</v>
      </c>
      <c r="IC107" s="8">
        <v>100</v>
      </c>
      <c r="ID107" s="8">
        <v>100</v>
      </c>
      <c r="IE107" s="8">
        <v>100</v>
      </c>
      <c r="IF107" s="8">
        <v>100</v>
      </c>
      <c r="IG107" s="8">
        <v>100</v>
      </c>
      <c r="IH107" s="8">
        <v>100</v>
      </c>
      <c r="II107" s="8">
        <v>100</v>
      </c>
      <c r="IJ107" s="8">
        <v>100</v>
      </c>
      <c r="IK107" s="8">
        <v>100</v>
      </c>
      <c r="IL107" s="8">
        <v>100</v>
      </c>
      <c r="IM107" s="8">
        <v>100</v>
      </c>
      <c r="IN107" s="8">
        <v>100</v>
      </c>
      <c r="IO107" s="8">
        <v>100</v>
      </c>
      <c r="IP107" s="8">
        <v>100</v>
      </c>
      <c r="IQ107" s="8">
        <v>100</v>
      </c>
    </row>
    <row r="108" spans="1:251" x14ac:dyDescent="0.2">
      <c r="A108" s="9">
        <v>45931</v>
      </c>
      <c r="B108" s="8">
        <v>100.01</v>
      </c>
      <c r="C108" s="8">
        <v>100.31</v>
      </c>
      <c r="D108" s="8">
        <v>105.52</v>
      </c>
      <c r="E108" s="8">
        <v>100.01</v>
      </c>
      <c r="F108" s="8">
        <v>100.01</v>
      </c>
      <c r="G108" s="8">
        <v>100.09</v>
      </c>
      <c r="H108" s="8">
        <v>100</v>
      </c>
      <c r="I108" s="8">
        <v>100</v>
      </c>
      <c r="J108" s="8">
        <v>100.24</v>
      </c>
      <c r="K108" s="8">
        <v>100.83</v>
      </c>
      <c r="L108" s="8">
        <v>100.83</v>
      </c>
      <c r="M108" s="8">
        <v>100.08</v>
      </c>
      <c r="N108" s="8">
        <v>101.1</v>
      </c>
      <c r="O108" s="8">
        <v>100</v>
      </c>
      <c r="P108" s="8">
        <v>100.21</v>
      </c>
      <c r="Q108" s="8">
        <v>100.42</v>
      </c>
      <c r="R108" s="8">
        <v>100.16</v>
      </c>
      <c r="S108" s="8">
        <v>100.35</v>
      </c>
      <c r="T108" s="8">
        <v>100.21</v>
      </c>
      <c r="U108" s="8">
        <v>100.72</v>
      </c>
      <c r="V108" s="8">
        <v>98.61</v>
      </c>
      <c r="W108" s="8">
        <v>100.87</v>
      </c>
      <c r="X108" s="8">
        <v>102.52</v>
      </c>
      <c r="Y108" s="8">
        <v>99.72</v>
      </c>
      <c r="Z108" s="8">
        <v>101.29</v>
      </c>
      <c r="AA108" s="8">
        <v>99.96</v>
      </c>
      <c r="AB108" s="8">
        <v>101.18</v>
      </c>
      <c r="AC108" s="8">
        <v>100.15</v>
      </c>
      <c r="AD108" s="8">
        <v>99.61</v>
      </c>
      <c r="AE108" s="8">
        <v>99.92</v>
      </c>
      <c r="AF108" s="8">
        <v>99.77</v>
      </c>
      <c r="AG108" s="8">
        <v>98.96</v>
      </c>
      <c r="AH108" s="8">
        <v>101.61</v>
      </c>
      <c r="AI108" s="8">
        <v>103.53</v>
      </c>
      <c r="AJ108" s="8">
        <v>100.05</v>
      </c>
      <c r="AK108" s="8">
        <v>99.61</v>
      </c>
      <c r="AL108" s="8">
        <v>98.76</v>
      </c>
      <c r="AM108" s="8">
        <v>99.44</v>
      </c>
      <c r="AN108" s="8">
        <v>100.58</v>
      </c>
      <c r="AO108" s="8">
        <v>99.05</v>
      </c>
      <c r="AP108" s="8">
        <v>99.09</v>
      </c>
      <c r="AQ108" s="8">
        <v>100.38</v>
      </c>
      <c r="AR108" s="8">
        <v>99.51</v>
      </c>
      <c r="AS108" s="8">
        <v>99.31</v>
      </c>
      <c r="AT108" s="8">
        <v>99.56</v>
      </c>
      <c r="AU108" s="8">
        <v>100.6</v>
      </c>
      <c r="AV108" s="8">
        <v>100.81</v>
      </c>
      <c r="AW108" s="8">
        <v>100.42</v>
      </c>
      <c r="AX108" s="8">
        <v>100.25</v>
      </c>
      <c r="AY108" s="8">
        <v>99.8</v>
      </c>
      <c r="AZ108" s="8">
        <v>100.07</v>
      </c>
      <c r="BA108" s="8">
        <v>99.14</v>
      </c>
      <c r="BB108" s="8">
        <v>100.09</v>
      </c>
      <c r="BC108" s="8">
        <v>101.2</v>
      </c>
      <c r="BD108" s="8">
        <v>101.2</v>
      </c>
      <c r="BE108" s="8">
        <v>103.2</v>
      </c>
      <c r="BF108" s="8">
        <v>103.9</v>
      </c>
      <c r="BG108" s="8">
        <v>103.58</v>
      </c>
      <c r="BH108" s="8">
        <v>103.94</v>
      </c>
      <c r="BI108" s="8">
        <v>104.18</v>
      </c>
      <c r="BJ108" s="8">
        <v>103.67</v>
      </c>
      <c r="BK108" s="8">
        <v>102.6</v>
      </c>
      <c r="BL108" s="8">
        <v>104.1</v>
      </c>
      <c r="BM108" s="8">
        <v>102.43</v>
      </c>
      <c r="BN108" s="8">
        <v>101.66</v>
      </c>
      <c r="BO108" s="8">
        <v>101.71</v>
      </c>
      <c r="BP108" s="8">
        <v>100</v>
      </c>
      <c r="BQ108" s="8">
        <v>100.55</v>
      </c>
      <c r="BR108" s="8">
        <v>100.23</v>
      </c>
      <c r="BS108" s="8">
        <v>100.23</v>
      </c>
      <c r="BT108" s="8">
        <v>101.18</v>
      </c>
      <c r="BU108" s="8">
        <v>101.18</v>
      </c>
      <c r="BV108" s="8">
        <v>100.48</v>
      </c>
      <c r="BW108" s="8">
        <v>101</v>
      </c>
      <c r="BX108" s="8">
        <v>100</v>
      </c>
      <c r="BY108" s="8">
        <v>99.88</v>
      </c>
      <c r="BZ108" s="8">
        <v>100</v>
      </c>
      <c r="CA108" s="8">
        <v>99.82</v>
      </c>
      <c r="CB108" s="8">
        <v>99.75</v>
      </c>
      <c r="CC108" s="8">
        <v>100.73</v>
      </c>
      <c r="CD108" s="8">
        <v>102.3</v>
      </c>
      <c r="CE108" s="8">
        <v>102.63</v>
      </c>
      <c r="CF108" s="8">
        <v>100.52</v>
      </c>
      <c r="CG108" s="8">
        <v>101.29</v>
      </c>
      <c r="CH108" s="8">
        <v>101.29</v>
      </c>
      <c r="CI108" s="8">
        <v>100.77</v>
      </c>
      <c r="CJ108" s="8">
        <v>98.62</v>
      </c>
      <c r="CK108" s="8">
        <v>99.39</v>
      </c>
      <c r="CL108" s="8">
        <v>103.35</v>
      </c>
      <c r="CM108" s="8">
        <v>101.64</v>
      </c>
      <c r="CN108" s="8">
        <v>99.64</v>
      </c>
      <c r="CO108" s="8">
        <v>100.01</v>
      </c>
      <c r="CP108" s="8">
        <v>99.22</v>
      </c>
      <c r="CQ108" s="8">
        <v>99.83</v>
      </c>
      <c r="CR108" s="8">
        <v>100.66</v>
      </c>
      <c r="CS108" s="8">
        <v>101.95</v>
      </c>
      <c r="CT108" s="8">
        <v>100</v>
      </c>
      <c r="CU108" s="8">
        <v>100.17</v>
      </c>
      <c r="CV108" s="8">
        <v>100.39</v>
      </c>
      <c r="CW108" s="8">
        <v>100.43</v>
      </c>
      <c r="CX108" s="8">
        <v>100.48</v>
      </c>
      <c r="CY108" s="8">
        <v>100</v>
      </c>
      <c r="CZ108" s="8">
        <v>100.38</v>
      </c>
      <c r="DA108" s="8">
        <v>100.43</v>
      </c>
      <c r="DB108" s="8">
        <v>100</v>
      </c>
      <c r="DC108" s="8">
        <v>100.03</v>
      </c>
      <c r="DD108" s="8">
        <v>100.03</v>
      </c>
      <c r="DE108" s="8">
        <v>100.27</v>
      </c>
      <c r="DF108" s="8">
        <v>100.98</v>
      </c>
      <c r="DG108" s="8">
        <v>99.26</v>
      </c>
      <c r="DH108" s="8">
        <v>100.66</v>
      </c>
      <c r="DI108" s="8">
        <v>100</v>
      </c>
      <c r="DJ108" s="8">
        <v>100</v>
      </c>
      <c r="DK108" s="8">
        <v>100</v>
      </c>
      <c r="DL108" s="8">
        <v>99.8</v>
      </c>
      <c r="DM108" s="8">
        <v>99.8</v>
      </c>
      <c r="DN108" s="8">
        <v>100.56</v>
      </c>
      <c r="DO108" s="8">
        <v>99.76</v>
      </c>
      <c r="DP108" s="8">
        <v>98.39</v>
      </c>
      <c r="DQ108" s="8">
        <v>99.37</v>
      </c>
      <c r="DR108" s="8">
        <v>98.83</v>
      </c>
      <c r="DS108" s="8">
        <v>99.94</v>
      </c>
      <c r="DT108" s="8">
        <v>99.71</v>
      </c>
      <c r="DU108" s="8">
        <v>100.42</v>
      </c>
      <c r="DV108" s="8">
        <v>99.43</v>
      </c>
      <c r="DW108" s="8">
        <v>96.16</v>
      </c>
      <c r="DX108" s="8">
        <v>103.42</v>
      </c>
      <c r="DY108" s="8">
        <v>89.14</v>
      </c>
      <c r="DZ108" s="8">
        <v>100.71</v>
      </c>
      <c r="EA108" s="8">
        <v>101.68</v>
      </c>
      <c r="EB108" s="8">
        <v>101.67</v>
      </c>
      <c r="EC108" s="8">
        <v>99.86</v>
      </c>
      <c r="ED108" s="8">
        <v>100.85</v>
      </c>
      <c r="EE108" s="8">
        <v>100.65</v>
      </c>
      <c r="EF108" s="8">
        <v>99.95</v>
      </c>
      <c r="EG108" s="8">
        <v>100.04</v>
      </c>
      <c r="EH108" s="8">
        <v>100.04</v>
      </c>
      <c r="EI108" s="8">
        <v>100.14</v>
      </c>
      <c r="EJ108" s="8">
        <v>100</v>
      </c>
      <c r="EK108" s="8">
        <v>100</v>
      </c>
      <c r="EL108" s="8">
        <v>100.49</v>
      </c>
      <c r="EM108" s="8">
        <v>101.26</v>
      </c>
      <c r="EN108" s="8">
        <v>101.26</v>
      </c>
      <c r="EO108" s="8">
        <v>100.17</v>
      </c>
      <c r="EP108" s="8">
        <v>101.1</v>
      </c>
      <c r="EQ108" s="8">
        <v>100</v>
      </c>
      <c r="ER108" s="8">
        <v>100.11</v>
      </c>
      <c r="ES108" s="8">
        <v>100.1</v>
      </c>
      <c r="ET108" s="8">
        <v>100.21</v>
      </c>
      <c r="EU108" s="8">
        <v>100.49</v>
      </c>
      <c r="EV108" s="8">
        <v>100.2</v>
      </c>
      <c r="EW108" s="8">
        <v>100.42</v>
      </c>
      <c r="EX108" s="8">
        <v>99.08</v>
      </c>
      <c r="EY108" s="8">
        <v>100.76</v>
      </c>
      <c r="EZ108" s="8">
        <v>102.61</v>
      </c>
      <c r="FA108" s="8">
        <v>99.38</v>
      </c>
      <c r="FB108" s="8">
        <v>101.75</v>
      </c>
      <c r="FC108" s="8">
        <v>99.72</v>
      </c>
      <c r="FD108" s="8">
        <v>100.74</v>
      </c>
      <c r="FE108" s="8">
        <v>100.01</v>
      </c>
      <c r="FF108" s="8">
        <v>99.75</v>
      </c>
      <c r="FG108" s="8">
        <v>99.62</v>
      </c>
      <c r="FH108" s="8">
        <v>99.9</v>
      </c>
      <c r="FI108" s="8">
        <v>99.78</v>
      </c>
      <c r="FJ108" s="8">
        <v>99.84</v>
      </c>
      <c r="FK108" s="8">
        <v>101.14</v>
      </c>
      <c r="FL108" s="8">
        <v>98.82</v>
      </c>
      <c r="FM108" s="8">
        <v>99.75</v>
      </c>
      <c r="FN108" s="8">
        <v>101.57</v>
      </c>
      <c r="FO108" s="8">
        <v>99.46</v>
      </c>
      <c r="FP108" s="8">
        <v>100.84</v>
      </c>
      <c r="FQ108" s="8">
        <v>98.44</v>
      </c>
      <c r="FR108" s="8">
        <v>99.1</v>
      </c>
      <c r="FS108" s="8">
        <v>100.44</v>
      </c>
      <c r="FT108" s="8">
        <v>99.77</v>
      </c>
      <c r="FU108" s="8">
        <v>99.65</v>
      </c>
      <c r="FV108" s="8">
        <v>99.81</v>
      </c>
      <c r="FW108" s="8">
        <v>100.21</v>
      </c>
      <c r="FX108" s="8">
        <v>100.18</v>
      </c>
      <c r="FY108" s="8">
        <v>100.24</v>
      </c>
      <c r="FZ108" s="8">
        <v>99.99</v>
      </c>
      <c r="GA108" s="8">
        <v>99.75</v>
      </c>
      <c r="GB108" s="8">
        <v>98.94</v>
      </c>
      <c r="GC108" s="8">
        <v>99.49</v>
      </c>
      <c r="GD108" s="8">
        <v>100.37</v>
      </c>
      <c r="GE108" s="8">
        <v>100.46</v>
      </c>
      <c r="GF108" s="8">
        <v>100.46</v>
      </c>
      <c r="GG108" s="8">
        <v>103.65</v>
      </c>
      <c r="GH108" s="8">
        <v>103.97</v>
      </c>
      <c r="GI108" s="8">
        <v>104.36</v>
      </c>
      <c r="GJ108" s="8">
        <v>104.23</v>
      </c>
      <c r="GK108" s="8">
        <v>102.54</v>
      </c>
      <c r="GL108" s="8">
        <v>103.32</v>
      </c>
      <c r="GM108" s="8">
        <v>102.45</v>
      </c>
      <c r="GN108" s="8">
        <v>102.64</v>
      </c>
      <c r="GO108" s="8">
        <v>105.86</v>
      </c>
      <c r="GP108" s="8">
        <v>102.84</v>
      </c>
      <c r="GQ108" s="8">
        <v>103.07</v>
      </c>
      <c r="GR108" s="8">
        <v>101.04</v>
      </c>
      <c r="GS108" s="8">
        <v>100.1</v>
      </c>
      <c r="GT108" s="8">
        <v>100.11</v>
      </c>
      <c r="GU108" s="8">
        <v>100.11</v>
      </c>
      <c r="GV108" s="8">
        <v>100.36</v>
      </c>
      <c r="GW108" s="8">
        <v>100.36</v>
      </c>
      <c r="GX108" s="8">
        <v>100.24</v>
      </c>
      <c r="GY108" s="8">
        <v>100.44</v>
      </c>
      <c r="GZ108" s="8">
        <v>100</v>
      </c>
      <c r="HA108" s="8">
        <v>99.62</v>
      </c>
      <c r="HB108" s="8">
        <v>100</v>
      </c>
      <c r="HC108" s="8">
        <v>99.68</v>
      </c>
      <c r="HD108" s="8">
        <v>99.07</v>
      </c>
      <c r="HE108" s="8">
        <v>99.97</v>
      </c>
      <c r="HF108" s="8">
        <v>98.82</v>
      </c>
      <c r="HG108" s="8">
        <v>98.38</v>
      </c>
      <c r="HH108" s="8">
        <v>100.95</v>
      </c>
      <c r="HI108" s="8">
        <v>100.27</v>
      </c>
      <c r="HJ108" s="8">
        <v>100.27</v>
      </c>
      <c r="HK108" s="8">
        <v>100.69</v>
      </c>
      <c r="HL108" s="8">
        <v>100.68</v>
      </c>
      <c r="HM108" s="8">
        <v>104.41</v>
      </c>
      <c r="HN108" s="8">
        <v>99.56</v>
      </c>
      <c r="HO108" s="8">
        <v>99.67</v>
      </c>
      <c r="HP108" s="8">
        <v>99.82</v>
      </c>
      <c r="HQ108" s="8">
        <v>100.24</v>
      </c>
      <c r="HR108" s="8">
        <v>99.4</v>
      </c>
      <c r="HS108" s="8">
        <v>100.02</v>
      </c>
      <c r="HT108" s="8">
        <v>100.61</v>
      </c>
      <c r="HU108" s="8">
        <v>100.94</v>
      </c>
      <c r="HV108" s="8">
        <v>100.02</v>
      </c>
      <c r="HW108" s="8">
        <v>101.2</v>
      </c>
      <c r="HX108" s="8">
        <v>100.02</v>
      </c>
      <c r="HY108" s="8">
        <v>100.6</v>
      </c>
      <c r="HZ108" s="8">
        <v>100.55</v>
      </c>
      <c r="IA108" s="8">
        <v>100.87</v>
      </c>
      <c r="IB108" s="8">
        <v>99.9</v>
      </c>
      <c r="IC108" s="8">
        <v>99.84</v>
      </c>
      <c r="ID108" s="8">
        <v>100.53</v>
      </c>
      <c r="IE108" s="8">
        <v>99.47</v>
      </c>
      <c r="IF108" s="8">
        <v>99.46</v>
      </c>
      <c r="IG108" s="8">
        <v>100.5</v>
      </c>
      <c r="IH108" s="8">
        <v>101.4</v>
      </c>
      <c r="II108" s="8">
        <v>97.32</v>
      </c>
      <c r="IJ108" s="8">
        <v>100.1</v>
      </c>
      <c r="IK108" s="8">
        <v>100</v>
      </c>
      <c r="IL108" s="8">
        <v>100</v>
      </c>
      <c r="IM108" s="8">
        <v>100</v>
      </c>
      <c r="IN108" s="8">
        <v>99.82</v>
      </c>
      <c r="IO108" s="8">
        <v>99.82</v>
      </c>
      <c r="IP108" s="8">
        <v>100.56</v>
      </c>
      <c r="IQ108" s="8">
        <v>99.78</v>
      </c>
    </row>
    <row r="109" spans="1:251" x14ac:dyDescent="0.2">
      <c r="A109" s="9">
        <v>45962</v>
      </c>
      <c r="B109" s="8">
        <v>100.01</v>
      </c>
      <c r="C109" s="8">
        <v>100.44</v>
      </c>
      <c r="D109" s="8">
        <v>105.47</v>
      </c>
      <c r="E109" s="8">
        <v>100.02</v>
      </c>
      <c r="F109" s="8">
        <v>100.02</v>
      </c>
      <c r="G109" s="8">
        <v>100.15</v>
      </c>
      <c r="H109" s="8">
        <v>100</v>
      </c>
      <c r="I109" s="8">
        <v>100</v>
      </c>
      <c r="J109" s="8">
        <v>100.32</v>
      </c>
      <c r="K109" s="8">
        <v>101.49</v>
      </c>
      <c r="L109" s="8">
        <v>101.49</v>
      </c>
      <c r="M109" s="8">
        <v>100.01</v>
      </c>
      <c r="N109" s="8">
        <v>100.09</v>
      </c>
      <c r="O109" s="8">
        <v>100</v>
      </c>
      <c r="P109" s="8">
        <v>99.96</v>
      </c>
      <c r="Q109" s="8">
        <v>100.97</v>
      </c>
      <c r="R109" s="8">
        <v>100.86</v>
      </c>
      <c r="S109" s="8">
        <v>100.64</v>
      </c>
      <c r="T109" s="8">
        <v>100.83</v>
      </c>
      <c r="U109" s="8">
        <v>103.61</v>
      </c>
      <c r="V109" s="8">
        <v>99.96</v>
      </c>
      <c r="W109" s="8">
        <v>101.18</v>
      </c>
      <c r="X109" s="8">
        <v>103.83</v>
      </c>
      <c r="Y109" s="8">
        <v>100.23</v>
      </c>
      <c r="Z109" s="8">
        <v>100.5</v>
      </c>
      <c r="AA109" s="8">
        <v>99.85</v>
      </c>
      <c r="AB109" s="8">
        <v>101.8</v>
      </c>
      <c r="AC109" s="8">
        <v>99.59</v>
      </c>
      <c r="AD109" s="8">
        <v>100.71</v>
      </c>
      <c r="AE109" s="8">
        <v>101.75</v>
      </c>
      <c r="AF109" s="8">
        <v>99.62</v>
      </c>
      <c r="AG109" s="8">
        <v>100.18</v>
      </c>
      <c r="AH109" s="8">
        <v>102.79</v>
      </c>
      <c r="AI109" s="8">
        <v>104.62</v>
      </c>
      <c r="AJ109" s="8">
        <v>101.29</v>
      </c>
      <c r="AK109" s="8">
        <v>99.9</v>
      </c>
      <c r="AL109" s="8">
        <v>98.58</v>
      </c>
      <c r="AM109" s="8">
        <v>100.08</v>
      </c>
      <c r="AN109" s="8">
        <v>100.59</v>
      </c>
      <c r="AO109" s="8">
        <v>99.21</v>
      </c>
      <c r="AP109" s="8">
        <v>99.28</v>
      </c>
      <c r="AQ109" s="8">
        <v>101.08</v>
      </c>
      <c r="AR109" s="8">
        <v>99.75</v>
      </c>
      <c r="AS109" s="8">
        <v>100.21</v>
      </c>
      <c r="AT109" s="8">
        <v>99.63</v>
      </c>
      <c r="AU109" s="8">
        <v>101.05</v>
      </c>
      <c r="AV109" s="8">
        <v>101.45</v>
      </c>
      <c r="AW109" s="8">
        <v>100.68</v>
      </c>
      <c r="AX109" s="8">
        <v>100.34</v>
      </c>
      <c r="AY109" s="8">
        <v>99.62</v>
      </c>
      <c r="AZ109" s="8">
        <v>100.12</v>
      </c>
      <c r="BA109" s="8">
        <v>98.83</v>
      </c>
      <c r="BB109" s="8">
        <v>99.89</v>
      </c>
      <c r="BC109" s="8">
        <v>101.89</v>
      </c>
      <c r="BD109" s="8">
        <v>101.89</v>
      </c>
      <c r="BE109" s="8">
        <v>99.06</v>
      </c>
      <c r="BF109" s="8">
        <v>101.64</v>
      </c>
      <c r="BG109" s="8">
        <v>101.44</v>
      </c>
      <c r="BH109" s="8">
        <v>101.16</v>
      </c>
      <c r="BI109" s="8">
        <v>103.55</v>
      </c>
      <c r="BJ109" s="8">
        <v>94.77</v>
      </c>
      <c r="BK109" s="8">
        <v>97.17</v>
      </c>
      <c r="BL109" s="8">
        <v>94.23</v>
      </c>
      <c r="BM109" s="8">
        <v>95.1</v>
      </c>
      <c r="BN109" s="8">
        <v>96.17</v>
      </c>
      <c r="BO109" s="8">
        <v>96.04</v>
      </c>
      <c r="BP109" s="8">
        <v>100</v>
      </c>
      <c r="BQ109" s="8">
        <v>100.7</v>
      </c>
      <c r="BR109" s="8">
        <v>100.68</v>
      </c>
      <c r="BS109" s="8">
        <v>100.68</v>
      </c>
      <c r="BT109" s="8">
        <v>101.01</v>
      </c>
      <c r="BU109" s="8">
        <v>101.01</v>
      </c>
      <c r="BV109" s="8">
        <v>100.82</v>
      </c>
      <c r="BW109" s="8">
        <v>101.7</v>
      </c>
      <c r="BX109" s="8">
        <v>100</v>
      </c>
      <c r="BY109" s="8">
        <v>99.9</v>
      </c>
      <c r="BZ109" s="8">
        <v>100</v>
      </c>
      <c r="CA109" s="8">
        <v>99.82</v>
      </c>
      <c r="CB109" s="8">
        <v>100</v>
      </c>
      <c r="CC109" s="8">
        <v>99.58</v>
      </c>
      <c r="CD109" s="8">
        <v>96.88</v>
      </c>
      <c r="CE109" s="8">
        <v>96.47</v>
      </c>
      <c r="CF109" s="8">
        <v>99.09</v>
      </c>
      <c r="CG109" s="8">
        <v>99.31</v>
      </c>
      <c r="CH109" s="8">
        <v>99.31</v>
      </c>
      <c r="CI109" s="8">
        <v>101.2</v>
      </c>
      <c r="CJ109" s="8">
        <v>99.53</v>
      </c>
      <c r="CK109" s="8">
        <v>100.94</v>
      </c>
      <c r="CL109" s="8">
        <v>102.94</v>
      </c>
      <c r="CM109" s="8">
        <v>101.53</v>
      </c>
      <c r="CN109" s="8">
        <v>98.85</v>
      </c>
      <c r="CO109" s="8">
        <v>99.25</v>
      </c>
      <c r="CP109" s="8">
        <v>98.47</v>
      </c>
      <c r="CQ109" s="8">
        <v>99.01</v>
      </c>
      <c r="CR109" s="8">
        <v>100.84</v>
      </c>
      <c r="CS109" s="8">
        <v>102.11</v>
      </c>
      <c r="CT109" s="8">
        <v>100</v>
      </c>
      <c r="CU109" s="8">
        <v>100.66</v>
      </c>
      <c r="CV109" s="8">
        <v>99.66</v>
      </c>
      <c r="CW109" s="8">
        <v>99.1</v>
      </c>
      <c r="CX109" s="8">
        <v>99</v>
      </c>
      <c r="CY109" s="8">
        <v>100</v>
      </c>
      <c r="CZ109" s="8">
        <v>99.76</v>
      </c>
      <c r="DA109" s="8">
        <v>99.73</v>
      </c>
      <c r="DB109" s="8">
        <v>100</v>
      </c>
      <c r="DC109" s="8">
        <v>100.43</v>
      </c>
      <c r="DD109" s="8">
        <v>100.44</v>
      </c>
      <c r="DE109" s="8">
        <v>99.73</v>
      </c>
      <c r="DF109" s="8">
        <v>99.83</v>
      </c>
      <c r="DG109" s="8">
        <v>101.35</v>
      </c>
      <c r="DH109" s="8">
        <v>100.86</v>
      </c>
      <c r="DI109" s="8">
        <v>99.82</v>
      </c>
      <c r="DJ109" s="8">
        <v>100</v>
      </c>
      <c r="DK109" s="8">
        <v>100</v>
      </c>
      <c r="DL109" s="8">
        <v>100.25</v>
      </c>
      <c r="DM109" s="8">
        <v>100.25</v>
      </c>
      <c r="DN109" s="8">
        <v>100.63</v>
      </c>
      <c r="DO109" s="8">
        <v>100.23</v>
      </c>
      <c r="DP109" s="8">
        <v>97.19</v>
      </c>
      <c r="DQ109" s="8">
        <v>99.74</v>
      </c>
      <c r="DR109" s="8">
        <v>98.95</v>
      </c>
      <c r="DS109" s="8">
        <v>100.57</v>
      </c>
      <c r="DT109" s="8">
        <v>100.39</v>
      </c>
      <c r="DU109" s="8">
        <v>100.25</v>
      </c>
      <c r="DV109" s="8">
        <v>100.45</v>
      </c>
      <c r="DW109" s="8">
        <v>93.44</v>
      </c>
      <c r="DX109" s="8">
        <v>99.08</v>
      </c>
      <c r="DY109" s="8">
        <v>87.98</v>
      </c>
      <c r="DZ109" s="8">
        <v>100.64</v>
      </c>
      <c r="EA109" s="8">
        <v>100.47</v>
      </c>
      <c r="EB109" s="8">
        <v>100.77</v>
      </c>
      <c r="EC109" s="8">
        <v>101.87</v>
      </c>
      <c r="ED109" s="8">
        <v>100.87</v>
      </c>
      <c r="EE109" s="8">
        <v>100.73</v>
      </c>
      <c r="EF109" s="8">
        <v>99.41</v>
      </c>
      <c r="EG109" s="8">
        <v>100.05</v>
      </c>
      <c r="EH109" s="8">
        <v>100.05</v>
      </c>
      <c r="EI109" s="8">
        <v>100.18</v>
      </c>
      <c r="EJ109" s="8">
        <v>100</v>
      </c>
      <c r="EK109" s="8">
        <v>100</v>
      </c>
      <c r="EL109" s="8">
        <v>100.57</v>
      </c>
      <c r="EM109" s="8">
        <v>101.88</v>
      </c>
      <c r="EN109" s="8">
        <v>101.88</v>
      </c>
      <c r="EO109" s="8">
        <v>100.01</v>
      </c>
      <c r="EP109" s="8">
        <v>100.09</v>
      </c>
      <c r="EQ109" s="8">
        <v>100</v>
      </c>
      <c r="ER109" s="8">
        <v>100.17</v>
      </c>
      <c r="ES109" s="8">
        <v>100.35</v>
      </c>
      <c r="ET109" s="8">
        <v>100.77</v>
      </c>
      <c r="EU109" s="8">
        <v>100.96</v>
      </c>
      <c r="EV109" s="8">
        <v>100.44</v>
      </c>
      <c r="EW109" s="8">
        <v>103.57</v>
      </c>
      <c r="EX109" s="8">
        <v>99.74</v>
      </c>
      <c r="EY109" s="8">
        <v>101.26</v>
      </c>
      <c r="EZ109" s="8">
        <v>104.15</v>
      </c>
      <c r="FA109" s="8">
        <v>100.64</v>
      </c>
      <c r="FB109" s="8">
        <v>100.87</v>
      </c>
      <c r="FC109" s="8">
        <v>100.15</v>
      </c>
      <c r="FD109" s="8">
        <v>101.7</v>
      </c>
      <c r="FE109" s="8">
        <v>98.67</v>
      </c>
      <c r="FF109" s="8">
        <v>100.42</v>
      </c>
      <c r="FG109" s="8">
        <v>100.92</v>
      </c>
      <c r="FH109" s="8">
        <v>99.6</v>
      </c>
      <c r="FI109" s="8">
        <v>100.64</v>
      </c>
      <c r="FJ109" s="8">
        <v>99.31</v>
      </c>
      <c r="FK109" s="8">
        <v>100.94</v>
      </c>
      <c r="FL109" s="8">
        <v>98.03</v>
      </c>
      <c r="FM109" s="8">
        <v>100.16</v>
      </c>
      <c r="FN109" s="8">
        <v>100.36</v>
      </c>
      <c r="FO109" s="8">
        <v>100.03</v>
      </c>
      <c r="FP109" s="8">
        <v>100.75</v>
      </c>
      <c r="FQ109" s="8">
        <v>98.7</v>
      </c>
      <c r="FR109" s="8">
        <v>99.65</v>
      </c>
      <c r="FS109" s="8">
        <v>101.3</v>
      </c>
      <c r="FT109" s="8">
        <v>99.78</v>
      </c>
      <c r="FU109" s="8">
        <v>100.27</v>
      </c>
      <c r="FV109" s="8">
        <v>99.62</v>
      </c>
      <c r="FW109" s="8">
        <v>100.43</v>
      </c>
      <c r="FX109" s="8">
        <v>100.38</v>
      </c>
      <c r="FY109" s="8">
        <v>100.48</v>
      </c>
      <c r="FZ109" s="8">
        <v>100.11</v>
      </c>
      <c r="GA109" s="8">
        <v>99.51</v>
      </c>
      <c r="GB109" s="8">
        <v>99.38</v>
      </c>
      <c r="GC109" s="8">
        <v>98.79</v>
      </c>
      <c r="GD109" s="8">
        <v>100.25</v>
      </c>
      <c r="GE109" s="8">
        <v>101.25</v>
      </c>
      <c r="GF109" s="8">
        <v>101.25</v>
      </c>
      <c r="GG109" s="8">
        <v>99.97</v>
      </c>
      <c r="GH109" s="8">
        <v>100.53</v>
      </c>
      <c r="GI109" s="8">
        <v>102.23</v>
      </c>
      <c r="GJ109" s="8">
        <v>99.62</v>
      </c>
      <c r="GK109" s="8">
        <v>101</v>
      </c>
      <c r="GL109" s="8">
        <v>96.54</v>
      </c>
      <c r="GM109" s="8">
        <v>99.86</v>
      </c>
      <c r="GN109" s="8">
        <v>94.27</v>
      </c>
      <c r="GO109" s="8">
        <v>98.35</v>
      </c>
      <c r="GP109" s="8">
        <v>100.85</v>
      </c>
      <c r="GQ109" s="8">
        <v>100.8</v>
      </c>
      <c r="GR109" s="8">
        <v>101.19</v>
      </c>
      <c r="GS109" s="8">
        <v>100.45</v>
      </c>
      <c r="GT109" s="8">
        <v>100.71</v>
      </c>
      <c r="GU109" s="8">
        <v>100.71</v>
      </c>
      <c r="GV109" s="8">
        <v>100.65</v>
      </c>
      <c r="GW109" s="8">
        <v>100.65</v>
      </c>
      <c r="GX109" s="8">
        <v>100.2</v>
      </c>
      <c r="GY109" s="8">
        <v>100.38</v>
      </c>
      <c r="GZ109" s="8">
        <v>100</v>
      </c>
      <c r="HA109" s="8">
        <v>100.03</v>
      </c>
      <c r="HB109" s="8">
        <v>100</v>
      </c>
      <c r="HC109" s="8">
        <v>100.29</v>
      </c>
      <c r="HD109" s="8">
        <v>99.07</v>
      </c>
      <c r="HE109" s="8">
        <v>99.45</v>
      </c>
      <c r="HF109" s="8">
        <v>96.33</v>
      </c>
      <c r="HG109" s="8">
        <v>95.47</v>
      </c>
      <c r="HH109" s="8">
        <v>100.47</v>
      </c>
      <c r="HI109" s="8">
        <v>100.46</v>
      </c>
      <c r="HJ109" s="8">
        <v>100.46</v>
      </c>
      <c r="HK109" s="8">
        <v>101.1</v>
      </c>
      <c r="HL109" s="8">
        <v>104.28</v>
      </c>
      <c r="HM109" s="8">
        <v>105.29</v>
      </c>
      <c r="HN109" s="8">
        <v>97.76</v>
      </c>
      <c r="HO109" s="8">
        <v>100.55</v>
      </c>
      <c r="HP109" s="8">
        <v>98.92</v>
      </c>
      <c r="HQ109" s="8">
        <v>99.06</v>
      </c>
      <c r="HR109" s="8">
        <v>98.72</v>
      </c>
      <c r="HS109" s="8">
        <v>99.03</v>
      </c>
      <c r="HT109" s="8">
        <v>101.4</v>
      </c>
      <c r="HU109" s="8">
        <v>100.69</v>
      </c>
      <c r="HV109" s="8">
        <v>101.73</v>
      </c>
      <c r="HW109" s="8">
        <v>101.47</v>
      </c>
      <c r="HX109" s="8">
        <v>99.64</v>
      </c>
      <c r="HY109" s="8">
        <v>99.44</v>
      </c>
      <c r="HZ109" s="8">
        <v>99.19</v>
      </c>
      <c r="IA109" s="8">
        <v>100.87</v>
      </c>
      <c r="IB109" s="8">
        <v>99.68</v>
      </c>
      <c r="IC109" s="8">
        <v>99.6</v>
      </c>
      <c r="ID109" s="8">
        <v>100.53</v>
      </c>
      <c r="IE109" s="8">
        <v>100.54</v>
      </c>
      <c r="IF109" s="8">
        <v>100.55</v>
      </c>
      <c r="IG109" s="8">
        <v>99.51</v>
      </c>
      <c r="IH109" s="8">
        <v>103.2</v>
      </c>
      <c r="II109" s="8">
        <v>101.01</v>
      </c>
      <c r="IJ109" s="8">
        <v>100.32</v>
      </c>
      <c r="IK109" s="8">
        <v>100</v>
      </c>
      <c r="IL109" s="8">
        <v>100</v>
      </c>
      <c r="IM109" s="8">
        <v>100</v>
      </c>
      <c r="IN109" s="8">
        <v>100.27</v>
      </c>
      <c r="IO109" s="8">
        <v>100.27</v>
      </c>
      <c r="IP109" s="8">
        <v>100.63</v>
      </c>
      <c r="IQ109" s="8">
        <v>100.25</v>
      </c>
    </row>
    <row r="110" spans="1:251" x14ac:dyDescent="0.2">
      <c r="A110" s="9">
        <v>45992</v>
      </c>
      <c r="B110" s="8">
        <v>100.22</v>
      </c>
      <c r="C110" s="8">
        <v>100.6</v>
      </c>
      <c r="D110" s="8">
        <v>105</v>
      </c>
      <c r="E110" s="8">
        <v>100.03</v>
      </c>
      <c r="F110" s="8">
        <v>100.03</v>
      </c>
      <c r="G110" s="8">
        <v>100.23</v>
      </c>
      <c r="H110" s="8">
        <v>100</v>
      </c>
      <c r="I110" s="8">
        <v>100</v>
      </c>
      <c r="J110" s="8">
        <v>100.68</v>
      </c>
      <c r="K110" s="8">
        <v>101.87</v>
      </c>
      <c r="L110" s="8">
        <v>101.87</v>
      </c>
      <c r="M110" s="8">
        <v>100.37</v>
      </c>
      <c r="N110" s="8">
        <v>99.92</v>
      </c>
      <c r="O110" s="8">
        <v>100.4</v>
      </c>
      <c r="P110" s="8">
        <v>100.98</v>
      </c>
      <c r="Q110" s="8">
        <v>101.12</v>
      </c>
      <c r="R110" s="8">
        <v>101.89</v>
      </c>
      <c r="S110" s="8">
        <v>101.33</v>
      </c>
      <c r="T110" s="8">
        <v>101.15</v>
      </c>
      <c r="U110" s="8">
        <v>111.28</v>
      </c>
      <c r="V110" s="8">
        <v>101.1</v>
      </c>
      <c r="W110" s="8">
        <v>101.52</v>
      </c>
      <c r="X110" s="8">
        <v>103.08</v>
      </c>
      <c r="Y110" s="8">
        <v>99.41</v>
      </c>
      <c r="Z110" s="8">
        <v>100.27</v>
      </c>
      <c r="AA110" s="8">
        <v>100.67</v>
      </c>
      <c r="AB110" s="8">
        <v>103.35</v>
      </c>
      <c r="AC110" s="8">
        <v>101.07</v>
      </c>
      <c r="AD110" s="8">
        <v>101.3</v>
      </c>
      <c r="AE110" s="8">
        <v>102.06</v>
      </c>
      <c r="AF110" s="8">
        <v>100.13</v>
      </c>
      <c r="AG110" s="8">
        <v>101.29</v>
      </c>
      <c r="AH110" s="8">
        <v>101.85</v>
      </c>
      <c r="AI110" s="8">
        <v>101.5</v>
      </c>
      <c r="AJ110" s="8">
        <v>102.13</v>
      </c>
      <c r="AK110" s="8">
        <v>100.89</v>
      </c>
      <c r="AL110" s="8">
        <v>98.44</v>
      </c>
      <c r="AM110" s="8">
        <v>100.02</v>
      </c>
      <c r="AN110" s="8">
        <v>99.89</v>
      </c>
      <c r="AO110" s="8">
        <v>98.37</v>
      </c>
      <c r="AP110" s="8">
        <v>101.19</v>
      </c>
      <c r="AQ110" s="8">
        <v>102.68</v>
      </c>
      <c r="AR110" s="8">
        <v>99.34</v>
      </c>
      <c r="AS110" s="8">
        <v>102.98</v>
      </c>
      <c r="AT110" s="8">
        <v>98.44</v>
      </c>
      <c r="AU110" s="8">
        <v>101</v>
      </c>
      <c r="AV110" s="8">
        <v>101.74</v>
      </c>
      <c r="AW110" s="8">
        <v>100.33</v>
      </c>
      <c r="AX110" s="8">
        <v>100.07</v>
      </c>
      <c r="AY110" s="8">
        <v>99.09</v>
      </c>
      <c r="AZ110" s="8">
        <v>99.68</v>
      </c>
      <c r="BA110" s="8">
        <v>98.32</v>
      </c>
      <c r="BB110" s="8">
        <v>99.3</v>
      </c>
      <c r="BC110" s="8">
        <v>102.17</v>
      </c>
      <c r="BD110" s="8">
        <v>102.17</v>
      </c>
      <c r="BE110" s="8">
        <v>98.24</v>
      </c>
      <c r="BF110" s="8">
        <v>100.25</v>
      </c>
      <c r="BG110" s="8">
        <v>98.05</v>
      </c>
      <c r="BH110" s="8">
        <v>100.98</v>
      </c>
      <c r="BI110" s="8">
        <v>100.49</v>
      </c>
      <c r="BJ110" s="8">
        <v>93.3</v>
      </c>
      <c r="BK110" s="8">
        <v>93.9</v>
      </c>
      <c r="BL110" s="8">
        <v>92.69</v>
      </c>
      <c r="BM110" s="8">
        <v>96.25</v>
      </c>
      <c r="BN110" s="8">
        <v>96.75</v>
      </c>
      <c r="BO110" s="8">
        <v>96.64</v>
      </c>
      <c r="BP110" s="8">
        <v>100</v>
      </c>
      <c r="BQ110" s="8">
        <v>101</v>
      </c>
      <c r="BR110" s="8">
        <v>100.92</v>
      </c>
      <c r="BS110" s="8">
        <v>100.92</v>
      </c>
      <c r="BT110" s="8">
        <v>101.66</v>
      </c>
      <c r="BU110" s="8">
        <v>101.66</v>
      </c>
      <c r="BV110" s="8">
        <v>100.89</v>
      </c>
      <c r="BW110" s="8">
        <v>101.85</v>
      </c>
      <c r="BX110" s="8">
        <v>100</v>
      </c>
      <c r="BY110" s="8">
        <v>99.78</v>
      </c>
      <c r="BZ110" s="8">
        <v>100</v>
      </c>
      <c r="CA110" s="8">
        <v>99.82</v>
      </c>
      <c r="CB110" s="8">
        <v>98.35</v>
      </c>
      <c r="CC110" s="8">
        <v>100.2</v>
      </c>
      <c r="CD110" s="8">
        <v>102.65</v>
      </c>
      <c r="CE110" s="8">
        <v>103.1</v>
      </c>
      <c r="CF110" s="8">
        <v>100.29</v>
      </c>
      <c r="CG110" s="8">
        <v>95.32</v>
      </c>
      <c r="CH110" s="8">
        <v>95.32</v>
      </c>
      <c r="CI110" s="8">
        <v>96.11</v>
      </c>
      <c r="CJ110" s="8">
        <v>97.85</v>
      </c>
      <c r="CK110" s="8">
        <v>92.57</v>
      </c>
      <c r="CL110" s="8">
        <v>91.56</v>
      </c>
      <c r="CM110" s="8">
        <v>101.25</v>
      </c>
      <c r="CN110" s="8">
        <v>100.18</v>
      </c>
      <c r="CO110" s="8">
        <v>101.96</v>
      </c>
      <c r="CP110" s="8">
        <v>101.14</v>
      </c>
      <c r="CQ110" s="8">
        <v>99.25</v>
      </c>
      <c r="CR110" s="8">
        <v>101.45</v>
      </c>
      <c r="CS110" s="8">
        <v>102.32</v>
      </c>
      <c r="CT110" s="8">
        <v>100.93</v>
      </c>
      <c r="CU110" s="8">
        <v>101.24</v>
      </c>
      <c r="CV110" s="8">
        <v>99.24</v>
      </c>
      <c r="CW110" s="8">
        <v>98.33</v>
      </c>
      <c r="CX110" s="8">
        <v>98.13</v>
      </c>
      <c r="CY110" s="8">
        <v>100</v>
      </c>
      <c r="CZ110" s="8">
        <v>99.42</v>
      </c>
      <c r="DA110" s="8">
        <v>99.34</v>
      </c>
      <c r="DB110" s="8">
        <v>100</v>
      </c>
      <c r="DC110" s="8">
        <v>100.03</v>
      </c>
      <c r="DD110" s="8">
        <v>100.03</v>
      </c>
      <c r="DE110" s="8">
        <v>100.42</v>
      </c>
      <c r="DF110" s="8">
        <v>95.18</v>
      </c>
      <c r="DG110" s="8">
        <v>100.4</v>
      </c>
      <c r="DH110" s="8">
        <v>100.96</v>
      </c>
      <c r="DI110" s="8">
        <v>100.04</v>
      </c>
      <c r="DJ110" s="8">
        <v>100</v>
      </c>
      <c r="DK110" s="8">
        <v>100</v>
      </c>
      <c r="DL110" s="8">
        <v>99.8</v>
      </c>
      <c r="DM110" s="8">
        <v>99.8</v>
      </c>
      <c r="DN110" s="8">
        <v>100.87</v>
      </c>
      <c r="DO110" s="8">
        <v>99.75</v>
      </c>
      <c r="DP110" s="8">
        <v>104.92</v>
      </c>
      <c r="DQ110" s="8">
        <v>97.84</v>
      </c>
      <c r="DR110" s="8">
        <v>95.12</v>
      </c>
      <c r="DS110" s="8">
        <v>100.73</v>
      </c>
      <c r="DT110" s="8">
        <v>99.71</v>
      </c>
      <c r="DU110" s="8">
        <v>97.91</v>
      </c>
      <c r="DV110" s="8">
        <v>100.44</v>
      </c>
      <c r="DW110" s="8">
        <v>110.74</v>
      </c>
      <c r="DX110" s="8">
        <v>108.82</v>
      </c>
      <c r="DY110" s="8">
        <v>112.6</v>
      </c>
      <c r="DZ110" s="8">
        <v>100.87</v>
      </c>
      <c r="EA110" s="8">
        <v>98.34</v>
      </c>
      <c r="EB110" s="8">
        <v>100.13</v>
      </c>
      <c r="EC110" s="8">
        <v>102.33</v>
      </c>
      <c r="ED110" s="8">
        <v>100.87</v>
      </c>
      <c r="EE110" s="8">
        <v>100.79</v>
      </c>
      <c r="EF110" s="8">
        <v>102.28</v>
      </c>
      <c r="EG110" s="8">
        <v>100.06</v>
      </c>
      <c r="EH110" s="8">
        <v>100.06</v>
      </c>
      <c r="EI110" s="8">
        <v>100.23</v>
      </c>
      <c r="EJ110" s="8">
        <v>100</v>
      </c>
      <c r="EK110" s="8">
        <v>100</v>
      </c>
      <c r="EL110" s="8">
        <v>100.41</v>
      </c>
      <c r="EM110" s="8">
        <v>102.06</v>
      </c>
      <c r="EN110" s="8">
        <v>102.06</v>
      </c>
      <c r="EO110" s="8">
        <v>99.71</v>
      </c>
      <c r="EP110" s="8">
        <v>99.92</v>
      </c>
      <c r="EQ110" s="8">
        <v>99.67</v>
      </c>
      <c r="ER110" s="8">
        <v>101</v>
      </c>
      <c r="ES110" s="8">
        <v>100.58</v>
      </c>
      <c r="ET110" s="8">
        <v>101.7</v>
      </c>
      <c r="EU110" s="8">
        <v>101.22</v>
      </c>
      <c r="EV110" s="8">
        <v>101.11</v>
      </c>
      <c r="EW110" s="8">
        <v>110.27</v>
      </c>
      <c r="EX110" s="8">
        <v>100.98</v>
      </c>
      <c r="EY110" s="8">
        <v>101.75</v>
      </c>
      <c r="EZ110" s="8">
        <v>103.86</v>
      </c>
      <c r="FA110" s="8">
        <v>99.8</v>
      </c>
      <c r="FB110" s="8">
        <v>101.04</v>
      </c>
      <c r="FC110" s="8">
        <v>100.44</v>
      </c>
      <c r="FD110" s="8">
        <v>102.91</v>
      </c>
      <c r="FE110" s="8">
        <v>101.05</v>
      </c>
      <c r="FF110" s="8">
        <v>101.22</v>
      </c>
      <c r="FG110" s="8">
        <v>101.61</v>
      </c>
      <c r="FH110" s="8">
        <v>100.37</v>
      </c>
      <c r="FI110" s="8">
        <v>101.62</v>
      </c>
      <c r="FJ110" s="8">
        <v>98.96</v>
      </c>
      <c r="FK110" s="8">
        <v>99.95</v>
      </c>
      <c r="FL110" s="8">
        <v>98.18</v>
      </c>
      <c r="FM110" s="8">
        <v>100.82</v>
      </c>
      <c r="FN110" s="8">
        <v>95.92</v>
      </c>
      <c r="FO110" s="8">
        <v>99.94</v>
      </c>
      <c r="FP110" s="8">
        <v>99.9</v>
      </c>
      <c r="FQ110" s="8">
        <v>98.02</v>
      </c>
      <c r="FR110" s="8">
        <v>101.46</v>
      </c>
      <c r="FS110" s="8">
        <v>102.76</v>
      </c>
      <c r="FT110" s="8">
        <v>99.66</v>
      </c>
      <c r="FU110" s="8">
        <v>103.17</v>
      </c>
      <c r="FV110" s="8">
        <v>98.51</v>
      </c>
      <c r="FW110" s="8">
        <v>100.36</v>
      </c>
      <c r="FX110" s="8">
        <v>100.38</v>
      </c>
      <c r="FY110" s="8">
        <v>100.33</v>
      </c>
      <c r="FZ110" s="8">
        <v>99.82</v>
      </c>
      <c r="GA110" s="8">
        <v>98.88</v>
      </c>
      <c r="GB110" s="8">
        <v>98.98</v>
      </c>
      <c r="GC110" s="8">
        <v>97.6</v>
      </c>
      <c r="GD110" s="8">
        <v>100.04</v>
      </c>
      <c r="GE110" s="8">
        <v>101.6</v>
      </c>
      <c r="GF110" s="8">
        <v>101.6</v>
      </c>
      <c r="GG110" s="8">
        <v>97.63</v>
      </c>
      <c r="GH110" s="8">
        <v>98.27</v>
      </c>
      <c r="GI110" s="8">
        <v>98.21</v>
      </c>
      <c r="GJ110" s="8">
        <v>97.84</v>
      </c>
      <c r="GK110" s="8">
        <v>99.78</v>
      </c>
      <c r="GL110" s="8">
        <v>94.9</v>
      </c>
      <c r="GM110" s="8">
        <v>100.25</v>
      </c>
      <c r="GN110" s="8">
        <v>90.55</v>
      </c>
      <c r="GO110" s="8">
        <v>99.43</v>
      </c>
      <c r="GP110" s="8">
        <v>97.68</v>
      </c>
      <c r="GQ110" s="8">
        <v>97.22</v>
      </c>
      <c r="GR110" s="8">
        <v>101.19</v>
      </c>
      <c r="GS110" s="8">
        <v>100.6</v>
      </c>
      <c r="GT110" s="8">
        <v>101.03</v>
      </c>
      <c r="GU110" s="8">
        <v>101.03</v>
      </c>
      <c r="GV110" s="8">
        <v>100.82</v>
      </c>
      <c r="GW110" s="8">
        <v>100.82</v>
      </c>
      <c r="GX110" s="8">
        <v>100.28</v>
      </c>
      <c r="GY110" s="8">
        <v>100.52</v>
      </c>
      <c r="GZ110" s="8">
        <v>100</v>
      </c>
      <c r="HA110" s="8">
        <v>100.03</v>
      </c>
      <c r="HB110" s="8">
        <v>100</v>
      </c>
      <c r="HC110" s="8">
        <v>100.29</v>
      </c>
      <c r="HD110" s="8">
        <v>99.07</v>
      </c>
      <c r="HE110" s="8">
        <v>98.67</v>
      </c>
      <c r="HF110" s="8">
        <v>95.25</v>
      </c>
      <c r="HG110" s="8">
        <v>93.99</v>
      </c>
      <c r="HH110" s="8">
        <v>101.3</v>
      </c>
      <c r="HI110" s="8">
        <v>96.87</v>
      </c>
      <c r="HJ110" s="8">
        <v>96.87</v>
      </c>
      <c r="HK110" s="8">
        <v>95.64</v>
      </c>
      <c r="HL110" s="8">
        <v>96.06</v>
      </c>
      <c r="HM110" s="8">
        <v>97.31</v>
      </c>
      <c r="HN110" s="8">
        <v>91.76</v>
      </c>
      <c r="HO110" s="8">
        <v>100.23</v>
      </c>
      <c r="HP110" s="8">
        <v>100.29</v>
      </c>
      <c r="HQ110" s="8">
        <v>101</v>
      </c>
      <c r="HR110" s="8">
        <v>101.55</v>
      </c>
      <c r="HS110" s="8">
        <v>99.38</v>
      </c>
      <c r="HT110" s="8">
        <v>101.79</v>
      </c>
      <c r="HU110" s="8">
        <v>101.07</v>
      </c>
      <c r="HV110" s="8">
        <v>102.48</v>
      </c>
      <c r="HW110" s="8">
        <v>101.35</v>
      </c>
      <c r="HX110" s="8">
        <v>99.39</v>
      </c>
      <c r="HY110" s="8">
        <v>98.96</v>
      </c>
      <c r="HZ110" s="8">
        <v>98.92</v>
      </c>
      <c r="IA110" s="8">
        <v>99.16</v>
      </c>
      <c r="IB110" s="8">
        <v>99.48</v>
      </c>
      <c r="IC110" s="8">
        <v>99.38</v>
      </c>
      <c r="ID110" s="8">
        <v>100.53</v>
      </c>
      <c r="IE110" s="8">
        <v>99.87</v>
      </c>
      <c r="IF110" s="8">
        <v>99.9</v>
      </c>
      <c r="IG110" s="8">
        <v>100.64</v>
      </c>
      <c r="IH110" s="8">
        <v>101.08</v>
      </c>
      <c r="II110" s="8">
        <v>98.51</v>
      </c>
      <c r="IJ110" s="8">
        <v>100.32</v>
      </c>
      <c r="IK110" s="8">
        <v>100.15</v>
      </c>
      <c r="IL110" s="8">
        <v>98.32</v>
      </c>
      <c r="IM110" s="8">
        <v>98.32</v>
      </c>
      <c r="IN110" s="8">
        <v>99.82</v>
      </c>
      <c r="IO110" s="8">
        <v>99.82</v>
      </c>
      <c r="IP110" s="8">
        <v>100.87</v>
      </c>
      <c r="IQ110" s="8">
        <v>99.77</v>
      </c>
    </row>
    <row r="111" spans="1:251" x14ac:dyDescent="0.2">
      <c r="A111" s="9">
        <v>46023</v>
      </c>
      <c r="B111" s="8">
        <v>100.77</v>
      </c>
      <c r="C111" s="8">
        <v>100.76</v>
      </c>
      <c r="D111" s="8">
        <v>101.47</v>
      </c>
      <c r="E111" s="8">
        <v>100.03</v>
      </c>
      <c r="F111" s="8">
        <v>100.03</v>
      </c>
      <c r="G111" s="8">
        <v>100.21</v>
      </c>
      <c r="H111" s="8">
        <v>100</v>
      </c>
      <c r="I111" s="8">
        <v>100</v>
      </c>
      <c r="J111" s="8">
        <v>101.08</v>
      </c>
      <c r="K111" s="8">
        <v>103.73</v>
      </c>
      <c r="L111" s="8">
        <v>103.73</v>
      </c>
      <c r="M111" s="8">
        <v>100.37</v>
      </c>
      <c r="N111" s="8">
        <v>99.96</v>
      </c>
      <c r="O111" s="8">
        <v>100.4</v>
      </c>
      <c r="P111" s="8">
        <v>101.08</v>
      </c>
      <c r="Q111" s="8">
        <v>101.64</v>
      </c>
      <c r="R111" s="8">
        <v>102.16</v>
      </c>
      <c r="S111" s="8">
        <v>101.68</v>
      </c>
      <c r="T111" s="8">
        <v>102.77</v>
      </c>
      <c r="U111" s="8">
        <v>104.92</v>
      </c>
      <c r="V111" s="8">
        <v>99.36</v>
      </c>
      <c r="W111" s="8">
        <v>102.03</v>
      </c>
      <c r="X111" s="8">
        <v>105.36</v>
      </c>
      <c r="Y111" s="8">
        <v>100.21</v>
      </c>
      <c r="Z111" s="8">
        <v>98.71</v>
      </c>
      <c r="AA111" s="8">
        <v>100.72</v>
      </c>
      <c r="AB111" s="8">
        <v>103.17</v>
      </c>
      <c r="AC111" s="8">
        <v>101.49</v>
      </c>
      <c r="AD111" s="8">
        <v>100.94</v>
      </c>
      <c r="AE111" s="8">
        <v>101.75</v>
      </c>
      <c r="AF111" s="8">
        <v>100.51</v>
      </c>
      <c r="AG111" s="8">
        <v>100.1</v>
      </c>
      <c r="AH111" s="8">
        <v>102.72</v>
      </c>
      <c r="AI111" s="8">
        <v>101.61</v>
      </c>
      <c r="AJ111" s="8">
        <v>103.63</v>
      </c>
      <c r="AK111" s="8">
        <v>101.89</v>
      </c>
      <c r="AL111" s="8">
        <v>98.41</v>
      </c>
      <c r="AM111" s="8">
        <v>100.82</v>
      </c>
      <c r="AN111" s="8">
        <v>101.65</v>
      </c>
      <c r="AO111" s="8">
        <v>99.46</v>
      </c>
      <c r="AP111" s="8">
        <v>102.94</v>
      </c>
      <c r="AQ111" s="8">
        <v>102.39</v>
      </c>
      <c r="AR111" s="8">
        <v>99.9</v>
      </c>
      <c r="AS111" s="8">
        <v>100.16</v>
      </c>
      <c r="AT111" s="8">
        <v>99.83</v>
      </c>
      <c r="AU111" s="8">
        <v>101.45</v>
      </c>
      <c r="AV111" s="8">
        <v>102.27</v>
      </c>
      <c r="AW111" s="8">
        <v>100.69</v>
      </c>
      <c r="AX111" s="8">
        <v>100.49</v>
      </c>
      <c r="AY111" s="8">
        <v>99.87</v>
      </c>
      <c r="AZ111" s="8">
        <v>101.02</v>
      </c>
      <c r="BA111" s="8">
        <v>98.85</v>
      </c>
      <c r="BB111" s="8">
        <v>99.96</v>
      </c>
      <c r="BC111" s="8">
        <v>101.84</v>
      </c>
      <c r="BD111" s="8">
        <v>101.84</v>
      </c>
      <c r="BE111" s="8">
        <v>100.9</v>
      </c>
      <c r="BF111" s="8">
        <v>102.31</v>
      </c>
      <c r="BG111" s="8">
        <v>101.17</v>
      </c>
      <c r="BH111" s="8">
        <v>102.98</v>
      </c>
      <c r="BI111" s="8">
        <v>101.44</v>
      </c>
      <c r="BJ111" s="8">
        <v>97.1</v>
      </c>
      <c r="BK111" s="8">
        <v>101.44</v>
      </c>
      <c r="BL111" s="8">
        <v>95.82</v>
      </c>
      <c r="BM111" s="8">
        <v>99.51</v>
      </c>
      <c r="BN111" s="8">
        <v>100.01</v>
      </c>
      <c r="BO111" s="8">
        <v>99.99</v>
      </c>
      <c r="BP111" s="8">
        <v>100.58</v>
      </c>
      <c r="BQ111" s="8">
        <v>102.58</v>
      </c>
      <c r="BR111" s="8">
        <v>101.37</v>
      </c>
      <c r="BS111" s="8">
        <v>101.37</v>
      </c>
      <c r="BT111" s="8">
        <v>102.27</v>
      </c>
      <c r="BU111" s="8">
        <v>102.27</v>
      </c>
      <c r="BV111" s="8">
        <v>100.94</v>
      </c>
      <c r="BW111" s="8">
        <v>101.95</v>
      </c>
      <c r="BX111" s="8">
        <v>100</v>
      </c>
      <c r="BY111" s="8">
        <v>107.72</v>
      </c>
      <c r="BZ111" s="8">
        <v>100</v>
      </c>
      <c r="CA111" s="8">
        <v>113.46</v>
      </c>
      <c r="CB111" s="8">
        <v>98.35</v>
      </c>
      <c r="CC111" s="8">
        <v>99.61</v>
      </c>
      <c r="CD111" s="8">
        <v>97.79</v>
      </c>
      <c r="CE111" s="8">
        <v>97.11</v>
      </c>
      <c r="CF111" s="8">
        <v>101.42</v>
      </c>
      <c r="CG111" s="8">
        <v>94.08</v>
      </c>
      <c r="CH111" s="8">
        <v>94.08</v>
      </c>
      <c r="CI111" s="8">
        <v>101.17</v>
      </c>
      <c r="CJ111" s="8">
        <v>102.65</v>
      </c>
      <c r="CK111" s="8">
        <v>94.21</v>
      </c>
      <c r="CL111" s="8">
        <v>105.48</v>
      </c>
      <c r="CM111" s="8">
        <v>100.5</v>
      </c>
      <c r="CN111" s="8">
        <v>99.3</v>
      </c>
      <c r="CO111" s="8">
        <v>99.84</v>
      </c>
      <c r="CP111" s="8">
        <v>100.63</v>
      </c>
      <c r="CQ111" s="8">
        <v>98.39</v>
      </c>
      <c r="CR111" s="8">
        <v>100.98</v>
      </c>
      <c r="CS111" s="8">
        <v>101.61</v>
      </c>
      <c r="CT111" s="8">
        <v>101.57</v>
      </c>
      <c r="CU111" s="8">
        <v>99.11</v>
      </c>
      <c r="CV111" s="8">
        <v>102.37</v>
      </c>
      <c r="CW111" s="8">
        <v>102.57</v>
      </c>
      <c r="CX111" s="8">
        <v>102.87</v>
      </c>
      <c r="CY111" s="8">
        <v>100.04</v>
      </c>
      <c r="CZ111" s="8">
        <v>102.33</v>
      </c>
      <c r="DA111" s="8">
        <v>102.61</v>
      </c>
      <c r="DB111" s="8">
        <v>100.08</v>
      </c>
      <c r="DC111" s="8">
        <v>100.16</v>
      </c>
      <c r="DD111" s="8">
        <v>100.16</v>
      </c>
      <c r="DE111" s="8">
        <v>100.93</v>
      </c>
      <c r="DF111" s="8">
        <v>98.7</v>
      </c>
      <c r="DG111" s="8">
        <v>99.29</v>
      </c>
      <c r="DH111" s="8">
        <v>101.19</v>
      </c>
      <c r="DI111" s="8">
        <v>100.13</v>
      </c>
      <c r="DJ111" s="8">
        <v>100</v>
      </c>
      <c r="DK111" s="8">
        <v>100</v>
      </c>
      <c r="DL111" s="8">
        <v>99.71</v>
      </c>
      <c r="DM111" s="8">
        <v>99.71</v>
      </c>
      <c r="DN111" s="8">
        <v>100.78</v>
      </c>
      <c r="DO111" s="8">
        <v>99.66</v>
      </c>
      <c r="DP111" s="8">
        <v>100.12</v>
      </c>
      <c r="DQ111" s="8">
        <v>100.53</v>
      </c>
      <c r="DR111" s="8">
        <v>100.37</v>
      </c>
      <c r="DS111" s="8">
        <v>100.69</v>
      </c>
      <c r="DT111" s="8">
        <v>98.28</v>
      </c>
      <c r="DU111" s="8">
        <v>99.96</v>
      </c>
      <c r="DV111" s="8">
        <v>97.6</v>
      </c>
      <c r="DW111" s="8">
        <v>98.79</v>
      </c>
      <c r="DX111" s="8">
        <v>107.53</v>
      </c>
      <c r="DY111" s="8">
        <v>90.34</v>
      </c>
      <c r="DZ111" s="8">
        <v>101.84</v>
      </c>
      <c r="EA111" s="8">
        <v>99.69</v>
      </c>
      <c r="EB111" s="8">
        <v>105.66</v>
      </c>
      <c r="EC111" s="8">
        <v>102.3</v>
      </c>
      <c r="ED111" s="8">
        <v>100.87</v>
      </c>
      <c r="EE111" s="8">
        <v>101.29</v>
      </c>
      <c r="EF111" s="8">
        <v>102.35</v>
      </c>
      <c r="EG111" s="8">
        <v>100.04</v>
      </c>
      <c r="EH111" s="8">
        <v>100.04</v>
      </c>
      <c r="EI111" s="8">
        <v>100.15</v>
      </c>
      <c r="EJ111" s="8">
        <v>100</v>
      </c>
      <c r="EK111" s="8">
        <v>100</v>
      </c>
      <c r="EL111" s="8">
        <v>100.97</v>
      </c>
      <c r="EM111" s="8">
        <v>103.92</v>
      </c>
      <c r="EN111" s="8">
        <v>103.92</v>
      </c>
      <c r="EO111" s="8">
        <v>99.72</v>
      </c>
      <c r="EP111" s="8">
        <v>99.96</v>
      </c>
      <c r="EQ111" s="8">
        <v>99.67</v>
      </c>
      <c r="ER111" s="8">
        <v>101.27</v>
      </c>
      <c r="ES111" s="8">
        <v>100.93</v>
      </c>
      <c r="ET111" s="8">
        <v>101.98</v>
      </c>
      <c r="EU111" s="8">
        <v>101.75</v>
      </c>
      <c r="EV111" s="8">
        <v>102.27</v>
      </c>
      <c r="EW111" s="8">
        <v>104.85</v>
      </c>
      <c r="EX111" s="8">
        <v>100.13</v>
      </c>
      <c r="EY111" s="8">
        <v>101.81</v>
      </c>
      <c r="EZ111" s="8">
        <v>105.18</v>
      </c>
      <c r="FA111" s="8">
        <v>100.66</v>
      </c>
      <c r="FB111" s="8">
        <v>99.15</v>
      </c>
      <c r="FC111" s="8">
        <v>100.62</v>
      </c>
      <c r="FD111" s="8">
        <v>102.21</v>
      </c>
      <c r="FE111" s="8">
        <v>101.08</v>
      </c>
      <c r="FF111" s="8">
        <v>100.73</v>
      </c>
      <c r="FG111" s="8">
        <v>101.02</v>
      </c>
      <c r="FH111" s="8">
        <v>100.74</v>
      </c>
      <c r="FI111" s="8">
        <v>100.31</v>
      </c>
      <c r="FJ111" s="8">
        <v>100.35</v>
      </c>
      <c r="FK111" s="8">
        <v>99.87</v>
      </c>
      <c r="FL111" s="8">
        <v>100.73</v>
      </c>
      <c r="FM111" s="8">
        <v>101.78</v>
      </c>
      <c r="FN111" s="8">
        <v>98.41</v>
      </c>
      <c r="FO111" s="8">
        <v>100.65</v>
      </c>
      <c r="FP111" s="8">
        <v>101.74</v>
      </c>
      <c r="FQ111" s="8">
        <v>98.84</v>
      </c>
      <c r="FR111" s="8">
        <v>102.79</v>
      </c>
      <c r="FS111" s="8">
        <v>102.35</v>
      </c>
      <c r="FT111" s="8">
        <v>100.14</v>
      </c>
      <c r="FU111" s="8">
        <v>100.6</v>
      </c>
      <c r="FV111" s="8">
        <v>99.99</v>
      </c>
      <c r="FW111" s="8">
        <v>100.4</v>
      </c>
      <c r="FX111" s="8">
        <v>100.38</v>
      </c>
      <c r="FY111" s="8">
        <v>100.43</v>
      </c>
      <c r="FZ111" s="8">
        <v>100.8</v>
      </c>
      <c r="GA111" s="8">
        <v>100.41</v>
      </c>
      <c r="GB111" s="8">
        <v>100.73</v>
      </c>
      <c r="GC111" s="8">
        <v>100.32</v>
      </c>
      <c r="GD111" s="8">
        <v>100.33</v>
      </c>
      <c r="GE111" s="8">
        <v>101.55</v>
      </c>
      <c r="GF111" s="8">
        <v>101.55</v>
      </c>
      <c r="GG111" s="8">
        <v>100.96</v>
      </c>
      <c r="GH111" s="8">
        <v>101.5</v>
      </c>
      <c r="GI111" s="8">
        <v>101.68</v>
      </c>
      <c r="GJ111" s="8">
        <v>101.3</v>
      </c>
      <c r="GK111" s="8">
        <v>101.91</v>
      </c>
      <c r="GL111" s="8">
        <v>96.92</v>
      </c>
      <c r="GM111" s="8">
        <v>104.45</v>
      </c>
      <c r="GN111" s="8">
        <v>90.67</v>
      </c>
      <c r="GO111" s="8">
        <v>103.6</v>
      </c>
      <c r="GP111" s="8">
        <v>102.38</v>
      </c>
      <c r="GQ111" s="8">
        <v>102.53</v>
      </c>
      <c r="GR111" s="8">
        <v>101.19</v>
      </c>
      <c r="GS111" s="8">
        <v>103.16</v>
      </c>
      <c r="GT111" s="8">
        <v>101.35</v>
      </c>
      <c r="GU111" s="8">
        <v>101.35</v>
      </c>
      <c r="GV111" s="8">
        <v>100.67</v>
      </c>
      <c r="GW111" s="8">
        <v>100.67</v>
      </c>
      <c r="GX111" s="8">
        <v>100.46</v>
      </c>
      <c r="GY111" s="8">
        <v>100.86</v>
      </c>
      <c r="GZ111" s="8">
        <v>100</v>
      </c>
      <c r="HA111" s="8">
        <v>110.32</v>
      </c>
      <c r="HB111" s="8">
        <v>100</v>
      </c>
      <c r="HC111" s="8">
        <v>115.65</v>
      </c>
      <c r="HD111" s="8">
        <v>98.56</v>
      </c>
      <c r="HE111" s="8">
        <v>98.64</v>
      </c>
      <c r="HF111" s="8">
        <v>91.16</v>
      </c>
      <c r="HG111" s="8">
        <v>89.04</v>
      </c>
      <c r="HH111" s="8">
        <v>101.36</v>
      </c>
      <c r="HI111" s="8">
        <v>96.7</v>
      </c>
      <c r="HJ111" s="8">
        <v>96.7</v>
      </c>
      <c r="HK111" s="8">
        <v>101.67</v>
      </c>
      <c r="HL111" s="8">
        <v>103.03</v>
      </c>
      <c r="HM111" s="8">
        <v>99.17</v>
      </c>
      <c r="HN111" s="8">
        <v>102.46</v>
      </c>
      <c r="HO111" s="8">
        <v>101.13</v>
      </c>
      <c r="HP111" s="8">
        <v>99.78</v>
      </c>
      <c r="HQ111" s="8">
        <v>99.69</v>
      </c>
      <c r="HR111" s="8">
        <v>101.18</v>
      </c>
      <c r="HS111" s="8">
        <v>98.91</v>
      </c>
      <c r="HT111" s="8">
        <v>102.09</v>
      </c>
      <c r="HU111" s="8">
        <v>99.91</v>
      </c>
      <c r="HV111" s="8">
        <v>103.04</v>
      </c>
      <c r="HW111" s="8">
        <v>102.36</v>
      </c>
      <c r="HX111" s="8">
        <v>100.8</v>
      </c>
      <c r="HY111" s="8">
        <v>102.6</v>
      </c>
      <c r="HZ111" s="8">
        <v>102.9</v>
      </c>
      <c r="IA111" s="8">
        <v>100.93</v>
      </c>
      <c r="IB111" s="8">
        <v>100.43</v>
      </c>
      <c r="IC111" s="8">
        <v>100.39</v>
      </c>
      <c r="ID111" s="8">
        <v>100.89</v>
      </c>
      <c r="IE111" s="8">
        <v>98.7</v>
      </c>
      <c r="IF111" s="8">
        <v>98.66</v>
      </c>
      <c r="IG111" s="8">
        <v>101.01</v>
      </c>
      <c r="IH111" s="8">
        <v>103.07</v>
      </c>
      <c r="II111" s="8">
        <v>92.96</v>
      </c>
      <c r="IJ111" s="8">
        <v>100.78</v>
      </c>
      <c r="IK111" s="8">
        <v>101.28</v>
      </c>
      <c r="IL111" s="8">
        <v>100.69</v>
      </c>
      <c r="IM111" s="8">
        <v>100.69</v>
      </c>
      <c r="IN111" s="8">
        <v>99.73</v>
      </c>
      <c r="IO111" s="8">
        <v>99.73</v>
      </c>
      <c r="IP111" s="8">
        <v>100.78</v>
      </c>
      <c r="IQ111" s="8">
        <v>99.68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Q11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983</v>
      </c>
      <c r="C1" s="3" t="s">
        <v>984</v>
      </c>
      <c r="D1" s="3" t="s">
        <v>985</v>
      </c>
      <c r="E1" s="3" t="s">
        <v>986</v>
      </c>
      <c r="F1" s="3" t="s">
        <v>987</v>
      </c>
      <c r="G1" s="3" t="s">
        <v>988</v>
      </c>
      <c r="H1" s="3" t="s">
        <v>989</v>
      </c>
      <c r="I1" s="3" t="s">
        <v>990</v>
      </c>
      <c r="J1" s="3" t="s">
        <v>991</v>
      </c>
      <c r="K1" s="3" t="s">
        <v>992</v>
      </c>
      <c r="L1" s="3" t="s">
        <v>993</v>
      </c>
      <c r="M1" s="3" t="s">
        <v>994</v>
      </c>
      <c r="N1" s="3" t="s">
        <v>995</v>
      </c>
      <c r="O1" s="3" t="s">
        <v>996</v>
      </c>
      <c r="P1" s="3" t="s">
        <v>997</v>
      </c>
      <c r="Q1" s="3" t="s">
        <v>998</v>
      </c>
      <c r="R1" s="3" t="s">
        <v>999</v>
      </c>
      <c r="S1" s="3" t="s">
        <v>1000</v>
      </c>
      <c r="T1" s="3" t="s">
        <v>1000</v>
      </c>
      <c r="U1" s="3" t="s">
        <v>1001</v>
      </c>
      <c r="V1" s="3" t="s">
        <v>1002</v>
      </c>
      <c r="W1" s="3" t="s">
        <v>1003</v>
      </c>
      <c r="X1" s="3" t="s">
        <v>1004</v>
      </c>
      <c r="Y1" s="3" t="s">
        <v>1005</v>
      </c>
      <c r="Z1" s="3" t="s">
        <v>1005</v>
      </c>
      <c r="AA1" s="3" t="s">
        <v>1006</v>
      </c>
      <c r="AB1" s="3" t="s">
        <v>1007</v>
      </c>
      <c r="AC1" s="3" t="s">
        <v>1008</v>
      </c>
      <c r="AD1" s="3" t="s">
        <v>1009</v>
      </c>
      <c r="AE1" s="3" t="s">
        <v>1010</v>
      </c>
      <c r="AF1" s="3" t="s">
        <v>1011</v>
      </c>
      <c r="AG1" s="3" t="s">
        <v>1012</v>
      </c>
      <c r="AH1" s="3" t="s">
        <v>1013</v>
      </c>
      <c r="AI1" s="3" t="s">
        <v>1014</v>
      </c>
      <c r="AJ1" s="3" t="s">
        <v>1015</v>
      </c>
      <c r="AK1" s="3" t="s">
        <v>1016</v>
      </c>
      <c r="AL1" s="3" t="s">
        <v>1017</v>
      </c>
      <c r="AM1" s="3" t="s">
        <v>1018</v>
      </c>
      <c r="AN1" s="3" t="s">
        <v>1019</v>
      </c>
      <c r="AO1" s="3" t="s">
        <v>1020</v>
      </c>
      <c r="AP1" s="3" t="s">
        <v>1021</v>
      </c>
      <c r="AQ1" s="3" t="s">
        <v>1022</v>
      </c>
      <c r="AR1" s="3" t="s">
        <v>1023</v>
      </c>
      <c r="AS1" s="3" t="s">
        <v>1024</v>
      </c>
      <c r="AT1" s="3" t="s">
        <v>1025</v>
      </c>
      <c r="AU1" s="3" t="s">
        <v>1026</v>
      </c>
      <c r="AV1" s="3" t="s">
        <v>1027</v>
      </c>
      <c r="AW1" s="3" t="s">
        <v>1028</v>
      </c>
      <c r="AX1" s="3" t="s">
        <v>1029</v>
      </c>
      <c r="AY1" s="3" t="s">
        <v>1030</v>
      </c>
      <c r="AZ1" s="3" t="s">
        <v>1031</v>
      </c>
      <c r="BA1" s="3" t="s">
        <v>1032</v>
      </c>
      <c r="BB1" s="3" t="s">
        <v>1033</v>
      </c>
      <c r="BC1" s="3" t="s">
        <v>1034</v>
      </c>
      <c r="BD1" s="3" t="s">
        <v>1035</v>
      </c>
      <c r="BE1" s="3" t="s">
        <v>1036</v>
      </c>
      <c r="BF1" s="3" t="s">
        <v>1037</v>
      </c>
      <c r="BG1" s="3" t="s">
        <v>1038</v>
      </c>
      <c r="BH1" s="3" t="s">
        <v>1039</v>
      </c>
      <c r="BI1" s="3" t="s">
        <v>1040</v>
      </c>
      <c r="BJ1" s="3" t="s">
        <v>1041</v>
      </c>
      <c r="BK1" s="3" t="s">
        <v>1042</v>
      </c>
      <c r="BL1" s="3" t="s">
        <v>1043</v>
      </c>
      <c r="BM1" s="3" t="s">
        <v>1044</v>
      </c>
      <c r="BN1" s="3" t="s">
        <v>1045</v>
      </c>
      <c r="BO1" s="3" t="s">
        <v>1046</v>
      </c>
      <c r="BP1" s="3" t="s">
        <v>1047</v>
      </c>
      <c r="BQ1" s="3" t="s">
        <v>1048</v>
      </c>
      <c r="BR1" s="3" t="s">
        <v>1048</v>
      </c>
      <c r="BS1" s="3" t="s">
        <v>1049</v>
      </c>
      <c r="BT1" s="3" t="s">
        <v>1050</v>
      </c>
      <c r="BU1" s="3" t="s">
        <v>1051</v>
      </c>
      <c r="BV1" s="3" t="s">
        <v>1052</v>
      </c>
      <c r="BW1" s="3" t="s">
        <v>1053</v>
      </c>
      <c r="BX1" s="3" t="s">
        <v>1054</v>
      </c>
      <c r="BY1" s="3" t="s">
        <v>1055</v>
      </c>
      <c r="BZ1" s="3" t="s">
        <v>1056</v>
      </c>
      <c r="CA1" s="3" t="s">
        <v>1057</v>
      </c>
      <c r="CB1" s="3" t="s">
        <v>1058</v>
      </c>
      <c r="CC1" s="3" t="s">
        <v>1059</v>
      </c>
      <c r="CD1" s="3" t="s">
        <v>1060</v>
      </c>
      <c r="CE1" s="3" t="s">
        <v>1061</v>
      </c>
      <c r="CF1" s="3" t="s">
        <v>1062</v>
      </c>
      <c r="CG1" s="3" t="s">
        <v>1062</v>
      </c>
      <c r="CH1" s="3" t="s">
        <v>1063</v>
      </c>
      <c r="CI1" s="3" t="s">
        <v>1063</v>
      </c>
      <c r="CJ1" s="3" t="s">
        <v>1064</v>
      </c>
      <c r="CK1" s="3" t="s">
        <v>1065</v>
      </c>
      <c r="CL1" s="3" t="s">
        <v>1066</v>
      </c>
      <c r="CM1" s="3" t="s">
        <v>1067</v>
      </c>
      <c r="CN1" s="3" t="s">
        <v>1068</v>
      </c>
      <c r="CO1" s="3" t="s">
        <v>1069</v>
      </c>
      <c r="CP1" s="3" t="s">
        <v>1070</v>
      </c>
      <c r="CQ1" s="3" t="s">
        <v>1071</v>
      </c>
      <c r="CR1" s="3" t="s">
        <v>1072</v>
      </c>
      <c r="CS1" s="3" t="s">
        <v>1073</v>
      </c>
      <c r="CT1" s="3" t="s">
        <v>1074</v>
      </c>
      <c r="CU1" s="3" t="s">
        <v>1075</v>
      </c>
      <c r="CV1" s="3" t="s">
        <v>1075</v>
      </c>
      <c r="CW1" s="3" t="s">
        <v>1076</v>
      </c>
      <c r="CX1" s="3" t="s">
        <v>1077</v>
      </c>
      <c r="CY1" s="3" t="s">
        <v>1078</v>
      </c>
      <c r="CZ1" s="3" t="s">
        <v>1079</v>
      </c>
      <c r="DA1" s="3" t="s">
        <v>1080</v>
      </c>
      <c r="DB1" s="3" t="s">
        <v>1081</v>
      </c>
      <c r="DC1" s="3" t="s">
        <v>1082</v>
      </c>
      <c r="DD1" s="3" t="s">
        <v>1083</v>
      </c>
      <c r="DE1" s="3" t="s">
        <v>1084</v>
      </c>
      <c r="DF1" s="3" t="s">
        <v>1085</v>
      </c>
      <c r="DG1" s="3" t="s">
        <v>1086</v>
      </c>
      <c r="DH1" s="3" t="s">
        <v>1087</v>
      </c>
      <c r="DI1" s="3" t="s">
        <v>1088</v>
      </c>
      <c r="DJ1" s="3" t="s">
        <v>1089</v>
      </c>
      <c r="DK1" s="3" t="s">
        <v>1090</v>
      </c>
      <c r="DL1" s="3" t="s">
        <v>1091</v>
      </c>
      <c r="DM1" s="3" t="s">
        <v>1092</v>
      </c>
      <c r="DN1" s="3" t="s">
        <v>1093</v>
      </c>
      <c r="DO1" s="3" t="s">
        <v>1094</v>
      </c>
      <c r="DP1" s="3" t="s">
        <v>1095</v>
      </c>
      <c r="DQ1" s="3" t="s">
        <v>1096</v>
      </c>
      <c r="DR1" s="3" t="s">
        <v>1097</v>
      </c>
      <c r="DS1" s="3" t="s">
        <v>1098</v>
      </c>
      <c r="DT1" s="3" t="s">
        <v>1099</v>
      </c>
      <c r="DU1" s="3" t="s">
        <v>1100</v>
      </c>
      <c r="DV1" s="3" t="s">
        <v>1101</v>
      </c>
      <c r="DW1" s="3" t="s">
        <v>1102</v>
      </c>
      <c r="DX1" s="3" t="s">
        <v>1103</v>
      </c>
      <c r="DY1" s="3" t="s">
        <v>1103</v>
      </c>
      <c r="DZ1" s="3" t="s">
        <v>1104</v>
      </c>
      <c r="EA1" s="3" t="s">
        <v>1104</v>
      </c>
      <c r="EB1" s="3" t="s">
        <v>1105</v>
      </c>
      <c r="EC1" s="3" t="s">
        <v>1106</v>
      </c>
      <c r="ED1" s="3" t="s">
        <v>1107</v>
      </c>
      <c r="EE1" s="3" t="s">
        <v>1108</v>
      </c>
      <c r="EF1" s="3" t="s">
        <v>1109</v>
      </c>
      <c r="EG1" s="3" t="s">
        <v>1110</v>
      </c>
      <c r="EH1" s="3" t="s">
        <v>1111</v>
      </c>
      <c r="EI1" s="3" t="s">
        <v>1112</v>
      </c>
      <c r="EJ1" s="3" t="s">
        <v>1113</v>
      </c>
      <c r="EK1" s="3" t="s">
        <v>1114</v>
      </c>
      <c r="EL1" s="3" t="s">
        <v>1115</v>
      </c>
      <c r="EM1" s="3" t="s">
        <v>1116</v>
      </c>
      <c r="EN1" s="3" t="s">
        <v>1117</v>
      </c>
      <c r="EO1" s="3" t="s">
        <v>1118</v>
      </c>
      <c r="EP1" s="3" t="s">
        <v>1119</v>
      </c>
      <c r="EQ1" s="3" t="s">
        <v>1120</v>
      </c>
      <c r="ER1" s="3" t="s">
        <v>1121</v>
      </c>
      <c r="ES1" s="3" t="s">
        <v>1122</v>
      </c>
      <c r="ET1" s="3" t="s">
        <v>1123</v>
      </c>
      <c r="EU1" s="3" t="s">
        <v>1124</v>
      </c>
      <c r="EV1" s="3" t="s">
        <v>1124</v>
      </c>
      <c r="EW1" s="3" t="s">
        <v>1125</v>
      </c>
      <c r="EX1" s="3" t="s">
        <v>1126</v>
      </c>
      <c r="EY1" s="3" t="s">
        <v>1127</v>
      </c>
      <c r="EZ1" s="3" t="s">
        <v>1128</v>
      </c>
      <c r="FA1" s="3" t="s">
        <v>1129</v>
      </c>
      <c r="FB1" s="3" t="s">
        <v>1129</v>
      </c>
      <c r="FC1" s="3" t="s">
        <v>1130</v>
      </c>
      <c r="FD1" s="3" t="s">
        <v>1131</v>
      </c>
      <c r="FE1" s="3" t="s">
        <v>1132</v>
      </c>
      <c r="FF1" s="3" t="s">
        <v>1133</v>
      </c>
      <c r="FG1" s="3" t="s">
        <v>1134</v>
      </c>
      <c r="FH1" s="3" t="s">
        <v>1135</v>
      </c>
      <c r="FI1" s="3" t="s">
        <v>1136</v>
      </c>
      <c r="FJ1" s="3" t="s">
        <v>1137</v>
      </c>
      <c r="FK1" s="3" t="s">
        <v>1138</v>
      </c>
      <c r="FL1" s="3" t="s">
        <v>1139</v>
      </c>
      <c r="FM1" s="3" t="s">
        <v>1140</v>
      </c>
      <c r="FN1" s="3" t="s">
        <v>1141</v>
      </c>
      <c r="FO1" s="3" t="s">
        <v>1142</v>
      </c>
      <c r="FP1" s="3" t="s">
        <v>1143</v>
      </c>
      <c r="FQ1" s="3" t="s">
        <v>1144</v>
      </c>
      <c r="FR1" s="3" t="s">
        <v>1145</v>
      </c>
      <c r="FS1" s="3" t="s">
        <v>1146</v>
      </c>
      <c r="FT1" s="3" t="s">
        <v>1147</v>
      </c>
      <c r="FU1" s="3" t="s">
        <v>1148</v>
      </c>
      <c r="FV1" s="3" t="s">
        <v>1149</v>
      </c>
      <c r="FW1" s="3" t="s">
        <v>1150</v>
      </c>
      <c r="FX1" s="3" t="s">
        <v>1151</v>
      </c>
      <c r="FY1" s="3" t="s">
        <v>1152</v>
      </c>
      <c r="FZ1" s="3" t="s">
        <v>1153</v>
      </c>
      <c r="GA1" s="3" t="s">
        <v>1154</v>
      </c>
      <c r="GB1" s="3" t="s">
        <v>1155</v>
      </c>
      <c r="GC1" s="3" t="s">
        <v>1156</v>
      </c>
      <c r="GD1" s="3" t="s">
        <v>1157</v>
      </c>
      <c r="GE1" s="3" t="s">
        <v>1158</v>
      </c>
      <c r="GF1" s="3" t="s">
        <v>1159</v>
      </c>
      <c r="GG1" s="3" t="s">
        <v>1160</v>
      </c>
      <c r="GH1" s="3" t="s">
        <v>1161</v>
      </c>
      <c r="GI1" s="3" t="s">
        <v>1162</v>
      </c>
      <c r="GJ1" s="3" t="s">
        <v>1163</v>
      </c>
      <c r="GK1" s="3" t="s">
        <v>1164</v>
      </c>
      <c r="GL1" s="3" t="s">
        <v>1165</v>
      </c>
      <c r="GM1" s="3" t="s">
        <v>1166</v>
      </c>
      <c r="GN1" s="3" t="s">
        <v>1167</v>
      </c>
      <c r="GO1" s="3" t="s">
        <v>1168</v>
      </c>
      <c r="GP1" s="3" t="s">
        <v>1169</v>
      </c>
      <c r="GQ1" s="3" t="s">
        <v>1170</v>
      </c>
      <c r="GR1" s="3" t="s">
        <v>1171</v>
      </c>
      <c r="GS1" s="3" t="s">
        <v>1172</v>
      </c>
      <c r="GT1" s="3" t="s">
        <v>1172</v>
      </c>
      <c r="GU1" s="3" t="s">
        <v>1173</v>
      </c>
      <c r="GV1" s="3" t="s">
        <v>1174</v>
      </c>
      <c r="GW1" s="3" t="s">
        <v>1175</v>
      </c>
      <c r="GX1" s="3" t="s">
        <v>1176</v>
      </c>
      <c r="GY1" s="3" t="s">
        <v>1177</v>
      </c>
      <c r="GZ1" s="3" t="s">
        <v>1178</v>
      </c>
      <c r="HA1" s="3" t="s">
        <v>1179</v>
      </c>
      <c r="HB1" s="3" t="s">
        <v>1180</v>
      </c>
      <c r="HC1" s="3" t="s">
        <v>1181</v>
      </c>
      <c r="HD1" s="3" t="s">
        <v>1182</v>
      </c>
      <c r="HE1" s="3" t="s">
        <v>1183</v>
      </c>
      <c r="HF1" s="3" t="s">
        <v>1184</v>
      </c>
      <c r="HG1" s="3" t="s">
        <v>1185</v>
      </c>
      <c r="HH1" s="3" t="s">
        <v>1186</v>
      </c>
      <c r="HI1" s="3" t="s">
        <v>1186</v>
      </c>
      <c r="HJ1" s="3" t="s">
        <v>1187</v>
      </c>
      <c r="HK1" s="3" t="s">
        <v>1187</v>
      </c>
      <c r="HL1" s="3" t="s">
        <v>1188</v>
      </c>
      <c r="HM1" s="3" t="s">
        <v>1189</v>
      </c>
      <c r="HN1" s="3" t="s">
        <v>1190</v>
      </c>
      <c r="HO1" s="3" t="s">
        <v>1191</v>
      </c>
      <c r="HP1" s="3" t="s">
        <v>1192</v>
      </c>
      <c r="HQ1" s="3" t="s">
        <v>1193</v>
      </c>
      <c r="HR1" s="3" t="s">
        <v>1194</v>
      </c>
      <c r="HS1" s="3" t="s">
        <v>1195</v>
      </c>
      <c r="HT1" s="3" t="s">
        <v>1196</v>
      </c>
      <c r="HU1" s="3" t="s">
        <v>1197</v>
      </c>
      <c r="HV1" s="3" t="s">
        <v>1198</v>
      </c>
      <c r="HW1" s="3" t="s">
        <v>1199</v>
      </c>
      <c r="HX1" s="3" t="s">
        <v>1199</v>
      </c>
      <c r="HY1" s="3" t="s">
        <v>1200</v>
      </c>
      <c r="HZ1" s="3" t="s">
        <v>1201</v>
      </c>
      <c r="IA1" s="3" t="s">
        <v>1202</v>
      </c>
      <c r="IB1" s="3" t="s">
        <v>1203</v>
      </c>
      <c r="IC1" s="3" t="s">
        <v>1204</v>
      </c>
      <c r="ID1" s="3" t="s">
        <v>1205</v>
      </c>
      <c r="IE1" s="3" t="s">
        <v>1206</v>
      </c>
      <c r="IF1" s="3" t="s">
        <v>1207</v>
      </c>
      <c r="IG1" s="3" t="s">
        <v>1208</v>
      </c>
      <c r="IH1" s="3" t="s">
        <v>1209</v>
      </c>
      <c r="II1" s="3" t="s">
        <v>1210</v>
      </c>
      <c r="IJ1" s="3" t="s">
        <v>1211</v>
      </c>
      <c r="IK1" s="3" t="s">
        <v>1212</v>
      </c>
      <c r="IL1" s="3" t="s">
        <v>1213</v>
      </c>
      <c r="IM1" s="3" t="s">
        <v>1214</v>
      </c>
      <c r="IN1" s="3" t="s">
        <v>1215</v>
      </c>
      <c r="IO1" s="3" t="s">
        <v>1216</v>
      </c>
      <c r="IP1" s="3" t="s">
        <v>1217</v>
      </c>
      <c r="IQ1" s="3" t="s">
        <v>1218</v>
      </c>
    </row>
    <row r="2" spans="1:251" x14ac:dyDescent="0.2">
      <c r="A2" s="4" t="s">
        <v>236</v>
      </c>
      <c r="B2" s="7" t="s">
        <v>245</v>
      </c>
      <c r="C2" s="7" t="s">
        <v>245</v>
      </c>
      <c r="D2" s="7" t="s">
        <v>245</v>
      </c>
      <c r="E2" s="7" t="s">
        <v>245</v>
      </c>
      <c r="F2" s="7" t="s">
        <v>245</v>
      </c>
      <c r="G2" s="7" t="s">
        <v>245</v>
      </c>
      <c r="H2" s="7" t="s">
        <v>245</v>
      </c>
      <c r="I2" s="7" t="s">
        <v>245</v>
      </c>
      <c r="J2" s="7" t="s">
        <v>245</v>
      </c>
      <c r="K2" s="7" t="s">
        <v>245</v>
      </c>
      <c r="L2" s="7" t="s">
        <v>245</v>
      </c>
      <c r="M2" s="7" t="s">
        <v>245</v>
      </c>
      <c r="N2" s="7" t="s">
        <v>245</v>
      </c>
      <c r="O2" s="7" t="s">
        <v>245</v>
      </c>
      <c r="P2" s="7" t="s">
        <v>245</v>
      </c>
      <c r="Q2" s="7" t="s">
        <v>245</v>
      </c>
      <c r="R2" s="7" t="s">
        <v>245</v>
      </c>
      <c r="S2" s="7" t="s">
        <v>245</v>
      </c>
      <c r="T2" s="7" t="s">
        <v>245</v>
      </c>
      <c r="U2" s="7" t="s">
        <v>245</v>
      </c>
      <c r="V2" s="7" t="s">
        <v>245</v>
      </c>
      <c r="W2" s="7" t="s">
        <v>245</v>
      </c>
      <c r="X2" s="7" t="s">
        <v>245</v>
      </c>
      <c r="Y2" s="7" t="s">
        <v>245</v>
      </c>
      <c r="Z2" s="7" t="s">
        <v>245</v>
      </c>
      <c r="AA2" s="7" t="s">
        <v>245</v>
      </c>
      <c r="AB2" s="7" t="s">
        <v>245</v>
      </c>
      <c r="AC2" s="7" t="s">
        <v>245</v>
      </c>
      <c r="AD2" s="7" t="s">
        <v>245</v>
      </c>
      <c r="AE2" s="7" t="s">
        <v>245</v>
      </c>
      <c r="AF2" s="7" t="s">
        <v>245</v>
      </c>
      <c r="AG2" s="7" t="s">
        <v>245</v>
      </c>
      <c r="AH2" s="7" t="s">
        <v>245</v>
      </c>
      <c r="AI2" s="7" t="s">
        <v>245</v>
      </c>
      <c r="AJ2" s="7" t="s">
        <v>245</v>
      </c>
      <c r="AK2" s="7" t="s">
        <v>245</v>
      </c>
      <c r="AL2" s="7" t="s">
        <v>245</v>
      </c>
      <c r="AM2" s="7" t="s">
        <v>245</v>
      </c>
      <c r="AN2" s="7" t="s">
        <v>245</v>
      </c>
      <c r="AO2" s="7" t="s">
        <v>245</v>
      </c>
      <c r="AP2" s="7" t="s">
        <v>245</v>
      </c>
      <c r="AQ2" s="7" t="s">
        <v>245</v>
      </c>
      <c r="AR2" s="7" t="s">
        <v>245</v>
      </c>
      <c r="AS2" s="7" t="s">
        <v>245</v>
      </c>
      <c r="AT2" s="7" t="s">
        <v>245</v>
      </c>
      <c r="AU2" s="7" t="s">
        <v>245</v>
      </c>
      <c r="AV2" s="7" t="s">
        <v>245</v>
      </c>
      <c r="AW2" s="7" t="s">
        <v>245</v>
      </c>
      <c r="AX2" s="7" t="s">
        <v>245</v>
      </c>
      <c r="AY2" s="7" t="s">
        <v>245</v>
      </c>
      <c r="AZ2" s="7" t="s">
        <v>245</v>
      </c>
      <c r="BA2" s="7" t="s">
        <v>245</v>
      </c>
      <c r="BB2" s="7" t="s">
        <v>245</v>
      </c>
      <c r="BC2" s="7" t="s">
        <v>245</v>
      </c>
      <c r="BD2" s="7" t="s">
        <v>245</v>
      </c>
      <c r="BE2" s="7" t="s">
        <v>245</v>
      </c>
      <c r="BF2" s="7" t="s">
        <v>245</v>
      </c>
      <c r="BG2" s="7" t="s">
        <v>245</v>
      </c>
      <c r="BH2" s="7" t="s">
        <v>245</v>
      </c>
      <c r="BI2" s="7" t="s">
        <v>245</v>
      </c>
      <c r="BJ2" s="7" t="s">
        <v>245</v>
      </c>
      <c r="BK2" s="7" t="s">
        <v>245</v>
      </c>
      <c r="BL2" s="7" t="s">
        <v>245</v>
      </c>
      <c r="BM2" s="7" t="s">
        <v>245</v>
      </c>
      <c r="BN2" s="7" t="s">
        <v>245</v>
      </c>
      <c r="BO2" s="7" t="s">
        <v>245</v>
      </c>
      <c r="BP2" s="7" t="s">
        <v>245</v>
      </c>
      <c r="BQ2" s="7" t="s">
        <v>245</v>
      </c>
      <c r="BR2" s="7" t="s">
        <v>245</v>
      </c>
      <c r="BS2" s="7" t="s">
        <v>245</v>
      </c>
      <c r="BT2" s="7" t="s">
        <v>245</v>
      </c>
      <c r="BU2" s="7" t="s">
        <v>245</v>
      </c>
      <c r="BV2" s="7" t="s">
        <v>245</v>
      </c>
      <c r="BW2" s="7" t="s">
        <v>245</v>
      </c>
      <c r="BX2" s="7" t="s">
        <v>245</v>
      </c>
      <c r="BY2" s="7" t="s">
        <v>245</v>
      </c>
      <c r="BZ2" s="7" t="s">
        <v>245</v>
      </c>
      <c r="CA2" s="7" t="s">
        <v>245</v>
      </c>
      <c r="CB2" s="7" t="s">
        <v>245</v>
      </c>
      <c r="CC2" s="7" t="s">
        <v>245</v>
      </c>
      <c r="CD2" s="7" t="s">
        <v>245</v>
      </c>
      <c r="CE2" s="7" t="s">
        <v>245</v>
      </c>
      <c r="CF2" s="7" t="s">
        <v>245</v>
      </c>
      <c r="CG2" s="7" t="s">
        <v>245</v>
      </c>
      <c r="CH2" s="7" t="s">
        <v>245</v>
      </c>
      <c r="CI2" s="7" t="s">
        <v>245</v>
      </c>
      <c r="CJ2" s="7" t="s">
        <v>245</v>
      </c>
      <c r="CK2" s="7" t="s">
        <v>245</v>
      </c>
      <c r="CL2" s="7" t="s">
        <v>245</v>
      </c>
      <c r="CM2" s="7" t="s">
        <v>245</v>
      </c>
      <c r="CN2" s="7" t="s">
        <v>245</v>
      </c>
      <c r="CO2" s="7" t="s">
        <v>245</v>
      </c>
      <c r="CP2" s="7" t="s">
        <v>245</v>
      </c>
      <c r="CQ2" s="7" t="s">
        <v>245</v>
      </c>
      <c r="CR2" s="7" t="s">
        <v>245</v>
      </c>
      <c r="CS2" s="7" t="s">
        <v>245</v>
      </c>
      <c r="CT2" s="7" t="s">
        <v>245</v>
      </c>
      <c r="CU2" s="7" t="s">
        <v>245</v>
      </c>
      <c r="CV2" s="7" t="s">
        <v>245</v>
      </c>
      <c r="CW2" s="7" t="s">
        <v>245</v>
      </c>
      <c r="CX2" s="7" t="s">
        <v>245</v>
      </c>
      <c r="CY2" s="7" t="s">
        <v>245</v>
      </c>
      <c r="CZ2" s="7" t="s">
        <v>245</v>
      </c>
      <c r="DA2" s="7" t="s">
        <v>245</v>
      </c>
      <c r="DB2" s="7" t="s">
        <v>245</v>
      </c>
      <c r="DC2" s="7" t="s">
        <v>245</v>
      </c>
      <c r="DD2" s="7" t="s">
        <v>245</v>
      </c>
      <c r="DE2" s="7" t="s">
        <v>245</v>
      </c>
      <c r="DF2" s="7" t="s">
        <v>245</v>
      </c>
      <c r="DG2" s="7" t="s">
        <v>245</v>
      </c>
      <c r="DH2" s="7" t="s">
        <v>245</v>
      </c>
      <c r="DI2" s="7" t="s">
        <v>245</v>
      </c>
      <c r="DJ2" s="7" t="s">
        <v>245</v>
      </c>
      <c r="DK2" s="7" t="s">
        <v>245</v>
      </c>
      <c r="DL2" s="7" t="s">
        <v>245</v>
      </c>
      <c r="DM2" s="7" t="s">
        <v>245</v>
      </c>
      <c r="DN2" s="7" t="s">
        <v>245</v>
      </c>
      <c r="DO2" s="7" t="s">
        <v>245</v>
      </c>
      <c r="DP2" s="7" t="s">
        <v>245</v>
      </c>
      <c r="DQ2" s="7" t="s">
        <v>245</v>
      </c>
      <c r="DR2" s="7" t="s">
        <v>245</v>
      </c>
      <c r="DS2" s="7" t="s">
        <v>245</v>
      </c>
      <c r="DT2" s="7" t="s">
        <v>245</v>
      </c>
      <c r="DU2" s="7" t="s">
        <v>245</v>
      </c>
      <c r="DV2" s="7" t="s">
        <v>245</v>
      </c>
      <c r="DW2" s="7" t="s">
        <v>245</v>
      </c>
      <c r="DX2" s="7" t="s">
        <v>245</v>
      </c>
      <c r="DY2" s="7" t="s">
        <v>245</v>
      </c>
      <c r="DZ2" s="7" t="s">
        <v>245</v>
      </c>
      <c r="EA2" s="7" t="s">
        <v>245</v>
      </c>
      <c r="EB2" s="7" t="s">
        <v>245</v>
      </c>
      <c r="EC2" s="7" t="s">
        <v>245</v>
      </c>
      <c r="ED2" s="7" t="s">
        <v>245</v>
      </c>
      <c r="EE2" s="7" t="s">
        <v>245</v>
      </c>
      <c r="EF2" s="7" t="s">
        <v>245</v>
      </c>
      <c r="EG2" s="7" t="s">
        <v>245</v>
      </c>
      <c r="EH2" s="7" t="s">
        <v>245</v>
      </c>
      <c r="EI2" s="7" t="s">
        <v>245</v>
      </c>
      <c r="EJ2" s="7" t="s">
        <v>245</v>
      </c>
      <c r="EK2" s="7" t="s">
        <v>245</v>
      </c>
      <c r="EL2" s="7" t="s">
        <v>245</v>
      </c>
      <c r="EM2" s="7" t="s">
        <v>245</v>
      </c>
      <c r="EN2" s="7" t="s">
        <v>245</v>
      </c>
      <c r="EO2" s="7" t="s">
        <v>245</v>
      </c>
      <c r="EP2" s="7" t="s">
        <v>245</v>
      </c>
      <c r="EQ2" s="7" t="s">
        <v>245</v>
      </c>
      <c r="ER2" s="7" t="s">
        <v>245</v>
      </c>
      <c r="ES2" s="7" t="s">
        <v>245</v>
      </c>
      <c r="ET2" s="7" t="s">
        <v>245</v>
      </c>
      <c r="EU2" s="7" t="s">
        <v>245</v>
      </c>
      <c r="EV2" s="7" t="s">
        <v>245</v>
      </c>
      <c r="EW2" s="7" t="s">
        <v>245</v>
      </c>
      <c r="EX2" s="7" t="s">
        <v>245</v>
      </c>
      <c r="EY2" s="7" t="s">
        <v>245</v>
      </c>
      <c r="EZ2" s="7" t="s">
        <v>245</v>
      </c>
      <c r="FA2" s="7" t="s">
        <v>245</v>
      </c>
      <c r="FB2" s="7" t="s">
        <v>245</v>
      </c>
      <c r="FC2" s="7" t="s">
        <v>245</v>
      </c>
      <c r="FD2" s="7" t="s">
        <v>245</v>
      </c>
      <c r="FE2" s="7" t="s">
        <v>245</v>
      </c>
      <c r="FF2" s="7" t="s">
        <v>245</v>
      </c>
      <c r="FG2" s="7" t="s">
        <v>245</v>
      </c>
      <c r="FH2" s="7" t="s">
        <v>245</v>
      </c>
      <c r="FI2" s="7" t="s">
        <v>245</v>
      </c>
      <c r="FJ2" s="7" t="s">
        <v>245</v>
      </c>
      <c r="FK2" s="7" t="s">
        <v>245</v>
      </c>
      <c r="FL2" s="7" t="s">
        <v>245</v>
      </c>
      <c r="FM2" s="7" t="s">
        <v>245</v>
      </c>
      <c r="FN2" s="7" t="s">
        <v>245</v>
      </c>
      <c r="FO2" s="7" t="s">
        <v>245</v>
      </c>
      <c r="FP2" s="7" t="s">
        <v>245</v>
      </c>
      <c r="FQ2" s="7" t="s">
        <v>245</v>
      </c>
      <c r="FR2" s="7" t="s">
        <v>245</v>
      </c>
      <c r="FS2" s="7" t="s">
        <v>245</v>
      </c>
      <c r="FT2" s="7" t="s">
        <v>245</v>
      </c>
      <c r="FU2" s="7" t="s">
        <v>245</v>
      </c>
      <c r="FV2" s="7" t="s">
        <v>245</v>
      </c>
      <c r="FW2" s="7" t="s">
        <v>245</v>
      </c>
      <c r="FX2" s="7" t="s">
        <v>245</v>
      </c>
      <c r="FY2" s="7" t="s">
        <v>245</v>
      </c>
      <c r="FZ2" s="7" t="s">
        <v>245</v>
      </c>
      <c r="GA2" s="7" t="s">
        <v>245</v>
      </c>
      <c r="GB2" s="7" t="s">
        <v>245</v>
      </c>
      <c r="GC2" s="7" t="s">
        <v>245</v>
      </c>
      <c r="GD2" s="7" t="s">
        <v>245</v>
      </c>
      <c r="GE2" s="7" t="s">
        <v>245</v>
      </c>
      <c r="GF2" s="7" t="s">
        <v>245</v>
      </c>
      <c r="GG2" s="7" t="s">
        <v>245</v>
      </c>
      <c r="GH2" s="7" t="s">
        <v>245</v>
      </c>
      <c r="GI2" s="7" t="s">
        <v>245</v>
      </c>
      <c r="GJ2" s="7" t="s">
        <v>245</v>
      </c>
      <c r="GK2" s="7" t="s">
        <v>245</v>
      </c>
      <c r="GL2" s="7" t="s">
        <v>245</v>
      </c>
      <c r="GM2" s="7" t="s">
        <v>245</v>
      </c>
      <c r="GN2" s="7" t="s">
        <v>245</v>
      </c>
      <c r="GO2" s="7" t="s">
        <v>245</v>
      </c>
      <c r="GP2" s="7" t="s">
        <v>245</v>
      </c>
      <c r="GQ2" s="7" t="s">
        <v>245</v>
      </c>
      <c r="GR2" s="7" t="s">
        <v>245</v>
      </c>
      <c r="GS2" s="7" t="s">
        <v>245</v>
      </c>
      <c r="GT2" s="7" t="s">
        <v>245</v>
      </c>
      <c r="GU2" s="7" t="s">
        <v>245</v>
      </c>
      <c r="GV2" s="7" t="s">
        <v>245</v>
      </c>
      <c r="GW2" s="7" t="s">
        <v>245</v>
      </c>
      <c r="GX2" s="7" t="s">
        <v>245</v>
      </c>
      <c r="GY2" s="7" t="s">
        <v>245</v>
      </c>
      <c r="GZ2" s="7" t="s">
        <v>245</v>
      </c>
      <c r="HA2" s="7" t="s">
        <v>245</v>
      </c>
      <c r="HB2" s="7" t="s">
        <v>245</v>
      </c>
      <c r="HC2" s="7" t="s">
        <v>245</v>
      </c>
      <c r="HD2" s="7" t="s">
        <v>245</v>
      </c>
      <c r="HE2" s="7" t="s">
        <v>245</v>
      </c>
      <c r="HF2" s="7" t="s">
        <v>245</v>
      </c>
      <c r="HG2" s="7" t="s">
        <v>245</v>
      </c>
      <c r="HH2" s="7" t="s">
        <v>245</v>
      </c>
      <c r="HI2" s="7" t="s">
        <v>245</v>
      </c>
      <c r="HJ2" s="7" t="s">
        <v>245</v>
      </c>
      <c r="HK2" s="7" t="s">
        <v>245</v>
      </c>
      <c r="HL2" s="7" t="s">
        <v>245</v>
      </c>
      <c r="HM2" s="7" t="s">
        <v>245</v>
      </c>
      <c r="HN2" s="7" t="s">
        <v>245</v>
      </c>
      <c r="HO2" s="7" t="s">
        <v>245</v>
      </c>
      <c r="HP2" s="7" t="s">
        <v>245</v>
      </c>
      <c r="HQ2" s="7" t="s">
        <v>245</v>
      </c>
      <c r="HR2" s="7" t="s">
        <v>245</v>
      </c>
      <c r="HS2" s="7" t="s">
        <v>245</v>
      </c>
      <c r="HT2" s="7" t="s">
        <v>245</v>
      </c>
      <c r="HU2" s="7" t="s">
        <v>245</v>
      </c>
      <c r="HV2" s="7" t="s">
        <v>245</v>
      </c>
      <c r="HW2" s="7" t="s">
        <v>245</v>
      </c>
      <c r="HX2" s="7" t="s">
        <v>245</v>
      </c>
      <c r="HY2" s="7" t="s">
        <v>245</v>
      </c>
      <c r="HZ2" s="7" t="s">
        <v>245</v>
      </c>
      <c r="IA2" s="7" t="s">
        <v>245</v>
      </c>
      <c r="IB2" s="7" t="s">
        <v>245</v>
      </c>
      <c r="IC2" s="7" t="s">
        <v>245</v>
      </c>
      <c r="ID2" s="7" t="s">
        <v>245</v>
      </c>
      <c r="IE2" s="7" t="s">
        <v>245</v>
      </c>
      <c r="IF2" s="7" t="s">
        <v>245</v>
      </c>
      <c r="IG2" s="7" t="s">
        <v>245</v>
      </c>
      <c r="IH2" s="7" t="s">
        <v>245</v>
      </c>
      <c r="II2" s="7" t="s">
        <v>245</v>
      </c>
      <c r="IJ2" s="7" t="s">
        <v>245</v>
      </c>
      <c r="IK2" s="7" t="s">
        <v>245</v>
      </c>
      <c r="IL2" s="7" t="s">
        <v>245</v>
      </c>
      <c r="IM2" s="7" t="s">
        <v>245</v>
      </c>
      <c r="IN2" s="7" t="s">
        <v>245</v>
      </c>
      <c r="IO2" s="7" t="s">
        <v>245</v>
      </c>
      <c r="IP2" s="7" t="s">
        <v>245</v>
      </c>
      <c r="IQ2" s="7" t="s">
        <v>245</v>
      </c>
    </row>
    <row r="3" spans="1:251" x14ac:dyDescent="0.2">
      <c r="A3" s="4" t="s">
        <v>237</v>
      </c>
      <c r="B3" s="7" t="s">
        <v>246</v>
      </c>
      <c r="C3" s="7" t="s">
        <v>246</v>
      </c>
      <c r="D3" s="7" t="s">
        <v>246</v>
      </c>
      <c r="E3" s="7" t="s">
        <v>246</v>
      </c>
      <c r="F3" s="7" t="s">
        <v>246</v>
      </c>
      <c r="G3" s="7" t="s">
        <v>246</v>
      </c>
      <c r="H3" s="7" t="s">
        <v>246</v>
      </c>
      <c r="I3" s="7" t="s">
        <v>246</v>
      </c>
      <c r="J3" s="7" t="s">
        <v>246</v>
      </c>
      <c r="K3" s="7" t="s">
        <v>246</v>
      </c>
      <c r="L3" s="7" t="s">
        <v>246</v>
      </c>
      <c r="M3" s="7" t="s">
        <v>246</v>
      </c>
      <c r="N3" s="7" t="s">
        <v>246</v>
      </c>
      <c r="O3" s="7" t="s">
        <v>246</v>
      </c>
      <c r="P3" s="7" t="s">
        <v>246</v>
      </c>
      <c r="Q3" s="7" t="s">
        <v>246</v>
      </c>
      <c r="R3" s="7" t="s">
        <v>246</v>
      </c>
      <c r="S3" s="7" t="s">
        <v>246</v>
      </c>
      <c r="T3" s="7" t="s">
        <v>246</v>
      </c>
      <c r="U3" s="7" t="s">
        <v>246</v>
      </c>
      <c r="V3" s="7" t="s">
        <v>246</v>
      </c>
      <c r="W3" s="7" t="s">
        <v>246</v>
      </c>
      <c r="X3" s="7" t="s">
        <v>246</v>
      </c>
      <c r="Y3" s="7" t="s">
        <v>246</v>
      </c>
      <c r="Z3" s="7" t="s">
        <v>246</v>
      </c>
      <c r="AA3" s="7" t="s">
        <v>246</v>
      </c>
      <c r="AB3" s="7" t="s">
        <v>246</v>
      </c>
      <c r="AC3" s="7" t="s">
        <v>246</v>
      </c>
      <c r="AD3" s="7" t="s">
        <v>246</v>
      </c>
      <c r="AE3" s="7" t="s">
        <v>246</v>
      </c>
      <c r="AF3" s="7" t="s">
        <v>246</v>
      </c>
      <c r="AG3" s="7" t="s">
        <v>246</v>
      </c>
      <c r="AH3" s="7" t="s">
        <v>246</v>
      </c>
      <c r="AI3" s="7" t="s">
        <v>246</v>
      </c>
      <c r="AJ3" s="7" t="s">
        <v>246</v>
      </c>
      <c r="AK3" s="7" t="s">
        <v>246</v>
      </c>
      <c r="AL3" s="7" t="s">
        <v>246</v>
      </c>
      <c r="AM3" s="7" t="s">
        <v>246</v>
      </c>
      <c r="AN3" s="7" t="s">
        <v>246</v>
      </c>
      <c r="AO3" s="7" t="s">
        <v>246</v>
      </c>
      <c r="AP3" s="7" t="s">
        <v>246</v>
      </c>
      <c r="AQ3" s="7" t="s">
        <v>246</v>
      </c>
      <c r="AR3" s="7" t="s">
        <v>246</v>
      </c>
      <c r="AS3" s="7" t="s">
        <v>246</v>
      </c>
      <c r="AT3" s="7" t="s">
        <v>246</v>
      </c>
      <c r="AU3" s="7" t="s">
        <v>246</v>
      </c>
      <c r="AV3" s="7" t="s">
        <v>246</v>
      </c>
      <c r="AW3" s="7" t="s">
        <v>246</v>
      </c>
      <c r="AX3" s="7" t="s">
        <v>246</v>
      </c>
      <c r="AY3" s="7" t="s">
        <v>246</v>
      </c>
      <c r="AZ3" s="7" t="s">
        <v>246</v>
      </c>
      <c r="BA3" s="7" t="s">
        <v>246</v>
      </c>
      <c r="BB3" s="7" t="s">
        <v>246</v>
      </c>
      <c r="BC3" s="7" t="s">
        <v>246</v>
      </c>
      <c r="BD3" s="7" t="s">
        <v>246</v>
      </c>
      <c r="BE3" s="7" t="s">
        <v>246</v>
      </c>
      <c r="BF3" s="7" t="s">
        <v>246</v>
      </c>
      <c r="BG3" s="7" t="s">
        <v>246</v>
      </c>
      <c r="BH3" s="7" t="s">
        <v>246</v>
      </c>
      <c r="BI3" s="7" t="s">
        <v>246</v>
      </c>
      <c r="BJ3" s="7" t="s">
        <v>246</v>
      </c>
      <c r="BK3" s="7" t="s">
        <v>246</v>
      </c>
      <c r="BL3" s="7" t="s">
        <v>246</v>
      </c>
      <c r="BM3" s="7" t="s">
        <v>246</v>
      </c>
      <c r="BN3" s="7" t="s">
        <v>246</v>
      </c>
      <c r="BO3" s="7" t="s">
        <v>246</v>
      </c>
      <c r="BP3" s="7" t="s">
        <v>246</v>
      </c>
      <c r="BQ3" s="7" t="s">
        <v>246</v>
      </c>
      <c r="BR3" s="7" t="s">
        <v>246</v>
      </c>
      <c r="BS3" s="7" t="s">
        <v>246</v>
      </c>
      <c r="BT3" s="7" t="s">
        <v>246</v>
      </c>
      <c r="BU3" s="7" t="s">
        <v>246</v>
      </c>
      <c r="BV3" s="7" t="s">
        <v>246</v>
      </c>
      <c r="BW3" s="7" t="s">
        <v>246</v>
      </c>
      <c r="BX3" s="7" t="s">
        <v>246</v>
      </c>
      <c r="BY3" s="7" t="s">
        <v>246</v>
      </c>
      <c r="BZ3" s="7" t="s">
        <v>246</v>
      </c>
      <c r="CA3" s="7" t="s">
        <v>246</v>
      </c>
      <c r="CB3" s="7" t="s">
        <v>246</v>
      </c>
      <c r="CC3" s="7" t="s">
        <v>246</v>
      </c>
      <c r="CD3" s="7" t="s">
        <v>246</v>
      </c>
      <c r="CE3" s="7" t="s">
        <v>246</v>
      </c>
      <c r="CF3" s="7" t="s">
        <v>246</v>
      </c>
      <c r="CG3" s="7" t="s">
        <v>246</v>
      </c>
      <c r="CH3" s="7" t="s">
        <v>246</v>
      </c>
      <c r="CI3" s="7" t="s">
        <v>246</v>
      </c>
      <c r="CJ3" s="7" t="s">
        <v>246</v>
      </c>
      <c r="CK3" s="7" t="s">
        <v>246</v>
      </c>
      <c r="CL3" s="7" t="s">
        <v>246</v>
      </c>
      <c r="CM3" s="7" t="s">
        <v>246</v>
      </c>
      <c r="CN3" s="7" t="s">
        <v>246</v>
      </c>
      <c r="CO3" s="7" t="s">
        <v>246</v>
      </c>
      <c r="CP3" s="7" t="s">
        <v>246</v>
      </c>
      <c r="CQ3" s="7" t="s">
        <v>246</v>
      </c>
      <c r="CR3" s="7" t="s">
        <v>246</v>
      </c>
      <c r="CS3" s="7" t="s">
        <v>246</v>
      </c>
      <c r="CT3" s="7" t="s">
        <v>246</v>
      </c>
      <c r="CU3" s="7" t="s">
        <v>246</v>
      </c>
      <c r="CV3" s="7" t="s">
        <v>246</v>
      </c>
      <c r="CW3" s="7" t="s">
        <v>246</v>
      </c>
      <c r="CX3" s="7" t="s">
        <v>246</v>
      </c>
      <c r="CY3" s="7" t="s">
        <v>246</v>
      </c>
      <c r="CZ3" s="7" t="s">
        <v>246</v>
      </c>
      <c r="DA3" s="7" t="s">
        <v>246</v>
      </c>
      <c r="DB3" s="7" t="s">
        <v>246</v>
      </c>
      <c r="DC3" s="7" t="s">
        <v>246</v>
      </c>
      <c r="DD3" s="7" t="s">
        <v>246</v>
      </c>
      <c r="DE3" s="7" t="s">
        <v>246</v>
      </c>
      <c r="DF3" s="7" t="s">
        <v>246</v>
      </c>
      <c r="DG3" s="7" t="s">
        <v>246</v>
      </c>
      <c r="DH3" s="7" t="s">
        <v>246</v>
      </c>
      <c r="DI3" s="7" t="s">
        <v>246</v>
      </c>
      <c r="DJ3" s="7" t="s">
        <v>246</v>
      </c>
      <c r="DK3" s="7" t="s">
        <v>246</v>
      </c>
      <c r="DL3" s="7" t="s">
        <v>246</v>
      </c>
      <c r="DM3" s="7" t="s">
        <v>246</v>
      </c>
      <c r="DN3" s="7" t="s">
        <v>246</v>
      </c>
      <c r="DO3" s="7" t="s">
        <v>246</v>
      </c>
      <c r="DP3" s="7" t="s">
        <v>246</v>
      </c>
      <c r="DQ3" s="7" t="s">
        <v>246</v>
      </c>
      <c r="DR3" s="7" t="s">
        <v>246</v>
      </c>
      <c r="DS3" s="7" t="s">
        <v>246</v>
      </c>
      <c r="DT3" s="7" t="s">
        <v>246</v>
      </c>
      <c r="DU3" s="7" t="s">
        <v>246</v>
      </c>
      <c r="DV3" s="7" t="s">
        <v>246</v>
      </c>
      <c r="DW3" s="7" t="s">
        <v>246</v>
      </c>
      <c r="DX3" s="7" t="s">
        <v>246</v>
      </c>
      <c r="DY3" s="7" t="s">
        <v>246</v>
      </c>
      <c r="DZ3" s="7" t="s">
        <v>246</v>
      </c>
      <c r="EA3" s="7" t="s">
        <v>246</v>
      </c>
      <c r="EB3" s="7" t="s">
        <v>246</v>
      </c>
      <c r="EC3" s="7" t="s">
        <v>246</v>
      </c>
      <c r="ED3" s="7" t="s">
        <v>246</v>
      </c>
      <c r="EE3" s="7" t="s">
        <v>246</v>
      </c>
      <c r="EF3" s="7" t="s">
        <v>246</v>
      </c>
      <c r="EG3" s="7" t="s">
        <v>246</v>
      </c>
      <c r="EH3" s="7" t="s">
        <v>246</v>
      </c>
      <c r="EI3" s="7" t="s">
        <v>246</v>
      </c>
      <c r="EJ3" s="7" t="s">
        <v>246</v>
      </c>
      <c r="EK3" s="7" t="s">
        <v>246</v>
      </c>
      <c r="EL3" s="7" t="s">
        <v>246</v>
      </c>
      <c r="EM3" s="7" t="s">
        <v>246</v>
      </c>
      <c r="EN3" s="7" t="s">
        <v>246</v>
      </c>
      <c r="EO3" s="7" t="s">
        <v>246</v>
      </c>
      <c r="EP3" s="7" t="s">
        <v>246</v>
      </c>
      <c r="EQ3" s="7" t="s">
        <v>246</v>
      </c>
      <c r="ER3" s="7" t="s">
        <v>246</v>
      </c>
      <c r="ES3" s="7" t="s">
        <v>246</v>
      </c>
      <c r="ET3" s="7" t="s">
        <v>246</v>
      </c>
      <c r="EU3" s="7" t="s">
        <v>246</v>
      </c>
      <c r="EV3" s="7" t="s">
        <v>246</v>
      </c>
      <c r="EW3" s="7" t="s">
        <v>246</v>
      </c>
      <c r="EX3" s="7" t="s">
        <v>246</v>
      </c>
      <c r="EY3" s="7" t="s">
        <v>246</v>
      </c>
      <c r="EZ3" s="7" t="s">
        <v>246</v>
      </c>
      <c r="FA3" s="7" t="s">
        <v>246</v>
      </c>
      <c r="FB3" s="7" t="s">
        <v>246</v>
      </c>
      <c r="FC3" s="7" t="s">
        <v>246</v>
      </c>
      <c r="FD3" s="7" t="s">
        <v>246</v>
      </c>
      <c r="FE3" s="7" t="s">
        <v>246</v>
      </c>
      <c r="FF3" s="7" t="s">
        <v>246</v>
      </c>
      <c r="FG3" s="7" t="s">
        <v>246</v>
      </c>
      <c r="FH3" s="7" t="s">
        <v>246</v>
      </c>
      <c r="FI3" s="7" t="s">
        <v>246</v>
      </c>
      <c r="FJ3" s="7" t="s">
        <v>246</v>
      </c>
      <c r="FK3" s="7" t="s">
        <v>246</v>
      </c>
      <c r="FL3" s="7" t="s">
        <v>246</v>
      </c>
      <c r="FM3" s="7" t="s">
        <v>246</v>
      </c>
      <c r="FN3" s="7" t="s">
        <v>246</v>
      </c>
      <c r="FO3" s="7" t="s">
        <v>246</v>
      </c>
      <c r="FP3" s="7" t="s">
        <v>246</v>
      </c>
      <c r="FQ3" s="7" t="s">
        <v>246</v>
      </c>
      <c r="FR3" s="7" t="s">
        <v>246</v>
      </c>
      <c r="FS3" s="7" t="s">
        <v>246</v>
      </c>
      <c r="FT3" s="7" t="s">
        <v>246</v>
      </c>
      <c r="FU3" s="7" t="s">
        <v>246</v>
      </c>
      <c r="FV3" s="7" t="s">
        <v>246</v>
      </c>
      <c r="FW3" s="7" t="s">
        <v>246</v>
      </c>
      <c r="FX3" s="7" t="s">
        <v>246</v>
      </c>
      <c r="FY3" s="7" t="s">
        <v>246</v>
      </c>
      <c r="FZ3" s="7" t="s">
        <v>246</v>
      </c>
      <c r="GA3" s="7" t="s">
        <v>246</v>
      </c>
      <c r="GB3" s="7" t="s">
        <v>246</v>
      </c>
      <c r="GC3" s="7" t="s">
        <v>246</v>
      </c>
      <c r="GD3" s="7" t="s">
        <v>246</v>
      </c>
      <c r="GE3" s="7" t="s">
        <v>246</v>
      </c>
      <c r="GF3" s="7" t="s">
        <v>246</v>
      </c>
      <c r="GG3" s="7" t="s">
        <v>246</v>
      </c>
      <c r="GH3" s="7" t="s">
        <v>246</v>
      </c>
      <c r="GI3" s="7" t="s">
        <v>246</v>
      </c>
      <c r="GJ3" s="7" t="s">
        <v>246</v>
      </c>
      <c r="GK3" s="7" t="s">
        <v>246</v>
      </c>
      <c r="GL3" s="7" t="s">
        <v>246</v>
      </c>
      <c r="GM3" s="7" t="s">
        <v>246</v>
      </c>
      <c r="GN3" s="7" t="s">
        <v>246</v>
      </c>
      <c r="GO3" s="7" t="s">
        <v>246</v>
      </c>
      <c r="GP3" s="7" t="s">
        <v>246</v>
      </c>
      <c r="GQ3" s="7" t="s">
        <v>246</v>
      </c>
      <c r="GR3" s="7" t="s">
        <v>246</v>
      </c>
      <c r="GS3" s="7" t="s">
        <v>246</v>
      </c>
      <c r="GT3" s="7" t="s">
        <v>246</v>
      </c>
      <c r="GU3" s="7" t="s">
        <v>246</v>
      </c>
      <c r="GV3" s="7" t="s">
        <v>246</v>
      </c>
      <c r="GW3" s="7" t="s">
        <v>246</v>
      </c>
      <c r="GX3" s="7" t="s">
        <v>246</v>
      </c>
      <c r="GY3" s="7" t="s">
        <v>246</v>
      </c>
      <c r="GZ3" s="7" t="s">
        <v>246</v>
      </c>
      <c r="HA3" s="7" t="s">
        <v>246</v>
      </c>
      <c r="HB3" s="7" t="s">
        <v>246</v>
      </c>
      <c r="HC3" s="7" t="s">
        <v>246</v>
      </c>
      <c r="HD3" s="7" t="s">
        <v>246</v>
      </c>
      <c r="HE3" s="7" t="s">
        <v>246</v>
      </c>
      <c r="HF3" s="7" t="s">
        <v>246</v>
      </c>
      <c r="HG3" s="7" t="s">
        <v>246</v>
      </c>
      <c r="HH3" s="7" t="s">
        <v>246</v>
      </c>
      <c r="HI3" s="7" t="s">
        <v>246</v>
      </c>
      <c r="HJ3" s="7" t="s">
        <v>246</v>
      </c>
      <c r="HK3" s="7" t="s">
        <v>246</v>
      </c>
      <c r="HL3" s="7" t="s">
        <v>246</v>
      </c>
      <c r="HM3" s="7" t="s">
        <v>246</v>
      </c>
      <c r="HN3" s="7" t="s">
        <v>246</v>
      </c>
      <c r="HO3" s="7" t="s">
        <v>246</v>
      </c>
      <c r="HP3" s="7" t="s">
        <v>246</v>
      </c>
      <c r="HQ3" s="7" t="s">
        <v>246</v>
      </c>
      <c r="HR3" s="7" t="s">
        <v>246</v>
      </c>
      <c r="HS3" s="7" t="s">
        <v>246</v>
      </c>
      <c r="HT3" s="7" t="s">
        <v>246</v>
      </c>
      <c r="HU3" s="7" t="s">
        <v>246</v>
      </c>
      <c r="HV3" s="7" t="s">
        <v>246</v>
      </c>
      <c r="HW3" s="7" t="s">
        <v>246</v>
      </c>
      <c r="HX3" s="7" t="s">
        <v>246</v>
      </c>
      <c r="HY3" s="7" t="s">
        <v>246</v>
      </c>
      <c r="HZ3" s="7" t="s">
        <v>246</v>
      </c>
      <c r="IA3" s="7" t="s">
        <v>246</v>
      </c>
      <c r="IB3" s="7" t="s">
        <v>246</v>
      </c>
      <c r="IC3" s="7" t="s">
        <v>246</v>
      </c>
      <c r="ID3" s="7" t="s">
        <v>246</v>
      </c>
      <c r="IE3" s="7" t="s">
        <v>246</v>
      </c>
      <c r="IF3" s="7" t="s">
        <v>246</v>
      </c>
      <c r="IG3" s="7" t="s">
        <v>246</v>
      </c>
      <c r="IH3" s="7" t="s">
        <v>246</v>
      </c>
      <c r="II3" s="7" t="s">
        <v>246</v>
      </c>
      <c r="IJ3" s="7" t="s">
        <v>246</v>
      </c>
      <c r="IK3" s="7" t="s">
        <v>246</v>
      </c>
      <c r="IL3" s="7" t="s">
        <v>246</v>
      </c>
      <c r="IM3" s="7" t="s">
        <v>246</v>
      </c>
      <c r="IN3" s="7" t="s">
        <v>246</v>
      </c>
      <c r="IO3" s="7" t="s">
        <v>246</v>
      </c>
      <c r="IP3" s="7" t="s">
        <v>246</v>
      </c>
      <c r="IQ3" s="7" t="s">
        <v>246</v>
      </c>
    </row>
    <row r="4" spans="1:251" x14ac:dyDescent="0.2">
      <c r="A4" s="4" t="s">
        <v>238</v>
      </c>
      <c r="B4" s="7" t="s">
        <v>247</v>
      </c>
      <c r="C4" s="7" t="s">
        <v>247</v>
      </c>
      <c r="D4" s="7" t="s">
        <v>247</v>
      </c>
      <c r="E4" s="7" t="s">
        <v>247</v>
      </c>
      <c r="F4" s="7" t="s">
        <v>247</v>
      </c>
      <c r="G4" s="7" t="s">
        <v>247</v>
      </c>
      <c r="H4" s="7" t="s">
        <v>247</v>
      </c>
      <c r="I4" s="7" t="s">
        <v>247</v>
      </c>
      <c r="J4" s="7" t="s">
        <v>247</v>
      </c>
      <c r="K4" s="7" t="s">
        <v>247</v>
      </c>
      <c r="L4" s="7" t="s">
        <v>247</v>
      </c>
      <c r="M4" s="7" t="s">
        <v>247</v>
      </c>
      <c r="N4" s="7" t="s">
        <v>247</v>
      </c>
      <c r="O4" s="7" t="s">
        <v>247</v>
      </c>
      <c r="P4" s="7" t="s">
        <v>247</v>
      </c>
      <c r="Q4" s="7" t="s">
        <v>247</v>
      </c>
      <c r="R4" s="7" t="s">
        <v>247</v>
      </c>
      <c r="S4" s="7" t="s">
        <v>247</v>
      </c>
      <c r="T4" s="7" t="s">
        <v>247</v>
      </c>
      <c r="U4" s="7" t="s">
        <v>247</v>
      </c>
      <c r="V4" s="7" t="s">
        <v>247</v>
      </c>
      <c r="W4" s="7" t="s">
        <v>247</v>
      </c>
      <c r="X4" s="7" t="s">
        <v>247</v>
      </c>
      <c r="Y4" s="7" t="s">
        <v>247</v>
      </c>
      <c r="Z4" s="7" t="s">
        <v>247</v>
      </c>
      <c r="AA4" s="7" t="s">
        <v>247</v>
      </c>
      <c r="AB4" s="7" t="s">
        <v>247</v>
      </c>
      <c r="AC4" s="7" t="s">
        <v>247</v>
      </c>
      <c r="AD4" s="7" t="s">
        <v>247</v>
      </c>
      <c r="AE4" s="7" t="s">
        <v>247</v>
      </c>
      <c r="AF4" s="7" t="s">
        <v>247</v>
      </c>
      <c r="AG4" s="7" t="s">
        <v>247</v>
      </c>
      <c r="AH4" s="7" t="s">
        <v>247</v>
      </c>
      <c r="AI4" s="7" t="s">
        <v>247</v>
      </c>
      <c r="AJ4" s="7" t="s">
        <v>247</v>
      </c>
      <c r="AK4" s="7" t="s">
        <v>247</v>
      </c>
      <c r="AL4" s="7" t="s">
        <v>247</v>
      </c>
      <c r="AM4" s="7" t="s">
        <v>247</v>
      </c>
      <c r="AN4" s="7" t="s">
        <v>247</v>
      </c>
      <c r="AO4" s="7" t="s">
        <v>247</v>
      </c>
      <c r="AP4" s="7" t="s">
        <v>247</v>
      </c>
      <c r="AQ4" s="7" t="s">
        <v>247</v>
      </c>
      <c r="AR4" s="7" t="s">
        <v>247</v>
      </c>
      <c r="AS4" s="7" t="s">
        <v>247</v>
      </c>
      <c r="AT4" s="7" t="s">
        <v>247</v>
      </c>
      <c r="AU4" s="7" t="s">
        <v>247</v>
      </c>
      <c r="AV4" s="7" t="s">
        <v>247</v>
      </c>
      <c r="AW4" s="7" t="s">
        <v>247</v>
      </c>
      <c r="AX4" s="7" t="s">
        <v>247</v>
      </c>
      <c r="AY4" s="7" t="s">
        <v>247</v>
      </c>
      <c r="AZ4" s="7" t="s">
        <v>247</v>
      </c>
      <c r="BA4" s="7" t="s">
        <v>247</v>
      </c>
      <c r="BB4" s="7" t="s">
        <v>247</v>
      </c>
      <c r="BC4" s="7" t="s">
        <v>247</v>
      </c>
      <c r="BD4" s="7" t="s">
        <v>247</v>
      </c>
      <c r="BE4" s="7" t="s">
        <v>247</v>
      </c>
      <c r="BF4" s="7" t="s">
        <v>247</v>
      </c>
      <c r="BG4" s="7" t="s">
        <v>247</v>
      </c>
      <c r="BH4" s="7" t="s">
        <v>247</v>
      </c>
      <c r="BI4" s="7" t="s">
        <v>247</v>
      </c>
      <c r="BJ4" s="7" t="s">
        <v>247</v>
      </c>
      <c r="BK4" s="7" t="s">
        <v>247</v>
      </c>
      <c r="BL4" s="7" t="s">
        <v>247</v>
      </c>
      <c r="BM4" s="7" t="s">
        <v>247</v>
      </c>
      <c r="BN4" s="7" t="s">
        <v>247</v>
      </c>
      <c r="BO4" s="7" t="s">
        <v>247</v>
      </c>
      <c r="BP4" s="7" t="s">
        <v>247</v>
      </c>
      <c r="BQ4" s="7" t="s">
        <v>247</v>
      </c>
      <c r="BR4" s="7" t="s">
        <v>247</v>
      </c>
      <c r="BS4" s="7" t="s">
        <v>247</v>
      </c>
      <c r="BT4" s="7" t="s">
        <v>247</v>
      </c>
      <c r="BU4" s="7" t="s">
        <v>247</v>
      </c>
      <c r="BV4" s="7" t="s">
        <v>247</v>
      </c>
      <c r="BW4" s="7" t="s">
        <v>247</v>
      </c>
      <c r="BX4" s="7" t="s">
        <v>247</v>
      </c>
      <c r="BY4" s="7" t="s">
        <v>247</v>
      </c>
      <c r="BZ4" s="7" t="s">
        <v>247</v>
      </c>
      <c r="CA4" s="7" t="s">
        <v>247</v>
      </c>
      <c r="CB4" s="7" t="s">
        <v>247</v>
      </c>
      <c r="CC4" s="7" t="s">
        <v>247</v>
      </c>
      <c r="CD4" s="7" t="s">
        <v>247</v>
      </c>
      <c r="CE4" s="7" t="s">
        <v>247</v>
      </c>
      <c r="CF4" s="7" t="s">
        <v>247</v>
      </c>
      <c r="CG4" s="7" t="s">
        <v>247</v>
      </c>
      <c r="CH4" s="7" t="s">
        <v>247</v>
      </c>
      <c r="CI4" s="7" t="s">
        <v>247</v>
      </c>
      <c r="CJ4" s="7" t="s">
        <v>247</v>
      </c>
      <c r="CK4" s="7" t="s">
        <v>247</v>
      </c>
      <c r="CL4" s="7" t="s">
        <v>247</v>
      </c>
      <c r="CM4" s="7" t="s">
        <v>247</v>
      </c>
      <c r="CN4" s="7" t="s">
        <v>247</v>
      </c>
      <c r="CO4" s="7" t="s">
        <v>247</v>
      </c>
      <c r="CP4" s="7" t="s">
        <v>247</v>
      </c>
      <c r="CQ4" s="7" t="s">
        <v>247</v>
      </c>
      <c r="CR4" s="7" t="s">
        <v>247</v>
      </c>
      <c r="CS4" s="7" t="s">
        <v>247</v>
      </c>
      <c r="CT4" s="7" t="s">
        <v>247</v>
      </c>
      <c r="CU4" s="7" t="s">
        <v>247</v>
      </c>
      <c r="CV4" s="7" t="s">
        <v>247</v>
      </c>
      <c r="CW4" s="7" t="s">
        <v>247</v>
      </c>
      <c r="CX4" s="7" t="s">
        <v>247</v>
      </c>
      <c r="CY4" s="7" t="s">
        <v>247</v>
      </c>
      <c r="CZ4" s="7" t="s">
        <v>247</v>
      </c>
      <c r="DA4" s="7" t="s">
        <v>247</v>
      </c>
      <c r="DB4" s="7" t="s">
        <v>247</v>
      </c>
      <c r="DC4" s="7" t="s">
        <v>247</v>
      </c>
      <c r="DD4" s="7" t="s">
        <v>247</v>
      </c>
      <c r="DE4" s="7" t="s">
        <v>247</v>
      </c>
      <c r="DF4" s="7" t="s">
        <v>247</v>
      </c>
      <c r="DG4" s="7" t="s">
        <v>247</v>
      </c>
      <c r="DH4" s="7" t="s">
        <v>247</v>
      </c>
      <c r="DI4" s="7" t="s">
        <v>247</v>
      </c>
      <c r="DJ4" s="7" t="s">
        <v>247</v>
      </c>
      <c r="DK4" s="7" t="s">
        <v>247</v>
      </c>
      <c r="DL4" s="7" t="s">
        <v>247</v>
      </c>
      <c r="DM4" s="7" t="s">
        <v>247</v>
      </c>
      <c r="DN4" s="7" t="s">
        <v>247</v>
      </c>
      <c r="DO4" s="7" t="s">
        <v>247</v>
      </c>
      <c r="DP4" s="7" t="s">
        <v>247</v>
      </c>
      <c r="DQ4" s="7" t="s">
        <v>247</v>
      </c>
      <c r="DR4" s="7" t="s">
        <v>247</v>
      </c>
      <c r="DS4" s="7" t="s">
        <v>247</v>
      </c>
      <c r="DT4" s="7" t="s">
        <v>247</v>
      </c>
      <c r="DU4" s="7" t="s">
        <v>247</v>
      </c>
      <c r="DV4" s="7" t="s">
        <v>247</v>
      </c>
      <c r="DW4" s="7" t="s">
        <v>247</v>
      </c>
      <c r="DX4" s="7" t="s">
        <v>247</v>
      </c>
      <c r="DY4" s="7" t="s">
        <v>247</v>
      </c>
      <c r="DZ4" s="7" t="s">
        <v>247</v>
      </c>
      <c r="EA4" s="7" t="s">
        <v>247</v>
      </c>
      <c r="EB4" s="7" t="s">
        <v>247</v>
      </c>
      <c r="EC4" s="7" t="s">
        <v>247</v>
      </c>
      <c r="ED4" s="7" t="s">
        <v>247</v>
      </c>
      <c r="EE4" s="7" t="s">
        <v>247</v>
      </c>
      <c r="EF4" s="7" t="s">
        <v>247</v>
      </c>
      <c r="EG4" s="7" t="s">
        <v>247</v>
      </c>
      <c r="EH4" s="7" t="s">
        <v>247</v>
      </c>
      <c r="EI4" s="7" t="s">
        <v>247</v>
      </c>
      <c r="EJ4" s="7" t="s">
        <v>247</v>
      </c>
      <c r="EK4" s="7" t="s">
        <v>247</v>
      </c>
      <c r="EL4" s="7" t="s">
        <v>247</v>
      </c>
      <c r="EM4" s="7" t="s">
        <v>247</v>
      </c>
      <c r="EN4" s="7" t="s">
        <v>247</v>
      </c>
      <c r="EO4" s="7" t="s">
        <v>247</v>
      </c>
      <c r="EP4" s="7" t="s">
        <v>247</v>
      </c>
      <c r="EQ4" s="7" t="s">
        <v>247</v>
      </c>
      <c r="ER4" s="7" t="s">
        <v>247</v>
      </c>
      <c r="ES4" s="7" t="s">
        <v>247</v>
      </c>
      <c r="ET4" s="7" t="s">
        <v>247</v>
      </c>
      <c r="EU4" s="7" t="s">
        <v>247</v>
      </c>
      <c r="EV4" s="7" t="s">
        <v>247</v>
      </c>
      <c r="EW4" s="7" t="s">
        <v>247</v>
      </c>
      <c r="EX4" s="7" t="s">
        <v>247</v>
      </c>
      <c r="EY4" s="7" t="s">
        <v>247</v>
      </c>
      <c r="EZ4" s="7" t="s">
        <v>247</v>
      </c>
      <c r="FA4" s="7" t="s">
        <v>247</v>
      </c>
      <c r="FB4" s="7" t="s">
        <v>247</v>
      </c>
      <c r="FC4" s="7" t="s">
        <v>247</v>
      </c>
      <c r="FD4" s="7" t="s">
        <v>247</v>
      </c>
      <c r="FE4" s="7" t="s">
        <v>247</v>
      </c>
      <c r="FF4" s="7" t="s">
        <v>247</v>
      </c>
      <c r="FG4" s="7" t="s">
        <v>247</v>
      </c>
      <c r="FH4" s="7" t="s">
        <v>247</v>
      </c>
      <c r="FI4" s="7" t="s">
        <v>247</v>
      </c>
      <c r="FJ4" s="7" t="s">
        <v>247</v>
      </c>
      <c r="FK4" s="7" t="s">
        <v>247</v>
      </c>
      <c r="FL4" s="7" t="s">
        <v>247</v>
      </c>
      <c r="FM4" s="7" t="s">
        <v>247</v>
      </c>
      <c r="FN4" s="7" t="s">
        <v>247</v>
      </c>
      <c r="FO4" s="7" t="s">
        <v>247</v>
      </c>
      <c r="FP4" s="7" t="s">
        <v>247</v>
      </c>
      <c r="FQ4" s="7" t="s">
        <v>247</v>
      </c>
      <c r="FR4" s="7" t="s">
        <v>247</v>
      </c>
      <c r="FS4" s="7" t="s">
        <v>247</v>
      </c>
      <c r="FT4" s="7" t="s">
        <v>247</v>
      </c>
      <c r="FU4" s="7" t="s">
        <v>247</v>
      </c>
      <c r="FV4" s="7" t="s">
        <v>247</v>
      </c>
      <c r="FW4" s="7" t="s">
        <v>247</v>
      </c>
      <c r="FX4" s="7" t="s">
        <v>247</v>
      </c>
      <c r="FY4" s="7" t="s">
        <v>247</v>
      </c>
      <c r="FZ4" s="7" t="s">
        <v>247</v>
      </c>
      <c r="GA4" s="7" t="s">
        <v>247</v>
      </c>
      <c r="GB4" s="7" t="s">
        <v>247</v>
      </c>
      <c r="GC4" s="7" t="s">
        <v>247</v>
      </c>
      <c r="GD4" s="7" t="s">
        <v>247</v>
      </c>
      <c r="GE4" s="7" t="s">
        <v>247</v>
      </c>
      <c r="GF4" s="7" t="s">
        <v>247</v>
      </c>
      <c r="GG4" s="7" t="s">
        <v>247</v>
      </c>
      <c r="GH4" s="7" t="s">
        <v>247</v>
      </c>
      <c r="GI4" s="7" t="s">
        <v>247</v>
      </c>
      <c r="GJ4" s="7" t="s">
        <v>247</v>
      </c>
      <c r="GK4" s="7" t="s">
        <v>247</v>
      </c>
      <c r="GL4" s="7" t="s">
        <v>247</v>
      </c>
      <c r="GM4" s="7" t="s">
        <v>247</v>
      </c>
      <c r="GN4" s="7" t="s">
        <v>247</v>
      </c>
      <c r="GO4" s="7" t="s">
        <v>247</v>
      </c>
      <c r="GP4" s="7" t="s">
        <v>247</v>
      </c>
      <c r="GQ4" s="7" t="s">
        <v>247</v>
      </c>
      <c r="GR4" s="7" t="s">
        <v>247</v>
      </c>
      <c r="GS4" s="7" t="s">
        <v>247</v>
      </c>
      <c r="GT4" s="7" t="s">
        <v>247</v>
      </c>
      <c r="GU4" s="7" t="s">
        <v>247</v>
      </c>
      <c r="GV4" s="7" t="s">
        <v>247</v>
      </c>
      <c r="GW4" s="7" t="s">
        <v>247</v>
      </c>
      <c r="GX4" s="7" t="s">
        <v>247</v>
      </c>
      <c r="GY4" s="7" t="s">
        <v>247</v>
      </c>
      <c r="GZ4" s="7" t="s">
        <v>247</v>
      </c>
      <c r="HA4" s="7" t="s">
        <v>247</v>
      </c>
      <c r="HB4" s="7" t="s">
        <v>247</v>
      </c>
      <c r="HC4" s="7" t="s">
        <v>247</v>
      </c>
      <c r="HD4" s="7" t="s">
        <v>247</v>
      </c>
      <c r="HE4" s="7" t="s">
        <v>247</v>
      </c>
      <c r="HF4" s="7" t="s">
        <v>247</v>
      </c>
      <c r="HG4" s="7" t="s">
        <v>247</v>
      </c>
      <c r="HH4" s="7" t="s">
        <v>247</v>
      </c>
      <c r="HI4" s="7" t="s">
        <v>247</v>
      </c>
      <c r="HJ4" s="7" t="s">
        <v>247</v>
      </c>
      <c r="HK4" s="7" t="s">
        <v>247</v>
      </c>
      <c r="HL4" s="7" t="s">
        <v>247</v>
      </c>
      <c r="HM4" s="7" t="s">
        <v>247</v>
      </c>
      <c r="HN4" s="7" t="s">
        <v>247</v>
      </c>
      <c r="HO4" s="7" t="s">
        <v>247</v>
      </c>
      <c r="HP4" s="7" t="s">
        <v>247</v>
      </c>
      <c r="HQ4" s="7" t="s">
        <v>247</v>
      </c>
      <c r="HR4" s="7" t="s">
        <v>247</v>
      </c>
      <c r="HS4" s="7" t="s">
        <v>247</v>
      </c>
      <c r="HT4" s="7" t="s">
        <v>247</v>
      </c>
      <c r="HU4" s="7" t="s">
        <v>247</v>
      </c>
      <c r="HV4" s="7" t="s">
        <v>247</v>
      </c>
      <c r="HW4" s="7" t="s">
        <v>247</v>
      </c>
      <c r="HX4" s="7" t="s">
        <v>247</v>
      </c>
      <c r="HY4" s="7" t="s">
        <v>247</v>
      </c>
      <c r="HZ4" s="7" t="s">
        <v>247</v>
      </c>
      <c r="IA4" s="7" t="s">
        <v>247</v>
      </c>
      <c r="IB4" s="7" t="s">
        <v>247</v>
      </c>
      <c r="IC4" s="7" t="s">
        <v>247</v>
      </c>
      <c r="ID4" s="7" t="s">
        <v>247</v>
      </c>
      <c r="IE4" s="7" t="s">
        <v>247</v>
      </c>
      <c r="IF4" s="7" t="s">
        <v>247</v>
      </c>
      <c r="IG4" s="7" t="s">
        <v>247</v>
      </c>
      <c r="IH4" s="7" t="s">
        <v>247</v>
      </c>
      <c r="II4" s="7" t="s">
        <v>247</v>
      </c>
      <c r="IJ4" s="7" t="s">
        <v>247</v>
      </c>
      <c r="IK4" s="7" t="s">
        <v>247</v>
      </c>
      <c r="IL4" s="7" t="s">
        <v>247</v>
      </c>
      <c r="IM4" s="7" t="s">
        <v>247</v>
      </c>
      <c r="IN4" s="7" t="s">
        <v>247</v>
      </c>
      <c r="IO4" s="7" t="s">
        <v>247</v>
      </c>
      <c r="IP4" s="7" t="s">
        <v>247</v>
      </c>
      <c r="IQ4" s="7" t="s">
        <v>247</v>
      </c>
    </row>
    <row r="5" spans="1:251" x14ac:dyDescent="0.2">
      <c r="A5" s="4" t="s">
        <v>239</v>
      </c>
      <c r="B5" s="7" t="s">
        <v>248</v>
      </c>
      <c r="C5" s="7" t="s">
        <v>248</v>
      </c>
      <c r="D5" s="7" t="s">
        <v>248</v>
      </c>
      <c r="E5" s="7" t="s">
        <v>248</v>
      </c>
      <c r="F5" s="7" t="s">
        <v>248</v>
      </c>
      <c r="G5" s="7" t="s">
        <v>248</v>
      </c>
      <c r="H5" s="7" t="s">
        <v>248</v>
      </c>
      <c r="I5" s="7" t="s">
        <v>248</v>
      </c>
      <c r="J5" s="7" t="s">
        <v>248</v>
      </c>
      <c r="K5" s="7" t="s">
        <v>248</v>
      </c>
      <c r="L5" s="7" t="s">
        <v>248</v>
      </c>
      <c r="M5" s="7" t="s">
        <v>248</v>
      </c>
      <c r="N5" s="7" t="s">
        <v>248</v>
      </c>
      <c r="O5" s="7" t="s">
        <v>248</v>
      </c>
      <c r="P5" s="7" t="s">
        <v>248</v>
      </c>
      <c r="Q5" s="7" t="s">
        <v>248</v>
      </c>
      <c r="R5" s="7" t="s">
        <v>248</v>
      </c>
      <c r="S5" s="7" t="s">
        <v>248</v>
      </c>
      <c r="T5" s="7" t="s">
        <v>248</v>
      </c>
      <c r="U5" s="7" t="s">
        <v>248</v>
      </c>
      <c r="V5" s="7" t="s">
        <v>248</v>
      </c>
      <c r="W5" s="7" t="s">
        <v>248</v>
      </c>
      <c r="X5" s="7" t="s">
        <v>248</v>
      </c>
      <c r="Y5" s="7" t="s">
        <v>248</v>
      </c>
      <c r="Z5" s="7" t="s">
        <v>248</v>
      </c>
      <c r="AA5" s="7" t="s">
        <v>248</v>
      </c>
      <c r="AB5" s="7" t="s">
        <v>248</v>
      </c>
      <c r="AC5" s="7" t="s">
        <v>248</v>
      </c>
      <c r="AD5" s="7" t="s">
        <v>248</v>
      </c>
      <c r="AE5" s="7" t="s">
        <v>248</v>
      </c>
      <c r="AF5" s="7" t="s">
        <v>248</v>
      </c>
      <c r="AG5" s="7" t="s">
        <v>248</v>
      </c>
      <c r="AH5" s="7" t="s">
        <v>248</v>
      </c>
      <c r="AI5" s="7" t="s">
        <v>248</v>
      </c>
      <c r="AJ5" s="7" t="s">
        <v>248</v>
      </c>
      <c r="AK5" s="7" t="s">
        <v>248</v>
      </c>
      <c r="AL5" s="7" t="s">
        <v>248</v>
      </c>
      <c r="AM5" s="7" t="s">
        <v>248</v>
      </c>
      <c r="AN5" s="7" t="s">
        <v>248</v>
      </c>
      <c r="AO5" s="7" t="s">
        <v>248</v>
      </c>
      <c r="AP5" s="7" t="s">
        <v>248</v>
      </c>
      <c r="AQ5" s="7" t="s">
        <v>248</v>
      </c>
      <c r="AR5" s="7" t="s">
        <v>248</v>
      </c>
      <c r="AS5" s="7" t="s">
        <v>248</v>
      </c>
      <c r="AT5" s="7" t="s">
        <v>248</v>
      </c>
      <c r="AU5" s="7" t="s">
        <v>248</v>
      </c>
      <c r="AV5" s="7" t="s">
        <v>248</v>
      </c>
      <c r="AW5" s="7" t="s">
        <v>248</v>
      </c>
      <c r="AX5" s="7" t="s">
        <v>248</v>
      </c>
      <c r="AY5" s="7" t="s">
        <v>248</v>
      </c>
      <c r="AZ5" s="7" t="s">
        <v>248</v>
      </c>
      <c r="BA5" s="7" t="s">
        <v>248</v>
      </c>
      <c r="BB5" s="7" t="s">
        <v>248</v>
      </c>
      <c r="BC5" s="7" t="s">
        <v>248</v>
      </c>
      <c r="BD5" s="7" t="s">
        <v>248</v>
      </c>
      <c r="BE5" s="7" t="s">
        <v>248</v>
      </c>
      <c r="BF5" s="7" t="s">
        <v>248</v>
      </c>
      <c r="BG5" s="7" t="s">
        <v>248</v>
      </c>
      <c r="BH5" s="7" t="s">
        <v>248</v>
      </c>
      <c r="BI5" s="7" t="s">
        <v>248</v>
      </c>
      <c r="BJ5" s="7" t="s">
        <v>248</v>
      </c>
      <c r="BK5" s="7" t="s">
        <v>248</v>
      </c>
      <c r="BL5" s="7" t="s">
        <v>248</v>
      </c>
      <c r="BM5" s="7" t="s">
        <v>248</v>
      </c>
      <c r="BN5" s="7" t="s">
        <v>248</v>
      </c>
      <c r="BO5" s="7" t="s">
        <v>248</v>
      </c>
      <c r="BP5" s="7" t="s">
        <v>248</v>
      </c>
      <c r="BQ5" s="7" t="s">
        <v>248</v>
      </c>
      <c r="BR5" s="7" t="s">
        <v>248</v>
      </c>
      <c r="BS5" s="7" t="s">
        <v>248</v>
      </c>
      <c r="BT5" s="7" t="s">
        <v>248</v>
      </c>
      <c r="BU5" s="7" t="s">
        <v>248</v>
      </c>
      <c r="BV5" s="7" t="s">
        <v>248</v>
      </c>
      <c r="BW5" s="7" t="s">
        <v>248</v>
      </c>
      <c r="BX5" s="7" t="s">
        <v>248</v>
      </c>
      <c r="BY5" s="7" t="s">
        <v>248</v>
      </c>
      <c r="BZ5" s="7" t="s">
        <v>248</v>
      </c>
      <c r="CA5" s="7" t="s">
        <v>248</v>
      </c>
      <c r="CB5" s="7" t="s">
        <v>248</v>
      </c>
      <c r="CC5" s="7" t="s">
        <v>248</v>
      </c>
      <c r="CD5" s="7" t="s">
        <v>248</v>
      </c>
      <c r="CE5" s="7" t="s">
        <v>248</v>
      </c>
      <c r="CF5" s="7" t="s">
        <v>248</v>
      </c>
      <c r="CG5" s="7" t="s">
        <v>248</v>
      </c>
      <c r="CH5" s="7" t="s">
        <v>248</v>
      </c>
      <c r="CI5" s="7" t="s">
        <v>248</v>
      </c>
      <c r="CJ5" s="7" t="s">
        <v>248</v>
      </c>
      <c r="CK5" s="7" t="s">
        <v>248</v>
      </c>
      <c r="CL5" s="7" t="s">
        <v>248</v>
      </c>
      <c r="CM5" s="7" t="s">
        <v>248</v>
      </c>
      <c r="CN5" s="7" t="s">
        <v>248</v>
      </c>
      <c r="CO5" s="7" t="s">
        <v>248</v>
      </c>
      <c r="CP5" s="7" t="s">
        <v>248</v>
      </c>
      <c r="CQ5" s="7" t="s">
        <v>248</v>
      </c>
      <c r="CR5" s="7" t="s">
        <v>248</v>
      </c>
      <c r="CS5" s="7" t="s">
        <v>248</v>
      </c>
      <c r="CT5" s="7" t="s">
        <v>248</v>
      </c>
      <c r="CU5" s="7" t="s">
        <v>248</v>
      </c>
      <c r="CV5" s="7" t="s">
        <v>248</v>
      </c>
      <c r="CW5" s="7" t="s">
        <v>248</v>
      </c>
      <c r="CX5" s="7" t="s">
        <v>248</v>
      </c>
      <c r="CY5" s="7" t="s">
        <v>248</v>
      </c>
      <c r="CZ5" s="7" t="s">
        <v>248</v>
      </c>
      <c r="DA5" s="7" t="s">
        <v>248</v>
      </c>
      <c r="DB5" s="7" t="s">
        <v>248</v>
      </c>
      <c r="DC5" s="7" t="s">
        <v>248</v>
      </c>
      <c r="DD5" s="7" t="s">
        <v>248</v>
      </c>
      <c r="DE5" s="7" t="s">
        <v>248</v>
      </c>
      <c r="DF5" s="7" t="s">
        <v>248</v>
      </c>
      <c r="DG5" s="7" t="s">
        <v>248</v>
      </c>
      <c r="DH5" s="7" t="s">
        <v>248</v>
      </c>
      <c r="DI5" s="7" t="s">
        <v>248</v>
      </c>
      <c r="DJ5" s="7" t="s">
        <v>248</v>
      </c>
      <c r="DK5" s="7" t="s">
        <v>248</v>
      </c>
      <c r="DL5" s="7" t="s">
        <v>248</v>
      </c>
      <c r="DM5" s="7" t="s">
        <v>248</v>
      </c>
      <c r="DN5" s="7" t="s">
        <v>248</v>
      </c>
      <c r="DO5" s="7" t="s">
        <v>248</v>
      </c>
      <c r="DP5" s="7" t="s">
        <v>248</v>
      </c>
      <c r="DQ5" s="7" t="s">
        <v>248</v>
      </c>
      <c r="DR5" s="7" t="s">
        <v>248</v>
      </c>
      <c r="DS5" s="7" t="s">
        <v>248</v>
      </c>
      <c r="DT5" s="7" t="s">
        <v>248</v>
      </c>
      <c r="DU5" s="7" t="s">
        <v>248</v>
      </c>
      <c r="DV5" s="7" t="s">
        <v>248</v>
      </c>
      <c r="DW5" s="7" t="s">
        <v>248</v>
      </c>
      <c r="DX5" s="7" t="s">
        <v>248</v>
      </c>
      <c r="DY5" s="7" t="s">
        <v>248</v>
      </c>
      <c r="DZ5" s="7" t="s">
        <v>248</v>
      </c>
      <c r="EA5" s="7" t="s">
        <v>248</v>
      </c>
      <c r="EB5" s="7" t="s">
        <v>248</v>
      </c>
      <c r="EC5" s="7" t="s">
        <v>248</v>
      </c>
      <c r="ED5" s="7" t="s">
        <v>248</v>
      </c>
      <c r="EE5" s="7" t="s">
        <v>248</v>
      </c>
      <c r="EF5" s="7" t="s">
        <v>248</v>
      </c>
      <c r="EG5" s="7" t="s">
        <v>248</v>
      </c>
      <c r="EH5" s="7" t="s">
        <v>248</v>
      </c>
      <c r="EI5" s="7" t="s">
        <v>248</v>
      </c>
      <c r="EJ5" s="7" t="s">
        <v>248</v>
      </c>
      <c r="EK5" s="7" t="s">
        <v>248</v>
      </c>
      <c r="EL5" s="7" t="s">
        <v>248</v>
      </c>
      <c r="EM5" s="7" t="s">
        <v>248</v>
      </c>
      <c r="EN5" s="7" t="s">
        <v>248</v>
      </c>
      <c r="EO5" s="7" t="s">
        <v>248</v>
      </c>
      <c r="EP5" s="7" t="s">
        <v>248</v>
      </c>
      <c r="EQ5" s="7" t="s">
        <v>248</v>
      </c>
      <c r="ER5" s="7" t="s">
        <v>248</v>
      </c>
      <c r="ES5" s="7" t="s">
        <v>248</v>
      </c>
      <c r="ET5" s="7" t="s">
        <v>248</v>
      </c>
      <c r="EU5" s="7" t="s">
        <v>248</v>
      </c>
      <c r="EV5" s="7" t="s">
        <v>248</v>
      </c>
      <c r="EW5" s="7" t="s">
        <v>248</v>
      </c>
      <c r="EX5" s="7" t="s">
        <v>248</v>
      </c>
      <c r="EY5" s="7" t="s">
        <v>248</v>
      </c>
      <c r="EZ5" s="7" t="s">
        <v>248</v>
      </c>
      <c r="FA5" s="7" t="s">
        <v>248</v>
      </c>
      <c r="FB5" s="7" t="s">
        <v>248</v>
      </c>
      <c r="FC5" s="7" t="s">
        <v>248</v>
      </c>
      <c r="FD5" s="7" t="s">
        <v>248</v>
      </c>
      <c r="FE5" s="7" t="s">
        <v>248</v>
      </c>
      <c r="FF5" s="7" t="s">
        <v>248</v>
      </c>
      <c r="FG5" s="7" t="s">
        <v>248</v>
      </c>
      <c r="FH5" s="7" t="s">
        <v>248</v>
      </c>
      <c r="FI5" s="7" t="s">
        <v>248</v>
      </c>
      <c r="FJ5" s="7" t="s">
        <v>248</v>
      </c>
      <c r="FK5" s="7" t="s">
        <v>248</v>
      </c>
      <c r="FL5" s="7" t="s">
        <v>248</v>
      </c>
      <c r="FM5" s="7" t="s">
        <v>248</v>
      </c>
      <c r="FN5" s="7" t="s">
        <v>248</v>
      </c>
      <c r="FO5" s="7" t="s">
        <v>248</v>
      </c>
      <c r="FP5" s="7" t="s">
        <v>248</v>
      </c>
      <c r="FQ5" s="7" t="s">
        <v>248</v>
      </c>
      <c r="FR5" s="7" t="s">
        <v>248</v>
      </c>
      <c r="FS5" s="7" t="s">
        <v>248</v>
      </c>
      <c r="FT5" s="7" t="s">
        <v>248</v>
      </c>
      <c r="FU5" s="7" t="s">
        <v>248</v>
      </c>
      <c r="FV5" s="7" t="s">
        <v>248</v>
      </c>
      <c r="FW5" s="7" t="s">
        <v>248</v>
      </c>
      <c r="FX5" s="7" t="s">
        <v>248</v>
      </c>
      <c r="FY5" s="7" t="s">
        <v>248</v>
      </c>
      <c r="FZ5" s="7" t="s">
        <v>248</v>
      </c>
      <c r="GA5" s="7" t="s">
        <v>248</v>
      </c>
      <c r="GB5" s="7" t="s">
        <v>248</v>
      </c>
      <c r="GC5" s="7" t="s">
        <v>248</v>
      </c>
      <c r="GD5" s="7" t="s">
        <v>248</v>
      </c>
      <c r="GE5" s="7" t="s">
        <v>248</v>
      </c>
      <c r="GF5" s="7" t="s">
        <v>248</v>
      </c>
      <c r="GG5" s="7" t="s">
        <v>248</v>
      </c>
      <c r="GH5" s="7" t="s">
        <v>248</v>
      </c>
      <c r="GI5" s="7" t="s">
        <v>248</v>
      </c>
      <c r="GJ5" s="7" t="s">
        <v>248</v>
      </c>
      <c r="GK5" s="7" t="s">
        <v>248</v>
      </c>
      <c r="GL5" s="7" t="s">
        <v>248</v>
      </c>
      <c r="GM5" s="7" t="s">
        <v>248</v>
      </c>
      <c r="GN5" s="7" t="s">
        <v>248</v>
      </c>
      <c r="GO5" s="7" t="s">
        <v>248</v>
      </c>
      <c r="GP5" s="7" t="s">
        <v>248</v>
      </c>
      <c r="GQ5" s="7" t="s">
        <v>248</v>
      </c>
      <c r="GR5" s="7" t="s">
        <v>248</v>
      </c>
      <c r="GS5" s="7" t="s">
        <v>248</v>
      </c>
      <c r="GT5" s="7" t="s">
        <v>248</v>
      </c>
      <c r="GU5" s="7" t="s">
        <v>248</v>
      </c>
      <c r="GV5" s="7" t="s">
        <v>248</v>
      </c>
      <c r="GW5" s="7" t="s">
        <v>248</v>
      </c>
      <c r="GX5" s="7" t="s">
        <v>248</v>
      </c>
      <c r="GY5" s="7" t="s">
        <v>248</v>
      </c>
      <c r="GZ5" s="7" t="s">
        <v>248</v>
      </c>
      <c r="HA5" s="7" t="s">
        <v>248</v>
      </c>
      <c r="HB5" s="7" t="s">
        <v>248</v>
      </c>
      <c r="HC5" s="7" t="s">
        <v>248</v>
      </c>
      <c r="HD5" s="7" t="s">
        <v>248</v>
      </c>
      <c r="HE5" s="7" t="s">
        <v>248</v>
      </c>
      <c r="HF5" s="7" t="s">
        <v>248</v>
      </c>
      <c r="HG5" s="7" t="s">
        <v>248</v>
      </c>
      <c r="HH5" s="7" t="s">
        <v>248</v>
      </c>
      <c r="HI5" s="7" t="s">
        <v>248</v>
      </c>
      <c r="HJ5" s="7" t="s">
        <v>248</v>
      </c>
      <c r="HK5" s="7" t="s">
        <v>248</v>
      </c>
      <c r="HL5" s="7" t="s">
        <v>248</v>
      </c>
      <c r="HM5" s="7" t="s">
        <v>248</v>
      </c>
      <c r="HN5" s="7" t="s">
        <v>248</v>
      </c>
      <c r="HO5" s="7" t="s">
        <v>248</v>
      </c>
      <c r="HP5" s="7" t="s">
        <v>248</v>
      </c>
      <c r="HQ5" s="7" t="s">
        <v>248</v>
      </c>
      <c r="HR5" s="7" t="s">
        <v>248</v>
      </c>
      <c r="HS5" s="7" t="s">
        <v>248</v>
      </c>
      <c r="HT5" s="7" t="s">
        <v>248</v>
      </c>
      <c r="HU5" s="7" t="s">
        <v>248</v>
      </c>
      <c r="HV5" s="7" t="s">
        <v>248</v>
      </c>
      <c r="HW5" s="7" t="s">
        <v>248</v>
      </c>
      <c r="HX5" s="7" t="s">
        <v>248</v>
      </c>
      <c r="HY5" s="7" t="s">
        <v>248</v>
      </c>
      <c r="HZ5" s="7" t="s">
        <v>248</v>
      </c>
      <c r="IA5" s="7" t="s">
        <v>248</v>
      </c>
      <c r="IB5" s="7" t="s">
        <v>248</v>
      </c>
      <c r="IC5" s="7" t="s">
        <v>248</v>
      </c>
      <c r="ID5" s="7" t="s">
        <v>248</v>
      </c>
      <c r="IE5" s="7" t="s">
        <v>248</v>
      </c>
      <c r="IF5" s="7" t="s">
        <v>248</v>
      </c>
      <c r="IG5" s="7" t="s">
        <v>248</v>
      </c>
      <c r="IH5" s="7" t="s">
        <v>248</v>
      </c>
      <c r="II5" s="7" t="s">
        <v>248</v>
      </c>
      <c r="IJ5" s="7" t="s">
        <v>248</v>
      </c>
      <c r="IK5" s="7" t="s">
        <v>248</v>
      </c>
      <c r="IL5" s="7" t="s">
        <v>248</v>
      </c>
      <c r="IM5" s="7" t="s">
        <v>248</v>
      </c>
      <c r="IN5" s="7" t="s">
        <v>248</v>
      </c>
      <c r="IO5" s="7" t="s">
        <v>248</v>
      </c>
      <c r="IP5" s="7" t="s">
        <v>248</v>
      </c>
      <c r="IQ5" s="7" t="s">
        <v>248</v>
      </c>
    </row>
    <row r="6" spans="1:251" x14ac:dyDescent="0.2">
      <c r="A6" s="4" t="s">
        <v>240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>
        <v>1</v>
      </c>
      <c r="DU6" s="1">
        <v>1</v>
      </c>
      <c r="DV6" s="1">
        <v>1</v>
      </c>
      <c r="DW6" s="1">
        <v>1</v>
      </c>
      <c r="DX6" s="1">
        <v>1</v>
      </c>
      <c r="DY6" s="1">
        <v>1</v>
      </c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1</v>
      </c>
      <c r="EH6" s="1">
        <v>1</v>
      </c>
      <c r="EI6" s="1">
        <v>1</v>
      </c>
      <c r="EJ6" s="1">
        <v>1</v>
      </c>
      <c r="EK6" s="1">
        <v>1</v>
      </c>
      <c r="EL6" s="1">
        <v>1</v>
      </c>
      <c r="EM6" s="1">
        <v>1</v>
      </c>
      <c r="EN6" s="1">
        <v>1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>
        <v>1</v>
      </c>
      <c r="EU6" s="1">
        <v>1</v>
      </c>
      <c r="EV6" s="1">
        <v>1</v>
      </c>
      <c r="EW6" s="1">
        <v>1</v>
      </c>
      <c r="EX6" s="1">
        <v>1</v>
      </c>
      <c r="EY6" s="1">
        <v>1</v>
      </c>
      <c r="EZ6" s="1">
        <v>1</v>
      </c>
      <c r="FA6" s="1">
        <v>1</v>
      </c>
      <c r="FB6" s="1">
        <v>1</v>
      </c>
      <c r="FC6" s="1">
        <v>1</v>
      </c>
      <c r="FD6" s="1">
        <v>1</v>
      </c>
      <c r="FE6" s="1">
        <v>1</v>
      </c>
      <c r="FF6" s="1">
        <v>1</v>
      </c>
      <c r="FG6" s="1">
        <v>1</v>
      </c>
      <c r="FH6" s="1">
        <v>1</v>
      </c>
      <c r="FI6" s="1">
        <v>1</v>
      </c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1</v>
      </c>
      <c r="FP6" s="1">
        <v>1</v>
      </c>
      <c r="FQ6" s="1">
        <v>1</v>
      </c>
      <c r="FR6" s="1">
        <v>1</v>
      </c>
      <c r="FS6" s="1">
        <v>1</v>
      </c>
      <c r="FT6" s="1">
        <v>1</v>
      </c>
      <c r="FU6" s="1">
        <v>1</v>
      </c>
      <c r="FV6" s="1">
        <v>1</v>
      </c>
      <c r="FW6" s="1">
        <v>1</v>
      </c>
      <c r="FX6" s="1">
        <v>1</v>
      </c>
      <c r="FY6" s="1">
        <v>1</v>
      </c>
      <c r="FZ6" s="1">
        <v>1</v>
      </c>
      <c r="GA6" s="1">
        <v>1</v>
      </c>
      <c r="GB6" s="1">
        <v>1</v>
      </c>
      <c r="GC6" s="1">
        <v>1</v>
      </c>
      <c r="GD6" s="1">
        <v>1</v>
      </c>
      <c r="GE6" s="1">
        <v>1</v>
      </c>
      <c r="GF6" s="1">
        <v>1</v>
      </c>
      <c r="GG6" s="1">
        <v>1</v>
      </c>
      <c r="GH6" s="1">
        <v>1</v>
      </c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 s="1">
        <v>1</v>
      </c>
      <c r="HH6" s="1">
        <v>1</v>
      </c>
      <c r="HI6" s="1">
        <v>1</v>
      </c>
      <c r="HJ6" s="1">
        <v>1</v>
      </c>
      <c r="HK6" s="1">
        <v>1</v>
      </c>
      <c r="HL6" s="1">
        <v>1</v>
      </c>
      <c r="HM6" s="1">
        <v>1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1</v>
      </c>
      <c r="HX6" s="1">
        <v>1</v>
      </c>
      <c r="HY6" s="1">
        <v>1</v>
      </c>
      <c r="HZ6" s="1">
        <v>1</v>
      </c>
      <c r="IA6" s="1">
        <v>1</v>
      </c>
      <c r="IB6" s="1">
        <v>1</v>
      </c>
      <c r="IC6" s="1">
        <v>1</v>
      </c>
      <c r="ID6" s="1">
        <v>1</v>
      </c>
      <c r="IE6" s="1">
        <v>1</v>
      </c>
      <c r="IF6" s="1">
        <v>1</v>
      </c>
      <c r="IG6" s="1">
        <v>1</v>
      </c>
      <c r="IH6" s="1">
        <v>1</v>
      </c>
      <c r="II6" s="1">
        <v>1</v>
      </c>
      <c r="IJ6" s="1">
        <v>1</v>
      </c>
      <c r="IK6" s="1">
        <v>1</v>
      </c>
      <c r="IL6" s="1">
        <v>1</v>
      </c>
      <c r="IM6" s="1">
        <v>1</v>
      </c>
      <c r="IN6" s="1">
        <v>1</v>
      </c>
      <c r="IO6" s="1">
        <v>1</v>
      </c>
      <c r="IP6" s="1">
        <v>1</v>
      </c>
      <c r="IQ6" s="1">
        <v>1</v>
      </c>
    </row>
    <row r="7" spans="1:251" s="6" customFormat="1" x14ac:dyDescent="0.2">
      <c r="A7" s="5" t="s">
        <v>241</v>
      </c>
      <c r="B7" s="6">
        <v>45383</v>
      </c>
      <c r="C7" s="6">
        <v>45383</v>
      </c>
      <c r="D7" s="6">
        <v>45383</v>
      </c>
      <c r="E7" s="6">
        <v>45383</v>
      </c>
      <c r="F7" s="6">
        <v>45383</v>
      </c>
      <c r="G7" s="6">
        <v>45383</v>
      </c>
      <c r="H7" s="6">
        <v>45383</v>
      </c>
      <c r="I7" s="6">
        <v>42979</v>
      </c>
      <c r="J7" s="6">
        <v>42979</v>
      </c>
      <c r="K7" s="6">
        <v>42979</v>
      </c>
      <c r="L7" s="6">
        <v>45383</v>
      </c>
      <c r="M7" s="6">
        <v>45383</v>
      </c>
      <c r="N7" s="6">
        <v>45383</v>
      </c>
      <c r="O7" s="6">
        <v>42979</v>
      </c>
      <c r="P7" s="6">
        <v>45383</v>
      </c>
      <c r="Q7" s="6">
        <v>45383</v>
      </c>
      <c r="R7" s="6">
        <v>45383</v>
      </c>
      <c r="S7" s="6">
        <v>45383</v>
      </c>
      <c r="T7" s="6">
        <v>45383</v>
      </c>
      <c r="U7" s="6">
        <v>45383</v>
      </c>
      <c r="V7" s="6">
        <v>42979</v>
      </c>
      <c r="W7" s="6">
        <v>42979</v>
      </c>
      <c r="X7" s="6">
        <v>45383</v>
      </c>
      <c r="Y7" s="6">
        <v>45383</v>
      </c>
      <c r="Z7" s="6">
        <v>45383</v>
      </c>
      <c r="AA7" s="6">
        <v>42979</v>
      </c>
      <c r="AB7" s="6">
        <v>42979</v>
      </c>
      <c r="AC7" s="6">
        <v>42979</v>
      </c>
      <c r="AD7" s="6">
        <v>45383</v>
      </c>
      <c r="AE7" s="6">
        <v>45383</v>
      </c>
      <c r="AF7" s="6">
        <v>42979</v>
      </c>
      <c r="AG7" s="6">
        <v>42979</v>
      </c>
      <c r="AH7" s="6">
        <v>42979</v>
      </c>
      <c r="AI7" s="6">
        <v>42979</v>
      </c>
      <c r="AJ7" s="6">
        <v>42979</v>
      </c>
      <c r="AK7" s="6">
        <v>42979</v>
      </c>
      <c r="AL7" s="6">
        <v>42979</v>
      </c>
      <c r="AM7" s="6">
        <v>42979</v>
      </c>
      <c r="AN7" s="6">
        <v>42979</v>
      </c>
      <c r="AO7" s="6">
        <v>42979</v>
      </c>
      <c r="AP7" s="6">
        <v>42979</v>
      </c>
      <c r="AQ7" s="6">
        <v>42979</v>
      </c>
      <c r="AR7" s="6">
        <v>42979</v>
      </c>
      <c r="AS7" s="6">
        <v>42979</v>
      </c>
      <c r="AT7" s="6">
        <v>42979</v>
      </c>
      <c r="AU7" s="6">
        <v>42979</v>
      </c>
      <c r="AV7" s="6">
        <v>42979</v>
      </c>
      <c r="AW7" s="6">
        <v>42979</v>
      </c>
      <c r="AX7" s="6">
        <v>42979</v>
      </c>
      <c r="AY7" s="6">
        <v>42979</v>
      </c>
      <c r="AZ7" s="6">
        <v>42979</v>
      </c>
      <c r="BA7" s="6">
        <v>42979</v>
      </c>
      <c r="BB7" s="6">
        <v>42979</v>
      </c>
      <c r="BC7" s="6">
        <v>42979</v>
      </c>
      <c r="BD7" s="6">
        <v>42979</v>
      </c>
      <c r="BE7" s="6">
        <v>42979</v>
      </c>
      <c r="BF7" s="6">
        <v>42979</v>
      </c>
      <c r="BG7" s="6">
        <v>42979</v>
      </c>
      <c r="BH7" s="6">
        <v>42979</v>
      </c>
      <c r="BI7" s="6">
        <v>45383</v>
      </c>
      <c r="BJ7" s="6">
        <v>45383</v>
      </c>
      <c r="BK7" s="6">
        <v>45383</v>
      </c>
      <c r="BL7" s="6">
        <v>45383</v>
      </c>
      <c r="BM7" s="6">
        <v>45383</v>
      </c>
      <c r="BN7" s="6">
        <v>42979</v>
      </c>
      <c r="BO7" s="6">
        <v>45383</v>
      </c>
      <c r="BP7" s="6">
        <v>42979</v>
      </c>
      <c r="BQ7" s="6">
        <v>42979</v>
      </c>
      <c r="BR7" s="6">
        <v>42979</v>
      </c>
      <c r="BS7" s="6">
        <v>45383</v>
      </c>
      <c r="BT7" s="6">
        <v>45383</v>
      </c>
      <c r="BU7" s="6">
        <v>45383</v>
      </c>
      <c r="BV7" s="6">
        <v>45383</v>
      </c>
      <c r="BW7" s="6">
        <v>45383</v>
      </c>
      <c r="BX7" s="6">
        <v>45383</v>
      </c>
      <c r="BY7" s="6">
        <v>45383</v>
      </c>
      <c r="BZ7" s="6">
        <v>45383</v>
      </c>
      <c r="CA7" s="6">
        <v>45383</v>
      </c>
      <c r="CB7" s="6">
        <v>45383</v>
      </c>
      <c r="CC7" s="6">
        <v>45383</v>
      </c>
      <c r="CD7" s="6">
        <v>45383</v>
      </c>
      <c r="CE7" s="6">
        <v>45383</v>
      </c>
      <c r="CF7" s="6">
        <v>44743</v>
      </c>
      <c r="CG7" s="6">
        <v>44743</v>
      </c>
      <c r="CH7" s="6">
        <v>42979</v>
      </c>
      <c r="CI7" s="6">
        <v>42979</v>
      </c>
      <c r="CJ7" s="6">
        <v>45383</v>
      </c>
      <c r="CK7" s="6">
        <v>45383</v>
      </c>
      <c r="CL7" s="6">
        <v>42979</v>
      </c>
      <c r="CM7" s="6">
        <v>45383</v>
      </c>
      <c r="CN7" s="6">
        <v>45383</v>
      </c>
      <c r="CO7" s="6">
        <v>44470</v>
      </c>
      <c r="CP7" s="6">
        <v>44470</v>
      </c>
      <c r="CQ7" s="6">
        <v>45383</v>
      </c>
      <c r="CR7" s="6">
        <v>45383</v>
      </c>
      <c r="CS7" s="6">
        <v>45383</v>
      </c>
      <c r="CT7" s="6">
        <v>45383</v>
      </c>
      <c r="CU7" s="6">
        <v>45383</v>
      </c>
      <c r="CV7" s="6">
        <v>45383</v>
      </c>
      <c r="CW7" s="6">
        <v>45383</v>
      </c>
      <c r="CX7" s="6">
        <v>45383</v>
      </c>
      <c r="CY7" s="6">
        <v>45383</v>
      </c>
      <c r="CZ7" s="6">
        <v>45383</v>
      </c>
      <c r="DA7" s="6">
        <v>45383</v>
      </c>
      <c r="DB7" s="6">
        <v>42979</v>
      </c>
      <c r="DC7" s="6">
        <v>42979</v>
      </c>
      <c r="DD7" s="6">
        <v>42979</v>
      </c>
      <c r="DE7" s="6">
        <v>42979</v>
      </c>
      <c r="DF7" s="6">
        <v>45383</v>
      </c>
      <c r="DG7" s="6">
        <v>45383</v>
      </c>
      <c r="DH7" s="6">
        <v>45383</v>
      </c>
      <c r="DI7" s="6">
        <v>45383</v>
      </c>
      <c r="DJ7" s="6">
        <v>45383</v>
      </c>
      <c r="DK7" s="6">
        <v>45383</v>
      </c>
      <c r="DL7" s="6">
        <v>45383</v>
      </c>
      <c r="DM7" s="6">
        <v>45383</v>
      </c>
      <c r="DN7" s="6">
        <v>45383</v>
      </c>
      <c r="DO7" s="6">
        <v>45383</v>
      </c>
      <c r="DP7" s="6">
        <v>45383</v>
      </c>
      <c r="DQ7" s="6">
        <v>45383</v>
      </c>
      <c r="DR7" s="6">
        <v>45383</v>
      </c>
      <c r="DS7" s="6">
        <v>45383</v>
      </c>
      <c r="DT7" s="6">
        <v>45383</v>
      </c>
      <c r="DU7" s="6">
        <v>42979</v>
      </c>
      <c r="DV7" s="6">
        <v>45383</v>
      </c>
      <c r="DW7" s="6">
        <v>45383</v>
      </c>
      <c r="DX7" s="6">
        <v>45383</v>
      </c>
      <c r="DY7" s="6">
        <v>45383</v>
      </c>
      <c r="DZ7" s="6">
        <v>45383</v>
      </c>
      <c r="EA7" s="6">
        <v>45383</v>
      </c>
      <c r="EB7" s="6">
        <v>44743</v>
      </c>
      <c r="EC7" s="6">
        <v>45383</v>
      </c>
      <c r="ED7" s="6">
        <v>45383</v>
      </c>
      <c r="EE7" s="6">
        <v>45383</v>
      </c>
      <c r="EF7" s="6">
        <v>45383</v>
      </c>
      <c r="EG7" s="6">
        <v>45383</v>
      </c>
      <c r="EH7" s="6">
        <v>45383</v>
      </c>
      <c r="EI7" s="6">
        <v>45383</v>
      </c>
      <c r="EJ7" s="6">
        <v>45383</v>
      </c>
      <c r="EK7" s="6">
        <v>42979</v>
      </c>
      <c r="EL7" s="6">
        <v>42979</v>
      </c>
      <c r="EM7" s="6">
        <v>42979</v>
      </c>
      <c r="EN7" s="6">
        <v>45383</v>
      </c>
      <c r="EO7" s="6">
        <v>45383</v>
      </c>
      <c r="EP7" s="6">
        <v>45383</v>
      </c>
      <c r="EQ7" s="6">
        <v>42979</v>
      </c>
      <c r="ER7" s="6">
        <v>45383</v>
      </c>
      <c r="ES7" s="6">
        <v>45383</v>
      </c>
      <c r="ET7" s="6">
        <v>45383</v>
      </c>
      <c r="EU7" s="6">
        <v>45383</v>
      </c>
      <c r="EV7" s="6">
        <v>45383</v>
      </c>
      <c r="EW7" s="6">
        <v>45383</v>
      </c>
      <c r="EX7" s="6">
        <v>42979</v>
      </c>
      <c r="EY7" s="6">
        <v>42979</v>
      </c>
      <c r="EZ7" s="6">
        <v>45383</v>
      </c>
      <c r="FA7" s="6">
        <v>45383</v>
      </c>
      <c r="FB7" s="6">
        <v>45383</v>
      </c>
      <c r="FC7" s="6">
        <v>42979</v>
      </c>
      <c r="FD7" s="6">
        <v>42979</v>
      </c>
      <c r="FE7" s="6">
        <v>42979</v>
      </c>
      <c r="FF7" s="6">
        <v>45383</v>
      </c>
      <c r="FG7" s="6">
        <v>45383</v>
      </c>
      <c r="FH7" s="6">
        <v>42979</v>
      </c>
      <c r="FI7" s="6">
        <v>42979</v>
      </c>
      <c r="FJ7" s="6">
        <v>42979</v>
      </c>
      <c r="FK7" s="6">
        <v>42979</v>
      </c>
      <c r="FL7" s="6">
        <v>42979</v>
      </c>
      <c r="FM7" s="6">
        <v>42979</v>
      </c>
      <c r="FN7" s="6">
        <v>42979</v>
      </c>
      <c r="FO7" s="6">
        <v>42979</v>
      </c>
      <c r="FP7" s="6">
        <v>42979</v>
      </c>
      <c r="FQ7" s="6">
        <v>42979</v>
      </c>
      <c r="FR7" s="6">
        <v>42979</v>
      </c>
      <c r="FS7" s="6">
        <v>42979</v>
      </c>
      <c r="FT7" s="6">
        <v>42979</v>
      </c>
      <c r="FU7" s="6">
        <v>42979</v>
      </c>
      <c r="FV7" s="6">
        <v>42979</v>
      </c>
      <c r="FW7" s="6">
        <v>42979</v>
      </c>
      <c r="FX7" s="6">
        <v>42979</v>
      </c>
      <c r="FY7" s="6">
        <v>42979</v>
      </c>
      <c r="FZ7" s="6">
        <v>42979</v>
      </c>
      <c r="GA7" s="6">
        <v>42979</v>
      </c>
      <c r="GB7" s="6">
        <v>42979</v>
      </c>
      <c r="GC7" s="6">
        <v>42979</v>
      </c>
      <c r="GD7" s="6">
        <v>42979</v>
      </c>
      <c r="GE7" s="6">
        <v>42979</v>
      </c>
      <c r="GF7" s="6">
        <v>42979</v>
      </c>
      <c r="GG7" s="6">
        <v>42979</v>
      </c>
      <c r="GH7" s="6">
        <v>42979</v>
      </c>
      <c r="GI7" s="6">
        <v>42979</v>
      </c>
      <c r="GJ7" s="6">
        <v>42979</v>
      </c>
      <c r="GK7" s="6">
        <v>45383</v>
      </c>
      <c r="GL7" s="6">
        <v>45383</v>
      </c>
      <c r="GM7" s="6">
        <v>45383</v>
      </c>
      <c r="GN7" s="6">
        <v>45383</v>
      </c>
      <c r="GO7" s="6">
        <v>45383</v>
      </c>
      <c r="GP7" s="6">
        <v>42979</v>
      </c>
      <c r="GQ7" s="6">
        <v>45383</v>
      </c>
      <c r="GR7" s="6">
        <v>42979</v>
      </c>
      <c r="GS7" s="6">
        <v>42979</v>
      </c>
      <c r="GT7" s="6">
        <v>42979</v>
      </c>
      <c r="GU7" s="6">
        <v>45383</v>
      </c>
      <c r="GV7" s="6">
        <v>45383</v>
      </c>
      <c r="GW7" s="6">
        <v>45383</v>
      </c>
      <c r="GX7" s="6">
        <v>45383</v>
      </c>
      <c r="GY7" s="6">
        <v>45383</v>
      </c>
      <c r="GZ7" s="6">
        <v>45383</v>
      </c>
      <c r="HA7" s="6">
        <v>45383</v>
      </c>
      <c r="HB7" s="6">
        <v>45383</v>
      </c>
      <c r="HC7" s="6">
        <v>45383</v>
      </c>
      <c r="HD7" s="6">
        <v>45383</v>
      </c>
      <c r="HE7" s="6">
        <v>45383</v>
      </c>
      <c r="HF7" s="6">
        <v>45383</v>
      </c>
      <c r="HG7" s="6">
        <v>45383</v>
      </c>
      <c r="HH7" s="6">
        <v>44743</v>
      </c>
      <c r="HI7" s="6">
        <v>44743</v>
      </c>
      <c r="HJ7" s="6">
        <v>42979</v>
      </c>
      <c r="HK7" s="6">
        <v>42979</v>
      </c>
      <c r="HL7" s="6">
        <v>45383</v>
      </c>
      <c r="HM7" s="6">
        <v>45383</v>
      </c>
      <c r="HN7" s="6">
        <v>42979</v>
      </c>
      <c r="HO7" s="6">
        <v>45383</v>
      </c>
      <c r="HP7" s="6">
        <v>45383</v>
      </c>
      <c r="HQ7" s="6">
        <v>44470</v>
      </c>
      <c r="HR7" s="6">
        <v>44470</v>
      </c>
      <c r="HS7" s="6">
        <v>45383</v>
      </c>
      <c r="HT7" s="6">
        <v>45383</v>
      </c>
      <c r="HU7" s="6">
        <v>45383</v>
      </c>
      <c r="HV7" s="6">
        <v>45383</v>
      </c>
      <c r="HW7" s="6">
        <v>45383</v>
      </c>
      <c r="HX7" s="6">
        <v>45383</v>
      </c>
      <c r="HY7" s="6">
        <v>45383</v>
      </c>
      <c r="HZ7" s="6">
        <v>45383</v>
      </c>
      <c r="IA7" s="6">
        <v>45383</v>
      </c>
      <c r="IB7" s="6">
        <v>45383</v>
      </c>
      <c r="IC7" s="6">
        <v>45383</v>
      </c>
      <c r="ID7" s="6">
        <v>42979</v>
      </c>
      <c r="IE7" s="6">
        <v>42979</v>
      </c>
      <c r="IF7" s="6">
        <v>42979</v>
      </c>
      <c r="IG7" s="6">
        <v>42979</v>
      </c>
      <c r="IH7" s="6">
        <v>45383</v>
      </c>
      <c r="II7" s="6">
        <v>45383</v>
      </c>
      <c r="IJ7" s="6">
        <v>45383</v>
      </c>
      <c r="IK7" s="6">
        <v>45383</v>
      </c>
      <c r="IL7" s="6">
        <v>45383</v>
      </c>
      <c r="IM7" s="6">
        <v>45383</v>
      </c>
      <c r="IN7" s="6">
        <v>45383</v>
      </c>
      <c r="IO7" s="6">
        <v>45383</v>
      </c>
      <c r="IP7" s="6">
        <v>45383</v>
      </c>
      <c r="IQ7" s="6">
        <v>45383</v>
      </c>
    </row>
    <row r="8" spans="1:251" s="6" customFormat="1" x14ac:dyDescent="0.2">
      <c r="A8" s="5" t="s">
        <v>242</v>
      </c>
      <c r="B8" s="6">
        <v>46023</v>
      </c>
      <c r="C8" s="6">
        <v>46023</v>
      </c>
      <c r="D8" s="6">
        <v>46023</v>
      </c>
      <c r="E8" s="6">
        <v>46023</v>
      </c>
      <c r="F8" s="6">
        <v>46023</v>
      </c>
      <c r="G8" s="6">
        <v>46023</v>
      </c>
      <c r="H8" s="6">
        <v>46023</v>
      </c>
      <c r="I8" s="6">
        <v>46023</v>
      </c>
      <c r="J8" s="6">
        <v>46023</v>
      </c>
      <c r="K8" s="6">
        <v>46023</v>
      </c>
      <c r="L8" s="6">
        <v>46023</v>
      </c>
      <c r="M8" s="6">
        <v>46023</v>
      </c>
      <c r="N8" s="6">
        <v>46023</v>
      </c>
      <c r="O8" s="6">
        <v>46023</v>
      </c>
      <c r="P8" s="6">
        <v>46023</v>
      </c>
      <c r="Q8" s="6">
        <v>46023</v>
      </c>
      <c r="R8" s="6">
        <v>46023</v>
      </c>
      <c r="S8" s="6">
        <v>46023</v>
      </c>
      <c r="T8" s="6">
        <v>46023</v>
      </c>
      <c r="U8" s="6">
        <v>46023</v>
      </c>
      <c r="V8" s="6">
        <v>46023</v>
      </c>
      <c r="W8" s="6">
        <v>46023</v>
      </c>
      <c r="X8" s="6">
        <v>46023</v>
      </c>
      <c r="Y8" s="6">
        <v>46023</v>
      </c>
      <c r="Z8" s="6">
        <v>46023</v>
      </c>
      <c r="AA8" s="6">
        <v>46023</v>
      </c>
      <c r="AB8" s="6">
        <v>46023</v>
      </c>
      <c r="AC8" s="6">
        <v>46023</v>
      </c>
      <c r="AD8" s="6">
        <v>46023</v>
      </c>
      <c r="AE8" s="6">
        <v>46023</v>
      </c>
      <c r="AF8" s="6">
        <v>46023</v>
      </c>
      <c r="AG8" s="6">
        <v>46023</v>
      </c>
      <c r="AH8" s="6">
        <v>46023</v>
      </c>
      <c r="AI8" s="6">
        <v>46023</v>
      </c>
      <c r="AJ8" s="6">
        <v>46023</v>
      </c>
      <c r="AK8" s="6">
        <v>46023</v>
      </c>
      <c r="AL8" s="6">
        <v>46023</v>
      </c>
      <c r="AM8" s="6">
        <v>46023</v>
      </c>
      <c r="AN8" s="6">
        <v>46023</v>
      </c>
      <c r="AO8" s="6">
        <v>46023</v>
      </c>
      <c r="AP8" s="6">
        <v>46023</v>
      </c>
      <c r="AQ8" s="6">
        <v>46023</v>
      </c>
      <c r="AR8" s="6">
        <v>46023</v>
      </c>
      <c r="AS8" s="6">
        <v>46023</v>
      </c>
      <c r="AT8" s="6">
        <v>46023</v>
      </c>
      <c r="AU8" s="6">
        <v>46023</v>
      </c>
      <c r="AV8" s="6">
        <v>46023</v>
      </c>
      <c r="AW8" s="6">
        <v>46023</v>
      </c>
      <c r="AX8" s="6">
        <v>46023</v>
      </c>
      <c r="AY8" s="6">
        <v>46023</v>
      </c>
      <c r="AZ8" s="6">
        <v>46023</v>
      </c>
      <c r="BA8" s="6">
        <v>46023</v>
      </c>
      <c r="BB8" s="6">
        <v>46023</v>
      </c>
      <c r="BC8" s="6">
        <v>46023</v>
      </c>
      <c r="BD8" s="6">
        <v>46023</v>
      </c>
      <c r="BE8" s="6">
        <v>46023</v>
      </c>
      <c r="BF8" s="6">
        <v>46023</v>
      </c>
      <c r="BG8" s="6">
        <v>46023</v>
      </c>
      <c r="BH8" s="6">
        <v>46023</v>
      </c>
      <c r="BI8" s="6">
        <v>46023</v>
      </c>
      <c r="BJ8" s="6">
        <v>46023</v>
      </c>
      <c r="BK8" s="6">
        <v>46023</v>
      </c>
      <c r="BL8" s="6">
        <v>46023</v>
      </c>
      <c r="BM8" s="6">
        <v>46023</v>
      </c>
      <c r="BN8" s="6">
        <v>46023</v>
      </c>
      <c r="BO8" s="6">
        <v>46023</v>
      </c>
      <c r="BP8" s="6">
        <v>46023</v>
      </c>
      <c r="BQ8" s="6">
        <v>46023</v>
      </c>
      <c r="BR8" s="6">
        <v>46023</v>
      </c>
      <c r="BS8" s="6">
        <v>46023</v>
      </c>
      <c r="BT8" s="6">
        <v>46023</v>
      </c>
      <c r="BU8" s="6">
        <v>46023</v>
      </c>
      <c r="BV8" s="6">
        <v>46023</v>
      </c>
      <c r="BW8" s="6">
        <v>46023</v>
      </c>
      <c r="BX8" s="6">
        <v>46023</v>
      </c>
      <c r="BY8" s="6">
        <v>46023</v>
      </c>
      <c r="BZ8" s="6">
        <v>46023</v>
      </c>
      <c r="CA8" s="6">
        <v>46023</v>
      </c>
      <c r="CB8" s="6">
        <v>46023</v>
      </c>
      <c r="CC8" s="6">
        <v>46023</v>
      </c>
      <c r="CD8" s="6">
        <v>46023</v>
      </c>
      <c r="CE8" s="6">
        <v>46023</v>
      </c>
      <c r="CF8" s="6">
        <v>46023</v>
      </c>
      <c r="CG8" s="6">
        <v>46023</v>
      </c>
      <c r="CH8" s="6">
        <v>46023</v>
      </c>
      <c r="CI8" s="6">
        <v>46023</v>
      </c>
      <c r="CJ8" s="6">
        <v>46023</v>
      </c>
      <c r="CK8" s="6">
        <v>46023</v>
      </c>
      <c r="CL8" s="6">
        <v>46023</v>
      </c>
      <c r="CM8" s="6">
        <v>46023</v>
      </c>
      <c r="CN8" s="6">
        <v>46023</v>
      </c>
      <c r="CO8" s="6">
        <v>46023</v>
      </c>
      <c r="CP8" s="6">
        <v>46023</v>
      </c>
      <c r="CQ8" s="6">
        <v>46023</v>
      </c>
      <c r="CR8" s="6">
        <v>46023</v>
      </c>
      <c r="CS8" s="6">
        <v>46023</v>
      </c>
      <c r="CT8" s="6">
        <v>46023</v>
      </c>
      <c r="CU8" s="6">
        <v>46023</v>
      </c>
      <c r="CV8" s="6">
        <v>46023</v>
      </c>
      <c r="CW8" s="6">
        <v>46023</v>
      </c>
      <c r="CX8" s="6">
        <v>46023</v>
      </c>
      <c r="CY8" s="6">
        <v>46023</v>
      </c>
      <c r="CZ8" s="6">
        <v>46023</v>
      </c>
      <c r="DA8" s="6">
        <v>46023</v>
      </c>
      <c r="DB8" s="6">
        <v>46023</v>
      </c>
      <c r="DC8" s="6">
        <v>46023</v>
      </c>
      <c r="DD8" s="6">
        <v>46023</v>
      </c>
      <c r="DE8" s="6">
        <v>46023</v>
      </c>
      <c r="DF8" s="6">
        <v>46023</v>
      </c>
      <c r="DG8" s="6">
        <v>46023</v>
      </c>
      <c r="DH8" s="6">
        <v>46023</v>
      </c>
      <c r="DI8" s="6">
        <v>46023</v>
      </c>
      <c r="DJ8" s="6">
        <v>46023</v>
      </c>
      <c r="DK8" s="6">
        <v>46023</v>
      </c>
      <c r="DL8" s="6">
        <v>46023</v>
      </c>
      <c r="DM8" s="6">
        <v>46023</v>
      </c>
      <c r="DN8" s="6">
        <v>46023</v>
      </c>
      <c r="DO8" s="6">
        <v>46023</v>
      </c>
      <c r="DP8" s="6">
        <v>46023</v>
      </c>
      <c r="DQ8" s="6">
        <v>46023</v>
      </c>
      <c r="DR8" s="6">
        <v>46023</v>
      </c>
      <c r="DS8" s="6">
        <v>46023</v>
      </c>
      <c r="DT8" s="6">
        <v>46023</v>
      </c>
      <c r="DU8" s="6">
        <v>46023</v>
      </c>
      <c r="DV8" s="6">
        <v>46023</v>
      </c>
      <c r="DW8" s="6">
        <v>46023</v>
      </c>
      <c r="DX8" s="6">
        <v>46023</v>
      </c>
      <c r="DY8" s="6">
        <v>46023</v>
      </c>
      <c r="DZ8" s="6">
        <v>46023</v>
      </c>
      <c r="EA8" s="6">
        <v>46023</v>
      </c>
      <c r="EB8" s="6">
        <v>46023</v>
      </c>
      <c r="EC8" s="6">
        <v>46023</v>
      </c>
      <c r="ED8" s="6">
        <v>46023</v>
      </c>
      <c r="EE8" s="6">
        <v>46023</v>
      </c>
      <c r="EF8" s="6">
        <v>46023</v>
      </c>
      <c r="EG8" s="6">
        <v>46023</v>
      </c>
      <c r="EH8" s="6">
        <v>46023</v>
      </c>
      <c r="EI8" s="6">
        <v>46023</v>
      </c>
      <c r="EJ8" s="6">
        <v>46023</v>
      </c>
      <c r="EK8" s="6">
        <v>46023</v>
      </c>
      <c r="EL8" s="6">
        <v>46023</v>
      </c>
      <c r="EM8" s="6">
        <v>46023</v>
      </c>
      <c r="EN8" s="6">
        <v>46023</v>
      </c>
      <c r="EO8" s="6">
        <v>46023</v>
      </c>
      <c r="EP8" s="6">
        <v>46023</v>
      </c>
      <c r="EQ8" s="6">
        <v>46023</v>
      </c>
      <c r="ER8" s="6">
        <v>46023</v>
      </c>
      <c r="ES8" s="6">
        <v>46023</v>
      </c>
      <c r="ET8" s="6">
        <v>46023</v>
      </c>
      <c r="EU8" s="6">
        <v>46023</v>
      </c>
      <c r="EV8" s="6">
        <v>46023</v>
      </c>
      <c r="EW8" s="6">
        <v>46023</v>
      </c>
      <c r="EX8" s="6">
        <v>46023</v>
      </c>
      <c r="EY8" s="6">
        <v>46023</v>
      </c>
      <c r="EZ8" s="6">
        <v>46023</v>
      </c>
      <c r="FA8" s="6">
        <v>46023</v>
      </c>
      <c r="FB8" s="6">
        <v>46023</v>
      </c>
      <c r="FC8" s="6">
        <v>46023</v>
      </c>
      <c r="FD8" s="6">
        <v>46023</v>
      </c>
      <c r="FE8" s="6">
        <v>46023</v>
      </c>
      <c r="FF8" s="6">
        <v>46023</v>
      </c>
      <c r="FG8" s="6">
        <v>46023</v>
      </c>
      <c r="FH8" s="6">
        <v>46023</v>
      </c>
      <c r="FI8" s="6">
        <v>46023</v>
      </c>
      <c r="FJ8" s="6">
        <v>46023</v>
      </c>
      <c r="FK8" s="6">
        <v>46023</v>
      </c>
      <c r="FL8" s="6">
        <v>46023</v>
      </c>
      <c r="FM8" s="6">
        <v>46023</v>
      </c>
      <c r="FN8" s="6">
        <v>46023</v>
      </c>
      <c r="FO8" s="6">
        <v>46023</v>
      </c>
      <c r="FP8" s="6">
        <v>46023</v>
      </c>
      <c r="FQ8" s="6">
        <v>46023</v>
      </c>
      <c r="FR8" s="6">
        <v>46023</v>
      </c>
      <c r="FS8" s="6">
        <v>46023</v>
      </c>
      <c r="FT8" s="6">
        <v>46023</v>
      </c>
      <c r="FU8" s="6">
        <v>46023</v>
      </c>
      <c r="FV8" s="6">
        <v>46023</v>
      </c>
      <c r="FW8" s="6">
        <v>46023</v>
      </c>
      <c r="FX8" s="6">
        <v>46023</v>
      </c>
      <c r="FY8" s="6">
        <v>46023</v>
      </c>
      <c r="FZ8" s="6">
        <v>46023</v>
      </c>
      <c r="GA8" s="6">
        <v>46023</v>
      </c>
      <c r="GB8" s="6">
        <v>46023</v>
      </c>
      <c r="GC8" s="6">
        <v>46023</v>
      </c>
      <c r="GD8" s="6">
        <v>46023</v>
      </c>
      <c r="GE8" s="6">
        <v>46023</v>
      </c>
      <c r="GF8" s="6">
        <v>46023</v>
      </c>
      <c r="GG8" s="6">
        <v>46023</v>
      </c>
      <c r="GH8" s="6">
        <v>46023</v>
      </c>
      <c r="GI8" s="6">
        <v>46023</v>
      </c>
      <c r="GJ8" s="6">
        <v>46023</v>
      </c>
      <c r="GK8" s="6">
        <v>46023</v>
      </c>
      <c r="GL8" s="6">
        <v>46023</v>
      </c>
      <c r="GM8" s="6">
        <v>46023</v>
      </c>
      <c r="GN8" s="6">
        <v>46023</v>
      </c>
      <c r="GO8" s="6">
        <v>46023</v>
      </c>
      <c r="GP8" s="6">
        <v>46023</v>
      </c>
      <c r="GQ8" s="6">
        <v>46023</v>
      </c>
      <c r="GR8" s="6">
        <v>46023</v>
      </c>
      <c r="GS8" s="6">
        <v>46023</v>
      </c>
      <c r="GT8" s="6">
        <v>46023</v>
      </c>
      <c r="GU8" s="6">
        <v>46023</v>
      </c>
      <c r="GV8" s="6">
        <v>46023</v>
      </c>
      <c r="GW8" s="6">
        <v>46023</v>
      </c>
      <c r="GX8" s="6">
        <v>46023</v>
      </c>
      <c r="GY8" s="6">
        <v>46023</v>
      </c>
      <c r="GZ8" s="6">
        <v>46023</v>
      </c>
      <c r="HA8" s="6">
        <v>46023</v>
      </c>
      <c r="HB8" s="6">
        <v>46023</v>
      </c>
      <c r="HC8" s="6">
        <v>46023</v>
      </c>
      <c r="HD8" s="6">
        <v>46023</v>
      </c>
      <c r="HE8" s="6">
        <v>46023</v>
      </c>
      <c r="HF8" s="6">
        <v>46023</v>
      </c>
      <c r="HG8" s="6">
        <v>46023</v>
      </c>
      <c r="HH8" s="6">
        <v>46023</v>
      </c>
      <c r="HI8" s="6">
        <v>46023</v>
      </c>
      <c r="HJ8" s="6">
        <v>46023</v>
      </c>
      <c r="HK8" s="6">
        <v>46023</v>
      </c>
      <c r="HL8" s="6">
        <v>46023</v>
      </c>
      <c r="HM8" s="6">
        <v>46023</v>
      </c>
      <c r="HN8" s="6">
        <v>46023</v>
      </c>
      <c r="HO8" s="6">
        <v>46023</v>
      </c>
      <c r="HP8" s="6">
        <v>46023</v>
      </c>
      <c r="HQ8" s="6">
        <v>46023</v>
      </c>
      <c r="HR8" s="6">
        <v>46023</v>
      </c>
      <c r="HS8" s="6">
        <v>46023</v>
      </c>
      <c r="HT8" s="6">
        <v>46023</v>
      </c>
      <c r="HU8" s="6">
        <v>46023</v>
      </c>
      <c r="HV8" s="6">
        <v>46023</v>
      </c>
      <c r="HW8" s="6">
        <v>46023</v>
      </c>
      <c r="HX8" s="6">
        <v>46023</v>
      </c>
      <c r="HY8" s="6">
        <v>46023</v>
      </c>
      <c r="HZ8" s="6">
        <v>46023</v>
      </c>
      <c r="IA8" s="6">
        <v>46023</v>
      </c>
      <c r="IB8" s="6">
        <v>46023</v>
      </c>
      <c r="IC8" s="6">
        <v>46023</v>
      </c>
      <c r="ID8" s="6">
        <v>46023</v>
      </c>
      <c r="IE8" s="6">
        <v>46023</v>
      </c>
      <c r="IF8" s="6">
        <v>46023</v>
      </c>
      <c r="IG8" s="6">
        <v>46023</v>
      </c>
      <c r="IH8" s="6">
        <v>46023</v>
      </c>
      <c r="II8" s="6">
        <v>46023</v>
      </c>
      <c r="IJ8" s="6">
        <v>46023</v>
      </c>
      <c r="IK8" s="6">
        <v>46023</v>
      </c>
      <c r="IL8" s="6">
        <v>46023</v>
      </c>
      <c r="IM8" s="6">
        <v>46023</v>
      </c>
      <c r="IN8" s="6">
        <v>46023</v>
      </c>
      <c r="IO8" s="6">
        <v>46023</v>
      </c>
      <c r="IP8" s="6">
        <v>46023</v>
      </c>
      <c r="IQ8" s="6">
        <v>46023</v>
      </c>
    </row>
    <row r="9" spans="1:251" x14ac:dyDescent="0.2">
      <c r="A9" s="4" t="s">
        <v>243</v>
      </c>
      <c r="B9" s="1">
        <v>22</v>
      </c>
      <c r="C9" s="1">
        <v>22</v>
      </c>
      <c r="D9" s="1">
        <v>22</v>
      </c>
      <c r="E9" s="1">
        <v>22</v>
      </c>
      <c r="F9" s="1">
        <v>22</v>
      </c>
      <c r="G9" s="1">
        <v>22</v>
      </c>
      <c r="H9" s="1">
        <v>22</v>
      </c>
      <c r="I9" s="1">
        <v>101</v>
      </c>
      <c r="J9" s="1">
        <v>101</v>
      </c>
      <c r="K9" s="1">
        <v>101</v>
      </c>
      <c r="L9" s="1">
        <v>22</v>
      </c>
      <c r="M9" s="1">
        <v>22</v>
      </c>
      <c r="N9" s="1">
        <v>22</v>
      </c>
      <c r="O9" s="1">
        <v>101</v>
      </c>
      <c r="P9" s="1">
        <v>22</v>
      </c>
      <c r="Q9" s="1">
        <v>22</v>
      </c>
      <c r="R9" s="1">
        <v>22</v>
      </c>
      <c r="S9" s="1">
        <v>22</v>
      </c>
      <c r="T9" s="1">
        <v>22</v>
      </c>
      <c r="U9" s="1">
        <v>22</v>
      </c>
      <c r="V9" s="1">
        <v>101</v>
      </c>
      <c r="W9" s="1">
        <v>101</v>
      </c>
      <c r="X9" s="1">
        <v>22</v>
      </c>
      <c r="Y9" s="1">
        <v>22</v>
      </c>
      <c r="Z9" s="1">
        <v>22</v>
      </c>
      <c r="AA9" s="1">
        <v>101</v>
      </c>
      <c r="AB9" s="1">
        <v>101</v>
      </c>
      <c r="AC9" s="1">
        <v>101</v>
      </c>
      <c r="AD9" s="1">
        <v>22</v>
      </c>
      <c r="AE9" s="1">
        <v>22</v>
      </c>
      <c r="AF9" s="1">
        <v>101</v>
      </c>
      <c r="AG9" s="1">
        <v>101</v>
      </c>
      <c r="AH9" s="1">
        <v>101</v>
      </c>
      <c r="AI9" s="1">
        <v>101</v>
      </c>
      <c r="AJ9" s="1">
        <v>101</v>
      </c>
      <c r="AK9" s="1">
        <v>101</v>
      </c>
      <c r="AL9" s="1">
        <v>101</v>
      </c>
      <c r="AM9" s="1">
        <v>101</v>
      </c>
      <c r="AN9" s="1">
        <v>101</v>
      </c>
      <c r="AO9" s="1">
        <v>101</v>
      </c>
      <c r="AP9" s="1">
        <v>101</v>
      </c>
      <c r="AQ9" s="1">
        <v>101</v>
      </c>
      <c r="AR9" s="1">
        <v>101</v>
      </c>
      <c r="AS9" s="1">
        <v>101</v>
      </c>
      <c r="AT9" s="1">
        <v>101</v>
      </c>
      <c r="AU9" s="1">
        <v>101</v>
      </c>
      <c r="AV9" s="1">
        <v>101</v>
      </c>
      <c r="AW9" s="1">
        <v>101</v>
      </c>
      <c r="AX9" s="1">
        <v>101</v>
      </c>
      <c r="AY9" s="1">
        <v>101</v>
      </c>
      <c r="AZ9" s="1">
        <v>101</v>
      </c>
      <c r="BA9" s="1">
        <v>101</v>
      </c>
      <c r="BB9" s="1">
        <v>101</v>
      </c>
      <c r="BC9" s="1">
        <v>101</v>
      </c>
      <c r="BD9" s="1">
        <v>101</v>
      </c>
      <c r="BE9" s="1">
        <v>101</v>
      </c>
      <c r="BF9" s="1">
        <v>101</v>
      </c>
      <c r="BG9" s="1">
        <v>101</v>
      </c>
      <c r="BH9" s="1">
        <v>101</v>
      </c>
      <c r="BI9" s="1">
        <v>22</v>
      </c>
      <c r="BJ9" s="1">
        <v>22</v>
      </c>
      <c r="BK9" s="1">
        <v>22</v>
      </c>
      <c r="BL9" s="1">
        <v>22</v>
      </c>
      <c r="BM9" s="1">
        <v>22</v>
      </c>
      <c r="BN9" s="1">
        <v>101</v>
      </c>
      <c r="BO9" s="1">
        <v>22</v>
      </c>
      <c r="BP9" s="1">
        <v>101</v>
      </c>
      <c r="BQ9" s="1">
        <v>101</v>
      </c>
      <c r="BR9" s="1">
        <v>101</v>
      </c>
      <c r="BS9" s="1">
        <v>22</v>
      </c>
      <c r="BT9" s="1">
        <v>22</v>
      </c>
      <c r="BU9" s="1">
        <v>22</v>
      </c>
      <c r="BV9" s="1">
        <v>22</v>
      </c>
      <c r="BW9" s="1">
        <v>22</v>
      </c>
      <c r="BX9" s="1">
        <v>22</v>
      </c>
      <c r="BY9" s="1">
        <v>22</v>
      </c>
      <c r="BZ9" s="1">
        <v>22</v>
      </c>
      <c r="CA9" s="1">
        <v>22</v>
      </c>
      <c r="CB9" s="1">
        <v>22</v>
      </c>
      <c r="CC9" s="1">
        <v>22</v>
      </c>
      <c r="CD9" s="1">
        <v>22</v>
      </c>
      <c r="CE9" s="1">
        <v>22</v>
      </c>
      <c r="CF9" s="1">
        <v>43</v>
      </c>
      <c r="CG9" s="1">
        <v>43</v>
      </c>
      <c r="CH9" s="1">
        <v>101</v>
      </c>
      <c r="CI9" s="1">
        <v>101</v>
      </c>
      <c r="CJ9" s="1">
        <v>22</v>
      </c>
      <c r="CK9" s="1">
        <v>22</v>
      </c>
      <c r="CL9" s="1">
        <v>101</v>
      </c>
      <c r="CM9" s="1">
        <v>22</v>
      </c>
      <c r="CN9" s="1">
        <v>22</v>
      </c>
      <c r="CO9" s="1">
        <v>52</v>
      </c>
      <c r="CP9" s="1">
        <v>52</v>
      </c>
      <c r="CQ9" s="1">
        <v>22</v>
      </c>
      <c r="CR9" s="1">
        <v>22</v>
      </c>
      <c r="CS9" s="1">
        <v>22</v>
      </c>
      <c r="CT9" s="1">
        <v>22</v>
      </c>
      <c r="CU9" s="1">
        <v>22</v>
      </c>
      <c r="CV9" s="1">
        <v>22</v>
      </c>
      <c r="CW9" s="1">
        <v>22</v>
      </c>
      <c r="CX9" s="1">
        <v>22</v>
      </c>
      <c r="CY9" s="1">
        <v>22</v>
      </c>
      <c r="CZ9" s="1">
        <v>22</v>
      </c>
      <c r="DA9" s="1">
        <v>22</v>
      </c>
      <c r="DB9" s="1">
        <v>101</v>
      </c>
      <c r="DC9" s="1">
        <v>101</v>
      </c>
      <c r="DD9" s="1">
        <v>101</v>
      </c>
      <c r="DE9" s="1">
        <v>101</v>
      </c>
      <c r="DF9" s="1">
        <v>22</v>
      </c>
      <c r="DG9" s="1">
        <v>22</v>
      </c>
      <c r="DH9" s="1">
        <v>22</v>
      </c>
      <c r="DI9" s="1">
        <v>22</v>
      </c>
      <c r="DJ9" s="1">
        <v>22</v>
      </c>
      <c r="DK9" s="1">
        <v>22</v>
      </c>
      <c r="DL9" s="1">
        <v>22</v>
      </c>
      <c r="DM9" s="1">
        <v>22</v>
      </c>
      <c r="DN9" s="1">
        <v>22</v>
      </c>
      <c r="DO9" s="1">
        <v>22</v>
      </c>
      <c r="DP9" s="1">
        <v>22</v>
      </c>
      <c r="DQ9" s="1">
        <v>22</v>
      </c>
      <c r="DR9" s="1">
        <v>22</v>
      </c>
      <c r="DS9" s="1">
        <v>22</v>
      </c>
      <c r="DT9" s="1">
        <v>22</v>
      </c>
      <c r="DU9" s="1">
        <v>101</v>
      </c>
      <c r="DV9" s="1">
        <v>22</v>
      </c>
      <c r="DW9" s="1">
        <v>22</v>
      </c>
      <c r="DX9" s="1">
        <v>22</v>
      </c>
      <c r="DY9" s="1">
        <v>22</v>
      </c>
      <c r="DZ9" s="1">
        <v>22</v>
      </c>
      <c r="EA9" s="1">
        <v>22</v>
      </c>
      <c r="EB9" s="1">
        <v>43</v>
      </c>
      <c r="EC9" s="1">
        <v>22</v>
      </c>
      <c r="ED9" s="1">
        <v>22</v>
      </c>
      <c r="EE9" s="1">
        <v>22</v>
      </c>
      <c r="EF9" s="1">
        <v>22</v>
      </c>
      <c r="EG9" s="1">
        <v>22</v>
      </c>
      <c r="EH9" s="1">
        <v>22</v>
      </c>
      <c r="EI9" s="1">
        <v>22</v>
      </c>
      <c r="EJ9" s="1">
        <v>22</v>
      </c>
      <c r="EK9" s="1">
        <v>101</v>
      </c>
      <c r="EL9" s="1">
        <v>101</v>
      </c>
      <c r="EM9" s="1">
        <v>101</v>
      </c>
      <c r="EN9" s="1">
        <v>22</v>
      </c>
      <c r="EO9" s="1">
        <v>22</v>
      </c>
      <c r="EP9" s="1">
        <v>22</v>
      </c>
      <c r="EQ9" s="1">
        <v>101</v>
      </c>
      <c r="ER9" s="1">
        <v>22</v>
      </c>
      <c r="ES9" s="1">
        <v>22</v>
      </c>
      <c r="ET9" s="1">
        <v>22</v>
      </c>
      <c r="EU9" s="1">
        <v>22</v>
      </c>
      <c r="EV9" s="1">
        <v>22</v>
      </c>
      <c r="EW9" s="1">
        <v>22</v>
      </c>
      <c r="EX9" s="1">
        <v>101</v>
      </c>
      <c r="EY9" s="1">
        <v>101</v>
      </c>
      <c r="EZ9" s="1">
        <v>22</v>
      </c>
      <c r="FA9" s="1">
        <v>22</v>
      </c>
      <c r="FB9" s="1">
        <v>22</v>
      </c>
      <c r="FC9" s="1">
        <v>101</v>
      </c>
      <c r="FD9" s="1">
        <v>101</v>
      </c>
      <c r="FE9" s="1">
        <v>101</v>
      </c>
      <c r="FF9" s="1">
        <v>22</v>
      </c>
      <c r="FG9" s="1">
        <v>22</v>
      </c>
      <c r="FH9" s="1">
        <v>101</v>
      </c>
      <c r="FI9" s="1">
        <v>101</v>
      </c>
      <c r="FJ9" s="1">
        <v>101</v>
      </c>
      <c r="FK9" s="1">
        <v>101</v>
      </c>
      <c r="FL9" s="1">
        <v>101</v>
      </c>
      <c r="FM9" s="1">
        <v>101</v>
      </c>
      <c r="FN9" s="1">
        <v>101</v>
      </c>
      <c r="FO9" s="1">
        <v>101</v>
      </c>
      <c r="FP9" s="1">
        <v>101</v>
      </c>
      <c r="FQ9" s="1">
        <v>101</v>
      </c>
      <c r="FR9" s="1">
        <v>101</v>
      </c>
      <c r="FS9" s="1">
        <v>101</v>
      </c>
      <c r="FT9" s="1">
        <v>101</v>
      </c>
      <c r="FU9" s="1">
        <v>101</v>
      </c>
      <c r="FV9" s="1">
        <v>101</v>
      </c>
      <c r="FW9" s="1">
        <v>101</v>
      </c>
      <c r="FX9" s="1">
        <v>101</v>
      </c>
      <c r="FY9" s="1">
        <v>101</v>
      </c>
      <c r="FZ9" s="1">
        <v>101</v>
      </c>
      <c r="GA9" s="1">
        <v>101</v>
      </c>
      <c r="GB9" s="1">
        <v>101</v>
      </c>
      <c r="GC9" s="1">
        <v>101</v>
      </c>
      <c r="GD9" s="1">
        <v>101</v>
      </c>
      <c r="GE9" s="1">
        <v>101</v>
      </c>
      <c r="GF9" s="1">
        <v>101</v>
      </c>
      <c r="GG9" s="1">
        <v>101</v>
      </c>
      <c r="GH9" s="1">
        <v>101</v>
      </c>
      <c r="GI9" s="1">
        <v>101</v>
      </c>
      <c r="GJ9" s="1">
        <v>101</v>
      </c>
      <c r="GK9" s="1">
        <v>22</v>
      </c>
      <c r="GL9" s="1">
        <v>22</v>
      </c>
      <c r="GM9" s="1">
        <v>22</v>
      </c>
      <c r="GN9" s="1">
        <v>22</v>
      </c>
      <c r="GO9" s="1">
        <v>22</v>
      </c>
      <c r="GP9" s="1">
        <v>101</v>
      </c>
      <c r="GQ9" s="1">
        <v>22</v>
      </c>
      <c r="GR9" s="1">
        <v>101</v>
      </c>
      <c r="GS9" s="1">
        <v>101</v>
      </c>
      <c r="GT9" s="1">
        <v>101</v>
      </c>
      <c r="GU9" s="1">
        <v>22</v>
      </c>
      <c r="GV9" s="1">
        <v>22</v>
      </c>
      <c r="GW9" s="1">
        <v>22</v>
      </c>
      <c r="GX9" s="1">
        <v>22</v>
      </c>
      <c r="GY9" s="1">
        <v>22</v>
      </c>
      <c r="GZ9" s="1">
        <v>22</v>
      </c>
      <c r="HA9" s="1">
        <v>22</v>
      </c>
      <c r="HB9" s="1">
        <v>22</v>
      </c>
      <c r="HC9" s="1">
        <v>22</v>
      </c>
      <c r="HD9" s="1">
        <v>22</v>
      </c>
      <c r="HE9" s="1">
        <v>22</v>
      </c>
      <c r="HF9" s="1">
        <v>22</v>
      </c>
      <c r="HG9" s="1">
        <v>22</v>
      </c>
      <c r="HH9" s="1">
        <v>43</v>
      </c>
      <c r="HI9" s="1">
        <v>43</v>
      </c>
      <c r="HJ9" s="1">
        <v>101</v>
      </c>
      <c r="HK9" s="1">
        <v>101</v>
      </c>
      <c r="HL9" s="1">
        <v>22</v>
      </c>
      <c r="HM9" s="1">
        <v>22</v>
      </c>
      <c r="HN9" s="1">
        <v>101</v>
      </c>
      <c r="HO9" s="1">
        <v>22</v>
      </c>
      <c r="HP9" s="1">
        <v>22</v>
      </c>
      <c r="HQ9" s="1">
        <v>52</v>
      </c>
      <c r="HR9" s="1">
        <v>52</v>
      </c>
      <c r="HS9" s="1">
        <v>22</v>
      </c>
      <c r="HT9" s="1">
        <v>22</v>
      </c>
      <c r="HU9" s="1">
        <v>22</v>
      </c>
      <c r="HV9" s="1">
        <v>22</v>
      </c>
      <c r="HW9" s="1">
        <v>22</v>
      </c>
      <c r="HX9" s="1">
        <v>22</v>
      </c>
      <c r="HY9" s="1">
        <v>22</v>
      </c>
      <c r="HZ9" s="1">
        <v>22</v>
      </c>
      <c r="IA9" s="1">
        <v>22</v>
      </c>
      <c r="IB9" s="1">
        <v>22</v>
      </c>
      <c r="IC9" s="1">
        <v>22</v>
      </c>
      <c r="ID9" s="1">
        <v>101</v>
      </c>
      <c r="IE9" s="1">
        <v>101</v>
      </c>
      <c r="IF9" s="1">
        <v>101</v>
      </c>
      <c r="IG9" s="1">
        <v>101</v>
      </c>
      <c r="IH9" s="1">
        <v>22</v>
      </c>
      <c r="II9" s="1">
        <v>22</v>
      </c>
      <c r="IJ9" s="1">
        <v>22</v>
      </c>
      <c r="IK9" s="1">
        <v>22</v>
      </c>
      <c r="IL9" s="1">
        <v>22</v>
      </c>
      <c r="IM9" s="1">
        <v>22</v>
      </c>
      <c r="IN9" s="1">
        <v>22</v>
      </c>
      <c r="IO9" s="1">
        <v>22</v>
      </c>
      <c r="IP9" s="1">
        <v>22</v>
      </c>
      <c r="IQ9" s="1">
        <v>22</v>
      </c>
    </row>
    <row r="10" spans="1:251" x14ac:dyDescent="0.2">
      <c r="A10" s="4" t="s">
        <v>244</v>
      </c>
      <c r="B10" s="7" t="s">
        <v>1219</v>
      </c>
      <c r="C10" s="7" t="s">
        <v>1220</v>
      </c>
      <c r="D10" s="7" t="s">
        <v>1221</v>
      </c>
      <c r="E10" s="7" t="s">
        <v>1222</v>
      </c>
      <c r="F10" s="7" t="s">
        <v>1223</v>
      </c>
      <c r="G10" s="7" t="s">
        <v>1224</v>
      </c>
      <c r="H10" s="7" t="s">
        <v>1225</v>
      </c>
      <c r="I10" s="7" t="s">
        <v>1226</v>
      </c>
      <c r="J10" s="7" t="s">
        <v>1227</v>
      </c>
      <c r="K10" s="7" t="s">
        <v>1228</v>
      </c>
      <c r="L10" s="7" t="s">
        <v>1229</v>
      </c>
      <c r="M10" s="7" t="s">
        <v>1230</v>
      </c>
      <c r="N10" s="7" t="s">
        <v>1231</v>
      </c>
      <c r="O10" s="7" t="s">
        <v>1232</v>
      </c>
      <c r="P10" s="7" t="s">
        <v>1233</v>
      </c>
      <c r="Q10" s="7" t="s">
        <v>1234</v>
      </c>
      <c r="R10" s="7" t="s">
        <v>1235</v>
      </c>
      <c r="S10" s="7" t="s">
        <v>1236</v>
      </c>
      <c r="T10" s="7" t="s">
        <v>1237</v>
      </c>
      <c r="U10" s="7" t="s">
        <v>1238</v>
      </c>
      <c r="V10" s="7" t="s">
        <v>1239</v>
      </c>
      <c r="W10" s="7" t="s">
        <v>1240</v>
      </c>
      <c r="X10" s="7" t="s">
        <v>1241</v>
      </c>
      <c r="Y10" s="7" t="s">
        <v>1242</v>
      </c>
      <c r="Z10" s="7" t="s">
        <v>1243</v>
      </c>
      <c r="AA10" s="7" t="s">
        <v>1244</v>
      </c>
      <c r="AB10" s="7" t="s">
        <v>1245</v>
      </c>
      <c r="AC10" s="7" t="s">
        <v>1246</v>
      </c>
      <c r="AD10" s="7" t="s">
        <v>1247</v>
      </c>
      <c r="AE10" s="7" t="s">
        <v>1248</v>
      </c>
      <c r="AF10" s="7" t="s">
        <v>1249</v>
      </c>
      <c r="AG10" s="7" t="s">
        <v>1250</v>
      </c>
      <c r="AH10" s="7" t="s">
        <v>1251</v>
      </c>
      <c r="AI10" s="7" t="s">
        <v>1252</v>
      </c>
      <c r="AJ10" s="7" t="s">
        <v>1253</v>
      </c>
      <c r="AK10" s="7" t="s">
        <v>1254</v>
      </c>
      <c r="AL10" s="7" t="s">
        <v>1255</v>
      </c>
      <c r="AM10" s="7" t="s">
        <v>1256</v>
      </c>
      <c r="AN10" s="7" t="s">
        <v>1257</v>
      </c>
      <c r="AO10" s="7" t="s">
        <v>1258</v>
      </c>
      <c r="AP10" s="7" t="s">
        <v>1259</v>
      </c>
      <c r="AQ10" s="7" t="s">
        <v>1260</v>
      </c>
      <c r="AR10" s="7" t="s">
        <v>1261</v>
      </c>
      <c r="AS10" s="7" t="s">
        <v>1262</v>
      </c>
      <c r="AT10" s="7" t="s">
        <v>1263</v>
      </c>
      <c r="AU10" s="7" t="s">
        <v>1264</v>
      </c>
      <c r="AV10" s="7" t="s">
        <v>1265</v>
      </c>
      <c r="AW10" s="7" t="s">
        <v>1266</v>
      </c>
      <c r="AX10" s="7" t="s">
        <v>1267</v>
      </c>
      <c r="AY10" s="7" t="s">
        <v>1268</v>
      </c>
      <c r="AZ10" s="7" t="s">
        <v>1269</v>
      </c>
      <c r="BA10" s="7" t="s">
        <v>1270</v>
      </c>
      <c r="BB10" s="7" t="s">
        <v>1271</v>
      </c>
      <c r="BC10" s="7" t="s">
        <v>1272</v>
      </c>
      <c r="BD10" s="7" t="s">
        <v>1273</v>
      </c>
      <c r="BE10" s="7" t="s">
        <v>1274</v>
      </c>
      <c r="BF10" s="7" t="s">
        <v>1275</v>
      </c>
      <c r="BG10" s="7" t="s">
        <v>1276</v>
      </c>
      <c r="BH10" s="7" t="s">
        <v>1277</v>
      </c>
      <c r="BI10" s="7" t="s">
        <v>1278</v>
      </c>
      <c r="BJ10" s="7" t="s">
        <v>1279</v>
      </c>
      <c r="BK10" s="7" t="s">
        <v>1280</v>
      </c>
      <c r="BL10" s="7" t="s">
        <v>1281</v>
      </c>
      <c r="BM10" s="7" t="s">
        <v>1282</v>
      </c>
      <c r="BN10" s="7" t="s">
        <v>1283</v>
      </c>
      <c r="BO10" s="7" t="s">
        <v>1284</v>
      </c>
      <c r="BP10" s="7" t="s">
        <v>1285</v>
      </c>
      <c r="BQ10" s="7" t="s">
        <v>1286</v>
      </c>
      <c r="BR10" s="7" t="s">
        <v>1287</v>
      </c>
      <c r="BS10" s="7" t="s">
        <v>1288</v>
      </c>
      <c r="BT10" s="7" t="s">
        <v>1289</v>
      </c>
      <c r="BU10" s="7" t="s">
        <v>1290</v>
      </c>
      <c r="BV10" s="7" t="s">
        <v>1291</v>
      </c>
      <c r="BW10" s="7" t="s">
        <v>1292</v>
      </c>
      <c r="BX10" s="7" t="s">
        <v>1293</v>
      </c>
      <c r="BY10" s="7" t="s">
        <v>1294</v>
      </c>
      <c r="BZ10" s="7" t="s">
        <v>1295</v>
      </c>
      <c r="CA10" s="7" t="s">
        <v>1296</v>
      </c>
      <c r="CB10" s="7" t="s">
        <v>1297</v>
      </c>
      <c r="CC10" s="7" t="s">
        <v>1298</v>
      </c>
      <c r="CD10" s="7" t="s">
        <v>1299</v>
      </c>
      <c r="CE10" s="7" t="s">
        <v>1300</v>
      </c>
      <c r="CF10" s="7" t="s">
        <v>1301</v>
      </c>
      <c r="CG10" s="7" t="s">
        <v>1302</v>
      </c>
      <c r="CH10" s="7" t="s">
        <v>1303</v>
      </c>
      <c r="CI10" s="7" t="s">
        <v>1304</v>
      </c>
      <c r="CJ10" s="7" t="s">
        <v>1305</v>
      </c>
      <c r="CK10" s="7" t="s">
        <v>1306</v>
      </c>
      <c r="CL10" s="7" t="s">
        <v>1307</v>
      </c>
      <c r="CM10" s="7" t="s">
        <v>1308</v>
      </c>
      <c r="CN10" s="7" t="s">
        <v>1309</v>
      </c>
      <c r="CO10" s="7" t="s">
        <v>1310</v>
      </c>
      <c r="CP10" s="7" t="s">
        <v>1311</v>
      </c>
      <c r="CQ10" s="7" t="s">
        <v>1312</v>
      </c>
      <c r="CR10" s="7" t="s">
        <v>1313</v>
      </c>
      <c r="CS10" s="7" t="s">
        <v>1314</v>
      </c>
      <c r="CT10" s="7" t="s">
        <v>1315</v>
      </c>
      <c r="CU10" s="7" t="s">
        <v>1316</v>
      </c>
      <c r="CV10" s="7" t="s">
        <v>1317</v>
      </c>
      <c r="CW10" s="7" t="s">
        <v>1318</v>
      </c>
      <c r="CX10" s="7" t="s">
        <v>1319</v>
      </c>
      <c r="CY10" s="7" t="s">
        <v>1320</v>
      </c>
      <c r="CZ10" s="7" t="s">
        <v>1321</v>
      </c>
      <c r="DA10" s="7" t="s">
        <v>1322</v>
      </c>
      <c r="DB10" s="7" t="s">
        <v>1323</v>
      </c>
      <c r="DC10" s="7" t="s">
        <v>1324</v>
      </c>
      <c r="DD10" s="7" t="s">
        <v>1325</v>
      </c>
      <c r="DE10" s="7" t="s">
        <v>1326</v>
      </c>
      <c r="DF10" s="7" t="s">
        <v>1327</v>
      </c>
      <c r="DG10" s="7" t="s">
        <v>1328</v>
      </c>
      <c r="DH10" s="7" t="s">
        <v>1329</v>
      </c>
      <c r="DI10" s="7" t="s">
        <v>1330</v>
      </c>
      <c r="DJ10" s="7" t="s">
        <v>1331</v>
      </c>
      <c r="DK10" s="7" t="s">
        <v>1332</v>
      </c>
      <c r="DL10" s="7" t="s">
        <v>1333</v>
      </c>
      <c r="DM10" s="7" t="s">
        <v>1334</v>
      </c>
      <c r="DN10" s="7" t="s">
        <v>1335</v>
      </c>
      <c r="DO10" s="7" t="s">
        <v>1336</v>
      </c>
      <c r="DP10" s="7" t="s">
        <v>1337</v>
      </c>
      <c r="DQ10" s="7" t="s">
        <v>1338</v>
      </c>
      <c r="DR10" s="7" t="s">
        <v>1339</v>
      </c>
      <c r="DS10" s="7" t="s">
        <v>1340</v>
      </c>
      <c r="DT10" s="7" t="s">
        <v>1341</v>
      </c>
      <c r="DU10" s="7" t="s">
        <v>1342</v>
      </c>
      <c r="DV10" s="7" t="s">
        <v>1343</v>
      </c>
      <c r="DW10" s="7" t="s">
        <v>1344</v>
      </c>
      <c r="DX10" s="7" t="s">
        <v>1345</v>
      </c>
      <c r="DY10" s="7" t="s">
        <v>1346</v>
      </c>
      <c r="DZ10" s="7" t="s">
        <v>1347</v>
      </c>
      <c r="EA10" s="7" t="s">
        <v>1348</v>
      </c>
      <c r="EB10" s="7" t="s">
        <v>1349</v>
      </c>
      <c r="EC10" s="7" t="s">
        <v>1350</v>
      </c>
      <c r="ED10" s="7" t="s">
        <v>1351</v>
      </c>
      <c r="EE10" s="7" t="s">
        <v>1352</v>
      </c>
      <c r="EF10" s="7" t="s">
        <v>1353</v>
      </c>
      <c r="EG10" s="7" t="s">
        <v>1354</v>
      </c>
      <c r="EH10" s="7" t="s">
        <v>1355</v>
      </c>
      <c r="EI10" s="7" t="s">
        <v>1356</v>
      </c>
      <c r="EJ10" s="7" t="s">
        <v>1357</v>
      </c>
      <c r="EK10" s="7" t="s">
        <v>1358</v>
      </c>
      <c r="EL10" s="7" t="s">
        <v>1359</v>
      </c>
      <c r="EM10" s="7" t="s">
        <v>1360</v>
      </c>
      <c r="EN10" s="7" t="s">
        <v>1361</v>
      </c>
      <c r="EO10" s="7" t="s">
        <v>1362</v>
      </c>
      <c r="EP10" s="7" t="s">
        <v>1363</v>
      </c>
      <c r="EQ10" s="7" t="s">
        <v>1364</v>
      </c>
      <c r="ER10" s="7" t="s">
        <v>1365</v>
      </c>
      <c r="ES10" s="7" t="s">
        <v>1366</v>
      </c>
      <c r="ET10" s="7" t="s">
        <v>1367</v>
      </c>
      <c r="EU10" s="7" t="s">
        <v>1368</v>
      </c>
      <c r="EV10" s="7" t="s">
        <v>1369</v>
      </c>
      <c r="EW10" s="7" t="s">
        <v>1370</v>
      </c>
      <c r="EX10" s="7" t="s">
        <v>1371</v>
      </c>
      <c r="EY10" s="7" t="s">
        <v>1372</v>
      </c>
      <c r="EZ10" s="7" t="s">
        <v>1373</v>
      </c>
      <c r="FA10" s="7" t="s">
        <v>1374</v>
      </c>
      <c r="FB10" s="7" t="s">
        <v>1375</v>
      </c>
      <c r="FC10" s="7" t="s">
        <v>1376</v>
      </c>
      <c r="FD10" s="7" t="s">
        <v>1377</v>
      </c>
      <c r="FE10" s="7" t="s">
        <v>1378</v>
      </c>
      <c r="FF10" s="7" t="s">
        <v>1379</v>
      </c>
      <c r="FG10" s="7" t="s">
        <v>1380</v>
      </c>
      <c r="FH10" s="7" t="s">
        <v>1381</v>
      </c>
      <c r="FI10" s="7" t="s">
        <v>1382</v>
      </c>
      <c r="FJ10" s="7" t="s">
        <v>1383</v>
      </c>
      <c r="FK10" s="7" t="s">
        <v>1384</v>
      </c>
      <c r="FL10" s="7" t="s">
        <v>1385</v>
      </c>
      <c r="FM10" s="7" t="s">
        <v>1386</v>
      </c>
      <c r="FN10" s="7" t="s">
        <v>1387</v>
      </c>
      <c r="FO10" s="7" t="s">
        <v>1388</v>
      </c>
      <c r="FP10" s="7" t="s">
        <v>1389</v>
      </c>
      <c r="FQ10" s="7" t="s">
        <v>1390</v>
      </c>
      <c r="FR10" s="7" t="s">
        <v>1391</v>
      </c>
      <c r="FS10" s="7" t="s">
        <v>1392</v>
      </c>
      <c r="FT10" s="7" t="s">
        <v>1393</v>
      </c>
      <c r="FU10" s="7" t="s">
        <v>1394</v>
      </c>
      <c r="FV10" s="7" t="s">
        <v>1395</v>
      </c>
      <c r="FW10" s="7" t="s">
        <v>1396</v>
      </c>
      <c r="FX10" s="7" t="s">
        <v>1397</v>
      </c>
      <c r="FY10" s="7" t="s">
        <v>1398</v>
      </c>
      <c r="FZ10" s="7" t="s">
        <v>1399</v>
      </c>
      <c r="GA10" s="7" t="s">
        <v>1400</v>
      </c>
      <c r="GB10" s="7" t="s">
        <v>1401</v>
      </c>
      <c r="GC10" s="7" t="s">
        <v>1402</v>
      </c>
      <c r="GD10" s="7" t="s">
        <v>1403</v>
      </c>
      <c r="GE10" s="7" t="s">
        <v>1404</v>
      </c>
      <c r="GF10" s="7" t="s">
        <v>1405</v>
      </c>
      <c r="GG10" s="7" t="s">
        <v>1406</v>
      </c>
      <c r="GH10" s="7" t="s">
        <v>1407</v>
      </c>
      <c r="GI10" s="7" t="s">
        <v>1408</v>
      </c>
      <c r="GJ10" s="7" t="s">
        <v>1409</v>
      </c>
      <c r="GK10" s="7" t="s">
        <v>1410</v>
      </c>
      <c r="GL10" s="7" t="s">
        <v>1411</v>
      </c>
      <c r="GM10" s="7" t="s">
        <v>1412</v>
      </c>
      <c r="GN10" s="7" t="s">
        <v>1413</v>
      </c>
      <c r="GO10" s="7" t="s">
        <v>1414</v>
      </c>
      <c r="GP10" s="7" t="s">
        <v>1415</v>
      </c>
      <c r="GQ10" s="7" t="s">
        <v>1416</v>
      </c>
      <c r="GR10" s="7" t="s">
        <v>1417</v>
      </c>
      <c r="GS10" s="7" t="s">
        <v>1418</v>
      </c>
      <c r="GT10" s="7" t="s">
        <v>1419</v>
      </c>
      <c r="GU10" s="7" t="s">
        <v>1420</v>
      </c>
      <c r="GV10" s="7" t="s">
        <v>1421</v>
      </c>
      <c r="GW10" s="7" t="s">
        <v>1422</v>
      </c>
      <c r="GX10" s="7" t="s">
        <v>1423</v>
      </c>
      <c r="GY10" s="7" t="s">
        <v>1424</v>
      </c>
      <c r="GZ10" s="7" t="s">
        <v>1425</v>
      </c>
      <c r="HA10" s="7" t="s">
        <v>1426</v>
      </c>
      <c r="HB10" s="7" t="s">
        <v>1427</v>
      </c>
      <c r="HC10" s="7" t="s">
        <v>1428</v>
      </c>
      <c r="HD10" s="7" t="s">
        <v>1429</v>
      </c>
      <c r="HE10" s="7" t="s">
        <v>1430</v>
      </c>
      <c r="HF10" s="7" t="s">
        <v>1431</v>
      </c>
      <c r="HG10" s="7" t="s">
        <v>1432</v>
      </c>
      <c r="HH10" s="7" t="s">
        <v>1433</v>
      </c>
      <c r="HI10" s="7" t="s">
        <v>1434</v>
      </c>
      <c r="HJ10" s="7" t="s">
        <v>1435</v>
      </c>
      <c r="HK10" s="7" t="s">
        <v>1436</v>
      </c>
      <c r="HL10" s="7" t="s">
        <v>1437</v>
      </c>
      <c r="HM10" s="7" t="s">
        <v>1438</v>
      </c>
      <c r="HN10" s="7" t="s">
        <v>1439</v>
      </c>
      <c r="HO10" s="7" t="s">
        <v>1440</v>
      </c>
      <c r="HP10" s="7" t="s">
        <v>1441</v>
      </c>
      <c r="HQ10" s="7" t="s">
        <v>1442</v>
      </c>
      <c r="HR10" s="7" t="s">
        <v>1443</v>
      </c>
      <c r="HS10" s="7" t="s">
        <v>1444</v>
      </c>
      <c r="HT10" s="7" t="s">
        <v>1445</v>
      </c>
      <c r="HU10" s="7" t="s">
        <v>1446</v>
      </c>
      <c r="HV10" s="7" t="s">
        <v>1447</v>
      </c>
      <c r="HW10" s="7" t="s">
        <v>1448</v>
      </c>
      <c r="HX10" s="7" t="s">
        <v>1449</v>
      </c>
      <c r="HY10" s="7" t="s">
        <v>1450</v>
      </c>
      <c r="HZ10" s="7" t="s">
        <v>1451</v>
      </c>
      <c r="IA10" s="7" t="s">
        <v>1452</v>
      </c>
      <c r="IB10" s="7" t="s">
        <v>1453</v>
      </c>
      <c r="IC10" s="7" t="s">
        <v>1454</v>
      </c>
      <c r="ID10" s="7" t="s">
        <v>1455</v>
      </c>
      <c r="IE10" s="7" t="s">
        <v>1456</v>
      </c>
      <c r="IF10" s="7" t="s">
        <v>1457</v>
      </c>
      <c r="IG10" s="7" t="s">
        <v>1458</v>
      </c>
      <c r="IH10" s="7" t="s">
        <v>1459</v>
      </c>
      <c r="II10" s="7" t="s">
        <v>1460</v>
      </c>
      <c r="IJ10" s="7" t="s">
        <v>1461</v>
      </c>
      <c r="IK10" s="7" t="s">
        <v>1462</v>
      </c>
      <c r="IL10" s="7" t="s">
        <v>1463</v>
      </c>
      <c r="IM10" s="7" t="s">
        <v>1464</v>
      </c>
      <c r="IN10" s="7" t="s">
        <v>1465</v>
      </c>
      <c r="IO10" s="7" t="s">
        <v>1466</v>
      </c>
      <c r="IP10" s="7" t="s">
        <v>1467</v>
      </c>
      <c r="IQ10" s="7" t="s">
        <v>1468</v>
      </c>
    </row>
    <row r="11" spans="1:251" x14ac:dyDescent="0.2">
      <c r="A11" s="9">
        <v>42979</v>
      </c>
      <c r="I11" s="8">
        <v>87.23</v>
      </c>
      <c r="J11" s="8">
        <v>75.569999999999993</v>
      </c>
      <c r="K11" s="8">
        <v>66.98</v>
      </c>
      <c r="O11" s="8">
        <v>73.14</v>
      </c>
      <c r="V11" s="8">
        <v>81.47</v>
      </c>
      <c r="W11" s="8">
        <v>74.47</v>
      </c>
      <c r="AA11" s="8">
        <v>80.84</v>
      </c>
      <c r="AB11" s="8">
        <v>96.97</v>
      </c>
      <c r="AC11" s="8">
        <v>79.53</v>
      </c>
      <c r="AF11" s="8">
        <v>73.930000000000007</v>
      </c>
      <c r="AG11" s="8">
        <v>72.36</v>
      </c>
      <c r="AH11" s="8">
        <v>74.77</v>
      </c>
      <c r="AI11" s="8">
        <v>73.430000000000007</v>
      </c>
      <c r="AJ11" s="8">
        <v>76.73</v>
      </c>
      <c r="AK11" s="8">
        <v>76.38</v>
      </c>
      <c r="AL11" s="8">
        <v>70.81</v>
      </c>
      <c r="AM11" s="8">
        <v>79.709999999999994</v>
      </c>
      <c r="AN11" s="8">
        <v>66.42</v>
      </c>
      <c r="AO11" s="8">
        <v>82.37</v>
      </c>
      <c r="AP11" s="8">
        <v>79.72</v>
      </c>
      <c r="AQ11" s="8">
        <v>78.72</v>
      </c>
      <c r="AR11" s="8">
        <v>71.3</v>
      </c>
      <c r="AS11" s="8">
        <v>69.34</v>
      </c>
      <c r="AT11" s="8">
        <v>71.05</v>
      </c>
      <c r="AU11" s="8">
        <v>73.73</v>
      </c>
      <c r="AV11" s="8">
        <v>66.89</v>
      </c>
      <c r="AW11" s="8">
        <v>61.9</v>
      </c>
      <c r="AX11" s="8">
        <v>71.45</v>
      </c>
      <c r="AY11" s="8">
        <v>73.510000000000005</v>
      </c>
      <c r="AZ11" s="8">
        <v>63.52</v>
      </c>
      <c r="BA11" s="8">
        <v>79.790000000000006</v>
      </c>
      <c r="BB11" s="8">
        <v>80.73</v>
      </c>
      <c r="BC11" s="8">
        <v>63.12</v>
      </c>
      <c r="BD11" s="8">
        <v>72.040000000000006</v>
      </c>
      <c r="BE11" s="8">
        <v>78.19</v>
      </c>
      <c r="BF11" s="8">
        <v>72.27</v>
      </c>
      <c r="BG11" s="8">
        <v>70.2</v>
      </c>
      <c r="BH11" s="8">
        <v>72.87</v>
      </c>
      <c r="BN11" s="8">
        <v>76.510000000000005</v>
      </c>
      <c r="BP11" s="8">
        <v>78.13</v>
      </c>
      <c r="BQ11" s="8">
        <v>41.6</v>
      </c>
      <c r="BR11" s="8">
        <v>41.6</v>
      </c>
      <c r="CH11" s="8">
        <v>54.77</v>
      </c>
      <c r="CI11" s="8">
        <v>54.77</v>
      </c>
      <c r="CL11" s="8">
        <v>78.98</v>
      </c>
      <c r="DB11" s="8">
        <v>83.85</v>
      </c>
      <c r="DC11" s="8">
        <v>79.7</v>
      </c>
      <c r="DD11" s="8">
        <v>87.25</v>
      </c>
      <c r="DE11" s="8">
        <v>82.4</v>
      </c>
      <c r="DU11" s="8">
        <v>72.92</v>
      </c>
      <c r="EK11" s="8">
        <v>78.459999999999994</v>
      </c>
      <c r="EL11" s="8">
        <v>65.569999999999993</v>
      </c>
      <c r="EM11" s="8">
        <v>69.86</v>
      </c>
      <c r="EQ11" s="8">
        <v>74.81</v>
      </c>
      <c r="EX11" s="8">
        <v>78.17</v>
      </c>
      <c r="EY11" s="8">
        <v>77.58</v>
      </c>
      <c r="FC11" s="8">
        <v>84.77</v>
      </c>
      <c r="FD11" s="8">
        <v>96.97</v>
      </c>
      <c r="FE11" s="8">
        <v>82.23</v>
      </c>
      <c r="FH11" s="8">
        <v>73.33</v>
      </c>
      <c r="FI11" s="8">
        <v>73.38</v>
      </c>
      <c r="FJ11" s="8">
        <v>72.900000000000006</v>
      </c>
      <c r="FK11" s="8">
        <v>71.930000000000007</v>
      </c>
      <c r="FL11" s="8">
        <v>77.48</v>
      </c>
      <c r="FM11" s="8">
        <v>75.22</v>
      </c>
      <c r="FN11" s="8">
        <v>70.22</v>
      </c>
      <c r="FO11" s="8">
        <v>76.16</v>
      </c>
      <c r="FP11" s="8">
        <v>68.180000000000007</v>
      </c>
      <c r="FQ11" s="8">
        <v>79.239999999999995</v>
      </c>
      <c r="FR11" s="8">
        <v>78.39</v>
      </c>
      <c r="FS11" s="8">
        <v>77.64</v>
      </c>
      <c r="FT11" s="8">
        <v>71.510000000000005</v>
      </c>
      <c r="FU11" s="8">
        <v>72.7</v>
      </c>
      <c r="FV11" s="8">
        <v>68.510000000000005</v>
      </c>
      <c r="FW11" s="8">
        <v>72.63</v>
      </c>
      <c r="FX11" s="8">
        <v>73.83</v>
      </c>
      <c r="FY11" s="8">
        <v>69.02</v>
      </c>
      <c r="FZ11" s="8">
        <v>76.62</v>
      </c>
      <c r="GA11" s="8">
        <v>72.400000000000006</v>
      </c>
      <c r="GB11" s="8">
        <v>67.25</v>
      </c>
      <c r="GC11" s="8">
        <v>78.790000000000006</v>
      </c>
      <c r="GD11" s="8">
        <v>79.790000000000006</v>
      </c>
      <c r="GE11" s="8">
        <v>64.52</v>
      </c>
      <c r="GF11" s="8">
        <v>70.52</v>
      </c>
      <c r="GG11" s="8">
        <v>75.349999999999994</v>
      </c>
      <c r="GH11" s="8">
        <v>70.819999999999993</v>
      </c>
      <c r="GI11" s="8">
        <v>67.92</v>
      </c>
      <c r="GJ11" s="8">
        <v>71.67</v>
      </c>
      <c r="GP11" s="8">
        <v>76.599999999999994</v>
      </c>
      <c r="GR11" s="8">
        <v>79.97</v>
      </c>
      <c r="GS11" s="8">
        <v>40.43</v>
      </c>
      <c r="GT11" s="8">
        <v>40.43</v>
      </c>
      <c r="HJ11" s="8">
        <v>57.26</v>
      </c>
      <c r="HK11" s="8">
        <v>57.26</v>
      </c>
      <c r="HN11" s="8">
        <v>72.72</v>
      </c>
      <c r="ID11" s="8">
        <v>83.95</v>
      </c>
      <c r="IE11" s="8">
        <v>80.11</v>
      </c>
      <c r="IF11" s="8">
        <v>86.69</v>
      </c>
      <c r="IG11" s="8">
        <v>83.26</v>
      </c>
    </row>
    <row r="12" spans="1:251" x14ac:dyDescent="0.2">
      <c r="A12" s="9">
        <v>43009</v>
      </c>
      <c r="I12" s="8">
        <v>87.36</v>
      </c>
      <c r="J12" s="8">
        <v>78.290000000000006</v>
      </c>
      <c r="K12" s="8">
        <v>64.709999999999994</v>
      </c>
      <c r="O12" s="8">
        <v>72.19</v>
      </c>
      <c r="V12" s="8">
        <v>81.47</v>
      </c>
      <c r="W12" s="8">
        <v>74.47</v>
      </c>
      <c r="AA12" s="8">
        <v>80.63</v>
      </c>
      <c r="AB12" s="8">
        <v>94.3</v>
      </c>
      <c r="AC12" s="8">
        <v>79.53</v>
      </c>
      <c r="AF12" s="8">
        <v>74.39</v>
      </c>
      <c r="AG12" s="8">
        <v>73.37</v>
      </c>
      <c r="AH12" s="8">
        <v>75.010000000000005</v>
      </c>
      <c r="AI12" s="8">
        <v>72.33</v>
      </c>
      <c r="AJ12" s="8">
        <v>77.41</v>
      </c>
      <c r="AK12" s="8">
        <v>77.28</v>
      </c>
      <c r="AL12" s="8">
        <v>72.430000000000007</v>
      </c>
      <c r="AM12" s="8">
        <v>79.7</v>
      </c>
      <c r="AN12" s="8">
        <v>68.52</v>
      </c>
      <c r="AO12" s="8">
        <v>82.64</v>
      </c>
      <c r="AP12" s="8">
        <v>79.7</v>
      </c>
      <c r="AQ12" s="8">
        <v>79.88</v>
      </c>
      <c r="AR12" s="8">
        <v>71.72</v>
      </c>
      <c r="AS12" s="8">
        <v>69.290000000000006</v>
      </c>
      <c r="AT12" s="8">
        <v>71.930000000000007</v>
      </c>
      <c r="AU12" s="8">
        <v>74.22</v>
      </c>
      <c r="AV12" s="8">
        <v>70.09</v>
      </c>
      <c r="AW12" s="8">
        <v>67.34</v>
      </c>
      <c r="AX12" s="8">
        <v>72.430000000000007</v>
      </c>
      <c r="AY12" s="8">
        <v>73.760000000000005</v>
      </c>
      <c r="AZ12" s="8">
        <v>63.76</v>
      </c>
      <c r="BA12" s="8">
        <v>80.040000000000006</v>
      </c>
      <c r="BB12" s="8">
        <v>81.209999999999994</v>
      </c>
      <c r="BC12" s="8">
        <v>64.010000000000005</v>
      </c>
      <c r="BD12" s="8">
        <v>72.05</v>
      </c>
      <c r="BE12" s="8">
        <v>78.45</v>
      </c>
      <c r="BF12" s="8">
        <v>72.37</v>
      </c>
      <c r="BG12" s="8">
        <v>70.62</v>
      </c>
      <c r="BH12" s="8">
        <v>72.84</v>
      </c>
      <c r="BN12" s="8">
        <v>76.87</v>
      </c>
      <c r="BP12" s="8">
        <v>78.55</v>
      </c>
      <c r="BQ12" s="8">
        <v>42.95</v>
      </c>
      <c r="BR12" s="8">
        <v>42.95</v>
      </c>
      <c r="CH12" s="8">
        <v>54.77</v>
      </c>
      <c r="CI12" s="8">
        <v>54.77</v>
      </c>
      <c r="CL12" s="8">
        <v>78.98</v>
      </c>
      <c r="DB12" s="8">
        <v>82.94</v>
      </c>
      <c r="DC12" s="8">
        <v>80.180000000000007</v>
      </c>
      <c r="DD12" s="8">
        <v>85.45</v>
      </c>
      <c r="DE12" s="8">
        <v>81.86</v>
      </c>
      <c r="DU12" s="8">
        <v>74.09</v>
      </c>
      <c r="EK12" s="8">
        <v>79.89</v>
      </c>
      <c r="EL12" s="8">
        <v>70.39</v>
      </c>
      <c r="EM12" s="8">
        <v>67.52</v>
      </c>
      <c r="EQ12" s="8">
        <v>73.72</v>
      </c>
      <c r="EX12" s="8">
        <v>78.17</v>
      </c>
      <c r="EY12" s="8">
        <v>77.58</v>
      </c>
      <c r="FC12" s="8">
        <v>84.28</v>
      </c>
      <c r="FD12" s="8">
        <v>94.3</v>
      </c>
      <c r="FE12" s="8">
        <v>82.23</v>
      </c>
      <c r="FH12" s="8">
        <v>74.62</v>
      </c>
      <c r="FI12" s="8">
        <v>75.56</v>
      </c>
      <c r="FJ12" s="8">
        <v>73.88</v>
      </c>
      <c r="FK12" s="8">
        <v>71.290000000000006</v>
      </c>
      <c r="FL12" s="8">
        <v>78.33</v>
      </c>
      <c r="FM12" s="8">
        <v>75.78</v>
      </c>
      <c r="FN12" s="8">
        <v>70.489999999999995</v>
      </c>
      <c r="FO12" s="8">
        <v>76.86</v>
      </c>
      <c r="FP12" s="8">
        <v>69.25</v>
      </c>
      <c r="FQ12" s="8">
        <v>78.92</v>
      </c>
      <c r="FR12" s="8">
        <v>78.88</v>
      </c>
      <c r="FS12" s="8">
        <v>79.2</v>
      </c>
      <c r="FT12" s="8">
        <v>72.47</v>
      </c>
      <c r="FU12" s="8">
        <v>73.209999999999994</v>
      </c>
      <c r="FV12" s="8">
        <v>69.959999999999994</v>
      </c>
      <c r="FW12" s="8">
        <v>73.69</v>
      </c>
      <c r="FX12" s="8">
        <v>77.97</v>
      </c>
      <c r="FY12" s="8">
        <v>77.84</v>
      </c>
      <c r="FZ12" s="8">
        <v>77.45</v>
      </c>
      <c r="GA12" s="8">
        <v>73.03</v>
      </c>
      <c r="GB12" s="8">
        <v>67.349999999999994</v>
      </c>
      <c r="GC12" s="8">
        <v>79.33</v>
      </c>
      <c r="GD12" s="8">
        <v>80.44</v>
      </c>
      <c r="GE12" s="8">
        <v>65.400000000000006</v>
      </c>
      <c r="GF12" s="8">
        <v>70.989999999999995</v>
      </c>
      <c r="GG12" s="8">
        <v>76.34</v>
      </c>
      <c r="GH12" s="8">
        <v>71.27</v>
      </c>
      <c r="GI12" s="8">
        <v>68.540000000000006</v>
      </c>
      <c r="GJ12" s="8">
        <v>72.08</v>
      </c>
      <c r="GP12" s="8">
        <v>75.58</v>
      </c>
      <c r="GR12" s="8">
        <v>80.349999999999994</v>
      </c>
      <c r="GS12" s="8">
        <v>42.36</v>
      </c>
      <c r="GT12" s="8">
        <v>42.36</v>
      </c>
      <c r="HJ12" s="8">
        <v>57.64</v>
      </c>
      <c r="HK12" s="8">
        <v>57.64</v>
      </c>
      <c r="HN12" s="8">
        <v>72.72</v>
      </c>
      <c r="ID12" s="8">
        <v>83.47</v>
      </c>
      <c r="IE12" s="8">
        <v>80.77</v>
      </c>
      <c r="IF12" s="8">
        <v>85.12</v>
      </c>
      <c r="IG12" s="8">
        <v>83.2</v>
      </c>
    </row>
    <row r="13" spans="1:251" x14ac:dyDescent="0.2">
      <c r="A13" s="9">
        <v>43040</v>
      </c>
      <c r="I13" s="8">
        <v>85.73</v>
      </c>
      <c r="J13" s="8">
        <v>76.819999999999993</v>
      </c>
      <c r="K13" s="8">
        <v>63.52</v>
      </c>
      <c r="O13" s="8">
        <v>72.81</v>
      </c>
      <c r="V13" s="8">
        <v>81.47</v>
      </c>
      <c r="W13" s="8">
        <v>74.47</v>
      </c>
      <c r="AA13" s="8">
        <v>80.63</v>
      </c>
      <c r="AB13" s="8">
        <v>94.32</v>
      </c>
      <c r="AC13" s="8">
        <v>79.53</v>
      </c>
      <c r="AF13" s="8">
        <v>74.62</v>
      </c>
      <c r="AG13" s="8">
        <v>73.510000000000005</v>
      </c>
      <c r="AH13" s="8">
        <v>75.08</v>
      </c>
      <c r="AI13" s="8">
        <v>74.22</v>
      </c>
      <c r="AJ13" s="8">
        <v>77.25</v>
      </c>
      <c r="AK13" s="8">
        <v>77.5</v>
      </c>
      <c r="AL13" s="8">
        <v>71.88</v>
      </c>
      <c r="AM13" s="8">
        <v>79.41</v>
      </c>
      <c r="AN13" s="8">
        <v>68.92</v>
      </c>
      <c r="AO13" s="8">
        <v>83.67</v>
      </c>
      <c r="AP13" s="8">
        <v>80.33</v>
      </c>
      <c r="AQ13" s="8">
        <v>80.319999999999993</v>
      </c>
      <c r="AR13" s="8">
        <v>71.59</v>
      </c>
      <c r="AS13" s="8">
        <v>69.56</v>
      </c>
      <c r="AT13" s="8">
        <v>71.95</v>
      </c>
      <c r="AU13" s="8">
        <v>73.52</v>
      </c>
      <c r="AV13" s="8">
        <v>72.11</v>
      </c>
      <c r="AW13" s="8">
        <v>70.569999999999993</v>
      </c>
      <c r="AX13" s="8">
        <v>73.23</v>
      </c>
      <c r="AY13" s="8">
        <v>73.91</v>
      </c>
      <c r="AZ13" s="8">
        <v>63.47</v>
      </c>
      <c r="BA13" s="8">
        <v>79.62</v>
      </c>
      <c r="BB13" s="8">
        <v>81.53</v>
      </c>
      <c r="BC13" s="8">
        <v>64.849999999999994</v>
      </c>
      <c r="BD13" s="8">
        <v>71.67</v>
      </c>
      <c r="BE13" s="8">
        <v>79.349999999999994</v>
      </c>
      <c r="BF13" s="8">
        <v>72.73</v>
      </c>
      <c r="BG13" s="8">
        <v>71.27</v>
      </c>
      <c r="BH13" s="8">
        <v>73.09</v>
      </c>
      <c r="BN13" s="8">
        <v>76.61</v>
      </c>
      <c r="BP13" s="8">
        <v>79.209999999999994</v>
      </c>
      <c r="BQ13" s="8">
        <v>43.1</v>
      </c>
      <c r="BR13" s="8">
        <v>43.1</v>
      </c>
      <c r="CH13" s="8">
        <v>54.31</v>
      </c>
      <c r="CI13" s="8">
        <v>54.31</v>
      </c>
      <c r="CL13" s="8">
        <v>78.98</v>
      </c>
      <c r="DB13" s="8">
        <v>83.2</v>
      </c>
      <c r="DC13" s="8">
        <v>78.8</v>
      </c>
      <c r="DD13" s="8">
        <v>86.06</v>
      </c>
      <c r="DE13" s="8">
        <v>82.22</v>
      </c>
      <c r="DU13" s="8">
        <v>77.58</v>
      </c>
      <c r="EK13" s="8">
        <v>77.88</v>
      </c>
      <c r="EL13" s="8">
        <v>67.63</v>
      </c>
      <c r="EM13" s="8">
        <v>66.81</v>
      </c>
      <c r="EQ13" s="8">
        <v>74.09</v>
      </c>
      <c r="EX13" s="8">
        <v>78.17</v>
      </c>
      <c r="EY13" s="8">
        <v>77.58</v>
      </c>
      <c r="FC13" s="8">
        <v>84.28</v>
      </c>
      <c r="FD13" s="8">
        <v>94.32</v>
      </c>
      <c r="FE13" s="8">
        <v>82.23</v>
      </c>
      <c r="FH13" s="8">
        <v>75.14</v>
      </c>
      <c r="FI13" s="8">
        <v>76.150000000000006</v>
      </c>
      <c r="FJ13" s="8">
        <v>74.260000000000005</v>
      </c>
      <c r="FK13" s="8">
        <v>73.12</v>
      </c>
      <c r="FL13" s="8">
        <v>77.97</v>
      </c>
      <c r="FM13" s="8">
        <v>76.180000000000007</v>
      </c>
      <c r="FN13" s="8">
        <v>70.22</v>
      </c>
      <c r="FO13" s="8">
        <v>76.78</v>
      </c>
      <c r="FP13" s="8">
        <v>69.760000000000005</v>
      </c>
      <c r="FQ13" s="8">
        <v>80.05</v>
      </c>
      <c r="FR13" s="8">
        <v>79.38</v>
      </c>
      <c r="FS13" s="8">
        <v>79.989999999999995</v>
      </c>
      <c r="FT13" s="8">
        <v>72.28</v>
      </c>
      <c r="FU13" s="8">
        <v>73.27</v>
      </c>
      <c r="FV13" s="8">
        <v>70.11</v>
      </c>
      <c r="FW13" s="8">
        <v>72.84</v>
      </c>
      <c r="FX13" s="8">
        <v>81.94</v>
      </c>
      <c r="FY13" s="8">
        <v>83.64</v>
      </c>
      <c r="FZ13" s="8">
        <v>80.11</v>
      </c>
      <c r="GA13" s="8">
        <v>72.97</v>
      </c>
      <c r="GB13" s="8">
        <v>67.28</v>
      </c>
      <c r="GC13" s="8">
        <v>79.239999999999995</v>
      </c>
      <c r="GD13" s="8">
        <v>80.89</v>
      </c>
      <c r="GE13" s="8">
        <v>67.11</v>
      </c>
      <c r="GF13" s="8">
        <v>70.040000000000006</v>
      </c>
      <c r="GG13" s="8">
        <v>76.98</v>
      </c>
      <c r="GH13" s="8">
        <v>71.400000000000006</v>
      </c>
      <c r="GI13" s="8">
        <v>69.56</v>
      </c>
      <c r="GJ13" s="8">
        <v>71.92</v>
      </c>
      <c r="GP13" s="8">
        <v>75.66</v>
      </c>
      <c r="GR13" s="8">
        <v>80</v>
      </c>
      <c r="GS13" s="8">
        <v>42.51</v>
      </c>
      <c r="GT13" s="8">
        <v>42.51</v>
      </c>
      <c r="HJ13" s="8">
        <v>57.64</v>
      </c>
      <c r="HK13" s="8">
        <v>57.64</v>
      </c>
      <c r="HN13" s="8">
        <v>72.72</v>
      </c>
      <c r="ID13" s="8">
        <v>83.77</v>
      </c>
      <c r="IE13" s="8">
        <v>79.709999999999994</v>
      </c>
      <c r="IF13" s="8">
        <v>85.59</v>
      </c>
      <c r="IG13" s="8">
        <v>83.6</v>
      </c>
    </row>
    <row r="14" spans="1:251" x14ac:dyDescent="0.2">
      <c r="A14" s="9">
        <v>43070</v>
      </c>
      <c r="I14" s="8">
        <v>96.09</v>
      </c>
      <c r="J14" s="8">
        <v>84.28</v>
      </c>
      <c r="K14" s="8">
        <v>72.84</v>
      </c>
      <c r="O14" s="8">
        <v>72.239999999999995</v>
      </c>
      <c r="V14" s="8">
        <v>81.47</v>
      </c>
      <c r="W14" s="8">
        <v>74.47</v>
      </c>
      <c r="AA14" s="8">
        <v>80.77</v>
      </c>
      <c r="AB14" s="8">
        <v>93.49</v>
      </c>
      <c r="AC14" s="8">
        <v>79.75</v>
      </c>
      <c r="AF14" s="8">
        <v>75.28</v>
      </c>
      <c r="AG14" s="8">
        <v>74.209999999999994</v>
      </c>
      <c r="AH14" s="8">
        <v>74.83</v>
      </c>
      <c r="AI14" s="8">
        <v>77.05</v>
      </c>
      <c r="AJ14" s="8">
        <v>79.319999999999993</v>
      </c>
      <c r="AK14" s="8">
        <v>77.3</v>
      </c>
      <c r="AL14" s="8">
        <v>72.5</v>
      </c>
      <c r="AM14" s="8">
        <v>79.39</v>
      </c>
      <c r="AN14" s="8">
        <v>68.11</v>
      </c>
      <c r="AO14" s="8">
        <v>83.29</v>
      </c>
      <c r="AP14" s="8">
        <v>80.2</v>
      </c>
      <c r="AQ14" s="8">
        <v>79.25</v>
      </c>
      <c r="AR14" s="8">
        <v>72.31</v>
      </c>
      <c r="AS14" s="8">
        <v>70.47</v>
      </c>
      <c r="AT14" s="8">
        <v>72.08</v>
      </c>
      <c r="AU14" s="8">
        <v>74.599999999999994</v>
      </c>
      <c r="AV14" s="8">
        <v>73.09</v>
      </c>
      <c r="AW14" s="8">
        <v>71.37</v>
      </c>
      <c r="AX14" s="8">
        <v>74.39</v>
      </c>
      <c r="AY14" s="8">
        <v>74.53</v>
      </c>
      <c r="AZ14" s="8">
        <v>62.23</v>
      </c>
      <c r="BA14" s="8">
        <v>79.73</v>
      </c>
      <c r="BB14" s="8">
        <v>80.94</v>
      </c>
      <c r="BC14" s="8">
        <v>65.88</v>
      </c>
      <c r="BD14" s="8">
        <v>72.84</v>
      </c>
      <c r="BE14" s="8">
        <v>80.14</v>
      </c>
      <c r="BF14" s="8">
        <v>71.790000000000006</v>
      </c>
      <c r="BG14" s="8">
        <v>71.22</v>
      </c>
      <c r="BH14" s="8">
        <v>71.83</v>
      </c>
      <c r="BN14" s="8">
        <v>75.8</v>
      </c>
      <c r="BP14" s="8">
        <v>79.209999999999994</v>
      </c>
      <c r="BQ14" s="8">
        <v>43.71</v>
      </c>
      <c r="BR14" s="8">
        <v>43.71</v>
      </c>
      <c r="CH14" s="8">
        <v>54.73</v>
      </c>
      <c r="CI14" s="8">
        <v>54.73</v>
      </c>
      <c r="CL14" s="8">
        <v>78.98</v>
      </c>
      <c r="DB14" s="8">
        <v>83.64</v>
      </c>
      <c r="DC14" s="8">
        <v>80.14</v>
      </c>
      <c r="DD14" s="8">
        <v>87.25</v>
      </c>
      <c r="DE14" s="8">
        <v>81.87</v>
      </c>
      <c r="DU14" s="8">
        <v>79.03</v>
      </c>
      <c r="EK14" s="8">
        <v>88.68</v>
      </c>
      <c r="EL14" s="8">
        <v>77.709999999999994</v>
      </c>
      <c r="EM14" s="8">
        <v>75.37</v>
      </c>
      <c r="EQ14" s="8">
        <v>74.09</v>
      </c>
      <c r="EX14" s="8">
        <v>78.17</v>
      </c>
      <c r="EY14" s="8">
        <v>77.58</v>
      </c>
      <c r="FC14" s="8">
        <v>83.33</v>
      </c>
      <c r="FD14" s="8">
        <v>93.49</v>
      </c>
      <c r="FE14" s="8">
        <v>81.260000000000005</v>
      </c>
      <c r="FH14" s="8">
        <v>74.540000000000006</v>
      </c>
      <c r="FI14" s="8">
        <v>76.099999999999994</v>
      </c>
      <c r="FJ14" s="8">
        <v>72.33</v>
      </c>
      <c r="FK14" s="8">
        <v>75.05</v>
      </c>
      <c r="FL14" s="8">
        <v>79.95</v>
      </c>
      <c r="FM14" s="8">
        <v>74.48</v>
      </c>
      <c r="FN14" s="8">
        <v>69.17</v>
      </c>
      <c r="FO14" s="8">
        <v>75.34</v>
      </c>
      <c r="FP14" s="8">
        <v>67.25</v>
      </c>
      <c r="FQ14" s="8">
        <v>77.989999999999995</v>
      </c>
      <c r="FR14" s="8">
        <v>77.67</v>
      </c>
      <c r="FS14" s="8">
        <v>78.11</v>
      </c>
      <c r="FT14" s="8">
        <v>72.180000000000007</v>
      </c>
      <c r="FU14" s="8">
        <v>73.37</v>
      </c>
      <c r="FV14" s="8">
        <v>69.09</v>
      </c>
      <c r="FW14" s="8">
        <v>73.400000000000006</v>
      </c>
      <c r="FX14" s="8">
        <v>80.569999999999993</v>
      </c>
      <c r="FY14" s="8">
        <v>82.93</v>
      </c>
      <c r="FZ14" s="8">
        <v>78.3</v>
      </c>
      <c r="GA14" s="8">
        <v>72.86</v>
      </c>
      <c r="GB14" s="8">
        <v>67.3</v>
      </c>
      <c r="GC14" s="8">
        <v>78.12</v>
      </c>
      <c r="GD14" s="8">
        <v>78.33</v>
      </c>
      <c r="GE14" s="8">
        <v>66.040000000000006</v>
      </c>
      <c r="GF14" s="8">
        <v>71.180000000000007</v>
      </c>
      <c r="GG14" s="8">
        <v>76.38</v>
      </c>
      <c r="GH14" s="8">
        <v>69.739999999999995</v>
      </c>
      <c r="GI14" s="8">
        <v>68.53</v>
      </c>
      <c r="GJ14" s="8">
        <v>70.069999999999993</v>
      </c>
      <c r="GP14" s="8">
        <v>76.41</v>
      </c>
      <c r="GR14" s="8">
        <v>78.66</v>
      </c>
      <c r="GS14" s="8">
        <v>42.1</v>
      </c>
      <c r="GT14" s="8">
        <v>42.1</v>
      </c>
      <c r="HJ14" s="8">
        <v>57.64</v>
      </c>
      <c r="HK14" s="8">
        <v>57.64</v>
      </c>
      <c r="HN14" s="8">
        <v>72.72</v>
      </c>
      <c r="ID14" s="8">
        <v>83.1</v>
      </c>
      <c r="IE14" s="8">
        <v>79.94</v>
      </c>
      <c r="IF14" s="8">
        <v>86.34</v>
      </c>
      <c r="IG14" s="8">
        <v>82.05</v>
      </c>
    </row>
    <row r="15" spans="1:251" x14ac:dyDescent="0.2">
      <c r="A15" s="9">
        <v>43101</v>
      </c>
      <c r="I15" s="8">
        <v>93.61</v>
      </c>
      <c r="J15" s="8">
        <v>85.11</v>
      </c>
      <c r="K15" s="8">
        <v>68.25</v>
      </c>
      <c r="O15" s="8">
        <v>72.62</v>
      </c>
      <c r="V15" s="8">
        <v>81.47</v>
      </c>
      <c r="W15" s="8">
        <v>74.47</v>
      </c>
      <c r="AA15" s="8">
        <v>80.77</v>
      </c>
      <c r="AB15" s="8">
        <v>93.51</v>
      </c>
      <c r="AC15" s="8">
        <v>79.75</v>
      </c>
      <c r="AF15" s="8">
        <v>75.2</v>
      </c>
      <c r="AG15" s="8">
        <v>73.55</v>
      </c>
      <c r="AH15" s="8">
        <v>76.31</v>
      </c>
      <c r="AI15" s="8">
        <v>74.34</v>
      </c>
      <c r="AJ15" s="8">
        <v>77.58</v>
      </c>
      <c r="AK15" s="8">
        <v>77.58</v>
      </c>
      <c r="AL15" s="8">
        <v>73.02</v>
      </c>
      <c r="AM15" s="8">
        <v>79.11</v>
      </c>
      <c r="AN15" s="8">
        <v>67.73</v>
      </c>
      <c r="AO15" s="8">
        <v>83.99</v>
      </c>
      <c r="AP15" s="8">
        <v>79.290000000000006</v>
      </c>
      <c r="AQ15" s="8">
        <v>80.73</v>
      </c>
      <c r="AR15" s="8">
        <v>72.260000000000005</v>
      </c>
      <c r="AS15" s="8">
        <v>69.95</v>
      </c>
      <c r="AT15" s="8">
        <v>72.28</v>
      </c>
      <c r="AU15" s="8">
        <v>74.81</v>
      </c>
      <c r="AV15" s="8">
        <v>72.66</v>
      </c>
      <c r="AW15" s="8">
        <v>70.349999999999994</v>
      </c>
      <c r="AX15" s="8">
        <v>74.55</v>
      </c>
      <c r="AY15" s="8">
        <v>74.7</v>
      </c>
      <c r="AZ15" s="8">
        <v>62.45</v>
      </c>
      <c r="BA15" s="8">
        <v>79.69</v>
      </c>
      <c r="BB15" s="8">
        <v>82.43</v>
      </c>
      <c r="BC15" s="8">
        <v>65.12</v>
      </c>
      <c r="BD15" s="8">
        <v>73.23</v>
      </c>
      <c r="BE15" s="8">
        <v>79.680000000000007</v>
      </c>
      <c r="BF15" s="8">
        <v>72.87</v>
      </c>
      <c r="BG15" s="8">
        <v>72.959999999999994</v>
      </c>
      <c r="BH15" s="8">
        <v>72.650000000000006</v>
      </c>
      <c r="BN15" s="8">
        <v>76.61</v>
      </c>
      <c r="BP15" s="8">
        <v>79.989999999999995</v>
      </c>
      <c r="BQ15" s="8">
        <v>43.88</v>
      </c>
      <c r="BR15" s="8">
        <v>43.88</v>
      </c>
      <c r="CH15" s="8">
        <v>54.39</v>
      </c>
      <c r="CI15" s="8">
        <v>54.39</v>
      </c>
      <c r="CL15" s="8">
        <v>78.98</v>
      </c>
      <c r="DB15" s="8">
        <v>83.89</v>
      </c>
      <c r="DC15" s="8">
        <v>78.72</v>
      </c>
      <c r="DD15" s="8">
        <v>87.72</v>
      </c>
      <c r="DE15" s="8">
        <v>82.36</v>
      </c>
      <c r="DU15" s="8">
        <v>79.260000000000005</v>
      </c>
      <c r="EK15" s="8">
        <v>86.67</v>
      </c>
      <c r="EL15" s="8">
        <v>76.989999999999995</v>
      </c>
      <c r="EM15" s="8">
        <v>72.63</v>
      </c>
      <c r="EQ15" s="8">
        <v>74.42</v>
      </c>
      <c r="EX15" s="8">
        <v>78.17</v>
      </c>
      <c r="EY15" s="8">
        <v>77.58</v>
      </c>
      <c r="FC15" s="8">
        <v>83.34</v>
      </c>
      <c r="FD15" s="8">
        <v>93.51</v>
      </c>
      <c r="FE15" s="8">
        <v>81.260000000000005</v>
      </c>
      <c r="FH15" s="8">
        <v>76.17</v>
      </c>
      <c r="FI15" s="8">
        <v>76.97</v>
      </c>
      <c r="FJ15" s="8">
        <v>75.77</v>
      </c>
      <c r="FK15" s="8">
        <v>73.05</v>
      </c>
      <c r="FL15" s="8">
        <v>78.319999999999993</v>
      </c>
      <c r="FM15" s="8">
        <v>76.69</v>
      </c>
      <c r="FN15" s="8">
        <v>71.260000000000005</v>
      </c>
      <c r="FO15" s="8">
        <v>77.62</v>
      </c>
      <c r="FP15" s="8">
        <v>68.930000000000007</v>
      </c>
      <c r="FQ15" s="8">
        <v>80.790000000000006</v>
      </c>
      <c r="FR15" s="8">
        <v>79.010000000000005</v>
      </c>
      <c r="FS15" s="8">
        <v>81.12</v>
      </c>
      <c r="FT15" s="8">
        <v>73.12</v>
      </c>
      <c r="FU15" s="8">
        <v>73.3</v>
      </c>
      <c r="FV15" s="8">
        <v>70.98</v>
      </c>
      <c r="FW15" s="8">
        <v>74.67</v>
      </c>
      <c r="FX15" s="8">
        <v>81.599999999999994</v>
      </c>
      <c r="FY15" s="8">
        <v>79.59</v>
      </c>
      <c r="FZ15" s="8">
        <v>82.37</v>
      </c>
      <c r="GA15" s="8">
        <v>74.599999999999994</v>
      </c>
      <c r="GB15" s="8">
        <v>67.77</v>
      </c>
      <c r="GC15" s="8">
        <v>79.650000000000006</v>
      </c>
      <c r="GD15" s="8">
        <v>82.45</v>
      </c>
      <c r="GE15" s="8">
        <v>66.680000000000007</v>
      </c>
      <c r="GF15" s="8">
        <v>72.97</v>
      </c>
      <c r="GG15" s="8">
        <v>77.56</v>
      </c>
      <c r="GH15" s="8">
        <v>71.989999999999995</v>
      </c>
      <c r="GI15" s="8">
        <v>71.5</v>
      </c>
      <c r="GJ15" s="8">
        <v>72.09</v>
      </c>
      <c r="GP15" s="8">
        <v>77.290000000000006</v>
      </c>
      <c r="GR15" s="8">
        <v>79.72</v>
      </c>
      <c r="GS15" s="8">
        <v>42.24</v>
      </c>
      <c r="GT15" s="8">
        <v>42.24</v>
      </c>
      <c r="HJ15" s="8">
        <v>58.2</v>
      </c>
      <c r="HK15" s="8">
        <v>58.2</v>
      </c>
      <c r="HN15" s="8">
        <v>72.72</v>
      </c>
      <c r="ID15" s="8">
        <v>85.07</v>
      </c>
      <c r="IE15" s="8">
        <v>79.94</v>
      </c>
      <c r="IF15" s="8">
        <v>87.82</v>
      </c>
      <c r="IG15" s="8">
        <v>84.55</v>
      </c>
    </row>
    <row r="16" spans="1:251" x14ac:dyDescent="0.2">
      <c r="A16" s="9">
        <v>43132</v>
      </c>
      <c r="I16" s="8">
        <v>86.54</v>
      </c>
      <c r="J16" s="8">
        <v>77.849999999999994</v>
      </c>
      <c r="K16" s="8">
        <v>63.84</v>
      </c>
      <c r="O16" s="8">
        <v>72.349999999999994</v>
      </c>
      <c r="V16" s="8">
        <v>84.1</v>
      </c>
      <c r="W16" s="8">
        <v>75.37</v>
      </c>
      <c r="AA16" s="8">
        <v>80.77</v>
      </c>
      <c r="AB16" s="8">
        <v>93.53</v>
      </c>
      <c r="AC16" s="8">
        <v>79.75</v>
      </c>
      <c r="AF16" s="8">
        <v>74.180000000000007</v>
      </c>
      <c r="AG16" s="8">
        <v>73.13</v>
      </c>
      <c r="AH16" s="8">
        <v>74.849999999999994</v>
      </c>
      <c r="AI16" s="8">
        <v>73.8</v>
      </c>
      <c r="AJ16" s="8">
        <v>75.86</v>
      </c>
      <c r="AK16" s="8">
        <v>77.42</v>
      </c>
      <c r="AL16" s="8">
        <v>72.58</v>
      </c>
      <c r="AM16" s="8">
        <v>79.959999999999994</v>
      </c>
      <c r="AN16" s="8">
        <v>68.45</v>
      </c>
      <c r="AO16" s="8">
        <v>84</v>
      </c>
      <c r="AP16" s="8">
        <v>79.37</v>
      </c>
      <c r="AQ16" s="8">
        <v>79.23</v>
      </c>
      <c r="AR16" s="8">
        <v>72.12</v>
      </c>
      <c r="AS16" s="8">
        <v>69.790000000000006</v>
      </c>
      <c r="AT16" s="8">
        <v>72.53</v>
      </c>
      <c r="AU16" s="8">
        <v>74.319999999999993</v>
      </c>
      <c r="AV16" s="8">
        <v>72.58</v>
      </c>
      <c r="AW16" s="8">
        <v>70.069999999999993</v>
      </c>
      <c r="AX16" s="8">
        <v>74.650000000000006</v>
      </c>
      <c r="AY16" s="8">
        <v>73.97</v>
      </c>
      <c r="AZ16" s="8">
        <v>63.91</v>
      </c>
      <c r="BA16" s="8">
        <v>78.34</v>
      </c>
      <c r="BB16" s="8">
        <v>81.73</v>
      </c>
      <c r="BC16" s="8">
        <v>64.95</v>
      </c>
      <c r="BD16" s="8">
        <v>72.489999999999995</v>
      </c>
      <c r="BE16" s="8">
        <v>78.260000000000005</v>
      </c>
      <c r="BF16" s="8">
        <v>72.569999999999993</v>
      </c>
      <c r="BG16" s="8">
        <v>71.3</v>
      </c>
      <c r="BH16" s="8">
        <v>72.87</v>
      </c>
      <c r="BN16" s="8">
        <v>76.88</v>
      </c>
      <c r="BP16" s="8">
        <v>80.22</v>
      </c>
      <c r="BQ16" s="8">
        <v>43.08</v>
      </c>
      <c r="BR16" s="8">
        <v>43.08</v>
      </c>
      <c r="CH16" s="8">
        <v>53.24</v>
      </c>
      <c r="CI16" s="8">
        <v>53.24</v>
      </c>
      <c r="CL16" s="8">
        <v>78.98</v>
      </c>
      <c r="DB16" s="8">
        <v>83.08</v>
      </c>
      <c r="DC16" s="8">
        <v>78.73</v>
      </c>
      <c r="DD16" s="8">
        <v>86.18</v>
      </c>
      <c r="DE16" s="8">
        <v>81.91</v>
      </c>
      <c r="DU16" s="8">
        <v>79.28</v>
      </c>
      <c r="EK16" s="8">
        <v>79.89</v>
      </c>
      <c r="EL16" s="8">
        <v>70.349999999999994</v>
      </c>
      <c r="EM16" s="8">
        <v>67.56</v>
      </c>
      <c r="EQ16" s="8">
        <v>73.459999999999994</v>
      </c>
      <c r="EX16" s="8">
        <v>79.95</v>
      </c>
      <c r="EY16" s="8">
        <v>78.5</v>
      </c>
      <c r="FC16" s="8">
        <v>83.34</v>
      </c>
      <c r="FD16" s="8">
        <v>93.53</v>
      </c>
      <c r="FE16" s="8">
        <v>81.260000000000005</v>
      </c>
      <c r="FH16" s="8">
        <v>75.069999999999993</v>
      </c>
      <c r="FI16" s="8">
        <v>75.75</v>
      </c>
      <c r="FJ16" s="8">
        <v>74.739999999999995</v>
      </c>
      <c r="FK16" s="8">
        <v>73.12</v>
      </c>
      <c r="FL16" s="8">
        <v>76.17</v>
      </c>
      <c r="FM16" s="8">
        <v>76.27</v>
      </c>
      <c r="FN16" s="8">
        <v>71.3</v>
      </c>
      <c r="FO16" s="8">
        <v>77.650000000000006</v>
      </c>
      <c r="FP16" s="8">
        <v>69.12</v>
      </c>
      <c r="FQ16" s="8">
        <v>80.69</v>
      </c>
      <c r="FR16" s="8">
        <v>78.39</v>
      </c>
      <c r="FS16" s="8">
        <v>79</v>
      </c>
      <c r="FT16" s="8">
        <v>72.95</v>
      </c>
      <c r="FU16" s="8">
        <v>73.31</v>
      </c>
      <c r="FV16" s="8">
        <v>71.09</v>
      </c>
      <c r="FW16" s="8">
        <v>73.98</v>
      </c>
      <c r="FX16" s="8">
        <v>81.569999999999993</v>
      </c>
      <c r="FY16" s="8">
        <v>80.14</v>
      </c>
      <c r="FZ16" s="8">
        <v>81.94</v>
      </c>
      <c r="GA16" s="8">
        <v>73.739999999999995</v>
      </c>
      <c r="GB16" s="8">
        <v>67.8</v>
      </c>
      <c r="GC16" s="8">
        <v>78.31</v>
      </c>
      <c r="GD16" s="8">
        <v>81.790000000000006</v>
      </c>
      <c r="GE16" s="8">
        <v>67.2</v>
      </c>
      <c r="GF16" s="8">
        <v>71.7</v>
      </c>
      <c r="GG16" s="8">
        <v>76.75</v>
      </c>
      <c r="GH16" s="8">
        <v>71.900000000000006</v>
      </c>
      <c r="GI16" s="8">
        <v>69.61</v>
      </c>
      <c r="GJ16" s="8">
        <v>72.569999999999993</v>
      </c>
      <c r="GP16" s="8">
        <v>77.819999999999993</v>
      </c>
      <c r="GR16" s="8">
        <v>80.459999999999994</v>
      </c>
      <c r="GS16" s="8">
        <v>42.37</v>
      </c>
      <c r="GT16" s="8">
        <v>42.37</v>
      </c>
      <c r="HJ16" s="8">
        <v>57.9</v>
      </c>
      <c r="HK16" s="8">
        <v>57.9</v>
      </c>
      <c r="HN16" s="8">
        <v>72.72</v>
      </c>
      <c r="ID16" s="8">
        <v>84.09</v>
      </c>
      <c r="IE16" s="8">
        <v>79.69</v>
      </c>
      <c r="IF16" s="8">
        <v>85.97</v>
      </c>
      <c r="IG16" s="8">
        <v>83.94</v>
      </c>
    </row>
    <row r="17" spans="1:241" x14ac:dyDescent="0.2">
      <c r="A17" s="9">
        <v>43160</v>
      </c>
      <c r="I17" s="8">
        <v>87.74</v>
      </c>
      <c r="J17" s="8">
        <v>80.52</v>
      </c>
      <c r="K17" s="8">
        <v>63.29</v>
      </c>
      <c r="O17" s="8">
        <v>72.400000000000006</v>
      </c>
      <c r="V17" s="8">
        <v>84.1</v>
      </c>
      <c r="W17" s="8">
        <v>75.37</v>
      </c>
      <c r="AA17" s="8">
        <v>81.099999999999994</v>
      </c>
      <c r="AB17" s="8">
        <v>93.55</v>
      </c>
      <c r="AC17" s="8">
        <v>80.11</v>
      </c>
      <c r="AF17" s="8">
        <v>74.36</v>
      </c>
      <c r="AG17" s="8">
        <v>73.2</v>
      </c>
      <c r="AH17" s="8">
        <v>74.930000000000007</v>
      </c>
      <c r="AI17" s="8">
        <v>72.430000000000007</v>
      </c>
      <c r="AJ17" s="8">
        <v>77.819999999999993</v>
      </c>
      <c r="AK17" s="8">
        <v>77.239999999999995</v>
      </c>
      <c r="AL17" s="8">
        <v>72.39</v>
      </c>
      <c r="AM17" s="8">
        <v>80.59</v>
      </c>
      <c r="AN17" s="8">
        <v>68.58</v>
      </c>
      <c r="AO17" s="8">
        <v>82.87</v>
      </c>
      <c r="AP17" s="8">
        <v>79.8</v>
      </c>
      <c r="AQ17" s="8">
        <v>78.66</v>
      </c>
      <c r="AR17" s="8">
        <v>72.319999999999993</v>
      </c>
      <c r="AS17" s="8">
        <v>70.22</v>
      </c>
      <c r="AT17" s="8">
        <v>72.39</v>
      </c>
      <c r="AU17" s="8">
        <v>74.61</v>
      </c>
      <c r="AV17" s="8">
        <v>71.27</v>
      </c>
      <c r="AW17" s="8">
        <v>68.06</v>
      </c>
      <c r="AX17" s="8">
        <v>74.05</v>
      </c>
      <c r="AY17" s="8">
        <v>73.95</v>
      </c>
      <c r="AZ17" s="8">
        <v>64.28</v>
      </c>
      <c r="BA17" s="8">
        <v>79.61</v>
      </c>
      <c r="BB17" s="8">
        <v>81.86</v>
      </c>
      <c r="BC17" s="8">
        <v>65.12</v>
      </c>
      <c r="BD17" s="8">
        <v>72.25</v>
      </c>
      <c r="BE17" s="8">
        <v>78.069999999999993</v>
      </c>
      <c r="BF17" s="8">
        <v>72.459999999999994</v>
      </c>
      <c r="BG17" s="8">
        <v>71.900000000000006</v>
      </c>
      <c r="BH17" s="8">
        <v>72.489999999999995</v>
      </c>
      <c r="BN17" s="8">
        <v>77.59</v>
      </c>
      <c r="BP17" s="8">
        <v>80.55</v>
      </c>
      <c r="BQ17" s="8">
        <v>43.7</v>
      </c>
      <c r="BR17" s="8">
        <v>43.7</v>
      </c>
      <c r="CH17" s="8">
        <v>53.32</v>
      </c>
      <c r="CI17" s="8">
        <v>53.32</v>
      </c>
      <c r="CL17" s="8">
        <v>78.98</v>
      </c>
      <c r="DB17" s="8">
        <v>83.65</v>
      </c>
      <c r="DC17" s="8">
        <v>79.349999999999994</v>
      </c>
      <c r="DD17" s="8">
        <v>86.79</v>
      </c>
      <c r="DE17" s="8">
        <v>82.44</v>
      </c>
      <c r="DU17" s="8">
        <v>78.319999999999993</v>
      </c>
      <c r="EK17" s="8">
        <v>80.23</v>
      </c>
      <c r="EL17" s="8">
        <v>71.650000000000006</v>
      </c>
      <c r="EM17" s="8">
        <v>66.84</v>
      </c>
      <c r="EQ17" s="8">
        <v>72.959999999999994</v>
      </c>
      <c r="EX17" s="8">
        <v>79.95</v>
      </c>
      <c r="EY17" s="8">
        <v>78.5</v>
      </c>
      <c r="FC17" s="8">
        <v>83.76</v>
      </c>
      <c r="FD17" s="8">
        <v>93.55</v>
      </c>
      <c r="FE17" s="8">
        <v>81.77</v>
      </c>
      <c r="FH17" s="8">
        <v>74.98</v>
      </c>
      <c r="FI17" s="8">
        <v>75.760000000000005</v>
      </c>
      <c r="FJ17" s="8">
        <v>74.33</v>
      </c>
      <c r="FK17" s="8">
        <v>71.59</v>
      </c>
      <c r="FL17" s="8">
        <v>79.05</v>
      </c>
      <c r="FM17" s="8">
        <v>76.27</v>
      </c>
      <c r="FN17" s="8">
        <v>71.2</v>
      </c>
      <c r="FO17" s="8">
        <v>78.83</v>
      </c>
      <c r="FP17" s="8">
        <v>69.48</v>
      </c>
      <c r="FQ17" s="8">
        <v>80.260000000000005</v>
      </c>
      <c r="FR17" s="8">
        <v>78.47</v>
      </c>
      <c r="FS17" s="8">
        <v>78.209999999999994</v>
      </c>
      <c r="FT17" s="8">
        <v>73</v>
      </c>
      <c r="FU17" s="8">
        <v>73.459999999999994</v>
      </c>
      <c r="FV17" s="8">
        <v>71.290000000000006</v>
      </c>
      <c r="FW17" s="8">
        <v>73.78</v>
      </c>
      <c r="FX17" s="8">
        <v>80.75</v>
      </c>
      <c r="FY17" s="8">
        <v>78.7</v>
      </c>
      <c r="FZ17" s="8">
        <v>81.56</v>
      </c>
      <c r="GA17" s="8">
        <v>73.53</v>
      </c>
      <c r="GB17" s="8">
        <v>67.88</v>
      </c>
      <c r="GC17" s="8">
        <v>79.48</v>
      </c>
      <c r="GD17" s="8">
        <v>81.88</v>
      </c>
      <c r="GE17" s="8">
        <v>66.72</v>
      </c>
      <c r="GF17" s="8">
        <v>71.430000000000007</v>
      </c>
      <c r="GG17" s="8">
        <v>76.180000000000007</v>
      </c>
      <c r="GH17" s="8">
        <v>71.709999999999994</v>
      </c>
      <c r="GI17" s="8">
        <v>70.239999999999995</v>
      </c>
      <c r="GJ17" s="8">
        <v>72.11</v>
      </c>
      <c r="GP17" s="8">
        <v>77.98</v>
      </c>
      <c r="GR17" s="8">
        <v>80.31</v>
      </c>
      <c r="GS17" s="8">
        <v>42.85</v>
      </c>
      <c r="GT17" s="8">
        <v>42.85</v>
      </c>
      <c r="HJ17" s="8">
        <v>57.91</v>
      </c>
      <c r="HK17" s="8">
        <v>57.91</v>
      </c>
      <c r="HN17" s="8">
        <v>72.72</v>
      </c>
      <c r="ID17" s="8">
        <v>84.77</v>
      </c>
      <c r="IE17" s="8">
        <v>80.52</v>
      </c>
      <c r="IF17" s="8">
        <v>86.45</v>
      </c>
      <c r="IG17" s="8">
        <v>84.7</v>
      </c>
    </row>
    <row r="18" spans="1:241" x14ac:dyDescent="0.2">
      <c r="A18" s="9">
        <v>43191</v>
      </c>
      <c r="I18" s="8">
        <v>92.09</v>
      </c>
      <c r="J18" s="8">
        <v>82.65</v>
      </c>
      <c r="K18" s="8">
        <v>68.11</v>
      </c>
      <c r="O18" s="8">
        <v>72.62</v>
      </c>
      <c r="V18" s="8">
        <v>84.1</v>
      </c>
      <c r="W18" s="8">
        <v>75.37</v>
      </c>
      <c r="AA18" s="8">
        <v>81.11</v>
      </c>
      <c r="AB18" s="8">
        <v>93.57</v>
      </c>
      <c r="AC18" s="8">
        <v>80.11</v>
      </c>
      <c r="AF18" s="8">
        <v>74.099999999999994</v>
      </c>
      <c r="AG18" s="8">
        <v>72.95</v>
      </c>
      <c r="AH18" s="8">
        <v>74.7</v>
      </c>
      <c r="AI18" s="8">
        <v>71.89</v>
      </c>
      <c r="AJ18" s="8">
        <v>77.69</v>
      </c>
      <c r="AK18" s="8">
        <v>77.25</v>
      </c>
      <c r="AL18" s="8">
        <v>72.25</v>
      </c>
      <c r="AM18" s="8">
        <v>79.069999999999993</v>
      </c>
      <c r="AN18" s="8">
        <v>69.62</v>
      </c>
      <c r="AO18" s="8">
        <v>83.11</v>
      </c>
      <c r="AP18" s="8">
        <v>79.3</v>
      </c>
      <c r="AQ18" s="8">
        <v>79.63</v>
      </c>
      <c r="AR18" s="8">
        <v>72.61</v>
      </c>
      <c r="AS18" s="8">
        <v>70.39</v>
      </c>
      <c r="AT18" s="8">
        <v>72.8</v>
      </c>
      <c r="AU18" s="8">
        <v>74.91</v>
      </c>
      <c r="AV18" s="8">
        <v>70.52</v>
      </c>
      <c r="AW18" s="8">
        <v>67.48</v>
      </c>
      <c r="AX18" s="8">
        <v>73.12</v>
      </c>
      <c r="AY18" s="8">
        <v>73.78</v>
      </c>
      <c r="AZ18" s="8">
        <v>64.290000000000006</v>
      </c>
      <c r="BA18" s="8">
        <v>77.400000000000006</v>
      </c>
      <c r="BB18" s="8">
        <v>80.599999999999994</v>
      </c>
      <c r="BC18" s="8">
        <v>65.77</v>
      </c>
      <c r="BD18" s="8">
        <v>72.92</v>
      </c>
      <c r="BE18" s="8">
        <v>77.13</v>
      </c>
      <c r="BF18" s="8">
        <v>72.44</v>
      </c>
      <c r="BG18" s="8">
        <v>70.319999999999993</v>
      </c>
      <c r="BH18" s="8">
        <v>73.05</v>
      </c>
      <c r="BN18" s="8">
        <v>77.64</v>
      </c>
      <c r="BP18" s="8">
        <v>80.8</v>
      </c>
      <c r="BQ18" s="8">
        <v>44.16</v>
      </c>
      <c r="BR18" s="8">
        <v>44.16</v>
      </c>
      <c r="CH18" s="8">
        <v>53.25</v>
      </c>
      <c r="CI18" s="8">
        <v>53.25</v>
      </c>
      <c r="CL18" s="8">
        <v>78.98</v>
      </c>
      <c r="DB18" s="8">
        <v>82.92</v>
      </c>
      <c r="DC18" s="8">
        <v>78.12</v>
      </c>
      <c r="DD18" s="8">
        <v>85.35</v>
      </c>
      <c r="DE18" s="8">
        <v>82.37</v>
      </c>
      <c r="DU18" s="8">
        <v>80.16</v>
      </c>
      <c r="EK18" s="8">
        <v>83.91</v>
      </c>
      <c r="EL18" s="8">
        <v>73.48</v>
      </c>
      <c r="EM18" s="8">
        <v>71.36</v>
      </c>
      <c r="EQ18" s="8">
        <v>73.34</v>
      </c>
      <c r="EX18" s="8">
        <v>79.95</v>
      </c>
      <c r="EY18" s="8">
        <v>78.5</v>
      </c>
      <c r="FC18" s="8">
        <v>83.76</v>
      </c>
      <c r="FD18" s="8">
        <v>93.57</v>
      </c>
      <c r="FE18" s="8">
        <v>81.760000000000005</v>
      </c>
      <c r="FH18" s="8">
        <v>74.73</v>
      </c>
      <c r="FI18" s="8">
        <v>75.84</v>
      </c>
      <c r="FJ18" s="8">
        <v>73.760000000000005</v>
      </c>
      <c r="FK18" s="8">
        <v>71.56</v>
      </c>
      <c r="FL18" s="8">
        <v>78.849999999999994</v>
      </c>
      <c r="FM18" s="8">
        <v>76.44</v>
      </c>
      <c r="FN18" s="8">
        <v>70.94</v>
      </c>
      <c r="FO18" s="8">
        <v>76.569999999999993</v>
      </c>
      <c r="FP18" s="8">
        <v>71.75</v>
      </c>
      <c r="FQ18" s="8">
        <v>80.63</v>
      </c>
      <c r="FR18" s="8">
        <v>78.27</v>
      </c>
      <c r="FS18" s="8">
        <v>79.89</v>
      </c>
      <c r="FT18" s="8">
        <v>73.28</v>
      </c>
      <c r="FU18" s="8">
        <v>73.5</v>
      </c>
      <c r="FV18" s="8">
        <v>71.72</v>
      </c>
      <c r="FW18" s="8">
        <v>74.23</v>
      </c>
      <c r="FX18" s="8">
        <v>78.12</v>
      </c>
      <c r="FY18" s="8">
        <v>74.59</v>
      </c>
      <c r="FZ18" s="8">
        <v>79.989999999999995</v>
      </c>
      <c r="GA18" s="8">
        <v>73.45</v>
      </c>
      <c r="GB18" s="8">
        <v>68.09</v>
      </c>
      <c r="GC18" s="8">
        <v>77.540000000000006</v>
      </c>
      <c r="GD18" s="8">
        <v>80.709999999999994</v>
      </c>
      <c r="GE18" s="8">
        <v>66.900000000000006</v>
      </c>
      <c r="GF18" s="8">
        <v>72.41</v>
      </c>
      <c r="GG18" s="8">
        <v>74.91</v>
      </c>
      <c r="GH18" s="8">
        <v>72.12</v>
      </c>
      <c r="GI18" s="8">
        <v>68.849999999999994</v>
      </c>
      <c r="GJ18" s="8">
        <v>73.099999999999994</v>
      </c>
      <c r="GP18" s="8">
        <v>79.16</v>
      </c>
      <c r="GR18" s="8">
        <v>80.099999999999994</v>
      </c>
      <c r="GS18" s="8">
        <v>43.39</v>
      </c>
      <c r="GT18" s="8">
        <v>43.39</v>
      </c>
      <c r="HJ18" s="8">
        <v>59.32</v>
      </c>
      <c r="HK18" s="8">
        <v>59.32</v>
      </c>
      <c r="HN18" s="8">
        <v>72.72</v>
      </c>
      <c r="ID18" s="8">
        <v>84.16</v>
      </c>
      <c r="IE18" s="8">
        <v>79.16</v>
      </c>
      <c r="IF18" s="8">
        <v>85.48</v>
      </c>
      <c r="IG18" s="8">
        <v>84.37</v>
      </c>
    </row>
    <row r="19" spans="1:241" x14ac:dyDescent="0.2">
      <c r="A19" s="9">
        <v>43221</v>
      </c>
      <c r="I19" s="8">
        <v>85.64</v>
      </c>
      <c r="J19" s="8">
        <v>76.09</v>
      </c>
      <c r="K19" s="8">
        <v>64.040000000000006</v>
      </c>
      <c r="O19" s="8">
        <v>72.69</v>
      </c>
      <c r="V19" s="8">
        <v>84.1</v>
      </c>
      <c r="W19" s="8">
        <v>75.37</v>
      </c>
      <c r="AA19" s="8">
        <v>81.11</v>
      </c>
      <c r="AB19" s="8">
        <v>93.59</v>
      </c>
      <c r="AC19" s="8">
        <v>80.11</v>
      </c>
      <c r="AF19" s="8">
        <v>74.09</v>
      </c>
      <c r="AG19" s="8">
        <v>73.59</v>
      </c>
      <c r="AH19" s="8">
        <v>73.87</v>
      </c>
      <c r="AI19" s="8">
        <v>73.260000000000005</v>
      </c>
      <c r="AJ19" s="8">
        <v>77.45</v>
      </c>
      <c r="AK19" s="8">
        <v>77.23</v>
      </c>
      <c r="AL19" s="8">
        <v>71.540000000000006</v>
      </c>
      <c r="AM19" s="8">
        <v>78.61</v>
      </c>
      <c r="AN19" s="8">
        <v>69.02</v>
      </c>
      <c r="AO19" s="8">
        <v>82.49</v>
      </c>
      <c r="AP19" s="8">
        <v>80.209999999999994</v>
      </c>
      <c r="AQ19" s="8">
        <v>81.13</v>
      </c>
      <c r="AR19" s="8">
        <v>72.67</v>
      </c>
      <c r="AS19" s="8">
        <v>70.319999999999993</v>
      </c>
      <c r="AT19" s="8">
        <v>73.06</v>
      </c>
      <c r="AU19" s="8">
        <v>74.89</v>
      </c>
      <c r="AV19" s="8">
        <v>70.27</v>
      </c>
      <c r="AW19" s="8">
        <v>67.91</v>
      </c>
      <c r="AX19" s="8">
        <v>72.22</v>
      </c>
      <c r="AY19" s="8">
        <v>73.400000000000006</v>
      </c>
      <c r="AZ19" s="8">
        <v>63.55</v>
      </c>
      <c r="BA19" s="8">
        <v>79.599999999999994</v>
      </c>
      <c r="BB19" s="8">
        <v>80.47</v>
      </c>
      <c r="BC19" s="8">
        <v>65.010000000000005</v>
      </c>
      <c r="BD19" s="8">
        <v>72.23</v>
      </c>
      <c r="BE19" s="8">
        <v>76.89</v>
      </c>
      <c r="BF19" s="8">
        <v>72.569999999999993</v>
      </c>
      <c r="BG19" s="8">
        <v>69.39</v>
      </c>
      <c r="BH19" s="8">
        <v>73.59</v>
      </c>
      <c r="BN19" s="8">
        <v>78.06</v>
      </c>
      <c r="BP19" s="8">
        <v>80.209999999999994</v>
      </c>
      <c r="BQ19" s="8">
        <v>44.57</v>
      </c>
      <c r="BR19" s="8">
        <v>44.57</v>
      </c>
      <c r="CH19" s="8">
        <v>53.48</v>
      </c>
      <c r="CI19" s="8">
        <v>53.48</v>
      </c>
      <c r="CL19" s="8">
        <v>78.98</v>
      </c>
      <c r="DB19" s="8">
        <v>82.97</v>
      </c>
      <c r="DC19" s="8">
        <v>76.930000000000007</v>
      </c>
      <c r="DD19" s="8">
        <v>85.65</v>
      </c>
      <c r="DE19" s="8">
        <v>82.52</v>
      </c>
      <c r="DU19" s="8">
        <v>84.46</v>
      </c>
      <c r="EK19" s="8">
        <v>80.209999999999994</v>
      </c>
      <c r="EL19" s="8">
        <v>69.98</v>
      </c>
      <c r="EM19" s="8">
        <v>68.47</v>
      </c>
      <c r="EQ19" s="8">
        <v>73.5</v>
      </c>
      <c r="EX19" s="8">
        <v>79.95</v>
      </c>
      <c r="EY19" s="8">
        <v>78.5</v>
      </c>
      <c r="FC19" s="8">
        <v>83.76</v>
      </c>
      <c r="FD19" s="8">
        <v>93.59</v>
      </c>
      <c r="FE19" s="8">
        <v>81.760000000000005</v>
      </c>
      <c r="FH19" s="8">
        <v>74.55</v>
      </c>
      <c r="FI19" s="8">
        <v>75.62</v>
      </c>
      <c r="FJ19" s="8">
        <v>73.430000000000007</v>
      </c>
      <c r="FK19" s="8">
        <v>72.39</v>
      </c>
      <c r="FL19" s="8">
        <v>78.64</v>
      </c>
      <c r="FM19" s="8">
        <v>76.2</v>
      </c>
      <c r="FN19" s="8">
        <v>70.03</v>
      </c>
      <c r="FO19" s="8">
        <v>76.099999999999994</v>
      </c>
      <c r="FP19" s="8">
        <v>71.09</v>
      </c>
      <c r="FQ19" s="8">
        <v>80.209999999999994</v>
      </c>
      <c r="FR19" s="8">
        <v>79.33</v>
      </c>
      <c r="FS19" s="8">
        <v>79.88</v>
      </c>
      <c r="FT19" s="8">
        <v>73.2</v>
      </c>
      <c r="FU19" s="8">
        <v>73.180000000000007</v>
      </c>
      <c r="FV19" s="8">
        <v>71.87</v>
      </c>
      <c r="FW19" s="8">
        <v>74.209999999999994</v>
      </c>
      <c r="FX19" s="8">
        <v>78.17</v>
      </c>
      <c r="FY19" s="8">
        <v>76.44</v>
      </c>
      <c r="FZ19" s="8">
        <v>78.78</v>
      </c>
      <c r="GA19" s="8">
        <v>73.239999999999995</v>
      </c>
      <c r="GB19" s="8">
        <v>68.41</v>
      </c>
      <c r="GC19" s="8">
        <v>79.27</v>
      </c>
      <c r="GD19" s="8">
        <v>80.510000000000005</v>
      </c>
      <c r="GE19" s="8">
        <v>66.91</v>
      </c>
      <c r="GF19" s="8">
        <v>71.86</v>
      </c>
      <c r="GG19" s="8">
        <v>74.63</v>
      </c>
      <c r="GH19" s="8">
        <v>72.33</v>
      </c>
      <c r="GI19" s="8">
        <v>67.650000000000006</v>
      </c>
      <c r="GJ19" s="8">
        <v>73.75</v>
      </c>
      <c r="GP19" s="8">
        <v>78.27</v>
      </c>
      <c r="GR19" s="8">
        <v>79.56</v>
      </c>
      <c r="GS19" s="8">
        <v>43.93</v>
      </c>
      <c r="GT19" s="8">
        <v>43.93</v>
      </c>
      <c r="HJ19" s="8">
        <v>59.37</v>
      </c>
      <c r="HK19" s="8">
        <v>59.37</v>
      </c>
      <c r="HN19" s="8">
        <v>72.72</v>
      </c>
      <c r="ID19" s="8">
        <v>83.83</v>
      </c>
      <c r="IE19" s="8">
        <v>78.150000000000006</v>
      </c>
      <c r="IF19" s="8">
        <v>85.4</v>
      </c>
      <c r="IG19" s="8">
        <v>84.02</v>
      </c>
    </row>
    <row r="20" spans="1:241" x14ac:dyDescent="0.2">
      <c r="A20" s="9">
        <v>43252</v>
      </c>
      <c r="I20" s="8">
        <v>87.52</v>
      </c>
      <c r="J20" s="8">
        <v>76.39</v>
      </c>
      <c r="K20" s="8">
        <v>66.69</v>
      </c>
      <c r="O20" s="8">
        <v>72.2</v>
      </c>
      <c r="V20" s="8">
        <v>84.1</v>
      </c>
      <c r="W20" s="8">
        <v>75.37</v>
      </c>
      <c r="AA20" s="8">
        <v>81.66</v>
      </c>
      <c r="AB20" s="8">
        <v>93.6</v>
      </c>
      <c r="AC20" s="8">
        <v>80.709999999999994</v>
      </c>
      <c r="AF20" s="8">
        <v>74.040000000000006</v>
      </c>
      <c r="AG20" s="8">
        <v>73.849999999999994</v>
      </c>
      <c r="AH20" s="8">
        <v>73.81</v>
      </c>
      <c r="AI20" s="8">
        <v>73.33</v>
      </c>
      <c r="AJ20" s="8">
        <v>76.39</v>
      </c>
      <c r="AK20" s="8">
        <v>77.28</v>
      </c>
      <c r="AL20" s="8">
        <v>71.34</v>
      </c>
      <c r="AM20" s="8">
        <v>77.61</v>
      </c>
      <c r="AN20" s="8">
        <v>69.38</v>
      </c>
      <c r="AO20" s="8">
        <v>83.29</v>
      </c>
      <c r="AP20" s="8">
        <v>79.62</v>
      </c>
      <c r="AQ20" s="8">
        <v>81.96</v>
      </c>
      <c r="AR20" s="8">
        <v>72.62</v>
      </c>
      <c r="AS20" s="8">
        <v>70.150000000000006</v>
      </c>
      <c r="AT20" s="8">
        <v>72.61</v>
      </c>
      <c r="AU20" s="8">
        <v>75.38</v>
      </c>
      <c r="AV20" s="8">
        <v>72.010000000000005</v>
      </c>
      <c r="AW20" s="8">
        <v>70.58</v>
      </c>
      <c r="AX20" s="8">
        <v>73.02</v>
      </c>
      <c r="AY20" s="8">
        <v>73.34</v>
      </c>
      <c r="AZ20" s="8">
        <v>63.43</v>
      </c>
      <c r="BA20" s="8">
        <v>78.83</v>
      </c>
      <c r="BB20" s="8">
        <v>80.45</v>
      </c>
      <c r="BC20" s="8">
        <v>64.849999999999994</v>
      </c>
      <c r="BD20" s="8">
        <v>72.09</v>
      </c>
      <c r="BE20" s="8">
        <v>77.12</v>
      </c>
      <c r="BF20" s="8">
        <v>72.14</v>
      </c>
      <c r="BG20" s="8">
        <v>69.37</v>
      </c>
      <c r="BH20" s="8">
        <v>73</v>
      </c>
      <c r="BN20" s="8">
        <v>78.09</v>
      </c>
      <c r="BP20" s="8">
        <v>79.98</v>
      </c>
      <c r="BQ20" s="8">
        <v>44.52</v>
      </c>
      <c r="BR20" s="8">
        <v>44.52</v>
      </c>
      <c r="CH20" s="8">
        <v>53.67</v>
      </c>
      <c r="CI20" s="8">
        <v>53.67</v>
      </c>
      <c r="CL20" s="8">
        <v>78.98</v>
      </c>
      <c r="DB20" s="8">
        <v>82.81</v>
      </c>
      <c r="DC20" s="8">
        <v>77.239999999999995</v>
      </c>
      <c r="DD20" s="8">
        <v>85.96</v>
      </c>
      <c r="DE20" s="8">
        <v>81.89</v>
      </c>
      <c r="DU20" s="8">
        <v>85.7</v>
      </c>
      <c r="EK20" s="8">
        <v>80.209999999999994</v>
      </c>
      <c r="EL20" s="8">
        <v>69.260000000000005</v>
      </c>
      <c r="EM20" s="8">
        <v>69.2</v>
      </c>
      <c r="EQ20" s="8">
        <v>72.88</v>
      </c>
      <c r="EX20" s="8">
        <v>79.95</v>
      </c>
      <c r="EY20" s="8">
        <v>78.5</v>
      </c>
      <c r="FC20" s="8">
        <v>83.8</v>
      </c>
      <c r="FD20" s="8">
        <v>93.6</v>
      </c>
      <c r="FE20" s="8">
        <v>81.8</v>
      </c>
      <c r="FH20" s="8">
        <v>74.010000000000005</v>
      </c>
      <c r="FI20" s="8">
        <v>74.97</v>
      </c>
      <c r="FJ20" s="8">
        <v>72.94</v>
      </c>
      <c r="FK20" s="8">
        <v>72.72</v>
      </c>
      <c r="FL20" s="8">
        <v>77.47</v>
      </c>
      <c r="FM20" s="8">
        <v>76.14</v>
      </c>
      <c r="FN20" s="8">
        <v>69.8</v>
      </c>
      <c r="FO20" s="8">
        <v>75.099999999999994</v>
      </c>
      <c r="FP20" s="8">
        <v>71.569999999999993</v>
      </c>
      <c r="FQ20" s="8">
        <v>80.63</v>
      </c>
      <c r="FR20" s="8">
        <v>77.95</v>
      </c>
      <c r="FS20" s="8">
        <v>81.5</v>
      </c>
      <c r="FT20" s="8">
        <v>73.25</v>
      </c>
      <c r="FU20" s="8">
        <v>73.66</v>
      </c>
      <c r="FV20" s="8">
        <v>71.25</v>
      </c>
      <c r="FW20" s="8">
        <v>74.36</v>
      </c>
      <c r="FX20" s="8">
        <v>80.03</v>
      </c>
      <c r="FY20" s="8">
        <v>78.86</v>
      </c>
      <c r="FZ20" s="8">
        <v>80.22</v>
      </c>
      <c r="GA20" s="8">
        <v>72.97</v>
      </c>
      <c r="GB20" s="8">
        <v>67.94</v>
      </c>
      <c r="GC20" s="8">
        <v>78.010000000000005</v>
      </c>
      <c r="GD20" s="8">
        <v>81</v>
      </c>
      <c r="GE20" s="8">
        <v>66.91</v>
      </c>
      <c r="GF20" s="8">
        <v>71.23</v>
      </c>
      <c r="GG20" s="8">
        <v>74.84</v>
      </c>
      <c r="GH20" s="8">
        <v>71.94</v>
      </c>
      <c r="GI20" s="8">
        <v>68.010000000000005</v>
      </c>
      <c r="GJ20" s="8">
        <v>73.11</v>
      </c>
      <c r="GP20" s="8">
        <v>78.23</v>
      </c>
      <c r="GR20" s="8">
        <v>79.849999999999994</v>
      </c>
      <c r="GS20" s="8">
        <v>43.81</v>
      </c>
      <c r="GT20" s="8">
        <v>43.81</v>
      </c>
      <c r="HJ20" s="8">
        <v>59.58</v>
      </c>
      <c r="HK20" s="8">
        <v>59.58</v>
      </c>
      <c r="HN20" s="8">
        <v>72.72</v>
      </c>
      <c r="ID20" s="8">
        <v>83.82</v>
      </c>
      <c r="IE20" s="8">
        <v>78.13</v>
      </c>
      <c r="IF20" s="8">
        <v>85.9</v>
      </c>
      <c r="IG20" s="8">
        <v>83.73</v>
      </c>
    </row>
    <row r="21" spans="1:241" x14ac:dyDescent="0.2">
      <c r="A21" s="9">
        <v>43282</v>
      </c>
      <c r="I21" s="8">
        <v>97.07</v>
      </c>
      <c r="J21" s="8">
        <v>81.2</v>
      </c>
      <c r="K21" s="8">
        <v>77.150000000000006</v>
      </c>
      <c r="O21" s="8">
        <v>72.510000000000005</v>
      </c>
      <c r="V21" s="8">
        <v>84.1</v>
      </c>
      <c r="W21" s="8">
        <v>75.37</v>
      </c>
      <c r="AA21" s="8">
        <v>81.66</v>
      </c>
      <c r="AB21" s="8">
        <v>93.63</v>
      </c>
      <c r="AC21" s="8">
        <v>80.709999999999994</v>
      </c>
      <c r="AF21" s="8">
        <v>74.3</v>
      </c>
      <c r="AG21" s="8">
        <v>74.430000000000007</v>
      </c>
      <c r="AH21" s="8">
        <v>74.319999999999993</v>
      </c>
      <c r="AI21" s="8">
        <v>71.849999999999994</v>
      </c>
      <c r="AJ21" s="8">
        <v>76.08</v>
      </c>
      <c r="AK21" s="8">
        <v>76.95</v>
      </c>
      <c r="AL21" s="8">
        <v>70.72</v>
      </c>
      <c r="AM21" s="8">
        <v>77.58</v>
      </c>
      <c r="AN21" s="8">
        <v>68.86</v>
      </c>
      <c r="AO21" s="8">
        <v>83.86</v>
      </c>
      <c r="AP21" s="8">
        <v>78.7</v>
      </c>
      <c r="AQ21" s="8">
        <v>81.58</v>
      </c>
      <c r="AR21" s="8">
        <v>72.7</v>
      </c>
      <c r="AS21" s="8">
        <v>70.16</v>
      </c>
      <c r="AT21" s="8">
        <v>72.849999999999994</v>
      </c>
      <c r="AU21" s="8">
        <v>75.37</v>
      </c>
      <c r="AV21" s="8">
        <v>71.31</v>
      </c>
      <c r="AW21" s="8">
        <v>69.400000000000006</v>
      </c>
      <c r="AX21" s="8">
        <v>72.8</v>
      </c>
      <c r="AY21" s="8">
        <v>73.66</v>
      </c>
      <c r="AZ21" s="8">
        <v>62.96</v>
      </c>
      <c r="BA21" s="8">
        <v>79.72</v>
      </c>
      <c r="BB21" s="8">
        <v>80.56</v>
      </c>
      <c r="BC21" s="8">
        <v>66.14</v>
      </c>
      <c r="BD21" s="8">
        <v>72.319999999999993</v>
      </c>
      <c r="BE21" s="8">
        <v>77.400000000000006</v>
      </c>
      <c r="BF21" s="8">
        <v>72.81</v>
      </c>
      <c r="BG21" s="8">
        <v>71.55</v>
      </c>
      <c r="BH21" s="8">
        <v>73.11</v>
      </c>
      <c r="BN21" s="8">
        <v>77.63</v>
      </c>
      <c r="BP21" s="8">
        <v>80.5</v>
      </c>
      <c r="BQ21" s="8">
        <v>44.64</v>
      </c>
      <c r="BR21" s="8">
        <v>44.64</v>
      </c>
      <c r="CH21" s="8">
        <v>53.48</v>
      </c>
      <c r="CI21" s="8">
        <v>53.48</v>
      </c>
      <c r="CL21" s="8">
        <v>78.98</v>
      </c>
      <c r="DB21" s="8">
        <v>83.06</v>
      </c>
      <c r="DC21" s="8">
        <v>78.06</v>
      </c>
      <c r="DD21" s="8">
        <v>85.83</v>
      </c>
      <c r="DE21" s="8">
        <v>82.31</v>
      </c>
      <c r="DU21" s="8">
        <v>84.63</v>
      </c>
      <c r="EK21" s="8">
        <v>86.13</v>
      </c>
      <c r="EL21" s="8">
        <v>73.16</v>
      </c>
      <c r="EM21" s="8">
        <v>75.510000000000005</v>
      </c>
      <c r="EQ21" s="8">
        <v>73.25</v>
      </c>
      <c r="EX21" s="8">
        <v>79.95</v>
      </c>
      <c r="EY21" s="8">
        <v>78.5</v>
      </c>
      <c r="FC21" s="8">
        <v>83.8</v>
      </c>
      <c r="FD21" s="8">
        <v>93.63</v>
      </c>
      <c r="FE21" s="8">
        <v>81.8</v>
      </c>
      <c r="FH21" s="8">
        <v>74.510000000000005</v>
      </c>
      <c r="FI21" s="8">
        <v>75.58</v>
      </c>
      <c r="FJ21" s="8">
        <v>73.89</v>
      </c>
      <c r="FK21" s="8">
        <v>71.81</v>
      </c>
      <c r="FL21" s="8">
        <v>76.23</v>
      </c>
      <c r="FM21" s="8">
        <v>76.17</v>
      </c>
      <c r="FN21" s="8">
        <v>69.39</v>
      </c>
      <c r="FO21" s="8">
        <v>75.28</v>
      </c>
      <c r="FP21" s="8">
        <v>71.03</v>
      </c>
      <c r="FQ21" s="8">
        <v>82.63</v>
      </c>
      <c r="FR21" s="8">
        <v>77.040000000000006</v>
      </c>
      <c r="FS21" s="8">
        <v>81.14</v>
      </c>
      <c r="FT21" s="8">
        <v>73.41</v>
      </c>
      <c r="FU21" s="8">
        <v>73.69</v>
      </c>
      <c r="FV21" s="8">
        <v>71.64</v>
      </c>
      <c r="FW21" s="8">
        <v>74.48</v>
      </c>
      <c r="FX21" s="8">
        <v>79.31</v>
      </c>
      <c r="FY21" s="8">
        <v>79.22</v>
      </c>
      <c r="FZ21" s="8">
        <v>78.77</v>
      </c>
      <c r="GA21" s="8">
        <v>73.680000000000007</v>
      </c>
      <c r="GB21" s="8">
        <v>67.83</v>
      </c>
      <c r="GC21" s="8">
        <v>79.03</v>
      </c>
      <c r="GD21" s="8">
        <v>80.790000000000006</v>
      </c>
      <c r="GE21" s="8">
        <v>68.959999999999994</v>
      </c>
      <c r="GF21" s="8">
        <v>71.94</v>
      </c>
      <c r="GG21" s="8">
        <v>75.53</v>
      </c>
      <c r="GH21" s="8">
        <v>72.72</v>
      </c>
      <c r="GI21" s="8">
        <v>70.290000000000006</v>
      </c>
      <c r="GJ21" s="8">
        <v>73.430000000000007</v>
      </c>
      <c r="GP21" s="8">
        <v>79.28</v>
      </c>
      <c r="GR21" s="8">
        <v>80.08</v>
      </c>
      <c r="GS21" s="8">
        <v>43.72</v>
      </c>
      <c r="GT21" s="8">
        <v>43.72</v>
      </c>
      <c r="HJ21" s="8">
        <v>59.84</v>
      </c>
      <c r="HK21" s="8">
        <v>59.84</v>
      </c>
      <c r="HN21" s="8">
        <v>72.72</v>
      </c>
      <c r="ID21" s="8">
        <v>83.95</v>
      </c>
      <c r="IE21" s="8">
        <v>78.989999999999995</v>
      </c>
      <c r="IF21" s="8">
        <v>85.87</v>
      </c>
      <c r="IG21" s="8">
        <v>83.84</v>
      </c>
    </row>
    <row r="22" spans="1:241" x14ac:dyDescent="0.2">
      <c r="A22" s="9">
        <v>43313</v>
      </c>
      <c r="I22" s="8">
        <v>86.94</v>
      </c>
      <c r="J22" s="8">
        <v>75.599999999999994</v>
      </c>
      <c r="K22" s="8">
        <v>66.510000000000005</v>
      </c>
      <c r="O22" s="8">
        <v>72.69</v>
      </c>
      <c r="V22" s="8">
        <v>84.1</v>
      </c>
      <c r="W22" s="8">
        <v>75.37</v>
      </c>
      <c r="AA22" s="8">
        <v>81.66</v>
      </c>
      <c r="AB22" s="8">
        <v>93.66</v>
      </c>
      <c r="AC22" s="8">
        <v>80.709999999999994</v>
      </c>
      <c r="AF22" s="8">
        <v>74.349999999999994</v>
      </c>
      <c r="AG22" s="8">
        <v>74.42</v>
      </c>
      <c r="AH22" s="8">
        <v>73.989999999999995</v>
      </c>
      <c r="AI22" s="8">
        <v>73.5</v>
      </c>
      <c r="AJ22" s="8">
        <v>76.48</v>
      </c>
      <c r="AK22" s="8">
        <v>77.05</v>
      </c>
      <c r="AL22" s="8">
        <v>70.78</v>
      </c>
      <c r="AM22" s="8">
        <v>77.28</v>
      </c>
      <c r="AN22" s="8">
        <v>70.16</v>
      </c>
      <c r="AO22" s="8">
        <v>83.27</v>
      </c>
      <c r="AP22" s="8">
        <v>79.22</v>
      </c>
      <c r="AQ22" s="8">
        <v>81.52</v>
      </c>
      <c r="AR22" s="8">
        <v>72.319999999999993</v>
      </c>
      <c r="AS22" s="8">
        <v>69.930000000000007</v>
      </c>
      <c r="AT22" s="8">
        <v>72.66</v>
      </c>
      <c r="AU22" s="8">
        <v>74.650000000000006</v>
      </c>
      <c r="AV22" s="8">
        <v>72.92</v>
      </c>
      <c r="AW22" s="8">
        <v>70.11</v>
      </c>
      <c r="AX22" s="8">
        <v>75.3</v>
      </c>
      <c r="AY22" s="8">
        <v>74.06</v>
      </c>
      <c r="AZ22" s="8">
        <v>62.76</v>
      </c>
      <c r="BA22" s="8">
        <v>79.58</v>
      </c>
      <c r="BB22" s="8">
        <v>80.510000000000005</v>
      </c>
      <c r="BC22" s="8">
        <v>66.989999999999995</v>
      </c>
      <c r="BD22" s="8">
        <v>73.05</v>
      </c>
      <c r="BE22" s="8">
        <v>77.62</v>
      </c>
      <c r="BF22" s="8">
        <v>72.47</v>
      </c>
      <c r="BG22" s="8">
        <v>70.38</v>
      </c>
      <c r="BH22" s="8">
        <v>73.08</v>
      </c>
      <c r="BN22" s="8">
        <v>78.17</v>
      </c>
      <c r="BP22" s="8">
        <v>81.78</v>
      </c>
      <c r="BQ22" s="8">
        <v>44.73</v>
      </c>
      <c r="BR22" s="8">
        <v>44.73</v>
      </c>
      <c r="CH22" s="8">
        <v>53.46</v>
      </c>
      <c r="CI22" s="8">
        <v>53.46</v>
      </c>
      <c r="CL22" s="8">
        <v>78.98</v>
      </c>
      <c r="DB22" s="8">
        <v>82.79</v>
      </c>
      <c r="DC22" s="8">
        <v>78.03</v>
      </c>
      <c r="DD22" s="8">
        <v>85.42</v>
      </c>
      <c r="DE22" s="8">
        <v>82.08</v>
      </c>
      <c r="DU22" s="8">
        <v>83.35</v>
      </c>
      <c r="EK22" s="8">
        <v>80.41</v>
      </c>
      <c r="EL22" s="8">
        <v>69.83</v>
      </c>
      <c r="EM22" s="8">
        <v>68.98</v>
      </c>
      <c r="EQ22" s="8">
        <v>73.33</v>
      </c>
      <c r="EX22" s="8">
        <v>79.95</v>
      </c>
      <c r="EY22" s="8">
        <v>78.5</v>
      </c>
      <c r="FC22" s="8">
        <v>83.81</v>
      </c>
      <c r="FD22" s="8">
        <v>93.66</v>
      </c>
      <c r="FE22" s="8">
        <v>81.8</v>
      </c>
      <c r="FH22" s="8">
        <v>74.11</v>
      </c>
      <c r="FI22" s="8">
        <v>75.62</v>
      </c>
      <c r="FJ22" s="8">
        <v>72.7</v>
      </c>
      <c r="FK22" s="8">
        <v>72.709999999999994</v>
      </c>
      <c r="FL22" s="8">
        <v>77.010000000000005</v>
      </c>
      <c r="FM22" s="8">
        <v>76.67</v>
      </c>
      <c r="FN22" s="8">
        <v>71.790000000000006</v>
      </c>
      <c r="FO22" s="8">
        <v>75.239999999999995</v>
      </c>
      <c r="FP22" s="8">
        <v>73.81</v>
      </c>
      <c r="FQ22" s="8">
        <v>80.37</v>
      </c>
      <c r="FR22" s="8">
        <v>77.81</v>
      </c>
      <c r="FS22" s="8">
        <v>80.739999999999995</v>
      </c>
      <c r="FT22" s="8">
        <v>73</v>
      </c>
      <c r="FU22" s="8">
        <v>73.19</v>
      </c>
      <c r="FV22" s="8">
        <v>71.569999999999993</v>
      </c>
      <c r="FW22" s="8">
        <v>73.86</v>
      </c>
      <c r="FX22" s="8">
        <v>80.3</v>
      </c>
      <c r="FY22" s="8">
        <v>78.790000000000006</v>
      </c>
      <c r="FZ22" s="8">
        <v>80.73</v>
      </c>
      <c r="GA22" s="8">
        <v>74.02</v>
      </c>
      <c r="GB22" s="8">
        <v>67.69</v>
      </c>
      <c r="GC22" s="8">
        <v>78.55</v>
      </c>
      <c r="GD22" s="8">
        <v>80.7</v>
      </c>
      <c r="GE22" s="8">
        <v>69.44</v>
      </c>
      <c r="GF22" s="8">
        <v>72.739999999999995</v>
      </c>
      <c r="GG22" s="8">
        <v>75.45</v>
      </c>
      <c r="GH22" s="8">
        <v>72.459999999999994</v>
      </c>
      <c r="GI22" s="8">
        <v>69.06</v>
      </c>
      <c r="GJ22" s="8">
        <v>73.47</v>
      </c>
      <c r="GP22" s="8">
        <v>78.88</v>
      </c>
      <c r="GR22" s="8">
        <v>80.33</v>
      </c>
      <c r="GS22" s="8">
        <v>43.77</v>
      </c>
      <c r="GT22" s="8">
        <v>43.77</v>
      </c>
      <c r="HJ22" s="8">
        <v>59.84</v>
      </c>
      <c r="HK22" s="8">
        <v>59.84</v>
      </c>
      <c r="HN22" s="8">
        <v>72.72</v>
      </c>
      <c r="ID22" s="8">
        <v>83.59</v>
      </c>
      <c r="IE22" s="8">
        <v>78.819999999999993</v>
      </c>
      <c r="IF22" s="8">
        <v>85.2</v>
      </c>
      <c r="IG22" s="8">
        <v>83.62</v>
      </c>
    </row>
    <row r="23" spans="1:241" x14ac:dyDescent="0.2">
      <c r="A23" s="9">
        <v>43344</v>
      </c>
      <c r="I23" s="8">
        <v>90.28</v>
      </c>
      <c r="J23" s="8">
        <v>79.53</v>
      </c>
      <c r="K23" s="8">
        <v>68.13</v>
      </c>
      <c r="O23" s="8">
        <v>72.91</v>
      </c>
      <c r="V23" s="8">
        <v>84.1</v>
      </c>
      <c r="W23" s="8">
        <v>75.37</v>
      </c>
      <c r="AA23" s="8">
        <v>81.739999999999995</v>
      </c>
      <c r="AB23" s="8">
        <v>93.69</v>
      </c>
      <c r="AC23" s="8">
        <v>80.790000000000006</v>
      </c>
      <c r="AF23" s="8">
        <v>74.510000000000005</v>
      </c>
      <c r="AG23" s="8">
        <v>74.25</v>
      </c>
      <c r="AH23" s="8">
        <v>74.39</v>
      </c>
      <c r="AI23" s="8">
        <v>74.25</v>
      </c>
      <c r="AJ23" s="8">
        <v>76.39</v>
      </c>
      <c r="AK23" s="8">
        <v>77.239999999999995</v>
      </c>
      <c r="AL23" s="8">
        <v>70.62</v>
      </c>
      <c r="AM23" s="8">
        <v>77.72</v>
      </c>
      <c r="AN23" s="8">
        <v>71.959999999999994</v>
      </c>
      <c r="AO23" s="8">
        <v>83.49</v>
      </c>
      <c r="AP23" s="8">
        <v>79.3</v>
      </c>
      <c r="AQ23" s="8">
        <v>81.010000000000005</v>
      </c>
      <c r="AR23" s="8">
        <v>72.349999999999994</v>
      </c>
      <c r="AS23" s="8">
        <v>70.3</v>
      </c>
      <c r="AT23" s="8">
        <v>72.53</v>
      </c>
      <c r="AU23" s="8">
        <v>74.47</v>
      </c>
      <c r="AV23" s="8">
        <v>72.09</v>
      </c>
      <c r="AW23" s="8">
        <v>67.98</v>
      </c>
      <c r="AX23" s="8">
        <v>75.739999999999995</v>
      </c>
      <c r="AY23" s="8">
        <v>73.14</v>
      </c>
      <c r="AZ23" s="8">
        <v>62.86</v>
      </c>
      <c r="BA23" s="8">
        <v>79.650000000000006</v>
      </c>
      <c r="BB23" s="8">
        <v>78.89</v>
      </c>
      <c r="BC23" s="8">
        <v>66.42</v>
      </c>
      <c r="BD23" s="8">
        <v>71.790000000000006</v>
      </c>
      <c r="BE23" s="8">
        <v>76.97</v>
      </c>
      <c r="BF23" s="8">
        <v>72.14</v>
      </c>
      <c r="BG23" s="8">
        <v>70.73</v>
      </c>
      <c r="BH23" s="8">
        <v>72.5</v>
      </c>
      <c r="BN23" s="8">
        <v>77.81</v>
      </c>
      <c r="BP23" s="8">
        <v>79.599999999999994</v>
      </c>
      <c r="BQ23" s="8">
        <v>47</v>
      </c>
      <c r="BR23" s="8">
        <v>47</v>
      </c>
      <c r="CH23" s="8">
        <v>53.46</v>
      </c>
      <c r="CI23" s="8">
        <v>53.46</v>
      </c>
      <c r="CL23" s="8">
        <v>81.69</v>
      </c>
      <c r="DB23" s="8">
        <v>82.62</v>
      </c>
      <c r="DC23" s="8">
        <v>77.459999999999994</v>
      </c>
      <c r="DD23" s="8">
        <v>85.47</v>
      </c>
      <c r="DE23" s="8">
        <v>81.83</v>
      </c>
      <c r="DU23" s="8">
        <v>86.02</v>
      </c>
      <c r="EK23" s="8">
        <v>84.61</v>
      </c>
      <c r="EL23" s="8">
        <v>74.040000000000006</v>
      </c>
      <c r="EM23" s="8">
        <v>72.010000000000005</v>
      </c>
      <c r="EQ23" s="8">
        <v>73.77</v>
      </c>
      <c r="EX23" s="8">
        <v>79.95</v>
      </c>
      <c r="EY23" s="8">
        <v>78.5</v>
      </c>
      <c r="FC23" s="8">
        <v>84.15</v>
      </c>
      <c r="FD23" s="8">
        <v>93.69</v>
      </c>
      <c r="FE23" s="8">
        <v>82.22</v>
      </c>
      <c r="FH23" s="8">
        <v>74.63</v>
      </c>
      <c r="FI23" s="8">
        <v>76.12</v>
      </c>
      <c r="FJ23" s="8">
        <v>73.2</v>
      </c>
      <c r="FK23" s="8">
        <v>74.14</v>
      </c>
      <c r="FL23" s="8">
        <v>76.819999999999993</v>
      </c>
      <c r="FM23" s="8">
        <v>77.349999999999994</v>
      </c>
      <c r="FN23" s="8">
        <v>72.36</v>
      </c>
      <c r="FO23" s="8">
        <v>75.77</v>
      </c>
      <c r="FP23" s="8">
        <v>75.959999999999994</v>
      </c>
      <c r="FQ23" s="8">
        <v>81.84</v>
      </c>
      <c r="FR23" s="8">
        <v>77.95</v>
      </c>
      <c r="FS23" s="8">
        <v>80.25</v>
      </c>
      <c r="FT23" s="8">
        <v>73.040000000000006</v>
      </c>
      <c r="FU23" s="8">
        <v>73.5</v>
      </c>
      <c r="FV23" s="8">
        <v>71.489999999999995</v>
      </c>
      <c r="FW23" s="8">
        <v>73.680000000000007</v>
      </c>
      <c r="FX23" s="8">
        <v>80.069999999999993</v>
      </c>
      <c r="FY23" s="8">
        <v>76.239999999999995</v>
      </c>
      <c r="FZ23" s="8">
        <v>82.12</v>
      </c>
      <c r="GA23" s="8">
        <v>72.86</v>
      </c>
      <c r="GB23" s="8">
        <v>67.41</v>
      </c>
      <c r="GC23" s="8">
        <v>78.56</v>
      </c>
      <c r="GD23" s="8">
        <v>78.95</v>
      </c>
      <c r="GE23" s="8">
        <v>68.11</v>
      </c>
      <c r="GF23" s="8">
        <v>70.989999999999995</v>
      </c>
      <c r="GG23" s="8">
        <v>75.34</v>
      </c>
      <c r="GH23" s="8">
        <v>71.61</v>
      </c>
      <c r="GI23" s="8">
        <v>69.23</v>
      </c>
      <c r="GJ23" s="8">
        <v>72.3</v>
      </c>
      <c r="GP23" s="8">
        <v>78.36</v>
      </c>
      <c r="GR23" s="8">
        <v>79.84</v>
      </c>
      <c r="GS23" s="8">
        <v>45.96</v>
      </c>
      <c r="GT23" s="8">
        <v>45.96</v>
      </c>
      <c r="HJ23" s="8">
        <v>59.85</v>
      </c>
      <c r="HK23" s="8">
        <v>59.85</v>
      </c>
      <c r="HN23" s="8">
        <v>76.58</v>
      </c>
      <c r="ID23" s="8">
        <v>83.52</v>
      </c>
      <c r="IE23" s="8">
        <v>78.39</v>
      </c>
      <c r="IF23" s="8">
        <v>85.46</v>
      </c>
      <c r="IG23" s="8">
        <v>83.43</v>
      </c>
    </row>
    <row r="24" spans="1:241" x14ac:dyDescent="0.2">
      <c r="A24" s="9">
        <v>43374</v>
      </c>
      <c r="I24" s="8">
        <v>91.68</v>
      </c>
      <c r="J24" s="8">
        <v>82.39</v>
      </c>
      <c r="K24" s="8">
        <v>67.599999999999994</v>
      </c>
      <c r="O24" s="8">
        <v>72.2</v>
      </c>
      <c r="V24" s="8">
        <v>84.1</v>
      </c>
      <c r="W24" s="8">
        <v>75.37</v>
      </c>
      <c r="AA24" s="8">
        <v>81.75</v>
      </c>
      <c r="AB24" s="8">
        <v>93.71</v>
      </c>
      <c r="AC24" s="8">
        <v>80.790000000000006</v>
      </c>
      <c r="AF24" s="8">
        <v>74.819999999999993</v>
      </c>
      <c r="AG24" s="8">
        <v>74.319999999999993</v>
      </c>
      <c r="AH24" s="8">
        <v>75.099999999999994</v>
      </c>
      <c r="AI24" s="8">
        <v>74.59</v>
      </c>
      <c r="AJ24" s="8">
        <v>76.02</v>
      </c>
      <c r="AK24" s="8">
        <v>77.63</v>
      </c>
      <c r="AL24" s="8">
        <v>70.56</v>
      </c>
      <c r="AM24" s="8">
        <v>77.680000000000007</v>
      </c>
      <c r="AN24" s="8">
        <v>75.06</v>
      </c>
      <c r="AO24" s="8">
        <v>82.94</v>
      </c>
      <c r="AP24" s="8">
        <v>79</v>
      </c>
      <c r="AQ24" s="8">
        <v>82.24</v>
      </c>
      <c r="AR24" s="8">
        <v>72.42</v>
      </c>
      <c r="AS24" s="8">
        <v>70.52</v>
      </c>
      <c r="AT24" s="8">
        <v>72.540000000000006</v>
      </c>
      <c r="AU24" s="8">
        <v>74.42</v>
      </c>
      <c r="AV24" s="8">
        <v>73.489999999999995</v>
      </c>
      <c r="AW24" s="8">
        <v>71.86</v>
      </c>
      <c r="AX24" s="8">
        <v>74.81</v>
      </c>
      <c r="AY24" s="8">
        <v>73.819999999999993</v>
      </c>
      <c r="AZ24" s="8">
        <v>62.92</v>
      </c>
      <c r="BA24" s="8">
        <v>79.27</v>
      </c>
      <c r="BB24" s="8">
        <v>80.87</v>
      </c>
      <c r="BC24" s="8">
        <v>67.349999999999994</v>
      </c>
      <c r="BD24" s="8">
        <v>72.22</v>
      </c>
      <c r="BE24" s="8">
        <v>77.66</v>
      </c>
      <c r="BF24" s="8">
        <v>71.66</v>
      </c>
      <c r="BG24" s="8">
        <v>70.5</v>
      </c>
      <c r="BH24" s="8">
        <v>71.92</v>
      </c>
      <c r="BN24" s="8">
        <v>78.36</v>
      </c>
      <c r="BP24" s="8">
        <v>80.819999999999993</v>
      </c>
      <c r="BQ24" s="8">
        <v>49.27</v>
      </c>
      <c r="BR24" s="8">
        <v>49.27</v>
      </c>
      <c r="CH24" s="8">
        <v>53.67</v>
      </c>
      <c r="CI24" s="8">
        <v>53.67</v>
      </c>
      <c r="CL24" s="8">
        <v>81.69</v>
      </c>
      <c r="DB24" s="8">
        <v>81.59</v>
      </c>
      <c r="DC24" s="8">
        <v>78.02</v>
      </c>
      <c r="DD24" s="8">
        <v>83.54</v>
      </c>
      <c r="DE24" s="8">
        <v>81.13</v>
      </c>
      <c r="DU24" s="8">
        <v>90.13</v>
      </c>
      <c r="EK24" s="8">
        <v>85.69</v>
      </c>
      <c r="EL24" s="8">
        <v>75.98</v>
      </c>
      <c r="EM24" s="8">
        <v>71.89</v>
      </c>
      <c r="EQ24" s="8">
        <v>72.569999999999993</v>
      </c>
      <c r="EX24" s="8">
        <v>79.95</v>
      </c>
      <c r="EY24" s="8">
        <v>78.5</v>
      </c>
      <c r="FC24" s="8">
        <v>84.16</v>
      </c>
      <c r="FD24" s="8">
        <v>93.71</v>
      </c>
      <c r="FE24" s="8">
        <v>82.22</v>
      </c>
      <c r="FH24" s="8">
        <v>75.290000000000006</v>
      </c>
      <c r="FI24" s="8">
        <v>76.239999999999995</v>
      </c>
      <c r="FJ24" s="8">
        <v>74.48</v>
      </c>
      <c r="FK24" s="8">
        <v>75.02</v>
      </c>
      <c r="FL24" s="8">
        <v>76.349999999999994</v>
      </c>
      <c r="FM24" s="8">
        <v>78.12</v>
      </c>
      <c r="FN24" s="8">
        <v>72.540000000000006</v>
      </c>
      <c r="FO24" s="8">
        <v>76.34</v>
      </c>
      <c r="FP24" s="8">
        <v>80</v>
      </c>
      <c r="FQ24" s="8">
        <v>81.19</v>
      </c>
      <c r="FR24" s="8">
        <v>78.25</v>
      </c>
      <c r="FS24" s="8">
        <v>81.89</v>
      </c>
      <c r="FT24" s="8">
        <v>73.25</v>
      </c>
      <c r="FU24" s="8">
        <v>73.989999999999995</v>
      </c>
      <c r="FV24" s="8">
        <v>71.650000000000006</v>
      </c>
      <c r="FW24" s="8">
        <v>73.58</v>
      </c>
      <c r="FX24" s="8">
        <v>82.07</v>
      </c>
      <c r="FY24" s="8">
        <v>82.9</v>
      </c>
      <c r="FZ24" s="8">
        <v>80.86</v>
      </c>
      <c r="GA24" s="8">
        <v>73.819999999999993</v>
      </c>
      <c r="GB24" s="8">
        <v>67.16</v>
      </c>
      <c r="GC24" s="8">
        <v>78.569999999999993</v>
      </c>
      <c r="GD24" s="8">
        <v>81.239999999999995</v>
      </c>
      <c r="GE24" s="8">
        <v>69.099999999999994</v>
      </c>
      <c r="GF24" s="8">
        <v>71.849999999999994</v>
      </c>
      <c r="GG24" s="8">
        <v>76.319999999999993</v>
      </c>
      <c r="GH24" s="8">
        <v>71.489999999999995</v>
      </c>
      <c r="GI24" s="8">
        <v>69.260000000000005</v>
      </c>
      <c r="GJ24" s="8">
        <v>72.14</v>
      </c>
      <c r="GP24" s="8">
        <v>79.66</v>
      </c>
      <c r="GR24" s="8">
        <v>81.33</v>
      </c>
      <c r="GS24" s="8">
        <v>48.35</v>
      </c>
      <c r="GT24" s="8">
        <v>48.35</v>
      </c>
      <c r="HJ24" s="8">
        <v>59.81</v>
      </c>
      <c r="HK24" s="8">
        <v>59.81</v>
      </c>
      <c r="HN24" s="8">
        <v>76.58</v>
      </c>
      <c r="ID24" s="8">
        <v>82.9</v>
      </c>
      <c r="IE24" s="8">
        <v>79.150000000000006</v>
      </c>
      <c r="IF24" s="8">
        <v>83.99</v>
      </c>
      <c r="IG24" s="8">
        <v>83.06</v>
      </c>
    </row>
    <row r="25" spans="1:241" x14ac:dyDescent="0.2">
      <c r="A25" s="9">
        <v>43405</v>
      </c>
      <c r="I25" s="8">
        <v>89.08</v>
      </c>
      <c r="J25" s="8">
        <v>81.08</v>
      </c>
      <c r="K25" s="8">
        <v>64.69</v>
      </c>
      <c r="O25" s="8">
        <v>73.83</v>
      </c>
      <c r="V25" s="8">
        <v>84.1</v>
      </c>
      <c r="W25" s="8">
        <v>75.37</v>
      </c>
      <c r="AA25" s="8">
        <v>81.75</v>
      </c>
      <c r="AB25" s="8">
        <v>93.73</v>
      </c>
      <c r="AC25" s="8">
        <v>80.790000000000006</v>
      </c>
      <c r="AF25" s="8">
        <v>74.58</v>
      </c>
      <c r="AG25" s="8">
        <v>73.95</v>
      </c>
      <c r="AH25" s="8">
        <v>74.680000000000007</v>
      </c>
      <c r="AI25" s="8">
        <v>75.7</v>
      </c>
      <c r="AJ25" s="8">
        <v>75.849999999999994</v>
      </c>
      <c r="AK25" s="8">
        <v>78.3</v>
      </c>
      <c r="AL25" s="8">
        <v>71.7</v>
      </c>
      <c r="AM25" s="8">
        <v>78.430000000000007</v>
      </c>
      <c r="AN25" s="8">
        <v>75.38</v>
      </c>
      <c r="AO25" s="8">
        <v>83.7</v>
      </c>
      <c r="AP25" s="8">
        <v>79.55</v>
      </c>
      <c r="AQ25" s="8">
        <v>82.41</v>
      </c>
      <c r="AR25" s="8">
        <v>72.680000000000007</v>
      </c>
      <c r="AS25" s="8">
        <v>70.98</v>
      </c>
      <c r="AT25" s="8">
        <v>73.11</v>
      </c>
      <c r="AU25" s="8">
        <v>74.16</v>
      </c>
      <c r="AV25" s="8">
        <v>73.28</v>
      </c>
      <c r="AW25" s="8">
        <v>73.599999999999994</v>
      </c>
      <c r="AX25" s="8">
        <v>72.75</v>
      </c>
      <c r="AY25" s="8">
        <v>73.83</v>
      </c>
      <c r="AZ25" s="8">
        <v>62.9</v>
      </c>
      <c r="BA25" s="8">
        <v>79.010000000000005</v>
      </c>
      <c r="BB25" s="8">
        <v>80.66</v>
      </c>
      <c r="BC25" s="8">
        <v>67.2</v>
      </c>
      <c r="BD25" s="8">
        <v>71.930000000000007</v>
      </c>
      <c r="BE25" s="8">
        <v>78.41</v>
      </c>
      <c r="BF25" s="8">
        <v>72.05</v>
      </c>
      <c r="BG25" s="8">
        <v>71.650000000000006</v>
      </c>
      <c r="BH25" s="8">
        <v>72.040000000000006</v>
      </c>
      <c r="BN25" s="8">
        <v>77.84</v>
      </c>
      <c r="BP25" s="8">
        <v>80.08</v>
      </c>
      <c r="BQ25" s="8">
        <v>50.12</v>
      </c>
      <c r="BR25" s="8">
        <v>50.12</v>
      </c>
      <c r="CH25" s="8">
        <v>53.68</v>
      </c>
      <c r="CI25" s="8">
        <v>53.68</v>
      </c>
      <c r="CL25" s="8">
        <v>81.69</v>
      </c>
      <c r="DB25" s="8">
        <v>82.31</v>
      </c>
      <c r="DC25" s="8">
        <v>78.09</v>
      </c>
      <c r="DD25" s="8">
        <v>84.4</v>
      </c>
      <c r="DE25" s="8">
        <v>81.900000000000006</v>
      </c>
      <c r="DU25" s="8">
        <v>83.96</v>
      </c>
      <c r="EK25" s="8">
        <v>82.75</v>
      </c>
      <c r="EL25" s="8">
        <v>73.89</v>
      </c>
      <c r="EM25" s="8">
        <v>68.87</v>
      </c>
      <c r="EQ25" s="8">
        <v>74.7</v>
      </c>
      <c r="EX25" s="8">
        <v>79.95</v>
      </c>
      <c r="EY25" s="8">
        <v>78.5</v>
      </c>
      <c r="FC25" s="8">
        <v>84.16</v>
      </c>
      <c r="FD25" s="8">
        <v>93.73</v>
      </c>
      <c r="FE25" s="8">
        <v>82.22</v>
      </c>
      <c r="FH25" s="8">
        <v>75.02</v>
      </c>
      <c r="FI25" s="8">
        <v>76.16</v>
      </c>
      <c r="FJ25" s="8">
        <v>73.94</v>
      </c>
      <c r="FK25" s="8">
        <v>75.45</v>
      </c>
      <c r="FL25" s="8">
        <v>75.989999999999995</v>
      </c>
      <c r="FM25" s="8">
        <v>78.39</v>
      </c>
      <c r="FN25" s="8">
        <v>72.81</v>
      </c>
      <c r="FO25" s="8">
        <v>77</v>
      </c>
      <c r="FP25" s="8">
        <v>79.53</v>
      </c>
      <c r="FQ25" s="8">
        <v>81.96</v>
      </c>
      <c r="FR25" s="8">
        <v>78.52</v>
      </c>
      <c r="FS25" s="8">
        <v>81.78</v>
      </c>
      <c r="FT25" s="8">
        <v>73.22</v>
      </c>
      <c r="FU25" s="8">
        <v>73.819999999999993</v>
      </c>
      <c r="FV25" s="8">
        <v>72.03</v>
      </c>
      <c r="FW25" s="8">
        <v>73.319999999999993</v>
      </c>
      <c r="FX25" s="8">
        <v>80.930000000000007</v>
      </c>
      <c r="FY25" s="8">
        <v>82.85</v>
      </c>
      <c r="FZ25" s="8">
        <v>78.97</v>
      </c>
      <c r="GA25" s="8">
        <v>73.83</v>
      </c>
      <c r="GB25" s="8">
        <v>68.41</v>
      </c>
      <c r="GC25" s="8">
        <v>78.39</v>
      </c>
      <c r="GD25" s="8">
        <v>80.95</v>
      </c>
      <c r="GE25" s="8">
        <v>69.31</v>
      </c>
      <c r="GF25" s="8">
        <v>71.34</v>
      </c>
      <c r="GG25" s="8">
        <v>77.16</v>
      </c>
      <c r="GH25" s="8">
        <v>71.77</v>
      </c>
      <c r="GI25" s="8">
        <v>70.59</v>
      </c>
      <c r="GJ25" s="8">
        <v>72.11</v>
      </c>
      <c r="GP25" s="8">
        <v>79.849999999999994</v>
      </c>
      <c r="GR25" s="8">
        <v>80.47</v>
      </c>
      <c r="GS25" s="8">
        <v>49.24</v>
      </c>
      <c r="GT25" s="8">
        <v>49.24</v>
      </c>
      <c r="HJ25" s="8">
        <v>59.81</v>
      </c>
      <c r="HK25" s="8">
        <v>59.81</v>
      </c>
      <c r="HN25" s="8">
        <v>76.58</v>
      </c>
      <c r="ID25" s="8">
        <v>83.56</v>
      </c>
      <c r="IE25" s="8">
        <v>79.06</v>
      </c>
      <c r="IF25" s="8">
        <v>84.77</v>
      </c>
      <c r="IG25" s="8">
        <v>83.77</v>
      </c>
    </row>
    <row r="26" spans="1:241" x14ac:dyDescent="0.2">
      <c r="A26" s="9">
        <v>43435</v>
      </c>
      <c r="I26" s="8">
        <v>101.29</v>
      </c>
      <c r="J26" s="8">
        <v>92.23</v>
      </c>
      <c r="K26" s="8">
        <v>73.52</v>
      </c>
      <c r="O26" s="8">
        <v>74.150000000000006</v>
      </c>
      <c r="V26" s="8">
        <v>84.1</v>
      </c>
      <c r="W26" s="8">
        <v>75.37</v>
      </c>
      <c r="AA26" s="8">
        <v>82.46</v>
      </c>
      <c r="AB26" s="8">
        <v>93.74</v>
      </c>
      <c r="AC26" s="8">
        <v>81.569999999999993</v>
      </c>
      <c r="AF26" s="8">
        <v>75.39</v>
      </c>
      <c r="AG26" s="8">
        <v>75.14</v>
      </c>
      <c r="AH26" s="8">
        <v>74.52</v>
      </c>
      <c r="AI26" s="8">
        <v>77.48</v>
      </c>
      <c r="AJ26" s="8">
        <v>78.209999999999994</v>
      </c>
      <c r="AK26" s="8">
        <v>78.62</v>
      </c>
      <c r="AL26" s="8">
        <v>72.010000000000005</v>
      </c>
      <c r="AM26" s="8">
        <v>78.56</v>
      </c>
      <c r="AN26" s="8">
        <v>76.040000000000006</v>
      </c>
      <c r="AO26" s="8">
        <v>84.67</v>
      </c>
      <c r="AP26" s="8">
        <v>79.58</v>
      </c>
      <c r="AQ26" s="8">
        <v>82.23</v>
      </c>
      <c r="AR26" s="8">
        <v>73.5</v>
      </c>
      <c r="AS26" s="8">
        <v>72.03</v>
      </c>
      <c r="AT26" s="8">
        <v>73.12</v>
      </c>
      <c r="AU26" s="8">
        <v>75.510000000000005</v>
      </c>
      <c r="AV26" s="8">
        <v>74.37</v>
      </c>
      <c r="AW26" s="8">
        <v>74.66</v>
      </c>
      <c r="AX26" s="8">
        <v>73.86</v>
      </c>
      <c r="AY26" s="8">
        <v>74.44</v>
      </c>
      <c r="AZ26" s="8">
        <v>63.21</v>
      </c>
      <c r="BA26" s="8">
        <v>79.97</v>
      </c>
      <c r="BB26" s="8">
        <v>79.64</v>
      </c>
      <c r="BC26" s="8">
        <v>67.72</v>
      </c>
      <c r="BD26" s="8">
        <v>72.78</v>
      </c>
      <c r="BE26" s="8">
        <v>79.53</v>
      </c>
      <c r="BF26" s="8">
        <v>71.55</v>
      </c>
      <c r="BG26" s="8">
        <v>72.599999999999994</v>
      </c>
      <c r="BH26" s="8">
        <v>71.040000000000006</v>
      </c>
      <c r="BN26" s="8">
        <v>77.14</v>
      </c>
      <c r="BP26" s="8">
        <v>79.400000000000006</v>
      </c>
      <c r="BQ26" s="8">
        <v>49.95</v>
      </c>
      <c r="BR26" s="8">
        <v>49.95</v>
      </c>
      <c r="CH26" s="8">
        <v>53.4</v>
      </c>
      <c r="CI26" s="8">
        <v>53.4</v>
      </c>
      <c r="CL26" s="8">
        <v>81.69</v>
      </c>
      <c r="DB26" s="8">
        <v>82.52</v>
      </c>
      <c r="DC26" s="8">
        <v>79.91</v>
      </c>
      <c r="DD26" s="8">
        <v>85.42</v>
      </c>
      <c r="DE26" s="8">
        <v>81.11</v>
      </c>
      <c r="DU26" s="8">
        <v>75.239999999999995</v>
      </c>
      <c r="EK26" s="8">
        <v>93.29</v>
      </c>
      <c r="EL26" s="8">
        <v>85.26</v>
      </c>
      <c r="EM26" s="8">
        <v>75.59</v>
      </c>
      <c r="EQ26" s="8">
        <v>74.569999999999993</v>
      </c>
      <c r="EX26" s="8">
        <v>79.95</v>
      </c>
      <c r="EY26" s="8">
        <v>78.5</v>
      </c>
      <c r="FC26" s="8">
        <v>84.76</v>
      </c>
      <c r="FD26" s="8">
        <v>93.74</v>
      </c>
      <c r="FE26" s="8">
        <v>82.95</v>
      </c>
      <c r="FH26" s="8">
        <v>75.900000000000006</v>
      </c>
      <c r="FI26" s="8">
        <v>77.459999999999994</v>
      </c>
      <c r="FJ26" s="8">
        <v>73.73</v>
      </c>
      <c r="FK26" s="8">
        <v>77.58</v>
      </c>
      <c r="FL26" s="8">
        <v>80.040000000000006</v>
      </c>
      <c r="FM26" s="8">
        <v>78.64</v>
      </c>
      <c r="FN26" s="8">
        <v>72.849999999999994</v>
      </c>
      <c r="FO26" s="8">
        <v>77.349999999999994</v>
      </c>
      <c r="FP26" s="8">
        <v>79.2</v>
      </c>
      <c r="FQ26" s="8">
        <v>83.35</v>
      </c>
      <c r="FR26" s="8">
        <v>78.44</v>
      </c>
      <c r="FS26" s="8">
        <v>81.709999999999994</v>
      </c>
      <c r="FT26" s="8">
        <v>74.180000000000007</v>
      </c>
      <c r="FU26" s="8">
        <v>75.2</v>
      </c>
      <c r="FV26" s="8">
        <v>71.739999999999995</v>
      </c>
      <c r="FW26" s="8">
        <v>74.959999999999994</v>
      </c>
      <c r="FX26" s="8">
        <v>81.17</v>
      </c>
      <c r="FY26" s="8">
        <v>80.569999999999993</v>
      </c>
      <c r="FZ26" s="8">
        <v>80.97</v>
      </c>
      <c r="GA26" s="8">
        <v>74.55</v>
      </c>
      <c r="GB26" s="8">
        <v>68.58</v>
      </c>
      <c r="GC26" s="8">
        <v>78.94</v>
      </c>
      <c r="GD26" s="8">
        <v>79.5</v>
      </c>
      <c r="GE26" s="8">
        <v>69.2</v>
      </c>
      <c r="GF26" s="8">
        <v>72.86</v>
      </c>
      <c r="GG26" s="8">
        <v>78.05</v>
      </c>
      <c r="GH26" s="8">
        <v>71.069999999999993</v>
      </c>
      <c r="GI26" s="8">
        <v>71.8</v>
      </c>
      <c r="GJ26" s="8">
        <v>70.84</v>
      </c>
      <c r="GP26" s="8">
        <v>79.38</v>
      </c>
      <c r="GR26" s="8">
        <v>80.45</v>
      </c>
      <c r="GS26" s="8">
        <v>48.84</v>
      </c>
      <c r="GT26" s="8">
        <v>48.84</v>
      </c>
      <c r="HJ26" s="8">
        <v>59.82</v>
      </c>
      <c r="HK26" s="8">
        <v>59.82</v>
      </c>
      <c r="HN26" s="8">
        <v>76.58</v>
      </c>
      <c r="ID26" s="8">
        <v>83.57</v>
      </c>
      <c r="IE26" s="8">
        <v>80.94</v>
      </c>
      <c r="IF26" s="8">
        <v>86.16</v>
      </c>
      <c r="IG26" s="8">
        <v>82.8</v>
      </c>
    </row>
    <row r="27" spans="1:241" x14ac:dyDescent="0.2">
      <c r="A27" s="9">
        <v>43466</v>
      </c>
      <c r="I27" s="8">
        <v>99.08</v>
      </c>
      <c r="J27" s="8">
        <v>89.01</v>
      </c>
      <c r="K27" s="8">
        <v>73.09</v>
      </c>
      <c r="O27" s="8">
        <v>75.040000000000006</v>
      </c>
      <c r="V27" s="8">
        <v>84.1</v>
      </c>
      <c r="W27" s="8">
        <v>75.37</v>
      </c>
      <c r="AA27" s="8">
        <v>82.47</v>
      </c>
      <c r="AB27" s="8">
        <v>93.89</v>
      </c>
      <c r="AC27" s="8">
        <v>81.569999999999993</v>
      </c>
      <c r="AF27" s="8">
        <v>75.58</v>
      </c>
      <c r="AG27" s="8">
        <v>74.95</v>
      </c>
      <c r="AH27" s="8">
        <v>75.55</v>
      </c>
      <c r="AI27" s="8">
        <v>76.010000000000005</v>
      </c>
      <c r="AJ27" s="8">
        <v>77.849999999999994</v>
      </c>
      <c r="AK27" s="8">
        <v>79.59</v>
      </c>
      <c r="AL27" s="8">
        <v>72.62</v>
      </c>
      <c r="AM27" s="8">
        <v>79.06</v>
      </c>
      <c r="AN27" s="8">
        <v>78.73</v>
      </c>
      <c r="AO27" s="8">
        <v>86</v>
      </c>
      <c r="AP27" s="8">
        <v>79.91</v>
      </c>
      <c r="AQ27" s="8">
        <v>83.13</v>
      </c>
      <c r="AR27" s="8">
        <v>73.31</v>
      </c>
      <c r="AS27" s="8">
        <v>71.34</v>
      </c>
      <c r="AT27" s="8">
        <v>73.41</v>
      </c>
      <c r="AU27" s="8">
        <v>75.430000000000007</v>
      </c>
      <c r="AV27" s="8">
        <v>75.08</v>
      </c>
      <c r="AW27" s="8">
        <v>74.989999999999995</v>
      </c>
      <c r="AX27" s="8">
        <v>74.94</v>
      </c>
      <c r="AY27" s="8">
        <v>74.86</v>
      </c>
      <c r="AZ27" s="8">
        <v>63.13</v>
      </c>
      <c r="BA27" s="8">
        <v>79.760000000000005</v>
      </c>
      <c r="BB27" s="8">
        <v>81.2</v>
      </c>
      <c r="BC27" s="8">
        <v>67.83</v>
      </c>
      <c r="BD27" s="8">
        <v>73.55</v>
      </c>
      <c r="BE27" s="8">
        <v>79.17</v>
      </c>
      <c r="BF27" s="8">
        <v>72.209999999999994</v>
      </c>
      <c r="BG27" s="8">
        <v>72.22</v>
      </c>
      <c r="BH27" s="8">
        <v>72.06</v>
      </c>
      <c r="BN27" s="8">
        <v>78.58</v>
      </c>
      <c r="BP27" s="8">
        <v>79.739999999999995</v>
      </c>
      <c r="BQ27" s="8">
        <v>49.65</v>
      </c>
      <c r="BR27" s="8">
        <v>49.65</v>
      </c>
      <c r="CH27" s="8">
        <v>53.45</v>
      </c>
      <c r="CI27" s="8">
        <v>53.45</v>
      </c>
      <c r="CL27" s="8">
        <v>81.69</v>
      </c>
      <c r="DB27" s="8">
        <v>82.37</v>
      </c>
      <c r="DC27" s="8">
        <v>77.510000000000005</v>
      </c>
      <c r="DD27" s="8">
        <v>85.95</v>
      </c>
      <c r="DE27" s="8">
        <v>80.95</v>
      </c>
      <c r="DU27" s="8">
        <v>73.67</v>
      </c>
      <c r="EK27" s="8">
        <v>90.3</v>
      </c>
      <c r="EL27" s="8">
        <v>79.489999999999995</v>
      </c>
      <c r="EM27" s="8">
        <v>76.36</v>
      </c>
      <c r="EQ27" s="8">
        <v>75.41</v>
      </c>
      <c r="EX27" s="8">
        <v>79.95</v>
      </c>
      <c r="EY27" s="8">
        <v>78.5</v>
      </c>
      <c r="FC27" s="8">
        <v>84.79</v>
      </c>
      <c r="FD27" s="8">
        <v>93.89</v>
      </c>
      <c r="FE27" s="8">
        <v>82.95</v>
      </c>
      <c r="FH27" s="8">
        <v>76.400000000000006</v>
      </c>
      <c r="FI27" s="8">
        <v>77.59</v>
      </c>
      <c r="FJ27" s="8">
        <v>75.23</v>
      </c>
      <c r="FK27" s="8">
        <v>76.62</v>
      </c>
      <c r="FL27" s="8">
        <v>77.84</v>
      </c>
      <c r="FM27" s="8">
        <v>79.89</v>
      </c>
      <c r="FN27" s="8">
        <v>73.760000000000005</v>
      </c>
      <c r="FO27" s="8">
        <v>76.64</v>
      </c>
      <c r="FP27" s="8">
        <v>82.9</v>
      </c>
      <c r="FQ27" s="8">
        <v>85.3</v>
      </c>
      <c r="FR27" s="8">
        <v>79.88</v>
      </c>
      <c r="FS27" s="8">
        <v>82.36</v>
      </c>
      <c r="FT27" s="8">
        <v>74.03</v>
      </c>
      <c r="FU27" s="8">
        <v>74.55</v>
      </c>
      <c r="FV27" s="8">
        <v>72.41</v>
      </c>
      <c r="FW27" s="8">
        <v>74.650000000000006</v>
      </c>
      <c r="FX27" s="8">
        <v>80.8</v>
      </c>
      <c r="FY27" s="8">
        <v>78.48</v>
      </c>
      <c r="FZ27" s="8">
        <v>81.81</v>
      </c>
      <c r="GA27" s="8">
        <v>74.959999999999994</v>
      </c>
      <c r="GB27" s="8">
        <v>68.599999999999994</v>
      </c>
      <c r="GC27" s="8">
        <v>79.150000000000006</v>
      </c>
      <c r="GD27" s="8">
        <v>81.64</v>
      </c>
      <c r="GE27" s="8">
        <v>69.180000000000007</v>
      </c>
      <c r="GF27" s="8">
        <v>73.17</v>
      </c>
      <c r="GG27" s="8">
        <v>78.11</v>
      </c>
      <c r="GH27" s="8">
        <v>71.900000000000006</v>
      </c>
      <c r="GI27" s="8">
        <v>71.099999999999994</v>
      </c>
      <c r="GJ27" s="8">
        <v>72.12</v>
      </c>
      <c r="GP27" s="8">
        <v>79.03</v>
      </c>
      <c r="GR27" s="8">
        <v>80.55</v>
      </c>
      <c r="GS27" s="8">
        <v>48.5</v>
      </c>
      <c r="GT27" s="8">
        <v>48.5</v>
      </c>
      <c r="HJ27" s="8">
        <v>59.97</v>
      </c>
      <c r="HK27" s="8">
        <v>59.97</v>
      </c>
      <c r="HN27" s="8">
        <v>76.58</v>
      </c>
      <c r="ID27" s="8">
        <v>83.41</v>
      </c>
      <c r="IE27" s="8">
        <v>78.489999999999995</v>
      </c>
      <c r="IF27" s="8">
        <v>86.49</v>
      </c>
      <c r="IG27" s="8">
        <v>82.69</v>
      </c>
    </row>
    <row r="28" spans="1:241" x14ac:dyDescent="0.2">
      <c r="A28" s="9">
        <v>43497</v>
      </c>
      <c r="I28" s="8">
        <v>89.07</v>
      </c>
      <c r="J28" s="8">
        <v>79.05</v>
      </c>
      <c r="K28" s="8">
        <v>66.64</v>
      </c>
      <c r="O28" s="8">
        <v>73.400000000000006</v>
      </c>
      <c r="V28" s="8">
        <v>85.69</v>
      </c>
      <c r="W28" s="8">
        <v>76.73</v>
      </c>
      <c r="AA28" s="8">
        <v>82.47</v>
      </c>
      <c r="AB28" s="8">
        <v>93.91</v>
      </c>
      <c r="AC28" s="8">
        <v>81.569999999999993</v>
      </c>
      <c r="AF28" s="8">
        <v>75.8</v>
      </c>
      <c r="AG28" s="8">
        <v>75.209999999999994</v>
      </c>
      <c r="AH28" s="8">
        <v>75.69</v>
      </c>
      <c r="AI28" s="8">
        <v>76.3</v>
      </c>
      <c r="AJ28" s="8">
        <v>78.11</v>
      </c>
      <c r="AK28" s="8">
        <v>80.11</v>
      </c>
      <c r="AL28" s="8">
        <v>74.180000000000007</v>
      </c>
      <c r="AM28" s="8">
        <v>79.489999999999995</v>
      </c>
      <c r="AN28" s="8">
        <v>78.87</v>
      </c>
      <c r="AO28" s="8">
        <v>86.36</v>
      </c>
      <c r="AP28" s="8">
        <v>80.489999999999995</v>
      </c>
      <c r="AQ28" s="8">
        <v>82.52</v>
      </c>
      <c r="AR28" s="8">
        <v>73.209999999999994</v>
      </c>
      <c r="AS28" s="8">
        <v>70.790000000000006</v>
      </c>
      <c r="AT28" s="8">
        <v>74.11</v>
      </c>
      <c r="AU28" s="8">
        <v>75.05</v>
      </c>
      <c r="AV28" s="8">
        <v>78.66</v>
      </c>
      <c r="AW28" s="8">
        <v>80.5</v>
      </c>
      <c r="AX28" s="8">
        <v>76.680000000000007</v>
      </c>
      <c r="AY28" s="8">
        <v>74.37</v>
      </c>
      <c r="AZ28" s="8">
        <v>63.48</v>
      </c>
      <c r="BA28" s="8">
        <v>79.89</v>
      </c>
      <c r="BB28" s="8">
        <v>81.010000000000005</v>
      </c>
      <c r="BC28" s="8">
        <v>67.33</v>
      </c>
      <c r="BD28" s="8">
        <v>73.069999999999993</v>
      </c>
      <c r="BE28" s="8">
        <v>78.16</v>
      </c>
      <c r="BF28" s="8">
        <v>72.88</v>
      </c>
      <c r="BG28" s="8">
        <v>72.38</v>
      </c>
      <c r="BH28" s="8">
        <v>72.91</v>
      </c>
      <c r="BN28" s="8">
        <v>79.08</v>
      </c>
      <c r="BP28" s="8">
        <v>81.23</v>
      </c>
      <c r="BQ28" s="8">
        <v>49.57</v>
      </c>
      <c r="BR28" s="8">
        <v>49.57</v>
      </c>
      <c r="CH28" s="8">
        <v>53.45</v>
      </c>
      <c r="CI28" s="8">
        <v>53.45</v>
      </c>
      <c r="CL28" s="8">
        <v>81.69</v>
      </c>
      <c r="DB28" s="8">
        <v>82.61</v>
      </c>
      <c r="DC28" s="8">
        <v>78.38</v>
      </c>
      <c r="DD28" s="8">
        <v>85.55</v>
      </c>
      <c r="DE28" s="8">
        <v>81.540000000000006</v>
      </c>
      <c r="DU28" s="8">
        <v>74.69</v>
      </c>
      <c r="EK28" s="8">
        <v>82.27</v>
      </c>
      <c r="EL28" s="8">
        <v>71.67</v>
      </c>
      <c r="EM28" s="8">
        <v>70.37</v>
      </c>
      <c r="EQ28" s="8">
        <v>73.97</v>
      </c>
      <c r="EX28" s="8">
        <v>82.07</v>
      </c>
      <c r="EY28" s="8">
        <v>79.67</v>
      </c>
      <c r="FC28" s="8">
        <v>84.79</v>
      </c>
      <c r="FD28" s="8">
        <v>93.91</v>
      </c>
      <c r="FE28" s="8">
        <v>82.95</v>
      </c>
      <c r="FH28" s="8">
        <v>76.55</v>
      </c>
      <c r="FI28" s="8">
        <v>77.349999999999994</v>
      </c>
      <c r="FJ28" s="8">
        <v>75.650000000000006</v>
      </c>
      <c r="FK28" s="8">
        <v>76.459999999999994</v>
      </c>
      <c r="FL28" s="8">
        <v>78.63</v>
      </c>
      <c r="FM28" s="8">
        <v>80.540000000000006</v>
      </c>
      <c r="FN28" s="8">
        <v>74.88</v>
      </c>
      <c r="FO28" s="8">
        <v>78.09</v>
      </c>
      <c r="FP28" s="8">
        <v>82.77</v>
      </c>
      <c r="FQ28" s="8">
        <v>86.46</v>
      </c>
      <c r="FR28" s="8">
        <v>80.010000000000005</v>
      </c>
      <c r="FS28" s="8">
        <v>82.23</v>
      </c>
      <c r="FT28" s="8">
        <v>73.75</v>
      </c>
      <c r="FU28" s="8">
        <v>73.650000000000006</v>
      </c>
      <c r="FV28" s="8">
        <v>73.22</v>
      </c>
      <c r="FW28" s="8">
        <v>74.099999999999994</v>
      </c>
      <c r="FX28" s="8">
        <v>85.39</v>
      </c>
      <c r="FY28" s="8">
        <v>86.99</v>
      </c>
      <c r="FZ28" s="8">
        <v>83.61</v>
      </c>
      <c r="GA28" s="8">
        <v>74.650000000000006</v>
      </c>
      <c r="GB28" s="8">
        <v>68.31</v>
      </c>
      <c r="GC28" s="8">
        <v>79.45</v>
      </c>
      <c r="GD28" s="8">
        <v>81.72</v>
      </c>
      <c r="GE28" s="8">
        <v>68.569999999999993</v>
      </c>
      <c r="GF28" s="8">
        <v>73</v>
      </c>
      <c r="GG28" s="8">
        <v>77.27</v>
      </c>
      <c r="GH28" s="8">
        <v>72.56</v>
      </c>
      <c r="GI28" s="8">
        <v>71.849999999999994</v>
      </c>
      <c r="GJ28" s="8">
        <v>72.760000000000005</v>
      </c>
      <c r="GP28" s="8">
        <v>80.03</v>
      </c>
      <c r="GR28" s="8">
        <v>81.77</v>
      </c>
      <c r="GS28" s="8">
        <v>48.35</v>
      </c>
      <c r="GT28" s="8">
        <v>48.35</v>
      </c>
      <c r="HJ28" s="8">
        <v>60.29</v>
      </c>
      <c r="HK28" s="8">
        <v>60.29</v>
      </c>
      <c r="HN28" s="8">
        <v>76.58</v>
      </c>
      <c r="ID28" s="8">
        <v>83.34</v>
      </c>
      <c r="IE28" s="8">
        <v>79.180000000000007</v>
      </c>
      <c r="IF28" s="8">
        <v>85.88</v>
      </c>
      <c r="IG28" s="8">
        <v>82.8</v>
      </c>
    </row>
    <row r="29" spans="1:241" x14ac:dyDescent="0.2">
      <c r="A29" s="9">
        <v>43525</v>
      </c>
      <c r="I29" s="8">
        <v>87.17</v>
      </c>
      <c r="J29" s="8">
        <v>79.599999999999994</v>
      </c>
      <c r="K29" s="8">
        <v>63.04</v>
      </c>
      <c r="O29" s="8">
        <v>75.260000000000005</v>
      </c>
      <c r="V29" s="8">
        <v>85.69</v>
      </c>
      <c r="W29" s="8">
        <v>76.73</v>
      </c>
      <c r="AA29" s="8">
        <v>82.75</v>
      </c>
      <c r="AB29" s="8">
        <v>93.93</v>
      </c>
      <c r="AC29" s="8">
        <v>81.87</v>
      </c>
      <c r="AF29" s="8">
        <v>76.44</v>
      </c>
      <c r="AG29" s="8">
        <v>76.61</v>
      </c>
      <c r="AH29" s="8">
        <v>75.569999999999993</v>
      </c>
      <c r="AI29" s="8">
        <v>77.94</v>
      </c>
      <c r="AJ29" s="8">
        <v>78.27</v>
      </c>
      <c r="AK29" s="8">
        <v>79.83</v>
      </c>
      <c r="AL29" s="8">
        <v>74.94</v>
      </c>
      <c r="AM29" s="8">
        <v>79.510000000000005</v>
      </c>
      <c r="AN29" s="8">
        <v>79.040000000000006</v>
      </c>
      <c r="AO29" s="8">
        <v>85.77</v>
      </c>
      <c r="AP29" s="8">
        <v>79.930000000000007</v>
      </c>
      <c r="AQ29" s="8">
        <v>80.72</v>
      </c>
      <c r="AR29" s="8">
        <v>73.59</v>
      </c>
      <c r="AS29" s="8">
        <v>71.760000000000005</v>
      </c>
      <c r="AT29" s="8">
        <v>73.650000000000006</v>
      </c>
      <c r="AU29" s="8">
        <v>75.58</v>
      </c>
      <c r="AV29" s="8">
        <v>79.17</v>
      </c>
      <c r="AW29" s="8">
        <v>78.849999999999994</v>
      </c>
      <c r="AX29" s="8">
        <v>79.23</v>
      </c>
      <c r="AY29" s="8">
        <v>74.05</v>
      </c>
      <c r="AZ29" s="8">
        <v>63.39</v>
      </c>
      <c r="BA29" s="8">
        <v>80.349999999999994</v>
      </c>
      <c r="BB29" s="8">
        <v>81.06</v>
      </c>
      <c r="BC29" s="8">
        <v>66.2</v>
      </c>
      <c r="BD29" s="8">
        <v>73.08</v>
      </c>
      <c r="BE29" s="8">
        <v>77.25</v>
      </c>
      <c r="BF29" s="8">
        <v>72.81</v>
      </c>
      <c r="BG29" s="8">
        <v>72.34</v>
      </c>
      <c r="BH29" s="8">
        <v>72.83</v>
      </c>
      <c r="BN29" s="8">
        <v>78.680000000000007</v>
      </c>
      <c r="BP29" s="8">
        <v>81.150000000000006</v>
      </c>
      <c r="BQ29" s="8">
        <v>49.75</v>
      </c>
      <c r="BR29" s="8">
        <v>49.75</v>
      </c>
      <c r="CH29" s="8">
        <v>53.79</v>
      </c>
      <c r="CI29" s="8">
        <v>53.79</v>
      </c>
      <c r="CL29" s="8">
        <v>81.69</v>
      </c>
      <c r="DB29" s="8">
        <v>82.71</v>
      </c>
      <c r="DC29" s="8">
        <v>78.63</v>
      </c>
      <c r="DD29" s="8">
        <v>85.22</v>
      </c>
      <c r="DE29" s="8">
        <v>81.93</v>
      </c>
      <c r="DU29" s="8">
        <v>78.95</v>
      </c>
      <c r="EK29" s="8">
        <v>79.87</v>
      </c>
      <c r="EL29" s="8">
        <v>71.06</v>
      </c>
      <c r="EM29" s="8">
        <v>66.75</v>
      </c>
      <c r="EQ29" s="8">
        <v>76.069999999999993</v>
      </c>
      <c r="EX29" s="8">
        <v>82.07</v>
      </c>
      <c r="EY29" s="8">
        <v>79.67</v>
      </c>
      <c r="FC29" s="8">
        <v>84.91</v>
      </c>
      <c r="FD29" s="8">
        <v>93.93</v>
      </c>
      <c r="FE29" s="8">
        <v>83.08</v>
      </c>
      <c r="FH29" s="8">
        <v>77.09</v>
      </c>
      <c r="FI29" s="8">
        <v>78.790000000000006</v>
      </c>
      <c r="FJ29" s="8">
        <v>75.31</v>
      </c>
      <c r="FK29" s="8">
        <v>77.790000000000006</v>
      </c>
      <c r="FL29" s="8">
        <v>79.16</v>
      </c>
      <c r="FM29" s="8">
        <v>79.930000000000007</v>
      </c>
      <c r="FN29" s="8">
        <v>75.849999999999994</v>
      </c>
      <c r="FO29" s="8">
        <v>78.069999999999993</v>
      </c>
      <c r="FP29" s="8">
        <v>83.48</v>
      </c>
      <c r="FQ29" s="8">
        <v>84.26</v>
      </c>
      <c r="FR29" s="8">
        <v>79.23</v>
      </c>
      <c r="FS29" s="8">
        <v>79.86</v>
      </c>
      <c r="FT29" s="8">
        <v>74.44</v>
      </c>
      <c r="FU29" s="8">
        <v>75.22</v>
      </c>
      <c r="FV29" s="8">
        <v>73.150000000000006</v>
      </c>
      <c r="FW29" s="8">
        <v>74.39</v>
      </c>
      <c r="FX29" s="8">
        <v>86.6</v>
      </c>
      <c r="FY29" s="8">
        <v>85.54</v>
      </c>
      <c r="FZ29" s="8">
        <v>86.67</v>
      </c>
      <c r="GA29" s="8">
        <v>74.2</v>
      </c>
      <c r="GB29" s="8">
        <v>68.400000000000006</v>
      </c>
      <c r="GC29" s="8">
        <v>79.55</v>
      </c>
      <c r="GD29" s="8">
        <v>81.52</v>
      </c>
      <c r="GE29" s="8">
        <v>68.22</v>
      </c>
      <c r="GF29" s="8">
        <v>72.849999999999994</v>
      </c>
      <c r="GG29" s="8">
        <v>75.78</v>
      </c>
      <c r="GH29" s="8">
        <v>72.41</v>
      </c>
      <c r="GI29" s="8">
        <v>71.459999999999994</v>
      </c>
      <c r="GJ29" s="8">
        <v>72.680000000000007</v>
      </c>
      <c r="GP29" s="8">
        <v>80.36</v>
      </c>
      <c r="GR29" s="8">
        <v>81.2</v>
      </c>
      <c r="GS29" s="8">
        <v>48.79</v>
      </c>
      <c r="GT29" s="8">
        <v>48.79</v>
      </c>
      <c r="HJ29" s="8">
        <v>60.29</v>
      </c>
      <c r="HK29" s="8">
        <v>60.29</v>
      </c>
      <c r="HN29" s="8">
        <v>76.58</v>
      </c>
      <c r="ID29" s="8">
        <v>83.79</v>
      </c>
      <c r="IE29" s="8">
        <v>79.69</v>
      </c>
      <c r="IF29" s="8">
        <v>85.58</v>
      </c>
      <c r="IG29" s="8">
        <v>83.63</v>
      </c>
    </row>
    <row r="30" spans="1:241" x14ac:dyDescent="0.2">
      <c r="A30" s="9">
        <v>43556</v>
      </c>
      <c r="I30" s="8">
        <v>94.99</v>
      </c>
      <c r="J30" s="8">
        <v>85.05</v>
      </c>
      <c r="K30" s="8">
        <v>70.349999999999994</v>
      </c>
      <c r="O30" s="8">
        <v>77.59</v>
      </c>
      <c r="V30" s="8">
        <v>85.69</v>
      </c>
      <c r="W30" s="8">
        <v>76.73</v>
      </c>
      <c r="AA30" s="8">
        <v>82.76</v>
      </c>
      <c r="AB30" s="8">
        <v>93.95</v>
      </c>
      <c r="AC30" s="8">
        <v>81.87</v>
      </c>
      <c r="AF30" s="8">
        <v>76.47</v>
      </c>
      <c r="AG30" s="8">
        <v>76.78</v>
      </c>
      <c r="AH30" s="8">
        <v>75.239999999999995</v>
      </c>
      <c r="AI30" s="8">
        <v>77.86</v>
      </c>
      <c r="AJ30" s="8">
        <v>79.22</v>
      </c>
      <c r="AK30" s="8">
        <v>79.459999999999994</v>
      </c>
      <c r="AL30" s="8">
        <v>74.180000000000007</v>
      </c>
      <c r="AM30" s="8">
        <v>78.900000000000006</v>
      </c>
      <c r="AN30" s="8">
        <v>79.040000000000006</v>
      </c>
      <c r="AO30" s="8">
        <v>85.57</v>
      </c>
      <c r="AP30" s="8">
        <v>79.88</v>
      </c>
      <c r="AQ30" s="8">
        <v>80.37</v>
      </c>
      <c r="AR30" s="8">
        <v>74.010000000000005</v>
      </c>
      <c r="AS30" s="8">
        <v>72.75</v>
      </c>
      <c r="AT30" s="8">
        <v>73.3</v>
      </c>
      <c r="AU30" s="8">
        <v>76.09</v>
      </c>
      <c r="AV30" s="8">
        <v>77.19</v>
      </c>
      <c r="AW30" s="8">
        <v>75.37</v>
      </c>
      <c r="AX30" s="8">
        <v>78.680000000000007</v>
      </c>
      <c r="AY30" s="8">
        <v>74.03</v>
      </c>
      <c r="AZ30" s="8">
        <v>64.14</v>
      </c>
      <c r="BA30" s="8">
        <v>80.400000000000006</v>
      </c>
      <c r="BB30" s="8">
        <v>79.28</v>
      </c>
      <c r="BC30" s="8">
        <v>67</v>
      </c>
      <c r="BD30" s="8">
        <v>73.2</v>
      </c>
      <c r="BE30" s="8">
        <v>77.37</v>
      </c>
      <c r="BF30" s="8">
        <v>72.319999999999993</v>
      </c>
      <c r="BG30" s="8">
        <v>71.12</v>
      </c>
      <c r="BH30" s="8">
        <v>72.599999999999994</v>
      </c>
      <c r="BN30" s="8">
        <v>79.3</v>
      </c>
      <c r="BP30" s="8">
        <v>81.25</v>
      </c>
      <c r="BQ30" s="8">
        <v>50.47</v>
      </c>
      <c r="BR30" s="8">
        <v>50.47</v>
      </c>
      <c r="CH30" s="8">
        <v>53.81</v>
      </c>
      <c r="CI30" s="8">
        <v>53.81</v>
      </c>
      <c r="CL30" s="8">
        <v>81.69</v>
      </c>
      <c r="DB30" s="8">
        <v>83.48</v>
      </c>
      <c r="DC30" s="8">
        <v>79.25</v>
      </c>
      <c r="DD30" s="8">
        <v>86.62</v>
      </c>
      <c r="DE30" s="8">
        <v>82.26</v>
      </c>
      <c r="DU30" s="8">
        <v>83.2</v>
      </c>
      <c r="EK30" s="8">
        <v>89.2</v>
      </c>
      <c r="EL30" s="8">
        <v>78.3</v>
      </c>
      <c r="EM30" s="8">
        <v>75.67</v>
      </c>
      <c r="EQ30" s="8">
        <v>77.84</v>
      </c>
      <c r="EX30" s="8">
        <v>82.07</v>
      </c>
      <c r="EY30" s="8">
        <v>79.67</v>
      </c>
      <c r="FC30" s="8">
        <v>84.91</v>
      </c>
      <c r="FD30" s="8">
        <v>93.95</v>
      </c>
      <c r="FE30" s="8">
        <v>83.08</v>
      </c>
      <c r="FH30" s="8">
        <v>77.06</v>
      </c>
      <c r="FI30" s="8">
        <v>78.86</v>
      </c>
      <c r="FJ30" s="8">
        <v>74.88</v>
      </c>
      <c r="FK30" s="8">
        <v>78.84</v>
      </c>
      <c r="FL30" s="8">
        <v>79.989999999999995</v>
      </c>
      <c r="FM30" s="8">
        <v>79.59</v>
      </c>
      <c r="FN30" s="8">
        <v>74.459999999999994</v>
      </c>
      <c r="FO30" s="8">
        <v>78.25</v>
      </c>
      <c r="FP30" s="8">
        <v>83.01</v>
      </c>
      <c r="FQ30" s="8">
        <v>84.98</v>
      </c>
      <c r="FR30" s="8">
        <v>79.010000000000005</v>
      </c>
      <c r="FS30" s="8">
        <v>79.25</v>
      </c>
      <c r="FT30" s="8">
        <v>74.569999999999993</v>
      </c>
      <c r="FU30" s="8">
        <v>75.78</v>
      </c>
      <c r="FV30" s="8">
        <v>72.12</v>
      </c>
      <c r="FW30" s="8">
        <v>75.08</v>
      </c>
      <c r="FX30" s="8">
        <v>82.92</v>
      </c>
      <c r="FY30" s="8">
        <v>77.2</v>
      </c>
      <c r="FZ30" s="8">
        <v>86.26</v>
      </c>
      <c r="GA30" s="8">
        <v>74.27</v>
      </c>
      <c r="GB30" s="8">
        <v>69.12</v>
      </c>
      <c r="GC30" s="8">
        <v>80.260000000000005</v>
      </c>
      <c r="GD30" s="8">
        <v>79.52</v>
      </c>
      <c r="GE30" s="8">
        <v>68.349999999999994</v>
      </c>
      <c r="GF30" s="8">
        <v>73.23</v>
      </c>
      <c r="GG30" s="8">
        <v>76.02</v>
      </c>
      <c r="GH30" s="8">
        <v>72.02</v>
      </c>
      <c r="GI30" s="8">
        <v>70.260000000000005</v>
      </c>
      <c r="GJ30" s="8">
        <v>72.53</v>
      </c>
      <c r="GP30" s="8">
        <v>79.150000000000006</v>
      </c>
      <c r="GR30" s="8">
        <v>79.849999999999994</v>
      </c>
      <c r="GS30" s="8">
        <v>49.65</v>
      </c>
      <c r="GT30" s="8">
        <v>49.65</v>
      </c>
      <c r="HJ30" s="8">
        <v>61.16</v>
      </c>
      <c r="HK30" s="8">
        <v>61.16</v>
      </c>
      <c r="HN30" s="8">
        <v>76.58</v>
      </c>
      <c r="ID30" s="8">
        <v>84.66</v>
      </c>
      <c r="IE30" s="8">
        <v>80.3</v>
      </c>
      <c r="IF30" s="8">
        <v>87.76</v>
      </c>
      <c r="IG30" s="8">
        <v>83.86</v>
      </c>
    </row>
    <row r="31" spans="1:241" x14ac:dyDescent="0.2">
      <c r="A31" s="9">
        <v>43586</v>
      </c>
      <c r="I31" s="8">
        <v>88.12</v>
      </c>
      <c r="J31" s="8">
        <v>77.36</v>
      </c>
      <c r="K31" s="8">
        <v>66.760000000000005</v>
      </c>
      <c r="O31" s="8">
        <v>77.53</v>
      </c>
      <c r="V31" s="8">
        <v>85.69</v>
      </c>
      <c r="W31" s="8">
        <v>76.73</v>
      </c>
      <c r="AA31" s="8">
        <v>82.76</v>
      </c>
      <c r="AB31" s="8">
        <v>93.97</v>
      </c>
      <c r="AC31" s="8">
        <v>81.87</v>
      </c>
      <c r="AF31" s="8">
        <v>75.64</v>
      </c>
      <c r="AG31" s="8">
        <v>76.239999999999995</v>
      </c>
      <c r="AH31" s="8">
        <v>74.56</v>
      </c>
      <c r="AI31" s="8">
        <v>75.13</v>
      </c>
      <c r="AJ31" s="8">
        <v>78.319999999999993</v>
      </c>
      <c r="AK31" s="8">
        <v>80.099999999999994</v>
      </c>
      <c r="AL31" s="8">
        <v>74.78</v>
      </c>
      <c r="AM31" s="8">
        <v>78.91</v>
      </c>
      <c r="AN31" s="8">
        <v>78.760000000000005</v>
      </c>
      <c r="AO31" s="8">
        <v>86.28</v>
      </c>
      <c r="AP31" s="8">
        <v>80.319999999999993</v>
      </c>
      <c r="AQ31" s="8">
        <v>82.32</v>
      </c>
      <c r="AR31" s="8">
        <v>74.010000000000005</v>
      </c>
      <c r="AS31" s="8">
        <v>72.5</v>
      </c>
      <c r="AT31" s="8">
        <v>73.650000000000006</v>
      </c>
      <c r="AU31" s="8">
        <v>76.05</v>
      </c>
      <c r="AV31" s="8">
        <v>78.83</v>
      </c>
      <c r="AW31" s="8">
        <v>79.16</v>
      </c>
      <c r="AX31" s="8">
        <v>78.28</v>
      </c>
      <c r="AY31" s="8">
        <v>73.66</v>
      </c>
      <c r="AZ31" s="8">
        <v>65.16</v>
      </c>
      <c r="BA31" s="8">
        <v>80.12</v>
      </c>
      <c r="BB31" s="8">
        <v>79.7</v>
      </c>
      <c r="BC31" s="8">
        <v>66.45</v>
      </c>
      <c r="BD31" s="8">
        <v>72.91</v>
      </c>
      <c r="BE31" s="8">
        <v>76.11</v>
      </c>
      <c r="BF31" s="8">
        <v>72.92</v>
      </c>
      <c r="BG31" s="8">
        <v>71.41</v>
      </c>
      <c r="BH31" s="8">
        <v>73.3</v>
      </c>
      <c r="BN31" s="8">
        <v>79.260000000000005</v>
      </c>
      <c r="BP31" s="8">
        <v>80.430000000000007</v>
      </c>
      <c r="BQ31" s="8">
        <v>50.82</v>
      </c>
      <c r="BR31" s="8">
        <v>50.82</v>
      </c>
      <c r="CH31" s="8">
        <v>53.81</v>
      </c>
      <c r="CI31" s="8">
        <v>53.81</v>
      </c>
      <c r="CL31" s="8">
        <v>81.69</v>
      </c>
      <c r="DB31" s="8">
        <v>83.03</v>
      </c>
      <c r="DC31" s="8">
        <v>78.56</v>
      </c>
      <c r="DD31" s="8">
        <v>86.2</v>
      </c>
      <c r="DE31" s="8">
        <v>81.84</v>
      </c>
      <c r="DU31" s="8">
        <v>85.31</v>
      </c>
      <c r="EK31" s="8">
        <v>82.52</v>
      </c>
      <c r="EL31" s="8">
        <v>72.400000000000006</v>
      </c>
      <c r="EM31" s="8">
        <v>70.040000000000006</v>
      </c>
      <c r="EQ31" s="8">
        <v>77.930000000000007</v>
      </c>
      <c r="EX31" s="8">
        <v>82.07</v>
      </c>
      <c r="EY31" s="8">
        <v>79.67</v>
      </c>
      <c r="FC31" s="8">
        <v>84.91</v>
      </c>
      <c r="FD31" s="8">
        <v>93.97</v>
      </c>
      <c r="FE31" s="8">
        <v>83.08</v>
      </c>
      <c r="FH31" s="8">
        <v>76.650000000000006</v>
      </c>
      <c r="FI31" s="8">
        <v>79.06</v>
      </c>
      <c r="FJ31" s="8">
        <v>74.400000000000006</v>
      </c>
      <c r="FK31" s="8">
        <v>76.180000000000007</v>
      </c>
      <c r="FL31" s="8">
        <v>79.3</v>
      </c>
      <c r="FM31" s="8">
        <v>80.290000000000006</v>
      </c>
      <c r="FN31" s="8">
        <v>74.98</v>
      </c>
      <c r="FO31" s="8">
        <v>77.45</v>
      </c>
      <c r="FP31" s="8">
        <v>82.99</v>
      </c>
      <c r="FQ31" s="8">
        <v>85.39</v>
      </c>
      <c r="FR31" s="8">
        <v>80.31</v>
      </c>
      <c r="FS31" s="8">
        <v>81.77</v>
      </c>
      <c r="FT31" s="8">
        <v>74.75</v>
      </c>
      <c r="FU31" s="8">
        <v>75.69</v>
      </c>
      <c r="FV31" s="8">
        <v>72.87</v>
      </c>
      <c r="FW31" s="8">
        <v>75.08</v>
      </c>
      <c r="FX31" s="8">
        <v>81</v>
      </c>
      <c r="FY31" s="8">
        <v>78.180000000000007</v>
      </c>
      <c r="FZ31" s="8">
        <v>82.34</v>
      </c>
      <c r="GA31" s="8">
        <v>74.03</v>
      </c>
      <c r="GB31" s="8">
        <v>68.28</v>
      </c>
      <c r="GC31" s="8">
        <v>79.83</v>
      </c>
      <c r="GD31" s="8">
        <v>80.13</v>
      </c>
      <c r="GE31" s="8">
        <v>67.819999999999993</v>
      </c>
      <c r="GF31" s="8">
        <v>73.23</v>
      </c>
      <c r="GG31" s="8">
        <v>75.150000000000006</v>
      </c>
      <c r="GH31" s="8">
        <v>72.64</v>
      </c>
      <c r="GI31" s="8">
        <v>70.430000000000007</v>
      </c>
      <c r="GJ31" s="8">
        <v>73.290000000000006</v>
      </c>
      <c r="GP31" s="8">
        <v>79.77</v>
      </c>
      <c r="GR31" s="8">
        <v>81.37</v>
      </c>
      <c r="GS31" s="8">
        <v>50.03</v>
      </c>
      <c r="GT31" s="8">
        <v>50.03</v>
      </c>
      <c r="HJ31" s="8">
        <v>61.11</v>
      </c>
      <c r="HK31" s="8">
        <v>61.11</v>
      </c>
      <c r="HN31" s="8">
        <v>76.58</v>
      </c>
      <c r="ID31" s="8">
        <v>84.24</v>
      </c>
      <c r="IE31" s="8">
        <v>79.709999999999994</v>
      </c>
      <c r="IF31" s="8">
        <v>87.09</v>
      </c>
      <c r="IG31" s="8">
        <v>83.6</v>
      </c>
    </row>
    <row r="32" spans="1:241" x14ac:dyDescent="0.2">
      <c r="A32" s="9">
        <v>43617</v>
      </c>
      <c r="I32" s="8">
        <v>89.83</v>
      </c>
      <c r="J32" s="8">
        <v>77.38</v>
      </c>
      <c r="K32" s="8">
        <v>69.5</v>
      </c>
      <c r="O32" s="8">
        <v>76.760000000000005</v>
      </c>
      <c r="V32" s="8">
        <v>85.69</v>
      </c>
      <c r="W32" s="8">
        <v>76.73</v>
      </c>
      <c r="AA32" s="8">
        <v>82.36</v>
      </c>
      <c r="AB32" s="8">
        <v>92.08</v>
      </c>
      <c r="AC32" s="8">
        <v>81.599999999999994</v>
      </c>
      <c r="AF32" s="8">
        <v>76.150000000000006</v>
      </c>
      <c r="AG32" s="8">
        <v>76.3</v>
      </c>
      <c r="AH32" s="8">
        <v>75.91</v>
      </c>
      <c r="AI32" s="8">
        <v>75.260000000000005</v>
      </c>
      <c r="AJ32" s="8">
        <v>77.62</v>
      </c>
      <c r="AK32" s="8">
        <v>80.48</v>
      </c>
      <c r="AL32" s="8">
        <v>74.73</v>
      </c>
      <c r="AM32" s="8">
        <v>79.239999999999995</v>
      </c>
      <c r="AN32" s="8">
        <v>81.03</v>
      </c>
      <c r="AO32" s="8">
        <v>86.52</v>
      </c>
      <c r="AP32" s="8">
        <v>80.349999999999994</v>
      </c>
      <c r="AQ32" s="8">
        <v>82.54</v>
      </c>
      <c r="AR32" s="8">
        <v>74.55</v>
      </c>
      <c r="AS32" s="8">
        <v>73.16</v>
      </c>
      <c r="AT32" s="8">
        <v>73.91</v>
      </c>
      <c r="AU32" s="8">
        <v>76.72</v>
      </c>
      <c r="AV32" s="8">
        <v>76.28</v>
      </c>
      <c r="AW32" s="8">
        <v>75.66</v>
      </c>
      <c r="AX32" s="8">
        <v>76.64</v>
      </c>
      <c r="AY32" s="8">
        <v>73.62</v>
      </c>
      <c r="AZ32" s="8">
        <v>65.430000000000007</v>
      </c>
      <c r="BA32" s="8">
        <v>80.37</v>
      </c>
      <c r="BB32" s="8">
        <v>80.040000000000006</v>
      </c>
      <c r="BC32" s="8">
        <v>66.56</v>
      </c>
      <c r="BD32" s="8">
        <v>72.430000000000007</v>
      </c>
      <c r="BE32" s="8">
        <v>76.39</v>
      </c>
      <c r="BF32" s="8">
        <v>72.09</v>
      </c>
      <c r="BG32" s="8">
        <v>69.739999999999995</v>
      </c>
      <c r="BH32" s="8">
        <v>72.77</v>
      </c>
      <c r="BN32" s="8">
        <v>79.239999999999995</v>
      </c>
      <c r="BP32" s="8">
        <v>80.209999999999994</v>
      </c>
      <c r="BQ32" s="8">
        <v>51</v>
      </c>
      <c r="BR32" s="8">
        <v>51</v>
      </c>
      <c r="CH32" s="8">
        <v>53.9</v>
      </c>
      <c r="CI32" s="8">
        <v>53.9</v>
      </c>
      <c r="CL32" s="8">
        <v>81.69</v>
      </c>
      <c r="DB32" s="8">
        <v>82.39</v>
      </c>
      <c r="DC32" s="8">
        <v>77.959999999999994</v>
      </c>
      <c r="DD32" s="8">
        <v>85.16</v>
      </c>
      <c r="DE32" s="8">
        <v>81.489999999999995</v>
      </c>
      <c r="DU32" s="8">
        <v>79.459999999999994</v>
      </c>
      <c r="EK32" s="8">
        <v>84.45</v>
      </c>
      <c r="EL32" s="8">
        <v>72.59</v>
      </c>
      <c r="EM32" s="8">
        <v>73.25</v>
      </c>
      <c r="EQ32" s="8">
        <v>77.14</v>
      </c>
      <c r="EX32" s="8">
        <v>82.07</v>
      </c>
      <c r="EY32" s="8">
        <v>79.67</v>
      </c>
      <c r="FC32" s="8">
        <v>85.33</v>
      </c>
      <c r="FD32" s="8">
        <v>92.08</v>
      </c>
      <c r="FE32" s="8">
        <v>84.03</v>
      </c>
      <c r="FH32" s="8">
        <v>77.680000000000007</v>
      </c>
      <c r="FI32" s="8">
        <v>78.86</v>
      </c>
      <c r="FJ32" s="8">
        <v>77.099999999999994</v>
      </c>
      <c r="FK32" s="8">
        <v>75.459999999999994</v>
      </c>
      <c r="FL32" s="8">
        <v>78.13</v>
      </c>
      <c r="FM32" s="8">
        <v>80.400000000000006</v>
      </c>
      <c r="FN32" s="8">
        <v>74.98</v>
      </c>
      <c r="FO32" s="8">
        <v>77.489999999999995</v>
      </c>
      <c r="FP32" s="8">
        <v>83.57</v>
      </c>
      <c r="FQ32" s="8">
        <v>85.97</v>
      </c>
      <c r="FR32" s="8">
        <v>80.13</v>
      </c>
      <c r="FS32" s="8">
        <v>81.540000000000006</v>
      </c>
      <c r="FT32" s="8">
        <v>75.040000000000006</v>
      </c>
      <c r="FU32" s="8">
        <v>76.36</v>
      </c>
      <c r="FV32" s="8">
        <v>72.739999999999995</v>
      </c>
      <c r="FW32" s="8">
        <v>75.290000000000006</v>
      </c>
      <c r="FX32" s="8">
        <v>81.31</v>
      </c>
      <c r="FY32" s="8">
        <v>79.61</v>
      </c>
      <c r="FZ32" s="8">
        <v>81.87</v>
      </c>
      <c r="GA32" s="8">
        <v>73.72</v>
      </c>
      <c r="GB32" s="8">
        <v>68.12</v>
      </c>
      <c r="GC32" s="8">
        <v>80.53</v>
      </c>
      <c r="GD32" s="8">
        <v>80.75</v>
      </c>
      <c r="GE32" s="8">
        <v>68.209999999999994</v>
      </c>
      <c r="GF32" s="8">
        <v>72.08</v>
      </c>
      <c r="GG32" s="8">
        <v>75.34</v>
      </c>
      <c r="GH32" s="8">
        <v>71.650000000000006</v>
      </c>
      <c r="GI32" s="8">
        <v>68.48</v>
      </c>
      <c r="GJ32" s="8">
        <v>72.569999999999993</v>
      </c>
      <c r="GP32" s="8">
        <v>79.290000000000006</v>
      </c>
      <c r="GR32" s="8">
        <v>80.02</v>
      </c>
      <c r="GS32" s="8">
        <v>50.22</v>
      </c>
      <c r="GT32" s="8">
        <v>50.22</v>
      </c>
      <c r="HJ32" s="8">
        <v>62.09</v>
      </c>
      <c r="HK32" s="8">
        <v>62.09</v>
      </c>
      <c r="HN32" s="8">
        <v>76.58</v>
      </c>
      <c r="ID32" s="8">
        <v>83.49</v>
      </c>
      <c r="IE32" s="8">
        <v>79.2</v>
      </c>
      <c r="IF32" s="8">
        <v>85.88</v>
      </c>
      <c r="IG32" s="8">
        <v>83.04</v>
      </c>
    </row>
    <row r="33" spans="1:241" x14ac:dyDescent="0.2">
      <c r="A33" s="9">
        <v>43647</v>
      </c>
      <c r="I33" s="8">
        <v>96.67</v>
      </c>
      <c r="J33" s="8">
        <v>79.11</v>
      </c>
      <c r="K33" s="8">
        <v>78.849999999999994</v>
      </c>
      <c r="O33" s="8">
        <v>78.55</v>
      </c>
      <c r="V33" s="8">
        <v>85.69</v>
      </c>
      <c r="W33" s="8">
        <v>76.73</v>
      </c>
      <c r="AA33" s="8">
        <v>82.4</v>
      </c>
      <c r="AB33" s="8">
        <v>92.64</v>
      </c>
      <c r="AC33" s="8">
        <v>81.599999999999994</v>
      </c>
      <c r="AF33" s="8">
        <v>76.28</v>
      </c>
      <c r="AG33" s="8">
        <v>76.400000000000006</v>
      </c>
      <c r="AH33" s="8">
        <v>75.44</v>
      </c>
      <c r="AI33" s="8">
        <v>77.75</v>
      </c>
      <c r="AJ33" s="8">
        <v>78.260000000000005</v>
      </c>
      <c r="AK33" s="8">
        <v>80.489999999999995</v>
      </c>
      <c r="AL33" s="8">
        <v>74.61</v>
      </c>
      <c r="AM33" s="8">
        <v>79.55</v>
      </c>
      <c r="AN33" s="8">
        <v>81.47</v>
      </c>
      <c r="AO33" s="8">
        <v>86.48</v>
      </c>
      <c r="AP33" s="8">
        <v>80.489999999999995</v>
      </c>
      <c r="AQ33" s="8">
        <v>82.13</v>
      </c>
      <c r="AR33" s="8">
        <v>75.150000000000006</v>
      </c>
      <c r="AS33" s="8">
        <v>73.61</v>
      </c>
      <c r="AT33" s="8">
        <v>74.39</v>
      </c>
      <c r="AU33" s="8">
        <v>77.62</v>
      </c>
      <c r="AV33" s="8">
        <v>73.84</v>
      </c>
      <c r="AW33" s="8">
        <v>71.83</v>
      </c>
      <c r="AX33" s="8">
        <v>75.52</v>
      </c>
      <c r="AY33" s="8">
        <v>74.28</v>
      </c>
      <c r="AZ33" s="8">
        <v>66.319999999999993</v>
      </c>
      <c r="BA33" s="8">
        <v>79.599999999999994</v>
      </c>
      <c r="BB33" s="8">
        <v>80.12</v>
      </c>
      <c r="BC33" s="8">
        <v>67.069999999999993</v>
      </c>
      <c r="BD33" s="8">
        <v>73.349999999999994</v>
      </c>
      <c r="BE33" s="8">
        <v>77.23</v>
      </c>
      <c r="BF33" s="8">
        <v>73.22</v>
      </c>
      <c r="BG33" s="8">
        <v>70.92</v>
      </c>
      <c r="BH33" s="8">
        <v>73.88</v>
      </c>
      <c r="BN33" s="8">
        <v>79.59</v>
      </c>
      <c r="BP33" s="8">
        <v>80.680000000000007</v>
      </c>
      <c r="BQ33" s="8">
        <v>51.44</v>
      </c>
      <c r="BR33" s="8">
        <v>51.44</v>
      </c>
      <c r="CH33" s="8">
        <v>54.2</v>
      </c>
      <c r="CI33" s="8">
        <v>54.2</v>
      </c>
      <c r="CL33" s="8">
        <v>81.69</v>
      </c>
      <c r="DB33" s="8">
        <v>83.48</v>
      </c>
      <c r="DC33" s="8">
        <v>79.84</v>
      </c>
      <c r="DD33" s="8">
        <v>86.63</v>
      </c>
      <c r="DE33" s="8">
        <v>82.11</v>
      </c>
      <c r="DU33" s="8">
        <v>80.11</v>
      </c>
      <c r="EK33" s="8">
        <v>92.92</v>
      </c>
      <c r="EL33" s="8">
        <v>75.73</v>
      </c>
      <c r="EM33" s="8">
        <v>84.94</v>
      </c>
      <c r="EQ33" s="8">
        <v>78.86</v>
      </c>
      <c r="EX33" s="8">
        <v>82.07</v>
      </c>
      <c r="EY33" s="8">
        <v>79.67</v>
      </c>
      <c r="FC33" s="8">
        <v>85.44</v>
      </c>
      <c r="FD33" s="8">
        <v>92.64</v>
      </c>
      <c r="FE33" s="8">
        <v>84.03</v>
      </c>
      <c r="FH33" s="8">
        <v>77.150000000000006</v>
      </c>
      <c r="FI33" s="8">
        <v>78.430000000000007</v>
      </c>
      <c r="FJ33" s="8">
        <v>75.8</v>
      </c>
      <c r="FK33" s="8">
        <v>79.16</v>
      </c>
      <c r="FL33" s="8">
        <v>77.45</v>
      </c>
      <c r="FM33" s="8">
        <v>80.62</v>
      </c>
      <c r="FN33" s="8">
        <v>74.760000000000005</v>
      </c>
      <c r="FO33" s="8">
        <v>78.16</v>
      </c>
      <c r="FP33" s="8">
        <v>83.14</v>
      </c>
      <c r="FQ33" s="8">
        <v>87.27</v>
      </c>
      <c r="FR33" s="8">
        <v>80.03</v>
      </c>
      <c r="FS33" s="8">
        <v>81.59</v>
      </c>
      <c r="FT33" s="8">
        <v>75.75</v>
      </c>
      <c r="FU33" s="8">
        <v>76.569999999999993</v>
      </c>
      <c r="FV33" s="8">
        <v>73.53</v>
      </c>
      <c r="FW33" s="8">
        <v>76.56</v>
      </c>
      <c r="FX33" s="8">
        <v>80.37</v>
      </c>
      <c r="FY33" s="8">
        <v>78.92</v>
      </c>
      <c r="FZ33" s="8">
        <v>80.77</v>
      </c>
      <c r="GA33" s="8">
        <v>74.42</v>
      </c>
      <c r="GB33" s="8">
        <v>69.5</v>
      </c>
      <c r="GC33" s="8">
        <v>79.5</v>
      </c>
      <c r="GD33" s="8">
        <v>80.650000000000006</v>
      </c>
      <c r="GE33" s="8">
        <v>68.64</v>
      </c>
      <c r="GF33" s="8">
        <v>73.36</v>
      </c>
      <c r="GG33" s="8">
        <v>75.8</v>
      </c>
      <c r="GH33" s="8">
        <v>73.09</v>
      </c>
      <c r="GI33" s="8">
        <v>69.84</v>
      </c>
      <c r="GJ33" s="8">
        <v>74.040000000000006</v>
      </c>
      <c r="GP33" s="8">
        <v>80.61</v>
      </c>
      <c r="GR33" s="8">
        <v>80.86</v>
      </c>
      <c r="GS33" s="8">
        <v>50.32</v>
      </c>
      <c r="GT33" s="8">
        <v>50.32</v>
      </c>
      <c r="HJ33" s="8">
        <v>62.71</v>
      </c>
      <c r="HK33" s="8">
        <v>62.71</v>
      </c>
      <c r="HN33" s="8">
        <v>76.58</v>
      </c>
      <c r="ID33" s="8">
        <v>84.41</v>
      </c>
      <c r="IE33" s="8">
        <v>80.900000000000006</v>
      </c>
      <c r="IF33" s="8">
        <v>87.37</v>
      </c>
      <c r="IG33" s="8">
        <v>83.56</v>
      </c>
    </row>
    <row r="34" spans="1:241" x14ac:dyDescent="0.2">
      <c r="A34" s="9">
        <v>43678</v>
      </c>
      <c r="I34" s="8">
        <v>90.17</v>
      </c>
      <c r="J34" s="8">
        <v>76.69</v>
      </c>
      <c r="K34" s="8">
        <v>70.72</v>
      </c>
      <c r="O34" s="8">
        <v>78.12</v>
      </c>
      <c r="V34" s="8">
        <v>85.69</v>
      </c>
      <c r="W34" s="8">
        <v>76.73</v>
      </c>
      <c r="AA34" s="8">
        <v>82.4</v>
      </c>
      <c r="AB34" s="8">
        <v>92.66</v>
      </c>
      <c r="AC34" s="8">
        <v>81.599999999999994</v>
      </c>
      <c r="AF34" s="8">
        <v>77.25</v>
      </c>
      <c r="AG34" s="8">
        <v>76.59</v>
      </c>
      <c r="AH34" s="8">
        <v>77.3</v>
      </c>
      <c r="AI34" s="8">
        <v>79.45</v>
      </c>
      <c r="AJ34" s="8">
        <v>78.06</v>
      </c>
      <c r="AK34" s="8">
        <v>81.38</v>
      </c>
      <c r="AL34" s="8">
        <v>75.400000000000006</v>
      </c>
      <c r="AM34" s="8">
        <v>80.25</v>
      </c>
      <c r="AN34" s="8">
        <v>82.85</v>
      </c>
      <c r="AO34" s="8">
        <v>87.53</v>
      </c>
      <c r="AP34" s="8">
        <v>81.96</v>
      </c>
      <c r="AQ34" s="8">
        <v>82.24</v>
      </c>
      <c r="AR34" s="8">
        <v>75.83</v>
      </c>
      <c r="AS34" s="8">
        <v>75.34</v>
      </c>
      <c r="AT34" s="8">
        <v>75.36</v>
      </c>
      <c r="AU34" s="8">
        <v>76.83</v>
      </c>
      <c r="AV34" s="8">
        <v>73.62</v>
      </c>
      <c r="AW34" s="8">
        <v>70.92</v>
      </c>
      <c r="AX34" s="8">
        <v>75.95</v>
      </c>
      <c r="AY34" s="8">
        <v>74.319999999999993</v>
      </c>
      <c r="AZ34" s="8">
        <v>66.900000000000006</v>
      </c>
      <c r="BA34" s="8">
        <v>80.86</v>
      </c>
      <c r="BB34" s="8">
        <v>80.64</v>
      </c>
      <c r="BC34" s="8">
        <v>66.91</v>
      </c>
      <c r="BD34" s="8">
        <v>73.05</v>
      </c>
      <c r="BE34" s="8">
        <v>77.25</v>
      </c>
      <c r="BF34" s="8">
        <v>72.790000000000006</v>
      </c>
      <c r="BG34" s="8">
        <v>70.760000000000005</v>
      </c>
      <c r="BH34" s="8">
        <v>73.36</v>
      </c>
      <c r="BN34" s="8">
        <v>80.03</v>
      </c>
      <c r="BP34" s="8">
        <v>81.45</v>
      </c>
      <c r="BQ34" s="8">
        <v>51.32</v>
      </c>
      <c r="BR34" s="8">
        <v>51.32</v>
      </c>
      <c r="CH34" s="8">
        <v>53.91</v>
      </c>
      <c r="CI34" s="8">
        <v>53.91</v>
      </c>
      <c r="CL34" s="8">
        <v>81.69</v>
      </c>
      <c r="DB34" s="8">
        <v>82.94</v>
      </c>
      <c r="DC34" s="8">
        <v>78.77</v>
      </c>
      <c r="DD34" s="8">
        <v>85.31</v>
      </c>
      <c r="DE34" s="8">
        <v>82.3</v>
      </c>
      <c r="DU34" s="8">
        <v>80.06</v>
      </c>
      <c r="EK34" s="8">
        <v>85.27</v>
      </c>
      <c r="EL34" s="8">
        <v>73.11</v>
      </c>
      <c r="EM34" s="8">
        <v>74.16</v>
      </c>
      <c r="EQ34" s="8">
        <v>78.150000000000006</v>
      </c>
      <c r="EX34" s="8">
        <v>82.07</v>
      </c>
      <c r="EY34" s="8">
        <v>79.67</v>
      </c>
      <c r="FC34" s="8">
        <v>85.44</v>
      </c>
      <c r="FD34" s="8">
        <v>92.66</v>
      </c>
      <c r="FE34" s="8">
        <v>84.03</v>
      </c>
      <c r="FH34" s="8">
        <v>78.7</v>
      </c>
      <c r="FI34" s="8">
        <v>79.180000000000007</v>
      </c>
      <c r="FJ34" s="8">
        <v>78.150000000000006</v>
      </c>
      <c r="FK34" s="8">
        <v>80.53</v>
      </c>
      <c r="FL34" s="8">
        <v>78.459999999999994</v>
      </c>
      <c r="FM34" s="8">
        <v>81.42</v>
      </c>
      <c r="FN34" s="8">
        <v>76.040000000000006</v>
      </c>
      <c r="FO34" s="8">
        <v>78.88</v>
      </c>
      <c r="FP34" s="8">
        <v>85.09</v>
      </c>
      <c r="FQ34" s="8">
        <v>87.43</v>
      </c>
      <c r="FR34" s="8">
        <v>81.290000000000006</v>
      </c>
      <c r="FS34" s="8">
        <v>81.150000000000006</v>
      </c>
      <c r="FT34" s="8">
        <v>76.989999999999995</v>
      </c>
      <c r="FU34" s="8">
        <v>79</v>
      </c>
      <c r="FV34" s="8">
        <v>75.069999999999993</v>
      </c>
      <c r="FW34" s="8">
        <v>76</v>
      </c>
      <c r="FX34" s="8">
        <v>79.33</v>
      </c>
      <c r="FY34" s="8">
        <v>76.7</v>
      </c>
      <c r="FZ34" s="8">
        <v>80.56</v>
      </c>
      <c r="GA34" s="8">
        <v>74.48</v>
      </c>
      <c r="GB34" s="8">
        <v>69.599999999999994</v>
      </c>
      <c r="GC34" s="8">
        <v>80.290000000000006</v>
      </c>
      <c r="GD34" s="8">
        <v>81.099999999999994</v>
      </c>
      <c r="GE34" s="8">
        <v>69.040000000000006</v>
      </c>
      <c r="GF34" s="8">
        <v>72.97</v>
      </c>
      <c r="GG34" s="8">
        <v>76.16</v>
      </c>
      <c r="GH34" s="8">
        <v>72.52</v>
      </c>
      <c r="GI34" s="8">
        <v>70.180000000000007</v>
      </c>
      <c r="GJ34" s="8">
        <v>73.2</v>
      </c>
      <c r="GP34" s="8">
        <v>81.05</v>
      </c>
      <c r="GR34" s="8">
        <v>80.25</v>
      </c>
      <c r="GS34" s="8">
        <v>50.14</v>
      </c>
      <c r="GT34" s="8">
        <v>50.14</v>
      </c>
      <c r="HJ34" s="8">
        <v>62.94</v>
      </c>
      <c r="HK34" s="8">
        <v>62.94</v>
      </c>
      <c r="HN34" s="8">
        <v>76.58</v>
      </c>
      <c r="ID34" s="8">
        <v>83.58</v>
      </c>
      <c r="IE34" s="8">
        <v>79.86</v>
      </c>
      <c r="IF34" s="8">
        <v>85.65</v>
      </c>
      <c r="IG34" s="8">
        <v>83.23</v>
      </c>
    </row>
    <row r="35" spans="1:241" x14ac:dyDescent="0.2">
      <c r="A35" s="9">
        <v>43709</v>
      </c>
      <c r="I35" s="8">
        <v>90.53</v>
      </c>
      <c r="J35" s="8">
        <v>78.14</v>
      </c>
      <c r="K35" s="8">
        <v>69.900000000000006</v>
      </c>
      <c r="O35" s="8">
        <v>77.42</v>
      </c>
      <c r="V35" s="8">
        <v>85.69</v>
      </c>
      <c r="W35" s="8">
        <v>76.73</v>
      </c>
      <c r="AA35" s="8">
        <v>83.05</v>
      </c>
      <c r="AB35" s="8">
        <v>92.68</v>
      </c>
      <c r="AC35" s="8">
        <v>82.3</v>
      </c>
      <c r="AF35" s="8">
        <v>77.14</v>
      </c>
      <c r="AG35" s="8">
        <v>76.150000000000006</v>
      </c>
      <c r="AH35" s="8">
        <v>77.69</v>
      </c>
      <c r="AI35" s="8">
        <v>78.25</v>
      </c>
      <c r="AJ35" s="8">
        <v>78.08</v>
      </c>
      <c r="AK35" s="8">
        <v>81.56</v>
      </c>
      <c r="AL35" s="8">
        <v>76.349999999999994</v>
      </c>
      <c r="AM35" s="8">
        <v>80.959999999999994</v>
      </c>
      <c r="AN35" s="8">
        <v>82.84</v>
      </c>
      <c r="AO35" s="8">
        <v>87.03</v>
      </c>
      <c r="AP35" s="8">
        <v>82.44</v>
      </c>
      <c r="AQ35" s="8">
        <v>81.44</v>
      </c>
      <c r="AR35" s="8">
        <v>76.66</v>
      </c>
      <c r="AS35" s="8">
        <v>76.319999999999993</v>
      </c>
      <c r="AT35" s="8">
        <v>76.7</v>
      </c>
      <c r="AU35" s="8">
        <v>77</v>
      </c>
      <c r="AV35" s="8">
        <v>72.209999999999994</v>
      </c>
      <c r="AW35" s="8">
        <v>68.260000000000005</v>
      </c>
      <c r="AX35" s="8">
        <v>75.72</v>
      </c>
      <c r="AY35" s="8">
        <v>74</v>
      </c>
      <c r="AZ35" s="8">
        <v>67.98</v>
      </c>
      <c r="BA35" s="8">
        <v>80.25</v>
      </c>
      <c r="BB35" s="8">
        <v>79.48</v>
      </c>
      <c r="BC35" s="8">
        <v>66.72</v>
      </c>
      <c r="BD35" s="8">
        <v>72.47</v>
      </c>
      <c r="BE35" s="8">
        <v>77.41</v>
      </c>
      <c r="BF35" s="8">
        <v>72.31</v>
      </c>
      <c r="BG35" s="8">
        <v>70.94</v>
      </c>
      <c r="BH35" s="8">
        <v>72.650000000000006</v>
      </c>
      <c r="BN35" s="8">
        <v>79.3</v>
      </c>
      <c r="BP35" s="8">
        <v>81.209999999999994</v>
      </c>
      <c r="BQ35" s="8">
        <v>54.73</v>
      </c>
      <c r="BR35" s="8">
        <v>54.73</v>
      </c>
      <c r="CH35" s="8">
        <v>53.89</v>
      </c>
      <c r="CI35" s="8">
        <v>53.89</v>
      </c>
      <c r="CL35" s="8">
        <v>83.31</v>
      </c>
      <c r="DB35" s="8">
        <v>82.58</v>
      </c>
      <c r="DC35" s="8">
        <v>78.209999999999994</v>
      </c>
      <c r="DD35" s="8">
        <v>85.18</v>
      </c>
      <c r="DE35" s="8">
        <v>81.8</v>
      </c>
      <c r="DU35" s="8">
        <v>81.13</v>
      </c>
      <c r="EK35" s="8">
        <v>85.78</v>
      </c>
      <c r="EL35" s="8">
        <v>73.290000000000006</v>
      </c>
      <c r="EM35" s="8">
        <v>74.86</v>
      </c>
      <c r="EQ35" s="8">
        <v>77.680000000000007</v>
      </c>
      <c r="EX35" s="8">
        <v>82.07</v>
      </c>
      <c r="EY35" s="8">
        <v>79.67</v>
      </c>
      <c r="FC35" s="8">
        <v>84.93</v>
      </c>
      <c r="FD35" s="8">
        <v>92.68</v>
      </c>
      <c r="FE35" s="8">
        <v>83.4</v>
      </c>
      <c r="FH35" s="8">
        <v>78.84</v>
      </c>
      <c r="FI35" s="8">
        <v>78.98</v>
      </c>
      <c r="FJ35" s="8">
        <v>78.760000000000005</v>
      </c>
      <c r="FK35" s="8">
        <v>79.290000000000006</v>
      </c>
      <c r="FL35" s="8">
        <v>78.77</v>
      </c>
      <c r="FM35" s="8">
        <v>81.94</v>
      </c>
      <c r="FN35" s="8">
        <v>76.84</v>
      </c>
      <c r="FO35" s="8">
        <v>80.05</v>
      </c>
      <c r="FP35" s="8">
        <v>84.61</v>
      </c>
      <c r="FQ35" s="8">
        <v>87.15</v>
      </c>
      <c r="FR35" s="8">
        <v>83.46</v>
      </c>
      <c r="FS35" s="8">
        <v>80.34</v>
      </c>
      <c r="FT35" s="8">
        <v>77.75</v>
      </c>
      <c r="FU35" s="8">
        <v>80.08</v>
      </c>
      <c r="FV35" s="8">
        <v>76.459999999999994</v>
      </c>
      <c r="FW35" s="8">
        <v>75.739999999999995</v>
      </c>
      <c r="FX35" s="8">
        <v>78.150000000000006</v>
      </c>
      <c r="FY35" s="8">
        <v>71.489999999999995</v>
      </c>
      <c r="FZ35" s="8">
        <v>82.2</v>
      </c>
      <c r="GA35" s="8">
        <v>73.95</v>
      </c>
      <c r="GB35" s="8">
        <v>69.52</v>
      </c>
      <c r="GC35" s="8">
        <v>79.430000000000007</v>
      </c>
      <c r="GD35" s="8">
        <v>79.64</v>
      </c>
      <c r="GE35" s="8">
        <v>68.81</v>
      </c>
      <c r="GF35" s="8">
        <v>72.180000000000007</v>
      </c>
      <c r="GG35" s="8">
        <v>76.48</v>
      </c>
      <c r="GH35" s="8">
        <v>71.349999999999994</v>
      </c>
      <c r="GI35" s="8">
        <v>69.849999999999994</v>
      </c>
      <c r="GJ35" s="8">
        <v>71.790000000000006</v>
      </c>
      <c r="GP35" s="8">
        <v>81.12</v>
      </c>
      <c r="GR35" s="8">
        <v>80.34</v>
      </c>
      <c r="GS35" s="8">
        <v>53.39</v>
      </c>
      <c r="GT35" s="8">
        <v>53.39</v>
      </c>
      <c r="HJ35" s="8">
        <v>62.95</v>
      </c>
      <c r="HK35" s="8">
        <v>62.95</v>
      </c>
      <c r="HN35" s="8">
        <v>79.430000000000007</v>
      </c>
      <c r="ID35" s="8">
        <v>83.57</v>
      </c>
      <c r="IE35" s="8">
        <v>79.23</v>
      </c>
      <c r="IF35" s="8">
        <v>85.95</v>
      </c>
      <c r="IG35" s="8">
        <v>83.15</v>
      </c>
    </row>
    <row r="36" spans="1:241" x14ac:dyDescent="0.2">
      <c r="A36" s="9">
        <v>43739</v>
      </c>
      <c r="I36" s="8">
        <v>97.23</v>
      </c>
      <c r="J36" s="8">
        <v>87.32</v>
      </c>
      <c r="K36" s="8">
        <v>71.760000000000005</v>
      </c>
      <c r="O36" s="8">
        <v>77.67</v>
      </c>
      <c r="V36" s="8">
        <v>85.69</v>
      </c>
      <c r="W36" s="8">
        <v>76.73</v>
      </c>
      <c r="AA36" s="8">
        <v>83.05</v>
      </c>
      <c r="AB36" s="8">
        <v>92.7</v>
      </c>
      <c r="AC36" s="8">
        <v>82.3</v>
      </c>
      <c r="AF36" s="8">
        <v>77.37</v>
      </c>
      <c r="AG36" s="8">
        <v>76.34</v>
      </c>
      <c r="AH36" s="8">
        <v>78.040000000000006</v>
      </c>
      <c r="AI36" s="8">
        <v>77.489999999999995</v>
      </c>
      <c r="AJ36" s="8">
        <v>78.75</v>
      </c>
      <c r="AK36" s="8">
        <v>82.41</v>
      </c>
      <c r="AL36" s="8">
        <v>77.53</v>
      </c>
      <c r="AM36" s="8">
        <v>83.55</v>
      </c>
      <c r="AN36" s="8">
        <v>81.92</v>
      </c>
      <c r="AO36" s="8">
        <v>86.53</v>
      </c>
      <c r="AP36" s="8">
        <v>83.75</v>
      </c>
      <c r="AQ36" s="8">
        <v>82.7</v>
      </c>
      <c r="AR36" s="8">
        <v>76.400000000000006</v>
      </c>
      <c r="AS36" s="8">
        <v>75.62</v>
      </c>
      <c r="AT36" s="8">
        <v>77.14</v>
      </c>
      <c r="AU36" s="8">
        <v>76.569999999999993</v>
      </c>
      <c r="AV36" s="8">
        <v>72.45</v>
      </c>
      <c r="AW36" s="8">
        <v>67.819999999999993</v>
      </c>
      <c r="AX36" s="8">
        <v>76.58</v>
      </c>
      <c r="AY36" s="8">
        <v>74.73</v>
      </c>
      <c r="AZ36" s="8">
        <v>68.430000000000007</v>
      </c>
      <c r="BA36" s="8">
        <v>80.11</v>
      </c>
      <c r="BB36" s="8">
        <v>80.84</v>
      </c>
      <c r="BC36" s="8">
        <v>67.34</v>
      </c>
      <c r="BD36" s="8">
        <v>73.28</v>
      </c>
      <c r="BE36" s="8">
        <v>77.989999999999995</v>
      </c>
      <c r="BF36" s="8">
        <v>72.150000000000006</v>
      </c>
      <c r="BG36" s="8">
        <v>70.849999999999994</v>
      </c>
      <c r="BH36" s="8">
        <v>72.459999999999994</v>
      </c>
      <c r="BN36" s="8">
        <v>79.41</v>
      </c>
      <c r="BP36" s="8">
        <v>81.17</v>
      </c>
      <c r="BQ36" s="8">
        <v>56.65</v>
      </c>
      <c r="BR36" s="8">
        <v>56.65</v>
      </c>
      <c r="CH36" s="8">
        <v>53.77</v>
      </c>
      <c r="CI36" s="8">
        <v>53.77</v>
      </c>
      <c r="CL36" s="8">
        <v>83.31</v>
      </c>
      <c r="DB36" s="8">
        <v>82.62</v>
      </c>
      <c r="DC36" s="8">
        <v>79.099999999999994</v>
      </c>
      <c r="DD36" s="8">
        <v>84.57</v>
      </c>
      <c r="DE36" s="8">
        <v>82.14</v>
      </c>
      <c r="DU36" s="8">
        <v>83.33</v>
      </c>
      <c r="EK36" s="8">
        <v>89.6</v>
      </c>
      <c r="EL36" s="8">
        <v>78.52</v>
      </c>
      <c r="EM36" s="8">
        <v>76.209999999999994</v>
      </c>
      <c r="EQ36" s="8">
        <v>77.89</v>
      </c>
      <c r="EX36" s="8">
        <v>82.07</v>
      </c>
      <c r="EY36" s="8">
        <v>79.67</v>
      </c>
      <c r="FC36" s="8">
        <v>84.94</v>
      </c>
      <c r="FD36" s="8">
        <v>92.7</v>
      </c>
      <c r="FE36" s="8">
        <v>83.4</v>
      </c>
      <c r="FH36" s="8">
        <v>78.790000000000006</v>
      </c>
      <c r="FI36" s="8">
        <v>79.099999999999994</v>
      </c>
      <c r="FJ36" s="8">
        <v>78.56</v>
      </c>
      <c r="FK36" s="8">
        <v>78.37</v>
      </c>
      <c r="FL36" s="8">
        <v>79.510000000000005</v>
      </c>
      <c r="FM36" s="8">
        <v>82.89</v>
      </c>
      <c r="FN36" s="8">
        <v>78</v>
      </c>
      <c r="FO36" s="8">
        <v>82.93</v>
      </c>
      <c r="FP36" s="8">
        <v>85.14</v>
      </c>
      <c r="FQ36" s="8">
        <v>86.02</v>
      </c>
      <c r="FR36" s="8">
        <v>84.77</v>
      </c>
      <c r="FS36" s="8">
        <v>81.53</v>
      </c>
      <c r="FT36" s="8">
        <v>76.78</v>
      </c>
      <c r="FU36" s="8">
        <v>77.73</v>
      </c>
      <c r="FV36" s="8">
        <v>77.03</v>
      </c>
      <c r="FW36" s="8">
        <v>75.069999999999993</v>
      </c>
      <c r="FX36" s="8">
        <v>80.91</v>
      </c>
      <c r="FY36" s="8">
        <v>78.709999999999994</v>
      </c>
      <c r="FZ36" s="8">
        <v>81.88</v>
      </c>
      <c r="GA36" s="8">
        <v>74.739999999999995</v>
      </c>
      <c r="GB36" s="8">
        <v>70.37</v>
      </c>
      <c r="GC36" s="8">
        <v>79.75</v>
      </c>
      <c r="GD36" s="8">
        <v>81.2</v>
      </c>
      <c r="GE36" s="8">
        <v>68.47</v>
      </c>
      <c r="GF36" s="8">
        <v>73.319999999999993</v>
      </c>
      <c r="GG36" s="8">
        <v>76.88</v>
      </c>
      <c r="GH36" s="8">
        <v>71.41</v>
      </c>
      <c r="GI36" s="8">
        <v>69.41</v>
      </c>
      <c r="GJ36" s="8">
        <v>71.989999999999995</v>
      </c>
      <c r="GP36" s="8">
        <v>80.53</v>
      </c>
      <c r="GR36" s="8">
        <v>81.41</v>
      </c>
      <c r="GS36" s="8">
        <v>54.87</v>
      </c>
      <c r="GT36" s="8">
        <v>54.87</v>
      </c>
      <c r="HJ36" s="8">
        <v>64.319999999999993</v>
      </c>
      <c r="HK36" s="8">
        <v>64.319999999999993</v>
      </c>
      <c r="HN36" s="8">
        <v>79.430000000000007</v>
      </c>
      <c r="ID36" s="8">
        <v>83.8</v>
      </c>
      <c r="IE36" s="8">
        <v>80.41</v>
      </c>
      <c r="IF36" s="8">
        <v>85.16</v>
      </c>
      <c r="IG36" s="8">
        <v>83.75</v>
      </c>
    </row>
    <row r="37" spans="1:241" x14ac:dyDescent="0.2">
      <c r="A37" s="9">
        <v>43770</v>
      </c>
      <c r="I37" s="8">
        <v>88.88</v>
      </c>
      <c r="J37" s="8">
        <v>79.930000000000007</v>
      </c>
      <c r="K37" s="8">
        <v>65.48</v>
      </c>
      <c r="O37" s="8">
        <v>77.94</v>
      </c>
      <c r="V37" s="8">
        <v>85.69</v>
      </c>
      <c r="W37" s="8">
        <v>76.73</v>
      </c>
      <c r="AA37" s="8">
        <v>83.08</v>
      </c>
      <c r="AB37" s="8">
        <v>93.15</v>
      </c>
      <c r="AC37" s="8">
        <v>82.3</v>
      </c>
      <c r="AF37" s="8">
        <v>77.47</v>
      </c>
      <c r="AG37" s="8">
        <v>76.260000000000005</v>
      </c>
      <c r="AH37" s="8">
        <v>78.2</v>
      </c>
      <c r="AI37" s="8">
        <v>79.48</v>
      </c>
      <c r="AJ37" s="8">
        <v>77.89</v>
      </c>
      <c r="AK37" s="8">
        <v>82.07</v>
      </c>
      <c r="AL37" s="8">
        <v>77.17</v>
      </c>
      <c r="AM37" s="8">
        <v>84.13</v>
      </c>
      <c r="AN37" s="8">
        <v>79.12</v>
      </c>
      <c r="AO37" s="8">
        <v>86.59</v>
      </c>
      <c r="AP37" s="8">
        <v>83.88</v>
      </c>
      <c r="AQ37" s="8">
        <v>82.55</v>
      </c>
      <c r="AR37" s="8">
        <v>77.209999999999994</v>
      </c>
      <c r="AS37" s="8">
        <v>76.489999999999995</v>
      </c>
      <c r="AT37" s="8">
        <v>78.03</v>
      </c>
      <c r="AU37" s="8">
        <v>77.239999999999995</v>
      </c>
      <c r="AV37" s="8">
        <v>73.84</v>
      </c>
      <c r="AW37" s="8">
        <v>70.27</v>
      </c>
      <c r="AX37" s="8">
        <v>76.989999999999995</v>
      </c>
      <c r="AY37" s="8">
        <v>75.39</v>
      </c>
      <c r="AZ37" s="8">
        <v>67.94</v>
      </c>
      <c r="BA37" s="8">
        <v>79.94</v>
      </c>
      <c r="BB37" s="8">
        <v>81.28</v>
      </c>
      <c r="BC37" s="8">
        <v>67.45</v>
      </c>
      <c r="BD37" s="8">
        <v>73.790000000000006</v>
      </c>
      <c r="BE37" s="8">
        <v>79.739999999999995</v>
      </c>
      <c r="BF37" s="8">
        <v>71.569999999999993</v>
      </c>
      <c r="BG37" s="8">
        <v>71.040000000000006</v>
      </c>
      <c r="BH37" s="8">
        <v>71.61</v>
      </c>
      <c r="BN37" s="8">
        <v>79.260000000000005</v>
      </c>
      <c r="BP37" s="8">
        <v>80.72</v>
      </c>
      <c r="BQ37" s="8">
        <v>57.09</v>
      </c>
      <c r="BR37" s="8">
        <v>57.09</v>
      </c>
      <c r="CH37" s="8">
        <v>53.83</v>
      </c>
      <c r="CI37" s="8">
        <v>53.83</v>
      </c>
      <c r="CL37" s="8">
        <v>83.31</v>
      </c>
      <c r="DB37" s="8">
        <v>83.54</v>
      </c>
      <c r="DC37" s="8">
        <v>79.5</v>
      </c>
      <c r="DD37" s="8">
        <v>85.95</v>
      </c>
      <c r="DE37" s="8">
        <v>82.83</v>
      </c>
      <c r="DU37" s="8">
        <v>82.65</v>
      </c>
      <c r="EK37" s="8">
        <v>83.99</v>
      </c>
      <c r="EL37" s="8">
        <v>75.2</v>
      </c>
      <c r="EM37" s="8">
        <v>69.819999999999993</v>
      </c>
      <c r="EQ37" s="8">
        <v>78.209999999999994</v>
      </c>
      <c r="EX37" s="8">
        <v>82.07</v>
      </c>
      <c r="EY37" s="8">
        <v>79.67</v>
      </c>
      <c r="FC37" s="8">
        <v>85.02</v>
      </c>
      <c r="FD37" s="8">
        <v>93.15</v>
      </c>
      <c r="FE37" s="8">
        <v>83.4</v>
      </c>
      <c r="FH37" s="8">
        <v>79.099999999999994</v>
      </c>
      <c r="FI37" s="8">
        <v>78.739999999999995</v>
      </c>
      <c r="FJ37" s="8">
        <v>79.540000000000006</v>
      </c>
      <c r="FK37" s="8">
        <v>80.069999999999993</v>
      </c>
      <c r="FL37" s="8">
        <v>77.94</v>
      </c>
      <c r="FM37" s="8">
        <v>82.75</v>
      </c>
      <c r="FN37" s="8">
        <v>77.37</v>
      </c>
      <c r="FO37" s="8">
        <v>83.83</v>
      </c>
      <c r="FP37" s="8">
        <v>85.27</v>
      </c>
      <c r="FQ37" s="8">
        <v>85.8</v>
      </c>
      <c r="FR37" s="8">
        <v>84.23</v>
      </c>
      <c r="FS37" s="8">
        <v>81.59</v>
      </c>
      <c r="FT37" s="8">
        <v>77.459999999999994</v>
      </c>
      <c r="FU37" s="8">
        <v>78.150000000000006</v>
      </c>
      <c r="FV37" s="8">
        <v>77.73</v>
      </c>
      <c r="FW37" s="8">
        <v>76.040000000000006</v>
      </c>
      <c r="FX37" s="8">
        <v>81.739999999999995</v>
      </c>
      <c r="FY37" s="8">
        <v>82</v>
      </c>
      <c r="FZ37" s="8">
        <v>81.010000000000005</v>
      </c>
      <c r="GA37" s="8">
        <v>75.64</v>
      </c>
      <c r="GB37" s="8">
        <v>70.31</v>
      </c>
      <c r="GC37" s="8">
        <v>79.61</v>
      </c>
      <c r="GD37" s="8">
        <v>81.47</v>
      </c>
      <c r="GE37" s="8">
        <v>69.63</v>
      </c>
      <c r="GF37" s="8">
        <v>73.98</v>
      </c>
      <c r="GG37" s="8">
        <v>78.930000000000007</v>
      </c>
      <c r="GH37" s="8">
        <v>71.069999999999993</v>
      </c>
      <c r="GI37" s="8">
        <v>70.06</v>
      </c>
      <c r="GJ37" s="8">
        <v>71.36</v>
      </c>
      <c r="GP37" s="8">
        <v>80.94</v>
      </c>
      <c r="GR37" s="8">
        <v>80.290000000000006</v>
      </c>
      <c r="GS37" s="8">
        <v>55.49</v>
      </c>
      <c r="GT37" s="8">
        <v>55.49</v>
      </c>
      <c r="HJ37" s="8">
        <v>63.9</v>
      </c>
      <c r="HK37" s="8">
        <v>63.9</v>
      </c>
      <c r="HN37" s="8">
        <v>79.430000000000007</v>
      </c>
      <c r="ID37" s="8">
        <v>84.75</v>
      </c>
      <c r="IE37" s="8">
        <v>80.930000000000007</v>
      </c>
      <c r="IF37" s="8">
        <v>86.54</v>
      </c>
      <c r="IG37" s="8">
        <v>84.55</v>
      </c>
    </row>
    <row r="38" spans="1:241" x14ac:dyDescent="0.2">
      <c r="A38" s="9">
        <v>43800</v>
      </c>
      <c r="I38" s="8">
        <v>101.98</v>
      </c>
      <c r="J38" s="8">
        <v>91.55</v>
      </c>
      <c r="K38" s="8">
        <v>75.290000000000006</v>
      </c>
      <c r="O38" s="8">
        <v>78.66</v>
      </c>
      <c r="V38" s="8">
        <v>85.69</v>
      </c>
      <c r="W38" s="8">
        <v>76.73</v>
      </c>
      <c r="AA38" s="8">
        <v>83.16</v>
      </c>
      <c r="AB38" s="8">
        <v>94.33</v>
      </c>
      <c r="AC38" s="8">
        <v>82.28</v>
      </c>
      <c r="AF38" s="8">
        <v>78.239999999999995</v>
      </c>
      <c r="AG38" s="8">
        <v>76.739999999999995</v>
      </c>
      <c r="AH38" s="8">
        <v>78.45</v>
      </c>
      <c r="AI38" s="8">
        <v>81.430000000000007</v>
      </c>
      <c r="AJ38" s="8">
        <v>80.41</v>
      </c>
      <c r="AK38" s="8">
        <v>82.82</v>
      </c>
      <c r="AL38" s="8">
        <v>78.36</v>
      </c>
      <c r="AM38" s="8">
        <v>84.27</v>
      </c>
      <c r="AN38" s="8">
        <v>80.09</v>
      </c>
      <c r="AO38" s="8">
        <v>86.67</v>
      </c>
      <c r="AP38" s="8">
        <v>84.55</v>
      </c>
      <c r="AQ38" s="8">
        <v>83.71</v>
      </c>
      <c r="AR38" s="8">
        <v>77.89</v>
      </c>
      <c r="AS38" s="8">
        <v>77.34</v>
      </c>
      <c r="AT38" s="8">
        <v>77.97</v>
      </c>
      <c r="AU38" s="8">
        <v>78.44</v>
      </c>
      <c r="AV38" s="8">
        <v>76.98</v>
      </c>
      <c r="AW38" s="8">
        <v>76.27</v>
      </c>
      <c r="AX38" s="8">
        <v>77.44</v>
      </c>
      <c r="AY38" s="8">
        <v>75.83</v>
      </c>
      <c r="AZ38" s="8">
        <v>68.040000000000006</v>
      </c>
      <c r="BA38" s="8">
        <v>81.709999999999994</v>
      </c>
      <c r="BB38" s="8">
        <v>80.180000000000007</v>
      </c>
      <c r="BC38" s="8">
        <v>67.22</v>
      </c>
      <c r="BD38" s="8">
        <v>74.22</v>
      </c>
      <c r="BE38" s="8">
        <v>81.099999999999994</v>
      </c>
      <c r="BF38" s="8">
        <v>71.209999999999994</v>
      </c>
      <c r="BG38" s="8">
        <v>71.84</v>
      </c>
      <c r="BH38" s="8">
        <v>70.849999999999994</v>
      </c>
      <c r="BN38" s="8">
        <v>78.3</v>
      </c>
      <c r="BP38" s="8">
        <v>80.59</v>
      </c>
      <c r="BQ38" s="8">
        <v>57.35</v>
      </c>
      <c r="BR38" s="8">
        <v>57.35</v>
      </c>
      <c r="CH38" s="8">
        <v>53.9</v>
      </c>
      <c r="CI38" s="8">
        <v>53.9</v>
      </c>
      <c r="CL38" s="8">
        <v>83.31</v>
      </c>
      <c r="DB38" s="8">
        <v>83.11</v>
      </c>
      <c r="DC38" s="8">
        <v>81.3</v>
      </c>
      <c r="DD38" s="8">
        <v>85.43</v>
      </c>
      <c r="DE38" s="8">
        <v>81.96</v>
      </c>
      <c r="DU38" s="8">
        <v>82.77</v>
      </c>
      <c r="EK38" s="8">
        <v>95.2</v>
      </c>
      <c r="EL38" s="8">
        <v>85.05</v>
      </c>
      <c r="EM38" s="8">
        <v>79.33</v>
      </c>
      <c r="EQ38" s="8">
        <v>78.67</v>
      </c>
      <c r="EX38" s="8">
        <v>82.07</v>
      </c>
      <c r="EY38" s="8">
        <v>79.67</v>
      </c>
      <c r="FC38" s="8">
        <v>85.71</v>
      </c>
      <c r="FD38" s="8">
        <v>94.33</v>
      </c>
      <c r="FE38" s="8">
        <v>84</v>
      </c>
      <c r="FH38" s="8">
        <v>80.13</v>
      </c>
      <c r="FI38" s="8">
        <v>79.44</v>
      </c>
      <c r="FJ38" s="8">
        <v>80.06</v>
      </c>
      <c r="FK38" s="8">
        <v>82.3</v>
      </c>
      <c r="FL38" s="8">
        <v>82.28</v>
      </c>
      <c r="FM38" s="8">
        <v>83.45</v>
      </c>
      <c r="FN38" s="8">
        <v>79.72</v>
      </c>
      <c r="FO38" s="8">
        <v>83.74</v>
      </c>
      <c r="FP38" s="8">
        <v>82.99</v>
      </c>
      <c r="FQ38" s="8">
        <v>86.76</v>
      </c>
      <c r="FR38" s="8">
        <v>85.32</v>
      </c>
      <c r="FS38" s="8">
        <v>82.06</v>
      </c>
      <c r="FT38" s="8">
        <v>78.36</v>
      </c>
      <c r="FU38" s="8">
        <v>79.47</v>
      </c>
      <c r="FV38" s="8">
        <v>77.33</v>
      </c>
      <c r="FW38" s="8">
        <v>77.650000000000006</v>
      </c>
      <c r="FX38" s="8">
        <v>84.63</v>
      </c>
      <c r="FY38" s="8">
        <v>86.37</v>
      </c>
      <c r="FZ38" s="8">
        <v>82.88</v>
      </c>
      <c r="GA38" s="8">
        <v>76.14</v>
      </c>
      <c r="GB38" s="8">
        <v>70.239999999999995</v>
      </c>
      <c r="GC38" s="8">
        <v>81.17</v>
      </c>
      <c r="GD38" s="8">
        <v>79.98</v>
      </c>
      <c r="GE38" s="8">
        <v>69.209999999999994</v>
      </c>
      <c r="GF38" s="8">
        <v>74.77</v>
      </c>
      <c r="GG38" s="8">
        <v>80.22</v>
      </c>
      <c r="GH38" s="8">
        <v>70.33</v>
      </c>
      <c r="GI38" s="8">
        <v>71.8</v>
      </c>
      <c r="GJ38" s="8">
        <v>69.900000000000006</v>
      </c>
      <c r="GP38" s="8">
        <v>79.47</v>
      </c>
      <c r="GR38" s="8">
        <v>80.94</v>
      </c>
      <c r="GS38" s="8">
        <v>55.74</v>
      </c>
      <c r="GT38" s="8">
        <v>55.74</v>
      </c>
      <c r="HJ38" s="8">
        <v>63.59</v>
      </c>
      <c r="HK38" s="8">
        <v>63.59</v>
      </c>
      <c r="HN38" s="8">
        <v>79.430000000000007</v>
      </c>
      <c r="ID38" s="8">
        <v>84.1</v>
      </c>
      <c r="IE38" s="8">
        <v>83.05</v>
      </c>
      <c r="IF38" s="8">
        <v>86.2</v>
      </c>
      <c r="IG38" s="8">
        <v>83.39</v>
      </c>
    </row>
    <row r="39" spans="1:241" x14ac:dyDescent="0.2">
      <c r="A39" s="9">
        <v>43831</v>
      </c>
      <c r="I39" s="8">
        <v>100.93</v>
      </c>
      <c r="J39" s="8">
        <v>90.51</v>
      </c>
      <c r="K39" s="8">
        <v>74.61</v>
      </c>
      <c r="O39" s="8">
        <v>80.010000000000005</v>
      </c>
      <c r="V39" s="8">
        <v>85.69</v>
      </c>
      <c r="W39" s="8">
        <v>76.73</v>
      </c>
      <c r="AA39" s="8">
        <v>83.13</v>
      </c>
      <c r="AB39" s="8">
        <v>93.99</v>
      </c>
      <c r="AC39" s="8">
        <v>82.28</v>
      </c>
      <c r="AF39" s="8">
        <v>78.23</v>
      </c>
      <c r="AG39" s="8">
        <v>76.7</v>
      </c>
      <c r="AH39" s="8">
        <v>78.87</v>
      </c>
      <c r="AI39" s="8">
        <v>80.61</v>
      </c>
      <c r="AJ39" s="8">
        <v>79.650000000000006</v>
      </c>
      <c r="AK39" s="8">
        <v>83.27</v>
      </c>
      <c r="AL39" s="8">
        <v>79.09</v>
      </c>
      <c r="AM39" s="8">
        <v>84.36</v>
      </c>
      <c r="AN39" s="8">
        <v>80.430000000000007</v>
      </c>
      <c r="AO39" s="8">
        <v>87.1</v>
      </c>
      <c r="AP39" s="8">
        <v>84.92</v>
      </c>
      <c r="AQ39" s="8">
        <v>84.16</v>
      </c>
      <c r="AR39" s="8">
        <v>77.97</v>
      </c>
      <c r="AS39" s="8">
        <v>76.89</v>
      </c>
      <c r="AT39" s="8">
        <v>78.56</v>
      </c>
      <c r="AU39" s="8">
        <v>78.62</v>
      </c>
      <c r="AV39" s="8">
        <v>79.430000000000007</v>
      </c>
      <c r="AW39" s="8">
        <v>79.319999999999993</v>
      </c>
      <c r="AX39" s="8">
        <v>79.319999999999993</v>
      </c>
      <c r="AY39" s="8">
        <v>76.67</v>
      </c>
      <c r="AZ39" s="8">
        <v>68.23</v>
      </c>
      <c r="BA39" s="8">
        <v>81.64</v>
      </c>
      <c r="BB39" s="8">
        <v>81.91</v>
      </c>
      <c r="BC39" s="8">
        <v>68.13</v>
      </c>
      <c r="BD39" s="8">
        <v>75.760000000000005</v>
      </c>
      <c r="BE39" s="8">
        <v>80.680000000000007</v>
      </c>
      <c r="BF39" s="8">
        <v>72.2</v>
      </c>
      <c r="BG39" s="8">
        <v>73.09</v>
      </c>
      <c r="BH39" s="8">
        <v>71.739999999999995</v>
      </c>
      <c r="BN39" s="8">
        <v>79.97</v>
      </c>
      <c r="BP39" s="8">
        <v>81.430000000000007</v>
      </c>
      <c r="BQ39" s="8">
        <v>57.75</v>
      </c>
      <c r="BR39" s="8">
        <v>57.75</v>
      </c>
      <c r="CH39" s="8">
        <v>54.18</v>
      </c>
      <c r="CI39" s="8">
        <v>54.18</v>
      </c>
      <c r="CL39" s="8">
        <v>83.31</v>
      </c>
      <c r="DB39" s="8">
        <v>83.23</v>
      </c>
      <c r="DC39" s="8">
        <v>78.709999999999994</v>
      </c>
      <c r="DD39" s="8">
        <v>86.73</v>
      </c>
      <c r="DE39" s="8">
        <v>81.819999999999993</v>
      </c>
      <c r="DU39" s="8">
        <v>82.57</v>
      </c>
      <c r="EK39" s="8">
        <v>92.75</v>
      </c>
      <c r="EL39" s="8">
        <v>81.93</v>
      </c>
      <c r="EM39" s="8">
        <v>78.23</v>
      </c>
      <c r="EQ39" s="8">
        <v>80.069999999999993</v>
      </c>
      <c r="EX39" s="8">
        <v>82.07</v>
      </c>
      <c r="EY39" s="8">
        <v>79.67</v>
      </c>
      <c r="FC39" s="8">
        <v>85.65</v>
      </c>
      <c r="FD39" s="8">
        <v>93.99</v>
      </c>
      <c r="FE39" s="8">
        <v>84</v>
      </c>
      <c r="FH39" s="8">
        <v>80.010000000000005</v>
      </c>
      <c r="FI39" s="8">
        <v>79.790000000000006</v>
      </c>
      <c r="FJ39" s="8">
        <v>80.180000000000007</v>
      </c>
      <c r="FK39" s="8">
        <v>81.709999999999994</v>
      </c>
      <c r="FL39" s="8">
        <v>79.02</v>
      </c>
      <c r="FM39" s="8">
        <v>83.75</v>
      </c>
      <c r="FN39" s="8">
        <v>80</v>
      </c>
      <c r="FO39" s="8">
        <v>84.14</v>
      </c>
      <c r="FP39" s="8">
        <v>83.85</v>
      </c>
      <c r="FQ39" s="8">
        <v>85.91</v>
      </c>
      <c r="FR39" s="8">
        <v>85.6</v>
      </c>
      <c r="FS39" s="8">
        <v>83.23</v>
      </c>
      <c r="FT39" s="8">
        <v>78.430000000000007</v>
      </c>
      <c r="FU39" s="8">
        <v>79.22</v>
      </c>
      <c r="FV39" s="8">
        <v>78.040000000000006</v>
      </c>
      <c r="FW39" s="8">
        <v>77.52</v>
      </c>
      <c r="FX39" s="8">
        <v>82.8</v>
      </c>
      <c r="FY39" s="8">
        <v>81.19</v>
      </c>
      <c r="FZ39" s="8">
        <v>83.35</v>
      </c>
      <c r="GA39" s="8">
        <v>76.78</v>
      </c>
      <c r="GB39" s="8">
        <v>70.42</v>
      </c>
      <c r="GC39" s="8">
        <v>80.94</v>
      </c>
      <c r="GD39" s="8">
        <v>82.24</v>
      </c>
      <c r="GE39" s="8">
        <v>68.989999999999995</v>
      </c>
      <c r="GF39" s="8">
        <v>75.94</v>
      </c>
      <c r="GG39" s="8">
        <v>79.77</v>
      </c>
      <c r="GH39" s="8">
        <v>71.42</v>
      </c>
      <c r="GI39" s="8">
        <v>72.989999999999995</v>
      </c>
      <c r="GJ39" s="8">
        <v>70.959999999999994</v>
      </c>
      <c r="GP39" s="8">
        <v>80.97</v>
      </c>
      <c r="GR39" s="8">
        <v>80.98</v>
      </c>
      <c r="GS39" s="8">
        <v>56.11</v>
      </c>
      <c r="GT39" s="8">
        <v>56.11</v>
      </c>
      <c r="HJ39" s="8">
        <v>63.98</v>
      </c>
      <c r="HK39" s="8">
        <v>63.98</v>
      </c>
      <c r="HN39" s="8">
        <v>79.430000000000007</v>
      </c>
      <c r="ID39" s="8">
        <v>84.19</v>
      </c>
      <c r="IE39" s="8">
        <v>80.069999999999993</v>
      </c>
      <c r="IF39" s="8">
        <v>87.46</v>
      </c>
      <c r="IG39" s="8">
        <v>83.28</v>
      </c>
    </row>
    <row r="40" spans="1:241" x14ac:dyDescent="0.2">
      <c r="A40" s="9">
        <v>43862</v>
      </c>
      <c r="I40" s="8">
        <v>88.19</v>
      </c>
      <c r="J40" s="8">
        <v>80.66</v>
      </c>
      <c r="K40" s="8">
        <v>63.66</v>
      </c>
      <c r="O40" s="8">
        <v>78.66</v>
      </c>
      <c r="V40" s="8">
        <v>88.04</v>
      </c>
      <c r="W40" s="8">
        <v>77.790000000000006</v>
      </c>
      <c r="AA40" s="8">
        <v>83.13</v>
      </c>
      <c r="AB40" s="8">
        <v>94.01</v>
      </c>
      <c r="AC40" s="8">
        <v>82.28</v>
      </c>
      <c r="AF40" s="8">
        <v>78.06</v>
      </c>
      <c r="AG40" s="8">
        <v>76.88</v>
      </c>
      <c r="AH40" s="8">
        <v>78.13</v>
      </c>
      <c r="AI40" s="8">
        <v>80.81</v>
      </c>
      <c r="AJ40" s="8">
        <v>80.03</v>
      </c>
      <c r="AK40" s="8">
        <v>83.1</v>
      </c>
      <c r="AL40" s="8">
        <v>78.959999999999994</v>
      </c>
      <c r="AM40" s="8">
        <v>84.84</v>
      </c>
      <c r="AN40" s="8">
        <v>81.569999999999993</v>
      </c>
      <c r="AO40" s="8">
        <v>86.81</v>
      </c>
      <c r="AP40" s="8">
        <v>84.77</v>
      </c>
      <c r="AQ40" s="8">
        <v>82.68</v>
      </c>
      <c r="AR40" s="8">
        <v>77.64</v>
      </c>
      <c r="AS40" s="8">
        <v>76.47</v>
      </c>
      <c r="AT40" s="8">
        <v>79.08</v>
      </c>
      <c r="AU40" s="8">
        <v>77.569999999999993</v>
      </c>
      <c r="AV40" s="8">
        <v>77.22</v>
      </c>
      <c r="AW40" s="8">
        <v>75.11</v>
      </c>
      <c r="AX40" s="8">
        <v>78.989999999999995</v>
      </c>
      <c r="AY40" s="8">
        <v>75.84</v>
      </c>
      <c r="AZ40" s="8">
        <v>68.37</v>
      </c>
      <c r="BA40" s="8">
        <v>80.98</v>
      </c>
      <c r="BB40" s="8">
        <v>81.89</v>
      </c>
      <c r="BC40" s="8">
        <v>67.180000000000007</v>
      </c>
      <c r="BD40" s="8">
        <v>74.569999999999993</v>
      </c>
      <c r="BE40" s="8">
        <v>79.8</v>
      </c>
      <c r="BF40" s="8">
        <v>72.59</v>
      </c>
      <c r="BG40" s="8">
        <v>72</v>
      </c>
      <c r="BH40" s="8">
        <v>72.64</v>
      </c>
      <c r="BN40" s="8">
        <v>80.03</v>
      </c>
      <c r="BP40" s="8">
        <v>82.17</v>
      </c>
      <c r="BQ40" s="8">
        <v>57.97</v>
      </c>
      <c r="BR40" s="8">
        <v>57.97</v>
      </c>
      <c r="CH40" s="8">
        <v>54.48</v>
      </c>
      <c r="CI40" s="8">
        <v>54.48</v>
      </c>
      <c r="CL40" s="8">
        <v>83.31</v>
      </c>
      <c r="DB40" s="8">
        <v>83.5</v>
      </c>
      <c r="DC40" s="8">
        <v>80.64</v>
      </c>
      <c r="DD40" s="8">
        <v>85.7</v>
      </c>
      <c r="DE40" s="8">
        <v>82.68</v>
      </c>
      <c r="DU40" s="8">
        <v>78.83</v>
      </c>
      <c r="EK40" s="8">
        <v>83.2</v>
      </c>
      <c r="EL40" s="8">
        <v>75.53</v>
      </c>
      <c r="EM40" s="8">
        <v>68.099999999999994</v>
      </c>
      <c r="EQ40" s="8">
        <v>78.849999999999994</v>
      </c>
      <c r="EX40" s="8">
        <v>82.83</v>
      </c>
      <c r="EY40" s="8">
        <v>80.62</v>
      </c>
      <c r="FC40" s="8">
        <v>85.66</v>
      </c>
      <c r="FD40" s="8">
        <v>94.01</v>
      </c>
      <c r="FE40" s="8">
        <v>84</v>
      </c>
      <c r="FH40" s="8">
        <v>79.930000000000007</v>
      </c>
      <c r="FI40" s="8">
        <v>80.03</v>
      </c>
      <c r="FJ40" s="8">
        <v>79.430000000000007</v>
      </c>
      <c r="FK40" s="8">
        <v>81.650000000000006</v>
      </c>
      <c r="FL40" s="8">
        <v>81.13</v>
      </c>
      <c r="FM40" s="8">
        <v>83.84</v>
      </c>
      <c r="FN40" s="8">
        <v>80.819999999999993</v>
      </c>
      <c r="FO40" s="8">
        <v>84.59</v>
      </c>
      <c r="FP40" s="8">
        <v>84.97</v>
      </c>
      <c r="FQ40" s="8">
        <v>85.72</v>
      </c>
      <c r="FR40" s="8">
        <v>85.14</v>
      </c>
      <c r="FS40" s="8">
        <v>82.15</v>
      </c>
      <c r="FT40" s="8">
        <v>78.02</v>
      </c>
      <c r="FU40" s="8">
        <v>78.39</v>
      </c>
      <c r="FV40" s="8">
        <v>79.08</v>
      </c>
      <c r="FW40" s="8">
        <v>76.260000000000005</v>
      </c>
      <c r="FX40" s="8">
        <v>85.77</v>
      </c>
      <c r="FY40" s="8">
        <v>84.59</v>
      </c>
      <c r="FZ40" s="8">
        <v>86.02</v>
      </c>
      <c r="GA40" s="8">
        <v>76.31</v>
      </c>
      <c r="GB40" s="8">
        <v>70.98</v>
      </c>
      <c r="GC40" s="8">
        <v>80.87</v>
      </c>
      <c r="GD40" s="8">
        <v>82.35</v>
      </c>
      <c r="GE40" s="8">
        <v>68.89</v>
      </c>
      <c r="GF40" s="8">
        <v>75.19</v>
      </c>
      <c r="GG40" s="8">
        <v>79.03</v>
      </c>
      <c r="GH40" s="8">
        <v>71.84</v>
      </c>
      <c r="GI40" s="8">
        <v>71.62</v>
      </c>
      <c r="GJ40" s="8">
        <v>71.89</v>
      </c>
      <c r="GP40" s="8">
        <v>79.55</v>
      </c>
      <c r="GR40" s="8">
        <v>81.75</v>
      </c>
      <c r="GS40" s="8">
        <v>56.38</v>
      </c>
      <c r="GT40" s="8">
        <v>56.38</v>
      </c>
      <c r="HJ40" s="8">
        <v>63.98</v>
      </c>
      <c r="HK40" s="8">
        <v>63.98</v>
      </c>
      <c r="HN40" s="8">
        <v>79.430000000000007</v>
      </c>
      <c r="ID40" s="8">
        <v>84.71</v>
      </c>
      <c r="IE40" s="8">
        <v>81.760000000000005</v>
      </c>
      <c r="IF40" s="8">
        <v>86.5</v>
      </c>
      <c r="IG40" s="8">
        <v>84.4</v>
      </c>
    </row>
    <row r="41" spans="1:241" x14ac:dyDescent="0.2">
      <c r="A41" s="9">
        <v>43891</v>
      </c>
      <c r="I41" s="8">
        <v>90.51</v>
      </c>
      <c r="J41" s="8">
        <v>81.7</v>
      </c>
      <c r="K41" s="8">
        <v>66.39</v>
      </c>
      <c r="O41" s="8">
        <v>80.2</v>
      </c>
      <c r="V41" s="8">
        <v>88.04</v>
      </c>
      <c r="W41" s="8">
        <v>77.790000000000006</v>
      </c>
      <c r="AA41" s="8">
        <v>84.06</v>
      </c>
      <c r="AB41" s="8">
        <v>94.02</v>
      </c>
      <c r="AC41" s="8">
        <v>83.28</v>
      </c>
      <c r="AF41" s="8">
        <v>80.25</v>
      </c>
      <c r="AG41" s="8">
        <v>77.959999999999994</v>
      </c>
      <c r="AH41" s="8">
        <v>80.06</v>
      </c>
      <c r="AI41" s="8">
        <v>84.79</v>
      </c>
      <c r="AJ41" s="8">
        <v>85.28</v>
      </c>
      <c r="AK41" s="8">
        <v>85.53</v>
      </c>
      <c r="AL41" s="8">
        <v>80.92</v>
      </c>
      <c r="AM41" s="8">
        <v>87.29</v>
      </c>
      <c r="AN41" s="8">
        <v>85.47</v>
      </c>
      <c r="AO41" s="8">
        <v>88.69</v>
      </c>
      <c r="AP41" s="8">
        <v>87.84</v>
      </c>
      <c r="AQ41" s="8">
        <v>84.71</v>
      </c>
      <c r="AR41" s="8">
        <v>79.010000000000005</v>
      </c>
      <c r="AS41" s="8">
        <v>78.66</v>
      </c>
      <c r="AT41" s="8">
        <v>79.67</v>
      </c>
      <c r="AU41" s="8">
        <v>78.77</v>
      </c>
      <c r="AV41" s="8">
        <v>82.05</v>
      </c>
      <c r="AW41" s="8">
        <v>81.150000000000006</v>
      </c>
      <c r="AX41" s="8">
        <v>82.66</v>
      </c>
      <c r="AY41" s="8">
        <v>78.040000000000006</v>
      </c>
      <c r="AZ41" s="8">
        <v>69.55</v>
      </c>
      <c r="BA41" s="8">
        <v>84.49</v>
      </c>
      <c r="BB41" s="8">
        <v>83.52</v>
      </c>
      <c r="BC41" s="8">
        <v>68.790000000000006</v>
      </c>
      <c r="BD41" s="8">
        <v>76.599999999999994</v>
      </c>
      <c r="BE41" s="8">
        <v>82.81</v>
      </c>
      <c r="BF41" s="8">
        <v>74.02</v>
      </c>
      <c r="BG41" s="8">
        <v>74.77</v>
      </c>
      <c r="BH41" s="8">
        <v>73.599999999999994</v>
      </c>
      <c r="BN41" s="8">
        <v>80.86</v>
      </c>
      <c r="BP41" s="8">
        <v>82.51</v>
      </c>
      <c r="BQ41" s="8">
        <v>58.72</v>
      </c>
      <c r="BR41" s="8">
        <v>58.72</v>
      </c>
      <c r="CH41" s="8">
        <v>54.53</v>
      </c>
      <c r="CI41" s="8">
        <v>54.53</v>
      </c>
      <c r="CL41" s="8">
        <v>83.31</v>
      </c>
      <c r="DB41" s="8">
        <v>88.45</v>
      </c>
      <c r="DC41" s="8">
        <v>84.67</v>
      </c>
      <c r="DD41" s="8">
        <v>89.87</v>
      </c>
      <c r="DE41" s="8">
        <v>88.45</v>
      </c>
      <c r="DU41" s="8">
        <v>72.58</v>
      </c>
      <c r="EK41" s="8">
        <v>84.82</v>
      </c>
      <c r="EL41" s="8">
        <v>75.680000000000007</v>
      </c>
      <c r="EM41" s="8">
        <v>70.78</v>
      </c>
      <c r="EQ41" s="8">
        <v>80.48</v>
      </c>
      <c r="EX41" s="8">
        <v>82.83</v>
      </c>
      <c r="EY41" s="8">
        <v>80.62</v>
      </c>
      <c r="FC41" s="8">
        <v>85.34</v>
      </c>
      <c r="FD41" s="8">
        <v>94.02</v>
      </c>
      <c r="FE41" s="8">
        <v>83.61</v>
      </c>
      <c r="FH41" s="8">
        <v>82.15</v>
      </c>
      <c r="FI41" s="8">
        <v>80.819999999999993</v>
      </c>
      <c r="FJ41" s="8">
        <v>81.69</v>
      </c>
      <c r="FK41" s="8">
        <v>86.57</v>
      </c>
      <c r="FL41" s="8">
        <v>87.29</v>
      </c>
      <c r="FM41" s="8">
        <v>85.99</v>
      </c>
      <c r="FN41" s="8">
        <v>82.01</v>
      </c>
      <c r="FO41" s="8">
        <v>86.54</v>
      </c>
      <c r="FP41" s="8">
        <v>88.67</v>
      </c>
      <c r="FQ41" s="8">
        <v>87.16</v>
      </c>
      <c r="FR41" s="8">
        <v>87.65</v>
      </c>
      <c r="FS41" s="8">
        <v>85.07</v>
      </c>
      <c r="FT41" s="8">
        <v>79.599999999999994</v>
      </c>
      <c r="FU41" s="8">
        <v>81.14</v>
      </c>
      <c r="FV41" s="8">
        <v>79.52</v>
      </c>
      <c r="FW41" s="8">
        <v>77.44</v>
      </c>
      <c r="FX41" s="8">
        <v>88.85</v>
      </c>
      <c r="FY41" s="8">
        <v>87.73</v>
      </c>
      <c r="FZ41" s="8">
        <v>89.03</v>
      </c>
      <c r="GA41" s="8">
        <v>78.739999999999995</v>
      </c>
      <c r="GB41" s="8">
        <v>71.31</v>
      </c>
      <c r="GC41" s="8">
        <v>83.47</v>
      </c>
      <c r="GD41" s="8">
        <v>84.39</v>
      </c>
      <c r="GE41" s="8">
        <v>69.97</v>
      </c>
      <c r="GF41" s="8">
        <v>77.45</v>
      </c>
      <c r="GG41" s="8">
        <v>83.08</v>
      </c>
      <c r="GH41" s="8">
        <v>73.83</v>
      </c>
      <c r="GI41" s="8">
        <v>74.73</v>
      </c>
      <c r="GJ41" s="8">
        <v>73.56</v>
      </c>
      <c r="GP41" s="8">
        <v>81.08</v>
      </c>
      <c r="GR41" s="8">
        <v>82.4</v>
      </c>
      <c r="GS41" s="8">
        <v>57.39</v>
      </c>
      <c r="GT41" s="8">
        <v>57.39</v>
      </c>
      <c r="HJ41" s="8">
        <v>64.94</v>
      </c>
      <c r="HK41" s="8">
        <v>64.94</v>
      </c>
      <c r="HN41" s="8">
        <v>79.430000000000007</v>
      </c>
      <c r="ID41" s="8">
        <v>89.79</v>
      </c>
      <c r="IE41" s="8">
        <v>85.42</v>
      </c>
      <c r="IF41" s="8">
        <v>90.68</v>
      </c>
      <c r="IG41" s="8">
        <v>90.13</v>
      </c>
    </row>
    <row r="42" spans="1:241" x14ac:dyDescent="0.2">
      <c r="A42" s="9">
        <v>43922</v>
      </c>
      <c r="I42" s="8">
        <v>93.17</v>
      </c>
      <c r="J42" s="8">
        <v>81.78</v>
      </c>
      <c r="K42" s="8">
        <v>70.599999999999994</v>
      </c>
      <c r="O42" s="8">
        <v>82</v>
      </c>
      <c r="V42" s="8">
        <v>88.04</v>
      </c>
      <c r="W42" s="8">
        <v>77.790000000000006</v>
      </c>
      <c r="AA42" s="8">
        <v>83.95</v>
      </c>
      <c r="AB42" s="8">
        <v>92.59</v>
      </c>
      <c r="AC42" s="8">
        <v>83.28</v>
      </c>
      <c r="AF42" s="8">
        <v>81.12</v>
      </c>
      <c r="AG42" s="8">
        <v>77.78</v>
      </c>
      <c r="AH42" s="8">
        <v>80.95</v>
      </c>
      <c r="AI42" s="8">
        <v>87.83</v>
      </c>
      <c r="AJ42" s="8">
        <v>87.77</v>
      </c>
      <c r="AK42" s="8">
        <v>83.88</v>
      </c>
      <c r="AL42" s="8">
        <v>77.099999999999994</v>
      </c>
      <c r="AM42" s="8">
        <v>87.3</v>
      </c>
      <c r="AN42" s="8">
        <v>81.12</v>
      </c>
      <c r="AO42" s="8">
        <v>85.55</v>
      </c>
      <c r="AP42" s="8">
        <v>87.44</v>
      </c>
      <c r="AQ42" s="8">
        <v>87.36</v>
      </c>
      <c r="AR42" s="8">
        <v>79.73</v>
      </c>
      <c r="AS42" s="8">
        <v>78.900000000000006</v>
      </c>
      <c r="AT42" s="8">
        <v>80.19</v>
      </c>
      <c r="AU42" s="8">
        <v>80.239999999999995</v>
      </c>
      <c r="AV42" s="8">
        <v>82.73</v>
      </c>
      <c r="AW42" s="8">
        <v>81.83</v>
      </c>
      <c r="AX42" s="8">
        <v>83.34</v>
      </c>
      <c r="AY42" s="8">
        <v>80.569999999999993</v>
      </c>
      <c r="AZ42" s="8">
        <v>70.86</v>
      </c>
      <c r="BA42" s="8">
        <v>85.65</v>
      </c>
      <c r="BB42" s="8">
        <v>84.66</v>
      </c>
      <c r="BC42" s="8">
        <v>71.88</v>
      </c>
      <c r="BD42" s="8">
        <v>78.69</v>
      </c>
      <c r="BE42" s="8">
        <v>87.13</v>
      </c>
      <c r="BF42" s="8">
        <v>75.819999999999993</v>
      </c>
      <c r="BG42" s="8">
        <v>79.989999999999995</v>
      </c>
      <c r="BH42" s="8">
        <v>74.2</v>
      </c>
      <c r="BN42" s="8">
        <v>79.92</v>
      </c>
      <c r="BP42" s="8">
        <v>83.46</v>
      </c>
      <c r="BQ42" s="8">
        <v>59.27</v>
      </c>
      <c r="BR42" s="8">
        <v>59.27</v>
      </c>
      <c r="CH42" s="8">
        <v>54.72</v>
      </c>
      <c r="CI42" s="8">
        <v>54.72</v>
      </c>
      <c r="CL42" s="8">
        <v>83.31</v>
      </c>
      <c r="DB42" s="8">
        <v>92.39</v>
      </c>
      <c r="DC42" s="8">
        <v>89.53</v>
      </c>
      <c r="DD42" s="8">
        <v>94.76</v>
      </c>
      <c r="DE42" s="8">
        <v>91.46</v>
      </c>
      <c r="DU42" s="8">
        <v>59.83</v>
      </c>
      <c r="EK42" s="8">
        <v>87.69</v>
      </c>
      <c r="EL42" s="8">
        <v>76.569999999999993</v>
      </c>
      <c r="EM42" s="8">
        <v>74.86</v>
      </c>
      <c r="EQ42" s="8">
        <v>82.35</v>
      </c>
      <c r="EX42" s="8">
        <v>82.83</v>
      </c>
      <c r="EY42" s="8">
        <v>80.62</v>
      </c>
      <c r="FC42" s="8">
        <v>85.09</v>
      </c>
      <c r="FD42" s="8">
        <v>92.59</v>
      </c>
      <c r="FE42" s="8">
        <v>83.61</v>
      </c>
      <c r="FH42" s="8">
        <v>83.17</v>
      </c>
      <c r="FI42" s="8">
        <v>81.14</v>
      </c>
      <c r="FJ42" s="8">
        <v>82.7</v>
      </c>
      <c r="FK42" s="8">
        <v>89.38</v>
      </c>
      <c r="FL42" s="8">
        <v>89.97</v>
      </c>
      <c r="FM42" s="8">
        <v>83.62</v>
      </c>
      <c r="FN42" s="8">
        <v>74.83</v>
      </c>
      <c r="FO42" s="8">
        <v>86.05</v>
      </c>
      <c r="FP42" s="8">
        <v>84.57</v>
      </c>
      <c r="FQ42" s="8">
        <v>83.58</v>
      </c>
      <c r="FR42" s="8">
        <v>87.14</v>
      </c>
      <c r="FS42" s="8">
        <v>88.41</v>
      </c>
      <c r="FT42" s="8">
        <v>79.88</v>
      </c>
      <c r="FU42" s="8">
        <v>80.66</v>
      </c>
      <c r="FV42" s="8">
        <v>79.52</v>
      </c>
      <c r="FW42" s="8">
        <v>78.959999999999994</v>
      </c>
      <c r="FX42" s="8">
        <v>86.23</v>
      </c>
      <c r="FY42" s="8">
        <v>80.3</v>
      </c>
      <c r="FZ42" s="8">
        <v>89.72</v>
      </c>
      <c r="GA42" s="8">
        <v>81.2</v>
      </c>
      <c r="GB42" s="8">
        <v>72.06</v>
      </c>
      <c r="GC42" s="8">
        <v>84.52</v>
      </c>
      <c r="GD42" s="8">
        <v>85.2</v>
      </c>
      <c r="GE42" s="8">
        <v>72.72</v>
      </c>
      <c r="GF42" s="8">
        <v>80.11</v>
      </c>
      <c r="GG42" s="8">
        <v>86.59</v>
      </c>
      <c r="GH42" s="8">
        <v>75.739999999999995</v>
      </c>
      <c r="GI42" s="8">
        <v>79.84</v>
      </c>
      <c r="GJ42" s="8">
        <v>74.540000000000006</v>
      </c>
      <c r="GP42" s="8">
        <v>80.260000000000005</v>
      </c>
      <c r="GR42" s="8">
        <v>81.040000000000006</v>
      </c>
      <c r="GS42" s="8">
        <v>58.27</v>
      </c>
      <c r="GT42" s="8">
        <v>58.27</v>
      </c>
      <c r="HJ42" s="8">
        <v>65.040000000000006</v>
      </c>
      <c r="HK42" s="8">
        <v>65.040000000000006</v>
      </c>
      <c r="HN42" s="8">
        <v>79.430000000000007</v>
      </c>
      <c r="ID42" s="8">
        <v>93.36</v>
      </c>
      <c r="IE42" s="8">
        <v>90.41</v>
      </c>
      <c r="IF42" s="8">
        <v>96.52</v>
      </c>
      <c r="IG42" s="8">
        <v>92.38</v>
      </c>
    </row>
    <row r="43" spans="1:241" x14ac:dyDescent="0.2">
      <c r="A43" s="9">
        <v>43952</v>
      </c>
      <c r="I43" s="8">
        <v>91.21</v>
      </c>
      <c r="J43" s="8">
        <v>81.78</v>
      </c>
      <c r="K43" s="8">
        <v>67.44</v>
      </c>
      <c r="O43" s="8">
        <v>80.17</v>
      </c>
      <c r="V43" s="8">
        <v>88.04</v>
      </c>
      <c r="W43" s="8">
        <v>77.790000000000006</v>
      </c>
      <c r="AA43" s="8">
        <v>83.95</v>
      </c>
      <c r="AB43" s="8">
        <v>92.61</v>
      </c>
      <c r="AC43" s="8">
        <v>83.28</v>
      </c>
      <c r="AF43" s="8">
        <v>79.86</v>
      </c>
      <c r="AG43" s="8">
        <v>77.040000000000006</v>
      </c>
      <c r="AH43" s="8">
        <v>79.349999999999994</v>
      </c>
      <c r="AI43" s="8">
        <v>84.99</v>
      </c>
      <c r="AJ43" s="8">
        <v>87.05</v>
      </c>
      <c r="AK43" s="8">
        <v>84.45</v>
      </c>
      <c r="AL43" s="8">
        <v>79.63</v>
      </c>
      <c r="AM43" s="8">
        <v>86.25</v>
      </c>
      <c r="AN43" s="8">
        <v>80.48</v>
      </c>
      <c r="AO43" s="8">
        <v>86.39</v>
      </c>
      <c r="AP43" s="8">
        <v>86.97</v>
      </c>
      <c r="AQ43" s="8">
        <v>87.72</v>
      </c>
      <c r="AR43" s="8">
        <v>78.989999999999995</v>
      </c>
      <c r="AS43" s="8">
        <v>77.900000000000006</v>
      </c>
      <c r="AT43" s="8">
        <v>80.180000000000007</v>
      </c>
      <c r="AU43" s="8">
        <v>79.09</v>
      </c>
      <c r="AV43" s="8">
        <v>80.83</v>
      </c>
      <c r="AW43" s="8">
        <v>80.97</v>
      </c>
      <c r="AX43" s="8">
        <v>80.489999999999995</v>
      </c>
      <c r="AY43" s="8">
        <v>77.819999999999993</v>
      </c>
      <c r="AZ43" s="8">
        <v>70.739999999999995</v>
      </c>
      <c r="BA43" s="8">
        <v>84.76</v>
      </c>
      <c r="BB43" s="8">
        <v>82.66</v>
      </c>
      <c r="BC43" s="8">
        <v>69.23</v>
      </c>
      <c r="BD43" s="8">
        <v>75.260000000000005</v>
      </c>
      <c r="BE43" s="8">
        <v>83.91</v>
      </c>
      <c r="BF43" s="8">
        <v>74.63</v>
      </c>
      <c r="BG43" s="8">
        <v>75.260000000000005</v>
      </c>
      <c r="BH43" s="8">
        <v>74.260000000000005</v>
      </c>
      <c r="BN43" s="8">
        <v>80.8</v>
      </c>
      <c r="BP43" s="8">
        <v>82.28</v>
      </c>
      <c r="BQ43" s="8">
        <v>59.7</v>
      </c>
      <c r="BR43" s="8">
        <v>59.7</v>
      </c>
      <c r="CH43" s="8">
        <v>54.81</v>
      </c>
      <c r="CI43" s="8">
        <v>54.81</v>
      </c>
      <c r="CL43" s="8">
        <v>83.31</v>
      </c>
      <c r="DB43" s="8">
        <v>89.07</v>
      </c>
      <c r="DC43" s="8">
        <v>84.77</v>
      </c>
      <c r="DD43" s="8">
        <v>90.58</v>
      </c>
      <c r="DE43" s="8">
        <v>89.12</v>
      </c>
      <c r="DU43" s="8">
        <v>60.79</v>
      </c>
      <c r="EK43" s="8">
        <v>85.95</v>
      </c>
      <c r="EL43" s="8">
        <v>76.63</v>
      </c>
      <c r="EM43" s="8">
        <v>71.77</v>
      </c>
      <c r="EQ43" s="8">
        <v>80.45</v>
      </c>
      <c r="EX43" s="8">
        <v>82.78</v>
      </c>
      <c r="EY43" s="8">
        <v>80.62</v>
      </c>
      <c r="FC43" s="8">
        <v>85.1</v>
      </c>
      <c r="FD43" s="8">
        <v>92.61</v>
      </c>
      <c r="FE43" s="8">
        <v>83.61</v>
      </c>
      <c r="FH43" s="8">
        <v>81.209999999999994</v>
      </c>
      <c r="FI43" s="8">
        <v>80.34</v>
      </c>
      <c r="FJ43" s="8">
        <v>79.87</v>
      </c>
      <c r="FK43" s="8">
        <v>86</v>
      </c>
      <c r="FL43" s="8">
        <v>88.63</v>
      </c>
      <c r="FM43" s="8">
        <v>85.03</v>
      </c>
      <c r="FN43" s="8">
        <v>80.14</v>
      </c>
      <c r="FO43" s="8">
        <v>86.29</v>
      </c>
      <c r="FP43" s="8">
        <v>84.04</v>
      </c>
      <c r="FQ43" s="8">
        <v>84.87</v>
      </c>
      <c r="FR43" s="8">
        <v>87.56</v>
      </c>
      <c r="FS43" s="8">
        <v>88.01</v>
      </c>
      <c r="FT43" s="8">
        <v>79.239999999999995</v>
      </c>
      <c r="FU43" s="8">
        <v>80.11</v>
      </c>
      <c r="FV43" s="8">
        <v>79.650000000000006</v>
      </c>
      <c r="FW43" s="8">
        <v>77.47</v>
      </c>
      <c r="FX43" s="8">
        <v>83.73</v>
      </c>
      <c r="FY43" s="8">
        <v>80.290000000000006</v>
      </c>
      <c r="FZ43" s="8">
        <v>85.53</v>
      </c>
      <c r="GA43" s="8">
        <v>77.62</v>
      </c>
      <c r="GB43" s="8">
        <v>71.78</v>
      </c>
      <c r="GC43" s="8">
        <v>83.11</v>
      </c>
      <c r="GD43" s="8">
        <v>82.74</v>
      </c>
      <c r="GE43" s="8">
        <v>70.209999999999994</v>
      </c>
      <c r="GF43" s="8">
        <v>75.67</v>
      </c>
      <c r="GG43" s="8">
        <v>82.21</v>
      </c>
      <c r="GH43" s="8">
        <v>74.099999999999994</v>
      </c>
      <c r="GI43" s="8">
        <v>73.790000000000006</v>
      </c>
      <c r="GJ43" s="8">
        <v>74.180000000000007</v>
      </c>
      <c r="GP43" s="8">
        <v>83.24</v>
      </c>
      <c r="GR43" s="8">
        <v>81.31</v>
      </c>
      <c r="GS43" s="8">
        <v>58.38</v>
      </c>
      <c r="GT43" s="8">
        <v>58.38</v>
      </c>
      <c r="HJ43" s="8">
        <v>64.23</v>
      </c>
      <c r="HK43" s="8">
        <v>64.23</v>
      </c>
      <c r="HN43" s="8">
        <v>79.430000000000007</v>
      </c>
      <c r="ID43" s="8">
        <v>90.76</v>
      </c>
      <c r="IE43" s="8">
        <v>85.17</v>
      </c>
      <c r="IF43" s="8">
        <v>91.23</v>
      </c>
      <c r="IG43" s="8">
        <v>91.48</v>
      </c>
    </row>
    <row r="44" spans="1:241" x14ac:dyDescent="0.2">
      <c r="A44" s="9">
        <v>43983</v>
      </c>
      <c r="I44" s="8">
        <v>89.81</v>
      </c>
      <c r="J44" s="8">
        <v>82.36</v>
      </c>
      <c r="K44" s="8">
        <v>64.61</v>
      </c>
      <c r="O44" s="8">
        <v>79.94</v>
      </c>
      <c r="V44" s="8">
        <v>88.04</v>
      </c>
      <c r="W44" s="8">
        <v>77.790000000000006</v>
      </c>
      <c r="AA44" s="8">
        <v>84.47</v>
      </c>
      <c r="AB44" s="8">
        <v>92.96</v>
      </c>
      <c r="AC44" s="8">
        <v>83.82</v>
      </c>
      <c r="AF44" s="8">
        <v>78.86</v>
      </c>
      <c r="AG44" s="8">
        <v>76.73</v>
      </c>
      <c r="AH44" s="8">
        <v>78.91</v>
      </c>
      <c r="AI44" s="8">
        <v>79.87</v>
      </c>
      <c r="AJ44" s="8">
        <v>85.06</v>
      </c>
      <c r="AK44" s="8">
        <v>84.73</v>
      </c>
      <c r="AL44" s="8">
        <v>80.08</v>
      </c>
      <c r="AM44" s="8">
        <v>86.13</v>
      </c>
      <c r="AN44" s="8">
        <v>84.48</v>
      </c>
      <c r="AO44" s="8">
        <v>85.52</v>
      </c>
      <c r="AP44" s="8">
        <v>87.39</v>
      </c>
      <c r="AQ44" s="8">
        <v>86.52</v>
      </c>
      <c r="AR44" s="8">
        <v>78.849999999999994</v>
      </c>
      <c r="AS44" s="8">
        <v>77.430000000000007</v>
      </c>
      <c r="AT44" s="8">
        <v>80.2</v>
      </c>
      <c r="AU44" s="8">
        <v>79.14</v>
      </c>
      <c r="AV44" s="8">
        <v>82.66</v>
      </c>
      <c r="AW44" s="8">
        <v>81.489999999999995</v>
      </c>
      <c r="AX44" s="8">
        <v>83.54</v>
      </c>
      <c r="AY44" s="8">
        <v>76.98</v>
      </c>
      <c r="AZ44" s="8">
        <v>70.7</v>
      </c>
      <c r="BA44" s="8">
        <v>84.25</v>
      </c>
      <c r="BB44" s="8">
        <v>81.849999999999994</v>
      </c>
      <c r="BC44" s="8">
        <v>67.650000000000006</v>
      </c>
      <c r="BD44" s="8">
        <v>75.010000000000005</v>
      </c>
      <c r="BE44" s="8">
        <v>82.16</v>
      </c>
      <c r="BF44" s="8">
        <v>73.77</v>
      </c>
      <c r="BG44" s="8">
        <v>72.349999999999994</v>
      </c>
      <c r="BH44" s="8">
        <v>74.12</v>
      </c>
      <c r="BN44" s="8">
        <v>80.03</v>
      </c>
      <c r="BP44" s="8">
        <v>82.14</v>
      </c>
      <c r="BQ44" s="8">
        <v>59.93</v>
      </c>
      <c r="BR44" s="8">
        <v>59.93</v>
      </c>
      <c r="CH44" s="8">
        <v>56.56</v>
      </c>
      <c r="CI44" s="8">
        <v>56.56</v>
      </c>
      <c r="CL44" s="8">
        <v>83.31</v>
      </c>
      <c r="DB44" s="8">
        <v>85.49</v>
      </c>
      <c r="DC44" s="8">
        <v>82.05</v>
      </c>
      <c r="DD44" s="8">
        <v>87.25</v>
      </c>
      <c r="DE44" s="8">
        <v>85.14</v>
      </c>
      <c r="DU44" s="8">
        <v>66.42</v>
      </c>
      <c r="EK44" s="8">
        <v>80.44</v>
      </c>
      <c r="EL44" s="8">
        <v>71.12</v>
      </c>
      <c r="EM44" s="8">
        <v>67.790000000000006</v>
      </c>
      <c r="EQ44" s="8">
        <v>80.400000000000006</v>
      </c>
      <c r="EX44" s="8">
        <v>82.78</v>
      </c>
      <c r="EY44" s="8">
        <v>80.62</v>
      </c>
      <c r="FC44" s="8">
        <v>85.73</v>
      </c>
      <c r="FD44" s="8">
        <v>92.96</v>
      </c>
      <c r="FE44" s="8">
        <v>84.3</v>
      </c>
      <c r="FH44" s="8">
        <v>80.59</v>
      </c>
      <c r="FI44" s="8">
        <v>80.41</v>
      </c>
      <c r="FJ44" s="8">
        <v>79.72</v>
      </c>
      <c r="FK44" s="8">
        <v>80.92</v>
      </c>
      <c r="FL44" s="8">
        <v>86.51</v>
      </c>
      <c r="FM44" s="8">
        <v>85.33</v>
      </c>
      <c r="FN44" s="8">
        <v>81.63</v>
      </c>
      <c r="FO44" s="8">
        <v>85.57</v>
      </c>
      <c r="FP44" s="8">
        <v>85.21</v>
      </c>
      <c r="FQ44" s="8">
        <v>84.52</v>
      </c>
      <c r="FR44" s="8">
        <v>88.22</v>
      </c>
      <c r="FS44" s="8">
        <v>87.21</v>
      </c>
      <c r="FT44" s="8">
        <v>79.31</v>
      </c>
      <c r="FU44" s="8">
        <v>79.930000000000007</v>
      </c>
      <c r="FV44" s="8">
        <v>79.73</v>
      </c>
      <c r="FW44" s="8">
        <v>77.83</v>
      </c>
      <c r="FX44" s="8">
        <v>87.8</v>
      </c>
      <c r="FY44" s="8">
        <v>87.25</v>
      </c>
      <c r="FZ44" s="8">
        <v>87.59</v>
      </c>
      <c r="GA44" s="8">
        <v>76.91</v>
      </c>
      <c r="GB44" s="8">
        <v>71.959999999999994</v>
      </c>
      <c r="GC44" s="8">
        <v>82.89</v>
      </c>
      <c r="GD44" s="8">
        <v>82.06</v>
      </c>
      <c r="GE44" s="8">
        <v>69.430000000000007</v>
      </c>
      <c r="GF44" s="8">
        <v>75.319999999999993</v>
      </c>
      <c r="GG44" s="8">
        <v>80.540000000000006</v>
      </c>
      <c r="GH44" s="8">
        <v>73.209999999999994</v>
      </c>
      <c r="GI44" s="8">
        <v>71.81</v>
      </c>
      <c r="GJ44" s="8">
        <v>73.61</v>
      </c>
      <c r="GP44" s="8">
        <v>81.040000000000006</v>
      </c>
      <c r="GR44" s="8">
        <v>82.14</v>
      </c>
      <c r="GS44" s="8">
        <v>58.41</v>
      </c>
      <c r="GT44" s="8">
        <v>58.41</v>
      </c>
      <c r="HJ44" s="8">
        <v>64.22</v>
      </c>
      <c r="HK44" s="8">
        <v>64.22</v>
      </c>
      <c r="HN44" s="8">
        <v>79.430000000000007</v>
      </c>
      <c r="ID44" s="8">
        <v>86.15</v>
      </c>
      <c r="IE44" s="8">
        <v>83.27</v>
      </c>
      <c r="IF44" s="8">
        <v>87.88</v>
      </c>
      <c r="IG44" s="8">
        <v>85.85</v>
      </c>
    </row>
    <row r="45" spans="1:241" x14ac:dyDescent="0.2">
      <c r="A45" s="9">
        <v>44013</v>
      </c>
      <c r="I45" s="8">
        <v>93.58</v>
      </c>
      <c r="J45" s="8">
        <v>80.03</v>
      </c>
      <c r="K45" s="8">
        <v>72.95</v>
      </c>
      <c r="O45" s="8">
        <v>79.89</v>
      </c>
      <c r="V45" s="8">
        <v>88.04</v>
      </c>
      <c r="W45" s="8">
        <v>77.790000000000006</v>
      </c>
      <c r="AA45" s="8">
        <v>84.47</v>
      </c>
      <c r="AB45" s="8">
        <v>92.95</v>
      </c>
      <c r="AC45" s="8">
        <v>83.82</v>
      </c>
      <c r="AF45" s="8">
        <v>77.98</v>
      </c>
      <c r="AG45" s="8">
        <v>76.5</v>
      </c>
      <c r="AH45" s="8">
        <v>77.489999999999995</v>
      </c>
      <c r="AI45" s="8">
        <v>78.7</v>
      </c>
      <c r="AJ45" s="8">
        <v>84.08</v>
      </c>
      <c r="AK45" s="8">
        <v>84.9</v>
      </c>
      <c r="AL45" s="8">
        <v>80.400000000000006</v>
      </c>
      <c r="AM45" s="8">
        <v>86.03</v>
      </c>
      <c r="AN45" s="8">
        <v>84.81</v>
      </c>
      <c r="AO45" s="8">
        <v>86.86</v>
      </c>
      <c r="AP45" s="8">
        <v>87.79</v>
      </c>
      <c r="AQ45" s="8">
        <v>85.13</v>
      </c>
      <c r="AR45" s="8">
        <v>79.069999999999993</v>
      </c>
      <c r="AS45" s="8">
        <v>77.58</v>
      </c>
      <c r="AT45" s="8">
        <v>80.34</v>
      </c>
      <c r="AU45" s="8">
        <v>79.53</v>
      </c>
      <c r="AV45" s="8">
        <v>80.61</v>
      </c>
      <c r="AW45" s="8">
        <v>77.709999999999994</v>
      </c>
      <c r="AX45" s="8">
        <v>83.1</v>
      </c>
      <c r="AY45" s="8">
        <v>77.260000000000005</v>
      </c>
      <c r="AZ45" s="8">
        <v>70.64</v>
      </c>
      <c r="BA45" s="8">
        <v>83.58</v>
      </c>
      <c r="BB45" s="8">
        <v>82.11</v>
      </c>
      <c r="BC45" s="8">
        <v>68.63</v>
      </c>
      <c r="BD45" s="8">
        <v>75.58</v>
      </c>
      <c r="BE45" s="8">
        <v>81.97</v>
      </c>
      <c r="BF45" s="8">
        <v>74.540000000000006</v>
      </c>
      <c r="BG45" s="8">
        <v>73.7</v>
      </c>
      <c r="BH45" s="8">
        <v>74.69</v>
      </c>
      <c r="BN45" s="8">
        <v>80.83</v>
      </c>
      <c r="BP45" s="8">
        <v>82.12</v>
      </c>
      <c r="BQ45" s="8">
        <v>60.26</v>
      </c>
      <c r="BR45" s="8">
        <v>60.26</v>
      </c>
      <c r="CH45" s="8">
        <v>57.18</v>
      </c>
      <c r="CI45" s="8">
        <v>57.18</v>
      </c>
      <c r="CL45" s="8">
        <v>83.31</v>
      </c>
      <c r="DB45" s="8">
        <v>86.54</v>
      </c>
      <c r="DC45" s="8">
        <v>82.01</v>
      </c>
      <c r="DD45" s="8">
        <v>88.67</v>
      </c>
      <c r="DE45" s="8">
        <v>86.16</v>
      </c>
      <c r="DU45" s="8">
        <v>69.81</v>
      </c>
      <c r="EK45" s="8">
        <v>89.88</v>
      </c>
      <c r="EL45" s="8">
        <v>76.84</v>
      </c>
      <c r="EM45" s="8">
        <v>78.41</v>
      </c>
      <c r="EQ45" s="8">
        <v>80.28</v>
      </c>
      <c r="EX45" s="8">
        <v>82.78</v>
      </c>
      <c r="EY45" s="8">
        <v>80.62</v>
      </c>
      <c r="FC45" s="8">
        <v>85.73</v>
      </c>
      <c r="FD45" s="8">
        <v>92.95</v>
      </c>
      <c r="FE45" s="8">
        <v>84.3</v>
      </c>
      <c r="FH45" s="8">
        <v>79.45</v>
      </c>
      <c r="FI45" s="8">
        <v>79.94</v>
      </c>
      <c r="FJ45" s="8">
        <v>78</v>
      </c>
      <c r="FK45" s="8">
        <v>80.069999999999993</v>
      </c>
      <c r="FL45" s="8">
        <v>85.16</v>
      </c>
      <c r="FM45" s="8">
        <v>85.81</v>
      </c>
      <c r="FN45" s="8">
        <v>81.25</v>
      </c>
      <c r="FO45" s="8">
        <v>86.14</v>
      </c>
      <c r="FP45" s="8">
        <v>87.87</v>
      </c>
      <c r="FQ45" s="8">
        <v>86.49</v>
      </c>
      <c r="FR45" s="8">
        <v>88.41</v>
      </c>
      <c r="FS45" s="8">
        <v>85.86</v>
      </c>
      <c r="FT45" s="8">
        <v>79.67</v>
      </c>
      <c r="FU45" s="8">
        <v>79.900000000000006</v>
      </c>
      <c r="FV45" s="8">
        <v>80.23</v>
      </c>
      <c r="FW45" s="8">
        <v>78.56</v>
      </c>
      <c r="FX45" s="8">
        <v>85.45</v>
      </c>
      <c r="FY45" s="8">
        <v>83.21</v>
      </c>
      <c r="FZ45" s="8">
        <v>86.41</v>
      </c>
      <c r="GA45" s="8">
        <v>77.28</v>
      </c>
      <c r="GB45" s="8">
        <v>71.900000000000006</v>
      </c>
      <c r="GC45" s="8">
        <v>82.07</v>
      </c>
      <c r="GD45" s="8">
        <v>82.3</v>
      </c>
      <c r="GE45" s="8">
        <v>69.75</v>
      </c>
      <c r="GF45" s="8">
        <v>76.19</v>
      </c>
      <c r="GG45" s="8">
        <v>80.48</v>
      </c>
      <c r="GH45" s="8">
        <v>74.5</v>
      </c>
      <c r="GI45" s="8">
        <v>73.78</v>
      </c>
      <c r="GJ45" s="8">
        <v>74.7</v>
      </c>
      <c r="GP45" s="8">
        <v>83.63</v>
      </c>
      <c r="GR45" s="8">
        <v>81.84</v>
      </c>
      <c r="GS45" s="8">
        <v>58.6</v>
      </c>
      <c r="GT45" s="8">
        <v>58.6</v>
      </c>
      <c r="HJ45" s="8">
        <v>64.12</v>
      </c>
      <c r="HK45" s="8">
        <v>64.12</v>
      </c>
      <c r="HN45" s="8">
        <v>79.430000000000007</v>
      </c>
      <c r="ID45" s="8">
        <v>87.95</v>
      </c>
      <c r="IE45" s="8">
        <v>82.71</v>
      </c>
      <c r="IF45" s="8">
        <v>89.51</v>
      </c>
      <c r="IG45" s="8">
        <v>88.07</v>
      </c>
    </row>
    <row r="46" spans="1:241" x14ac:dyDescent="0.2">
      <c r="A46" s="9">
        <v>44044</v>
      </c>
      <c r="I46" s="8">
        <v>93.49</v>
      </c>
      <c r="J46" s="8">
        <v>80.010000000000005</v>
      </c>
      <c r="K46" s="8">
        <v>72.849999999999994</v>
      </c>
      <c r="O46" s="8">
        <v>79.81</v>
      </c>
      <c r="V46" s="8">
        <v>88.04</v>
      </c>
      <c r="W46" s="8">
        <v>77.790000000000006</v>
      </c>
      <c r="AA46" s="8">
        <v>84.47</v>
      </c>
      <c r="AB46" s="8">
        <v>92.94</v>
      </c>
      <c r="AC46" s="8">
        <v>83.82</v>
      </c>
      <c r="AF46" s="8">
        <v>78.77</v>
      </c>
      <c r="AG46" s="8">
        <v>76.930000000000007</v>
      </c>
      <c r="AH46" s="8">
        <v>78.67</v>
      </c>
      <c r="AI46" s="8">
        <v>81.13</v>
      </c>
      <c r="AJ46" s="8">
        <v>83.61</v>
      </c>
      <c r="AK46" s="8">
        <v>85.55</v>
      </c>
      <c r="AL46" s="8">
        <v>81.180000000000007</v>
      </c>
      <c r="AM46" s="8">
        <v>86.94</v>
      </c>
      <c r="AN46" s="8">
        <v>85.11</v>
      </c>
      <c r="AO46" s="8">
        <v>87.75</v>
      </c>
      <c r="AP46" s="8">
        <v>88.24</v>
      </c>
      <c r="AQ46" s="8">
        <v>85.58</v>
      </c>
      <c r="AR46" s="8">
        <v>78.8</v>
      </c>
      <c r="AS46" s="8">
        <v>77.44</v>
      </c>
      <c r="AT46" s="8">
        <v>79.650000000000006</v>
      </c>
      <c r="AU46" s="8">
        <v>79.52</v>
      </c>
      <c r="AV46" s="8">
        <v>81.650000000000006</v>
      </c>
      <c r="AW46" s="8">
        <v>77.25</v>
      </c>
      <c r="AX46" s="8">
        <v>85.55</v>
      </c>
      <c r="AY46" s="8">
        <v>77.010000000000005</v>
      </c>
      <c r="AZ46" s="8">
        <v>70.44</v>
      </c>
      <c r="BA46" s="8">
        <v>84.8</v>
      </c>
      <c r="BB46" s="8">
        <v>81.98</v>
      </c>
      <c r="BC46" s="8">
        <v>68.319999999999993</v>
      </c>
      <c r="BD46" s="8">
        <v>75.819999999999993</v>
      </c>
      <c r="BE46" s="8">
        <v>80.63</v>
      </c>
      <c r="BF46" s="8">
        <v>73.959999999999994</v>
      </c>
      <c r="BG46" s="8">
        <v>72.459999999999994</v>
      </c>
      <c r="BH46" s="8">
        <v>74.34</v>
      </c>
      <c r="BN46" s="8">
        <v>79.98</v>
      </c>
      <c r="BP46" s="8">
        <v>82.53</v>
      </c>
      <c r="BQ46" s="8">
        <v>60.3</v>
      </c>
      <c r="BR46" s="8">
        <v>60.3</v>
      </c>
      <c r="CH46" s="8">
        <v>57.56</v>
      </c>
      <c r="CI46" s="8">
        <v>57.56</v>
      </c>
      <c r="CL46" s="8">
        <v>83.31</v>
      </c>
      <c r="DB46" s="8">
        <v>85.32</v>
      </c>
      <c r="DC46" s="8">
        <v>81.45</v>
      </c>
      <c r="DD46" s="8">
        <v>88.06</v>
      </c>
      <c r="DE46" s="8">
        <v>84.34</v>
      </c>
      <c r="DU46" s="8">
        <v>67.900000000000006</v>
      </c>
      <c r="EK46" s="8">
        <v>89.35</v>
      </c>
      <c r="EL46" s="8">
        <v>76.83</v>
      </c>
      <c r="EM46" s="8">
        <v>77.489999999999995</v>
      </c>
      <c r="EQ46" s="8">
        <v>80.209999999999994</v>
      </c>
      <c r="EX46" s="8">
        <v>82.78</v>
      </c>
      <c r="EY46" s="8">
        <v>80.12</v>
      </c>
      <c r="FC46" s="8">
        <v>85.72</v>
      </c>
      <c r="FD46" s="8">
        <v>92.94</v>
      </c>
      <c r="FE46" s="8">
        <v>84.3</v>
      </c>
      <c r="FH46" s="8">
        <v>80.38</v>
      </c>
      <c r="FI46" s="8">
        <v>80.5</v>
      </c>
      <c r="FJ46" s="8">
        <v>79.34</v>
      </c>
      <c r="FK46" s="8">
        <v>82.16</v>
      </c>
      <c r="FL46" s="8">
        <v>84.42</v>
      </c>
      <c r="FM46" s="8">
        <v>86.46</v>
      </c>
      <c r="FN46" s="8">
        <v>81.14</v>
      </c>
      <c r="FO46" s="8">
        <v>86.82</v>
      </c>
      <c r="FP46" s="8">
        <v>89.06</v>
      </c>
      <c r="FQ46" s="8">
        <v>87.04</v>
      </c>
      <c r="FR46" s="8">
        <v>89.99</v>
      </c>
      <c r="FS46" s="8">
        <v>86.15</v>
      </c>
      <c r="FT46" s="8">
        <v>79.33</v>
      </c>
      <c r="FU46" s="8">
        <v>79.739999999999995</v>
      </c>
      <c r="FV46" s="8">
        <v>79.5</v>
      </c>
      <c r="FW46" s="8">
        <v>78.37</v>
      </c>
      <c r="FX46" s="8">
        <v>87.19</v>
      </c>
      <c r="FY46" s="8">
        <v>84.6</v>
      </c>
      <c r="FZ46" s="8">
        <v>88.38</v>
      </c>
      <c r="GA46" s="8">
        <v>76.989999999999995</v>
      </c>
      <c r="GB46" s="8">
        <v>71.78</v>
      </c>
      <c r="GC46" s="8">
        <v>83.5</v>
      </c>
      <c r="GD46" s="8">
        <v>82.47</v>
      </c>
      <c r="GE46" s="8">
        <v>68.56</v>
      </c>
      <c r="GF46" s="8">
        <v>76.06</v>
      </c>
      <c r="GG46" s="8">
        <v>79.56</v>
      </c>
      <c r="GH46" s="8">
        <v>74.02</v>
      </c>
      <c r="GI46" s="8">
        <v>72.31</v>
      </c>
      <c r="GJ46" s="8">
        <v>74.510000000000005</v>
      </c>
      <c r="GP46" s="8">
        <v>81.91</v>
      </c>
      <c r="GR46" s="8">
        <v>82.74</v>
      </c>
      <c r="GS46" s="8">
        <v>58.46</v>
      </c>
      <c r="GT46" s="8">
        <v>58.46</v>
      </c>
      <c r="HJ46" s="8">
        <v>65.48</v>
      </c>
      <c r="HK46" s="8">
        <v>65.48</v>
      </c>
      <c r="HN46" s="8">
        <v>79.430000000000007</v>
      </c>
      <c r="ID46" s="8">
        <v>86.13</v>
      </c>
      <c r="IE46" s="8">
        <v>82.2</v>
      </c>
      <c r="IF46" s="8">
        <v>89.03</v>
      </c>
      <c r="IG46" s="8">
        <v>85.38</v>
      </c>
    </row>
    <row r="47" spans="1:241" x14ac:dyDescent="0.2">
      <c r="A47" s="9">
        <v>44075</v>
      </c>
      <c r="I47" s="8">
        <v>89.57</v>
      </c>
      <c r="J47" s="8">
        <v>88.1</v>
      </c>
      <c r="K47" s="8">
        <v>58.63</v>
      </c>
      <c r="O47" s="8">
        <v>80.17</v>
      </c>
      <c r="V47" s="8">
        <v>88.04</v>
      </c>
      <c r="W47" s="8">
        <v>77.790000000000006</v>
      </c>
      <c r="AA47" s="8">
        <v>83.85</v>
      </c>
      <c r="AB47" s="8">
        <v>92.93</v>
      </c>
      <c r="AC47" s="8">
        <v>83.14</v>
      </c>
      <c r="AF47" s="8">
        <v>78.67</v>
      </c>
      <c r="AG47" s="8">
        <v>76.959999999999994</v>
      </c>
      <c r="AH47" s="8">
        <v>78.78</v>
      </c>
      <c r="AI47" s="8">
        <v>80.48</v>
      </c>
      <c r="AJ47" s="8">
        <v>82.81</v>
      </c>
      <c r="AK47" s="8">
        <v>84.79</v>
      </c>
      <c r="AL47" s="8">
        <v>79.69</v>
      </c>
      <c r="AM47" s="8">
        <v>86.87</v>
      </c>
      <c r="AN47" s="8">
        <v>81.8</v>
      </c>
      <c r="AO47" s="8">
        <v>87.7</v>
      </c>
      <c r="AP47" s="8">
        <v>88.08</v>
      </c>
      <c r="AQ47" s="8">
        <v>85.83</v>
      </c>
      <c r="AR47" s="8">
        <v>78.790000000000006</v>
      </c>
      <c r="AS47" s="8">
        <v>77.62</v>
      </c>
      <c r="AT47" s="8">
        <v>79.400000000000006</v>
      </c>
      <c r="AU47" s="8">
        <v>79.510000000000005</v>
      </c>
      <c r="AV47" s="8">
        <v>79.569999999999993</v>
      </c>
      <c r="AW47" s="8">
        <v>76.77</v>
      </c>
      <c r="AX47" s="8">
        <v>81.97</v>
      </c>
      <c r="AY47" s="8">
        <v>76.959999999999994</v>
      </c>
      <c r="AZ47" s="8">
        <v>70.400000000000006</v>
      </c>
      <c r="BA47" s="8">
        <v>84.81</v>
      </c>
      <c r="BB47" s="8">
        <v>82.42</v>
      </c>
      <c r="BC47" s="8">
        <v>67.36</v>
      </c>
      <c r="BD47" s="8">
        <v>75.459999999999994</v>
      </c>
      <c r="BE47" s="8">
        <v>81.180000000000007</v>
      </c>
      <c r="BF47" s="8">
        <v>74.290000000000006</v>
      </c>
      <c r="BG47" s="8">
        <v>73.94</v>
      </c>
      <c r="BH47" s="8">
        <v>74.260000000000005</v>
      </c>
      <c r="BN47" s="8">
        <v>81.510000000000005</v>
      </c>
      <c r="BP47" s="8">
        <v>82.07</v>
      </c>
      <c r="BQ47" s="8">
        <v>65.069999999999993</v>
      </c>
      <c r="BR47" s="8">
        <v>65.069999999999993</v>
      </c>
      <c r="CH47" s="8">
        <v>57.25</v>
      </c>
      <c r="CI47" s="8">
        <v>57.25</v>
      </c>
      <c r="CL47" s="8">
        <v>82.03</v>
      </c>
      <c r="DB47" s="8">
        <v>85.23</v>
      </c>
      <c r="DC47" s="8">
        <v>80.8</v>
      </c>
      <c r="DD47" s="8">
        <v>88.17</v>
      </c>
      <c r="DE47" s="8">
        <v>84.22</v>
      </c>
      <c r="DU47" s="8">
        <v>67.59</v>
      </c>
      <c r="EK47" s="8">
        <v>79.180000000000007</v>
      </c>
      <c r="EL47" s="8">
        <v>74.52</v>
      </c>
      <c r="EM47" s="8">
        <v>62.14</v>
      </c>
      <c r="EQ47" s="8">
        <v>80.78</v>
      </c>
      <c r="EX47" s="8">
        <v>82.78</v>
      </c>
      <c r="EY47" s="8">
        <v>80.12</v>
      </c>
      <c r="FC47" s="8">
        <v>86.43</v>
      </c>
      <c r="FD47" s="8">
        <v>92.93</v>
      </c>
      <c r="FE47" s="8">
        <v>85.16</v>
      </c>
      <c r="FH47" s="8">
        <v>80.2</v>
      </c>
      <c r="FI47" s="8">
        <v>80.28</v>
      </c>
      <c r="FJ47" s="8">
        <v>79.33</v>
      </c>
      <c r="FK47" s="8">
        <v>81.680000000000007</v>
      </c>
      <c r="FL47" s="8">
        <v>83.72</v>
      </c>
      <c r="FM47" s="8">
        <v>85.7</v>
      </c>
      <c r="FN47" s="8">
        <v>80.75</v>
      </c>
      <c r="FO47" s="8">
        <v>86.68</v>
      </c>
      <c r="FP47" s="8">
        <v>85.2</v>
      </c>
      <c r="FQ47" s="8">
        <v>86.62</v>
      </c>
      <c r="FR47" s="8">
        <v>89.62</v>
      </c>
      <c r="FS47" s="8">
        <v>85.79</v>
      </c>
      <c r="FT47" s="8">
        <v>79.13</v>
      </c>
      <c r="FU47" s="8">
        <v>80</v>
      </c>
      <c r="FV47" s="8">
        <v>78.97</v>
      </c>
      <c r="FW47" s="8">
        <v>77.88</v>
      </c>
      <c r="FX47" s="8">
        <v>83.82</v>
      </c>
      <c r="FY47" s="8">
        <v>81.93</v>
      </c>
      <c r="FZ47" s="8">
        <v>84.57</v>
      </c>
      <c r="GA47" s="8">
        <v>77</v>
      </c>
      <c r="GB47" s="8">
        <v>71.8</v>
      </c>
      <c r="GC47" s="8">
        <v>83.86</v>
      </c>
      <c r="GD47" s="8">
        <v>82.77</v>
      </c>
      <c r="GE47" s="8">
        <v>69.180000000000007</v>
      </c>
      <c r="GF47" s="8">
        <v>75.47</v>
      </c>
      <c r="GG47" s="8">
        <v>80.180000000000007</v>
      </c>
      <c r="GH47" s="8">
        <v>73.23</v>
      </c>
      <c r="GI47" s="8">
        <v>73.319999999999993</v>
      </c>
      <c r="GJ47" s="8">
        <v>73.19</v>
      </c>
      <c r="GP47" s="8">
        <v>82.57</v>
      </c>
      <c r="GR47" s="8">
        <v>82.07</v>
      </c>
      <c r="GS47" s="8">
        <v>62.54</v>
      </c>
      <c r="GT47" s="8">
        <v>62.54</v>
      </c>
      <c r="HJ47" s="8">
        <v>64.48</v>
      </c>
      <c r="HK47" s="8">
        <v>64.48</v>
      </c>
      <c r="HN47" s="8">
        <v>79.58</v>
      </c>
      <c r="ID47" s="8">
        <v>85.98</v>
      </c>
      <c r="IE47" s="8">
        <v>81.64</v>
      </c>
      <c r="IF47" s="8">
        <v>88.92</v>
      </c>
      <c r="IG47" s="8">
        <v>85.27</v>
      </c>
    </row>
    <row r="48" spans="1:241" x14ac:dyDescent="0.2">
      <c r="A48" s="9">
        <v>44105</v>
      </c>
      <c r="I48" s="8">
        <v>84.32</v>
      </c>
      <c r="J48" s="8">
        <v>82.54</v>
      </c>
      <c r="K48" s="8">
        <v>65.83</v>
      </c>
      <c r="O48" s="8">
        <v>79.87</v>
      </c>
      <c r="V48" s="8">
        <v>88.04</v>
      </c>
      <c r="W48" s="8">
        <v>77.790000000000006</v>
      </c>
      <c r="AA48" s="8">
        <v>83.9</v>
      </c>
      <c r="AB48" s="8">
        <v>93.58</v>
      </c>
      <c r="AC48" s="8">
        <v>83.14</v>
      </c>
      <c r="AF48" s="8">
        <v>78.91</v>
      </c>
      <c r="AG48" s="8">
        <v>77.319999999999993</v>
      </c>
      <c r="AH48" s="8">
        <v>79.02</v>
      </c>
      <c r="AI48" s="8">
        <v>79.7</v>
      </c>
      <c r="AJ48" s="8">
        <v>83.29</v>
      </c>
      <c r="AK48" s="8">
        <v>85.19</v>
      </c>
      <c r="AL48" s="8">
        <v>81.19</v>
      </c>
      <c r="AM48" s="8">
        <v>86.88</v>
      </c>
      <c r="AN48" s="8">
        <v>81.569999999999993</v>
      </c>
      <c r="AO48" s="8">
        <v>86.56</v>
      </c>
      <c r="AP48" s="8">
        <v>88.48</v>
      </c>
      <c r="AQ48" s="8">
        <v>86.97</v>
      </c>
      <c r="AR48" s="8">
        <v>78.989999999999995</v>
      </c>
      <c r="AS48" s="8">
        <v>78.41</v>
      </c>
      <c r="AT48" s="8">
        <v>79.28</v>
      </c>
      <c r="AU48" s="8">
        <v>79.36</v>
      </c>
      <c r="AV48" s="8">
        <v>78.319999999999993</v>
      </c>
      <c r="AW48" s="8">
        <v>76.59</v>
      </c>
      <c r="AX48" s="8">
        <v>79.790000000000006</v>
      </c>
      <c r="AY48" s="8">
        <v>77.430000000000007</v>
      </c>
      <c r="AZ48" s="8">
        <v>70.06</v>
      </c>
      <c r="BA48" s="8">
        <v>84.23</v>
      </c>
      <c r="BB48" s="8">
        <v>82.03</v>
      </c>
      <c r="BC48" s="8">
        <v>68.05</v>
      </c>
      <c r="BD48" s="8">
        <v>76.08</v>
      </c>
      <c r="BE48" s="8">
        <v>82.27</v>
      </c>
      <c r="BF48" s="8">
        <v>79.42</v>
      </c>
      <c r="BG48" s="8">
        <v>73.83</v>
      </c>
      <c r="BH48" s="8">
        <v>81.349999999999994</v>
      </c>
      <c r="BN48" s="8">
        <v>81.12</v>
      </c>
      <c r="BP48" s="8">
        <v>84.58</v>
      </c>
      <c r="BQ48" s="8">
        <v>68.13</v>
      </c>
      <c r="BR48" s="8">
        <v>68.13</v>
      </c>
      <c r="CH48" s="8">
        <v>57.91</v>
      </c>
      <c r="CI48" s="8">
        <v>57.91</v>
      </c>
      <c r="CL48" s="8">
        <v>82.03</v>
      </c>
      <c r="DB48" s="8">
        <v>84.64</v>
      </c>
      <c r="DC48" s="8">
        <v>81</v>
      </c>
      <c r="DD48" s="8">
        <v>86.92</v>
      </c>
      <c r="DE48" s="8">
        <v>83.9</v>
      </c>
      <c r="DU48" s="8">
        <v>68.010000000000005</v>
      </c>
      <c r="EK48" s="8">
        <v>83.47</v>
      </c>
      <c r="EL48" s="8">
        <v>78.39</v>
      </c>
      <c r="EM48" s="8">
        <v>70.16</v>
      </c>
      <c r="EQ48" s="8">
        <v>80.010000000000005</v>
      </c>
      <c r="EX48" s="8">
        <v>82.78</v>
      </c>
      <c r="EY48" s="8">
        <v>80.12</v>
      </c>
      <c r="FC48" s="8">
        <v>86.54</v>
      </c>
      <c r="FD48" s="8">
        <v>93.58</v>
      </c>
      <c r="FE48" s="8">
        <v>85.16</v>
      </c>
      <c r="FH48" s="8">
        <v>80.31</v>
      </c>
      <c r="FI48" s="8">
        <v>80.7</v>
      </c>
      <c r="FJ48" s="8">
        <v>79.27</v>
      </c>
      <c r="FK48" s="8">
        <v>81.06</v>
      </c>
      <c r="FL48" s="8">
        <v>84.06</v>
      </c>
      <c r="FM48" s="8">
        <v>85.95</v>
      </c>
      <c r="FN48" s="8">
        <v>83.24</v>
      </c>
      <c r="FO48" s="8">
        <v>86.84</v>
      </c>
      <c r="FP48" s="8">
        <v>85.26</v>
      </c>
      <c r="FQ48" s="8">
        <v>85.04</v>
      </c>
      <c r="FR48" s="8">
        <v>88.49</v>
      </c>
      <c r="FS48" s="8">
        <v>86.8</v>
      </c>
      <c r="FT48" s="8">
        <v>78.790000000000006</v>
      </c>
      <c r="FU48" s="8">
        <v>79.64</v>
      </c>
      <c r="FV48" s="8">
        <v>78.63</v>
      </c>
      <c r="FW48" s="8">
        <v>77.58</v>
      </c>
      <c r="FX48" s="8">
        <v>83.4</v>
      </c>
      <c r="FY48" s="8">
        <v>83.86</v>
      </c>
      <c r="FZ48" s="8">
        <v>82.67</v>
      </c>
      <c r="GA48" s="8">
        <v>77.239999999999995</v>
      </c>
      <c r="GB48" s="8">
        <v>70.73</v>
      </c>
      <c r="GC48" s="8">
        <v>83.04</v>
      </c>
      <c r="GD48" s="8">
        <v>82.41</v>
      </c>
      <c r="GE48" s="8">
        <v>68.709999999999994</v>
      </c>
      <c r="GF48" s="8">
        <v>76.83</v>
      </c>
      <c r="GG48" s="8">
        <v>79.63</v>
      </c>
      <c r="GH48" s="8">
        <v>72.98</v>
      </c>
      <c r="GI48" s="8">
        <v>73.69</v>
      </c>
      <c r="GJ48" s="8">
        <v>72.760000000000005</v>
      </c>
      <c r="GP48" s="8">
        <v>80.739999999999995</v>
      </c>
      <c r="GR48" s="8">
        <v>81.459999999999994</v>
      </c>
      <c r="GS48" s="8">
        <v>66.73</v>
      </c>
      <c r="GT48" s="8">
        <v>66.73</v>
      </c>
      <c r="HJ48" s="8">
        <v>64.94</v>
      </c>
      <c r="HK48" s="8">
        <v>64.94</v>
      </c>
      <c r="HN48" s="8">
        <v>79.58</v>
      </c>
      <c r="ID48" s="8">
        <v>85.53</v>
      </c>
      <c r="IE48" s="8">
        <v>81.66</v>
      </c>
      <c r="IF48" s="8">
        <v>87.64</v>
      </c>
      <c r="IG48" s="8">
        <v>85.15</v>
      </c>
    </row>
    <row r="49" spans="1:241" x14ac:dyDescent="0.2">
      <c r="A49" s="9">
        <v>44136</v>
      </c>
      <c r="I49" s="8">
        <v>82.65</v>
      </c>
      <c r="J49" s="8">
        <v>81</v>
      </c>
      <c r="K49" s="8">
        <v>61.76</v>
      </c>
      <c r="O49" s="8">
        <v>80.38</v>
      </c>
      <c r="V49" s="8">
        <v>88.04</v>
      </c>
      <c r="W49" s="8">
        <v>77.790000000000006</v>
      </c>
      <c r="AA49" s="8">
        <v>83.9</v>
      </c>
      <c r="AB49" s="8">
        <v>93.59</v>
      </c>
      <c r="AC49" s="8">
        <v>83.14</v>
      </c>
      <c r="AF49" s="8">
        <v>79.14</v>
      </c>
      <c r="AG49" s="8">
        <v>77.48</v>
      </c>
      <c r="AH49" s="8">
        <v>78.83</v>
      </c>
      <c r="AI49" s="8">
        <v>83.12</v>
      </c>
      <c r="AJ49" s="8">
        <v>83.05</v>
      </c>
      <c r="AK49" s="8">
        <v>85.85</v>
      </c>
      <c r="AL49" s="8">
        <v>82.91</v>
      </c>
      <c r="AM49" s="8">
        <v>87.08</v>
      </c>
      <c r="AN49" s="8">
        <v>82.13</v>
      </c>
      <c r="AO49" s="8">
        <v>87.26</v>
      </c>
      <c r="AP49" s="8">
        <v>89.51</v>
      </c>
      <c r="AQ49" s="8">
        <v>86.18</v>
      </c>
      <c r="AR49" s="8">
        <v>79.06</v>
      </c>
      <c r="AS49" s="8">
        <v>78.44</v>
      </c>
      <c r="AT49" s="8">
        <v>79.59</v>
      </c>
      <c r="AU49" s="8">
        <v>79.22</v>
      </c>
      <c r="AV49" s="8">
        <v>79.150000000000006</v>
      </c>
      <c r="AW49" s="8">
        <v>78.98</v>
      </c>
      <c r="AX49" s="8">
        <v>79.260000000000005</v>
      </c>
      <c r="AY49" s="8">
        <v>77.41</v>
      </c>
      <c r="AZ49" s="8">
        <v>69.84</v>
      </c>
      <c r="BA49" s="8">
        <v>83.81</v>
      </c>
      <c r="BB49" s="8">
        <v>82.44</v>
      </c>
      <c r="BC49" s="8">
        <v>68.37</v>
      </c>
      <c r="BD49" s="8">
        <v>75.62</v>
      </c>
      <c r="BE49" s="8">
        <v>82.66</v>
      </c>
      <c r="BF49" s="8">
        <v>79.56</v>
      </c>
      <c r="BG49" s="8">
        <v>72.09</v>
      </c>
      <c r="BH49" s="8">
        <v>82.2</v>
      </c>
      <c r="BN49" s="8">
        <v>82.39</v>
      </c>
      <c r="BP49" s="8">
        <v>84.56</v>
      </c>
      <c r="BQ49" s="8">
        <v>68.63</v>
      </c>
      <c r="BR49" s="8">
        <v>68.63</v>
      </c>
      <c r="CH49" s="8">
        <v>58.46</v>
      </c>
      <c r="CI49" s="8">
        <v>58.46</v>
      </c>
      <c r="CL49" s="8">
        <v>82.03</v>
      </c>
      <c r="DB49" s="8">
        <v>84.43</v>
      </c>
      <c r="DC49" s="8">
        <v>82.25</v>
      </c>
      <c r="DD49" s="8">
        <v>86.44</v>
      </c>
      <c r="DE49" s="8">
        <v>83.56</v>
      </c>
      <c r="DU49" s="8">
        <v>66.97</v>
      </c>
      <c r="EK49" s="8">
        <v>83.98</v>
      </c>
      <c r="EL49" s="8">
        <v>79.040000000000006</v>
      </c>
      <c r="EM49" s="8">
        <v>65.78</v>
      </c>
      <c r="EQ49" s="8">
        <v>80.63</v>
      </c>
      <c r="EX49" s="8">
        <v>82.78</v>
      </c>
      <c r="EY49" s="8">
        <v>80.12</v>
      </c>
      <c r="FC49" s="8">
        <v>86.55</v>
      </c>
      <c r="FD49" s="8">
        <v>93.59</v>
      </c>
      <c r="FE49" s="8">
        <v>85.16</v>
      </c>
      <c r="FH49" s="8">
        <v>80.7</v>
      </c>
      <c r="FI49" s="8">
        <v>80.680000000000007</v>
      </c>
      <c r="FJ49" s="8">
        <v>79.56</v>
      </c>
      <c r="FK49" s="8">
        <v>84.4</v>
      </c>
      <c r="FL49" s="8">
        <v>84.11</v>
      </c>
      <c r="FM49" s="8">
        <v>86.68</v>
      </c>
      <c r="FN49" s="8">
        <v>84.94</v>
      </c>
      <c r="FO49" s="8">
        <v>87.36</v>
      </c>
      <c r="FP49" s="8">
        <v>85.58</v>
      </c>
      <c r="FQ49" s="8">
        <v>85.97</v>
      </c>
      <c r="FR49" s="8">
        <v>89.33</v>
      </c>
      <c r="FS49" s="8">
        <v>86.42</v>
      </c>
      <c r="FT49" s="8">
        <v>78.959999999999994</v>
      </c>
      <c r="FU49" s="8">
        <v>79.69</v>
      </c>
      <c r="FV49" s="8">
        <v>79.239999999999995</v>
      </c>
      <c r="FW49" s="8">
        <v>77.47</v>
      </c>
      <c r="FX49" s="8">
        <v>85.61</v>
      </c>
      <c r="FY49" s="8">
        <v>89.92</v>
      </c>
      <c r="FZ49" s="8">
        <v>82.48</v>
      </c>
      <c r="GA49" s="8">
        <v>77.27</v>
      </c>
      <c r="GB49" s="8">
        <v>70.86</v>
      </c>
      <c r="GC49" s="8">
        <v>82.69</v>
      </c>
      <c r="GD49" s="8">
        <v>82.78</v>
      </c>
      <c r="GE49" s="8">
        <v>69.36</v>
      </c>
      <c r="GF49" s="8">
        <v>76.03</v>
      </c>
      <c r="GG49" s="8">
        <v>80.77</v>
      </c>
      <c r="GH49" s="8">
        <v>72.8</v>
      </c>
      <c r="GI49" s="8">
        <v>71.790000000000006</v>
      </c>
      <c r="GJ49" s="8">
        <v>73.11</v>
      </c>
      <c r="GP49" s="8">
        <v>84.01</v>
      </c>
      <c r="GR49" s="8">
        <v>82.4</v>
      </c>
      <c r="GS49" s="8">
        <v>67.349999999999994</v>
      </c>
      <c r="GT49" s="8">
        <v>67.349999999999994</v>
      </c>
      <c r="HJ49" s="8">
        <v>65.61</v>
      </c>
      <c r="HK49" s="8">
        <v>65.61</v>
      </c>
      <c r="HN49" s="8">
        <v>79.58</v>
      </c>
      <c r="ID49" s="8">
        <v>84.85</v>
      </c>
      <c r="IE49" s="8">
        <v>82.96</v>
      </c>
      <c r="IF49" s="8">
        <v>87.61</v>
      </c>
      <c r="IG49" s="8">
        <v>83.91</v>
      </c>
    </row>
    <row r="50" spans="1:241" x14ac:dyDescent="0.2">
      <c r="A50" s="9">
        <v>44166</v>
      </c>
      <c r="I50" s="8">
        <v>93.19</v>
      </c>
      <c r="J50" s="8">
        <v>91.01</v>
      </c>
      <c r="K50" s="8">
        <v>78.27</v>
      </c>
      <c r="O50" s="8">
        <v>80.52</v>
      </c>
      <c r="V50" s="8">
        <v>88.04</v>
      </c>
      <c r="W50" s="8">
        <v>77.790000000000006</v>
      </c>
      <c r="AA50" s="8">
        <v>84</v>
      </c>
      <c r="AB50" s="8">
        <v>93.6</v>
      </c>
      <c r="AC50" s="8">
        <v>83.25</v>
      </c>
      <c r="AF50" s="8">
        <v>79.27</v>
      </c>
      <c r="AG50" s="8">
        <v>78.31</v>
      </c>
      <c r="AH50" s="8">
        <v>78.180000000000007</v>
      </c>
      <c r="AI50" s="8">
        <v>82.81</v>
      </c>
      <c r="AJ50" s="8">
        <v>83.82</v>
      </c>
      <c r="AK50" s="8">
        <v>87.11</v>
      </c>
      <c r="AL50" s="8">
        <v>84.86</v>
      </c>
      <c r="AM50" s="8">
        <v>87.37</v>
      </c>
      <c r="AN50" s="8">
        <v>85.07</v>
      </c>
      <c r="AO50" s="8">
        <v>88.22</v>
      </c>
      <c r="AP50" s="8">
        <v>90.29</v>
      </c>
      <c r="AQ50" s="8">
        <v>86.62</v>
      </c>
      <c r="AR50" s="8">
        <v>79.790000000000006</v>
      </c>
      <c r="AS50" s="8">
        <v>79.55</v>
      </c>
      <c r="AT50" s="8">
        <v>79.08</v>
      </c>
      <c r="AU50" s="8">
        <v>80.77</v>
      </c>
      <c r="AV50" s="8">
        <v>82.83</v>
      </c>
      <c r="AW50" s="8">
        <v>85.46</v>
      </c>
      <c r="AX50" s="8">
        <v>80.459999999999994</v>
      </c>
      <c r="AY50" s="8">
        <v>78.02</v>
      </c>
      <c r="AZ50" s="8">
        <v>69.91</v>
      </c>
      <c r="BA50" s="8">
        <v>85.12</v>
      </c>
      <c r="BB50" s="8">
        <v>81.569999999999993</v>
      </c>
      <c r="BC50" s="8">
        <v>67.8</v>
      </c>
      <c r="BD50" s="8">
        <v>76.709999999999994</v>
      </c>
      <c r="BE50" s="8">
        <v>83.93</v>
      </c>
      <c r="BF50" s="8">
        <v>78.489999999999995</v>
      </c>
      <c r="BG50" s="8">
        <v>72.900000000000006</v>
      </c>
      <c r="BH50" s="8">
        <v>80.430000000000007</v>
      </c>
      <c r="BN50" s="8">
        <v>80.84</v>
      </c>
      <c r="BP50" s="8">
        <v>84.83</v>
      </c>
      <c r="BQ50" s="8">
        <v>68.37</v>
      </c>
      <c r="BR50" s="8">
        <v>68.37</v>
      </c>
      <c r="CH50" s="8">
        <v>59.29</v>
      </c>
      <c r="CI50" s="8">
        <v>59.29</v>
      </c>
      <c r="CL50" s="8">
        <v>82.03</v>
      </c>
      <c r="DB50" s="8">
        <v>84.83</v>
      </c>
      <c r="DC50" s="8">
        <v>84.06</v>
      </c>
      <c r="DD50" s="8">
        <v>87.35</v>
      </c>
      <c r="DE50" s="8">
        <v>83.28</v>
      </c>
      <c r="DU50" s="8">
        <v>68.27</v>
      </c>
      <c r="EK50" s="8">
        <v>90.28</v>
      </c>
      <c r="EL50" s="8">
        <v>84.64</v>
      </c>
      <c r="EM50" s="8">
        <v>80.069999999999993</v>
      </c>
      <c r="EQ50" s="8">
        <v>81.180000000000007</v>
      </c>
      <c r="EX50" s="8">
        <v>82.78</v>
      </c>
      <c r="EY50" s="8">
        <v>80.12</v>
      </c>
      <c r="FC50" s="8">
        <v>86.07</v>
      </c>
      <c r="FD50" s="8">
        <v>93.6</v>
      </c>
      <c r="FE50" s="8">
        <v>84.57</v>
      </c>
      <c r="FH50" s="8">
        <v>80.709999999999994</v>
      </c>
      <c r="FI50" s="8">
        <v>81.569999999999993</v>
      </c>
      <c r="FJ50" s="8">
        <v>78.55</v>
      </c>
      <c r="FK50" s="8">
        <v>84.28</v>
      </c>
      <c r="FL50" s="8">
        <v>85.65</v>
      </c>
      <c r="FM50" s="8">
        <v>87.41</v>
      </c>
      <c r="FN50" s="8">
        <v>87.27</v>
      </c>
      <c r="FO50" s="8">
        <v>86.58</v>
      </c>
      <c r="FP50" s="8">
        <v>86.55</v>
      </c>
      <c r="FQ50" s="8">
        <v>88.16</v>
      </c>
      <c r="FR50" s="8">
        <v>89.21</v>
      </c>
      <c r="FS50" s="8">
        <v>85.41</v>
      </c>
      <c r="FT50" s="8">
        <v>79.959999999999994</v>
      </c>
      <c r="FU50" s="8">
        <v>81.27</v>
      </c>
      <c r="FV50" s="8">
        <v>78.36</v>
      </c>
      <c r="FW50" s="8">
        <v>79.59</v>
      </c>
      <c r="FX50" s="8">
        <v>86.76</v>
      </c>
      <c r="FY50" s="8">
        <v>90.91</v>
      </c>
      <c r="FZ50" s="8">
        <v>83.72</v>
      </c>
      <c r="GA50" s="8">
        <v>78.34</v>
      </c>
      <c r="GB50" s="8">
        <v>71.73</v>
      </c>
      <c r="GC50" s="8">
        <v>84.03</v>
      </c>
      <c r="GD50" s="8">
        <v>81.58</v>
      </c>
      <c r="GE50" s="8">
        <v>69.62</v>
      </c>
      <c r="GF50" s="8">
        <v>77.349999999999994</v>
      </c>
      <c r="GG50" s="8">
        <v>83.07</v>
      </c>
      <c r="GH50" s="8">
        <v>71.64</v>
      </c>
      <c r="GI50" s="8">
        <v>72.72</v>
      </c>
      <c r="GJ50" s="8">
        <v>71.3</v>
      </c>
      <c r="GP50" s="8">
        <v>82.24</v>
      </c>
      <c r="GR50" s="8">
        <v>80.92</v>
      </c>
      <c r="GS50" s="8">
        <v>66.81</v>
      </c>
      <c r="GT50" s="8">
        <v>66.81</v>
      </c>
      <c r="HJ50" s="8">
        <v>65.39</v>
      </c>
      <c r="HK50" s="8">
        <v>65.39</v>
      </c>
      <c r="HN50" s="8">
        <v>79.58</v>
      </c>
      <c r="ID50" s="8">
        <v>85.26</v>
      </c>
      <c r="IE50" s="8">
        <v>84.95</v>
      </c>
      <c r="IF50" s="8">
        <v>88.71</v>
      </c>
      <c r="IG50" s="8">
        <v>83.79</v>
      </c>
    </row>
    <row r="51" spans="1:241" x14ac:dyDescent="0.2">
      <c r="A51" s="9">
        <v>44197</v>
      </c>
      <c r="I51" s="8">
        <v>88.37</v>
      </c>
      <c r="J51" s="8">
        <v>86.93</v>
      </c>
      <c r="K51" s="8">
        <v>57.52</v>
      </c>
      <c r="O51" s="8">
        <v>81.319999999999993</v>
      </c>
      <c r="V51" s="8">
        <v>88.04</v>
      </c>
      <c r="W51" s="8">
        <v>79.88</v>
      </c>
      <c r="AA51" s="8">
        <v>84</v>
      </c>
      <c r="AB51" s="8">
        <v>93.61</v>
      </c>
      <c r="AC51" s="8">
        <v>83.25</v>
      </c>
      <c r="AF51" s="8">
        <v>79.52</v>
      </c>
      <c r="AG51" s="8">
        <v>77.94</v>
      </c>
      <c r="AH51" s="8">
        <v>79.680000000000007</v>
      </c>
      <c r="AI51" s="8">
        <v>82.42</v>
      </c>
      <c r="AJ51" s="8">
        <v>82.37</v>
      </c>
      <c r="AK51" s="8">
        <v>87.12</v>
      </c>
      <c r="AL51" s="8">
        <v>85.24</v>
      </c>
      <c r="AM51" s="8">
        <v>87.84</v>
      </c>
      <c r="AN51" s="8">
        <v>84.63</v>
      </c>
      <c r="AO51" s="8">
        <v>88.41</v>
      </c>
      <c r="AP51" s="8">
        <v>89.91</v>
      </c>
      <c r="AQ51" s="8">
        <v>86.26</v>
      </c>
      <c r="AR51" s="8">
        <v>79.3</v>
      </c>
      <c r="AS51" s="8">
        <v>78.69</v>
      </c>
      <c r="AT51" s="8">
        <v>79.45</v>
      </c>
      <c r="AU51" s="8">
        <v>79.84</v>
      </c>
      <c r="AV51" s="8">
        <v>83.39</v>
      </c>
      <c r="AW51" s="8">
        <v>86.57</v>
      </c>
      <c r="AX51" s="8">
        <v>80.540000000000006</v>
      </c>
      <c r="AY51" s="8">
        <v>78.569999999999993</v>
      </c>
      <c r="AZ51" s="8">
        <v>70</v>
      </c>
      <c r="BA51" s="8">
        <v>83.99</v>
      </c>
      <c r="BB51" s="8">
        <v>83.19</v>
      </c>
      <c r="BC51" s="8">
        <v>69.150000000000006</v>
      </c>
      <c r="BD51" s="8">
        <v>77.8</v>
      </c>
      <c r="BE51" s="8">
        <v>83.16</v>
      </c>
      <c r="BF51" s="8">
        <v>79.790000000000006</v>
      </c>
      <c r="BG51" s="8">
        <v>73.739999999999995</v>
      </c>
      <c r="BH51" s="8">
        <v>81.900000000000006</v>
      </c>
      <c r="BN51" s="8">
        <v>81.709999999999994</v>
      </c>
      <c r="BP51" s="8">
        <v>84.59</v>
      </c>
      <c r="BQ51" s="8">
        <v>68.22</v>
      </c>
      <c r="BR51" s="8">
        <v>68.22</v>
      </c>
      <c r="CH51" s="8">
        <v>60.21</v>
      </c>
      <c r="CI51" s="8">
        <v>60.21</v>
      </c>
      <c r="CL51" s="8">
        <v>82.03</v>
      </c>
      <c r="DB51" s="8">
        <v>84.7</v>
      </c>
      <c r="DC51" s="8">
        <v>81.45</v>
      </c>
      <c r="DD51" s="8">
        <v>87.85</v>
      </c>
      <c r="DE51" s="8">
        <v>83.27</v>
      </c>
      <c r="DU51" s="8">
        <v>70.27</v>
      </c>
      <c r="EK51" s="8">
        <v>84.45</v>
      </c>
      <c r="EL51" s="8">
        <v>79.349999999999994</v>
      </c>
      <c r="EM51" s="8">
        <v>69.930000000000007</v>
      </c>
      <c r="EQ51" s="8">
        <v>81.739999999999995</v>
      </c>
      <c r="EX51" s="8">
        <v>82.78</v>
      </c>
      <c r="EY51" s="8">
        <v>82.29</v>
      </c>
      <c r="FC51" s="8">
        <v>86.07</v>
      </c>
      <c r="FD51" s="8">
        <v>93.61</v>
      </c>
      <c r="FE51" s="8">
        <v>84.57</v>
      </c>
      <c r="FH51" s="8">
        <v>81.19</v>
      </c>
      <c r="FI51" s="8">
        <v>80.98</v>
      </c>
      <c r="FJ51" s="8">
        <v>80.91</v>
      </c>
      <c r="FK51" s="8">
        <v>83.39</v>
      </c>
      <c r="FL51" s="8">
        <v>82.29</v>
      </c>
      <c r="FM51" s="8">
        <v>87.7</v>
      </c>
      <c r="FN51" s="8">
        <v>87.18</v>
      </c>
      <c r="FO51" s="8">
        <v>86.6</v>
      </c>
      <c r="FP51" s="8">
        <v>88.48</v>
      </c>
      <c r="FQ51" s="8">
        <v>88.04</v>
      </c>
      <c r="FR51" s="8">
        <v>89.27</v>
      </c>
      <c r="FS51" s="8">
        <v>85.85</v>
      </c>
      <c r="FT51" s="8">
        <v>79.17</v>
      </c>
      <c r="FU51" s="8">
        <v>80.16</v>
      </c>
      <c r="FV51" s="8">
        <v>78.680000000000007</v>
      </c>
      <c r="FW51" s="8">
        <v>78.11</v>
      </c>
      <c r="FX51" s="8">
        <v>84.62</v>
      </c>
      <c r="FY51" s="8">
        <v>84.46</v>
      </c>
      <c r="FZ51" s="8">
        <v>84.28</v>
      </c>
      <c r="GA51" s="8">
        <v>78.94</v>
      </c>
      <c r="GB51" s="8">
        <v>71.569999999999993</v>
      </c>
      <c r="GC51" s="8">
        <v>82.82</v>
      </c>
      <c r="GD51" s="8">
        <v>83.78</v>
      </c>
      <c r="GE51" s="8">
        <v>70.38</v>
      </c>
      <c r="GF51" s="8">
        <v>78.709999999999994</v>
      </c>
      <c r="GG51" s="8">
        <v>81.95</v>
      </c>
      <c r="GH51" s="8">
        <v>72.739999999999995</v>
      </c>
      <c r="GI51" s="8">
        <v>73.41</v>
      </c>
      <c r="GJ51" s="8">
        <v>72.53</v>
      </c>
      <c r="GP51" s="8">
        <v>83.3</v>
      </c>
      <c r="GR51" s="8">
        <v>81.34</v>
      </c>
      <c r="GS51" s="8">
        <v>66.87</v>
      </c>
      <c r="GT51" s="8">
        <v>66.87</v>
      </c>
      <c r="HJ51" s="8">
        <v>64.5</v>
      </c>
      <c r="HK51" s="8">
        <v>64.5</v>
      </c>
      <c r="HN51" s="8">
        <v>79.58</v>
      </c>
      <c r="ID51" s="8">
        <v>85.08</v>
      </c>
      <c r="IE51" s="8">
        <v>81.94</v>
      </c>
      <c r="IF51" s="8">
        <v>88.82</v>
      </c>
      <c r="IG51" s="8">
        <v>83.85</v>
      </c>
    </row>
    <row r="52" spans="1:241" x14ac:dyDescent="0.2">
      <c r="A52" s="9">
        <v>44228</v>
      </c>
      <c r="I52" s="8">
        <v>81.25</v>
      </c>
      <c r="J52" s="8">
        <v>79.400000000000006</v>
      </c>
      <c r="K52" s="8">
        <v>67</v>
      </c>
      <c r="O52" s="8">
        <v>80.430000000000007</v>
      </c>
      <c r="V52" s="8">
        <v>89.01</v>
      </c>
      <c r="W52" s="8">
        <v>76.86</v>
      </c>
      <c r="AA52" s="8">
        <v>83.97</v>
      </c>
      <c r="AB52" s="8">
        <v>93.31</v>
      </c>
      <c r="AC52" s="8">
        <v>83.25</v>
      </c>
      <c r="AF52" s="8">
        <v>79.45</v>
      </c>
      <c r="AG52" s="8">
        <v>78.010000000000005</v>
      </c>
      <c r="AH52" s="8">
        <v>80.22</v>
      </c>
      <c r="AI52" s="8">
        <v>80.25</v>
      </c>
      <c r="AJ52" s="8">
        <v>81.34</v>
      </c>
      <c r="AK52" s="8">
        <v>87.01</v>
      </c>
      <c r="AL52" s="8">
        <v>86.19</v>
      </c>
      <c r="AM52" s="8">
        <v>87.91</v>
      </c>
      <c r="AN52" s="8">
        <v>85.25</v>
      </c>
      <c r="AO52" s="8">
        <v>88.41</v>
      </c>
      <c r="AP52" s="8">
        <v>87.56</v>
      </c>
      <c r="AQ52" s="8">
        <v>85.94</v>
      </c>
      <c r="AR52" s="8">
        <v>78.83</v>
      </c>
      <c r="AS52" s="8">
        <v>78.260000000000005</v>
      </c>
      <c r="AT52" s="8">
        <v>79.37</v>
      </c>
      <c r="AU52" s="8">
        <v>78.92</v>
      </c>
      <c r="AV52" s="8">
        <v>83.31</v>
      </c>
      <c r="AW52" s="8">
        <v>86.56</v>
      </c>
      <c r="AX52" s="8">
        <v>80.400000000000006</v>
      </c>
      <c r="AY52" s="8">
        <v>77.86</v>
      </c>
      <c r="AZ52" s="8">
        <v>70.2</v>
      </c>
      <c r="BA52" s="8">
        <v>83.62</v>
      </c>
      <c r="BB52" s="8">
        <v>83.09</v>
      </c>
      <c r="BC52" s="8">
        <v>68.819999999999993</v>
      </c>
      <c r="BD52" s="8">
        <v>76.31</v>
      </c>
      <c r="BE52" s="8">
        <v>82.77</v>
      </c>
      <c r="BF52" s="8">
        <v>80.319999999999993</v>
      </c>
      <c r="BG52" s="8">
        <v>72.739999999999995</v>
      </c>
      <c r="BH52" s="8">
        <v>83.01</v>
      </c>
      <c r="BN52" s="8">
        <v>83.02</v>
      </c>
      <c r="BP52" s="8">
        <v>85.07</v>
      </c>
      <c r="BQ52" s="8">
        <v>68.040000000000006</v>
      </c>
      <c r="BR52" s="8">
        <v>68.040000000000006</v>
      </c>
      <c r="CH52" s="8">
        <v>60.16</v>
      </c>
      <c r="CI52" s="8">
        <v>60.16</v>
      </c>
      <c r="CL52" s="8">
        <v>82.03</v>
      </c>
      <c r="DB52" s="8">
        <v>85.31</v>
      </c>
      <c r="DC52" s="8">
        <v>82.38</v>
      </c>
      <c r="DD52" s="8">
        <v>87.51</v>
      </c>
      <c r="DE52" s="8">
        <v>84.47</v>
      </c>
      <c r="DU52" s="8">
        <v>74.599999999999994</v>
      </c>
      <c r="EK52" s="8">
        <v>82.5</v>
      </c>
      <c r="EL52" s="8">
        <v>77.37</v>
      </c>
      <c r="EM52" s="8">
        <v>72.33</v>
      </c>
      <c r="EQ52" s="8">
        <v>80.87</v>
      </c>
      <c r="EX52" s="8">
        <v>83.23</v>
      </c>
      <c r="EY52" s="8">
        <v>78.819999999999993</v>
      </c>
      <c r="FC52" s="8">
        <v>86.02</v>
      </c>
      <c r="FD52" s="8">
        <v>93.31</v>
      </c>
      <c r="FE52" s="8">
        <v>84.57</v>
      </c>
      <c r="FH52" s="8">
        <v>81.08</v>
      </c>
      <c r="FI52" s="8">
        <v>80.88</v>
      </c>
      <c r="FJ52" s="8">
        <v>81.39</v>
      </c>
      <c r="FK52" s="8">
        <v>80.03</v>
      </c>
      <c r="FL52" s="8">
        <v>81.96</v>
      </c>
      <c r="FM52" s="8">
        <v>88.03</v>
      </c>
      <c r="FN52" s="8">
        <v>88.23</v>
      </c>
      <c r="FO52" s="8">
        <v>87.44</v>
      </c>
      <c r="FP52" s="8">
        <v>90.21</v>
      </c>
      <c r="FQ52" s="8">
        <v>87.77</v>
      </c>
      <c r="FR52" s="8">
        <v>88.49</v>
      </c>
      <c r="FS52" s="8">
        <v>85.57</v>
      </c>
      <c r="FT52" s="8">
        <v>78.73</v>
      </c>
      <c r="FU52" s="8">
        <v>79.66</v>
      </c>
      <c r="FV52" s="8">
        <v>78.7</v>
      </c>
      <c r="FW52" s="8">
        <v>77.27</v>
      </c>
      <c r="FX52" s="8">
        <v>85.05</v>
      </c>
      <c r="FY52" s="8">
        <v>86.9</v>
      </c>
      <c r="FZ52" s="8">
        <v>83.46</v>
      </c>
      <c r="GA52" s="8">
        <v>77.61</v>
      </c>
      <c r="GB52" s="8">
        <v>71.790000000000006</v>
      </c>
      <c r="GC52" s="8">
        <v>81.98</v>
      </c>
      <c r="GD52" s="8">
        <v>83.43</v>
      </c>
      <c r="GE52" s="8">
        <v>69.87</v>
      </c>
      <c r="GF52" s="8">
        <v>76.23</v>
      </c>
      <c r="GG52" s="8">
        <v>81.27</v>
      </c>
      <c r="GH52" s="8">
        <v>73.64</v>
      </c>
      <c r="GI52" s="8">
        <v>71.95</v>
      </c>
      <c r="GJ52" s="8">
        <v>74.16</v>
      </c>
      <c r="GP52" s="8">
        <v>80.41</v>
      </c>
      <c r="GR52" s="8">
        <v>82.72</v>
      </c>
      <c r="GS52" s="8">
        <v>66.540000000000006</v>
      </c>
      <c r="GT52" s="8">
        <v>66.540000000000006</v>
      </c>
      <c r="HJ52" s="8">
        <v>64.239999999999995</v>
      </c>
      <c r="HK52" s="8">
        <v>64.239999999999995</v>
      </c>
      <c r="HN52" s="8">
        <v>79.58</v>
      </c>
      <c r="ID52" s="8">
        <v>85.94</v>
      </c>
      <c r="IE52" s="8">
        <v>83.19</v>
      </c>
      <c r="IF52" s="8">
        <v>88.36</v>
      </c>
      <c r="IG52" s="8">
        <v>85.26</v>
      </c>
    </row>
    <row r="53" spans="1:241" x14ac:dyDescent="0.2">
      <c r="A53" s="9">
        <v>44256</v>
      </c>
      <c r="I53" s="8">
        <v>82.26</v>
      </c>
      <c r="J53" s="8">
        <v>79.83</v>
      </c>
      <c r="K53" s="8">
        <v>82.62</v>
      </c>
      <c r="O53" s="8">
        <v>80.510000000000005</v>
      </c>
      <c r="V53" s="8">
        <v>89.01</v>
      </c>
      <c r="W53" s="8">
        <v>76.86</v>
      </c>
      <c r="AA53" s="8">
        <v>84.49</v>
      </c>
      <c r="AB53" s="8">
        <v>93.32</v>
      </c>
      <c r="AC53" s="8">
        <v>83.8</v>
      </c>
      <c r="AF53" s="8">
        <v>79.02</v>
      </c>
      <c r="AG53" s="8">
        <v>77.64</v>
      </c>
      <c r="AH53" s="8">
        <v>79.319999999999993</v>
      </c>
      <c r="AI53" s="8">
        <v>80.400000000000006</v>
      </c>
      <c r="AJ53" s="8">
        <v>81.89</v>
      </c>
      <c r="AK53" s="8">
        <v>87.15</v>
      </c>
      <c r="AL53" s="8">
        <v>86.64</v>
      </c>
      <c r="AM53" s="8">
        <v>87.07</v>
      </c>
      <c r="AN53" s="8">
        <v>85.13</v>
      </c>
      <c r="AO53" s="8">
        <v>88.13</v>
      </c>
      <c r="AP53" s="8">
        <v>90.58</v>
      </c>
      <c r="AQ53" s="8">
        <v>84.35</v>
      </c>
      <c r="AR53" s="8">
        <v>79.14</v>
      </c>
      <c r="AS53" s="8">
        <v>78.69</v>
      </c>
      <c r="AT53" s="8">
        <v>79.19</v>
      </c>
      <c r="AU53" s="8">
        <v>79.599999999999994</v>
      </c>
      <c r="AV53" s="8">
        <v>80.41</v>
      </c>
      <c r="AW53" s="8">
        <v>82.93</v>
      </c>
      <c r="AX53" s="8">
        <v>78.150000000000006</v>
      </c>
      <c r="AY53" s="8">
        <v>77.48</v>
      </c>
      <c r="AZ53" s="8">
        <v>69.59</v>
      </c>
      <c r="BA53" s="8">
        <v>84.4</v>
      </c>
      <c r="BB53" s="8">
        <v>82.79</v>
      </c>
      <c r="BC53" s="8">
        <v>69.319999999999993</v>
      </c>
      <c r="BD53" s="8">
        <v>76.2</v>
      </c>
      <c r="BE53" s="8">
        <v>81.33</v>
      </c>
      <c r="BF53" s="8">
        <v>79.63</v>
      </c>
      <c r="BG53" s="8">
        <v>72.040000000000006</v>
      </c>
      <c r="BH53" s="8">
        <v>82.32</v>
      </c>
      <c r="BN53" s="8">
        <v>83.41</v>
      </c>
      <c r="BP53" s="8">
        <v>85.08</v>
      </c>
      <c r="BQ53" s="8">
        <v>67.88</v>
      </c>
      <c r="BR53" s="8">
        <v>67.88</v>
      </c>
      <c r="CH53" s="8">
        <v>60.3</v>
      </c>
      <c r="CI53" s="8">
        <v>60.3</v>
      </c>
      <c r="CL53" s="8">
        <v>82.03</v>
      </c>
      <c r="DB53" s="8">
        <v>85.16</v>
      </c>
      <c r="DC53" s="8">
        <v>80.95</v>
      </c>
      <c r="DD53" s="8">
        <v>87.11</v>
      </c>
      <c r="DE53" s="8">
        <v>84.78</v>
      </c>
      <c r="DU53" s="8">
        <v>78.16</v>
      </c>
      <c r="EK53" s="8">
        <v>78.94</v>
      </c>
      <c r="EL53" s="8">
        <v>73.77</v>
      </c>
      <c r="EM53" s="8">
        <v>76.650000000000006</v>
      </c>
      <c r="EQ53" s="8">
        <v>81.040000000000006</v>
      </c>
      <c r="EX53" s="8">
        <v>83.23</v>
      </c>
      <c r="EY53" s="8">
        <v>78.819999999999993</v>
      </c>
      <c r="FC53" s="8">
        <v>86.24</v>
      </c>
      <c r="FD53" s="8">
        <v>93.32</v>
      </c>
      <c r="FE53" s="8">
        <v>84.84</v>
      </c>
      <c r="FH53" s="8">
        <v>80.86</v>
      </c>
      <c r="FI53" s="8">
        <v>80.97</v>
      </c>
      <c r="FJ53" s="8">
        <v>80.59</v>
      </c>
      <c r="FK53" s="8">
        <v>81.64</v>
      </c>
      <c r="FL53" s="8">
        <v>81.77</v>
      </c>
      <c r="FM53" s="8">
        <v>88.29</v>
      </c>
      <c r="FN53" s="8">
        <v>89.12</v>
      </c>
      <c r="FO53" s="8">
        <v>86.92</v>
      </c>
      <c r="FP53" s="8">
        <v>90.29</v>
      </c>
      <c r="FQ53" s="8">
        <v>87.55</v>
      </c>
      <c r="FR53" s="8">
        <v>90.51</v>
      </c>
      <c r="FS53" s="8">
        <v>84.42</v>
      </c>
      <c r="FT53" s="8">
        <v>79.13</v>
      </c>
      <c r="FU53" s="8">
        <v>80.25</v>
      </c>
      <c r="FV53" s="8">
        <v>78.63</v>
      </c>
      <c r="FW53" s="8">
        <v>77.89</v>
      </c>
      <c r="FX53" s="8">
        <v>82.79</v>
      </c>
      <c r="FY53" s="8">
        <v>81.94</v>
      </c>
      <c r="FZ53" s="8">
        <v>82.89</v>
      </c>
      <c r="GA53" s="8">
        <v>77.81</v>
      </c>
      <c r="GB53" s="8">
        <v>71.459999999999994</v>
      </c>
      <c r="GC53" s="8">
        <v>83.16</v>
      </c>
      <c r="GD53" s="8">
        <v>83.2</v>
      </c>
      <c r="GE53" s="8">
        <v>71.19</v>
      </c>
      <c r="GF53" s="8">
        <v>76.959999999999994</v>
      </c>
      <c r="GG53" s="8">
        <v>79.989999999999995</v>
      </c>
      <c r="GH53" s="8">
        <v>73.16</v>
      </c>
      <c r="GI53" s="8">
        <v>71.73</v>
      </c>
      <c r="GJ53" s="8">
        <v>73.599999999999994</v>
      </c>
      <c r="GP53" s="8">
        <v>81.91</v>
      </c>
      <c r="GR53" s="8">
        <v>82.53</v>
      </c>
      <c r="GS53" s="8">
        <v>66.27</v>
      </c>
      <c r="GT53" s="8">
        <v>66.27</v>
      </c>
      <c r="HJ53" s="8">
        <v>64.66</v>
      </c>
      <c r="HK53" s="8">
        <v>64.66</v>
      </c>
      <c r="HN53" s="8">
        <v>79.58</v>
      </c>
      <c r="ID53" s="8">
        <v>86.18</v>
      </c>
      <c r="IE53" s="8">
        <v>81.83</v>
      </c>
      <c r="IF53" s="8">
        <v>87.84</v>
      </c>
      <c r="IG53" s="8">
        <v>86.06</v>
      </c>
    </row>
    <row r="54" spans="1:241" x14ac:dyDescent="0.2">
      <c r="A54" s="9">
        <v>44287</v>
      </c>
      <c r="I54" s="8">
        <v>83.96</v>
      </c>
      <c r="J54" s="8">
        <v>81.87</v>
      </c>
      <c r="K54" s="8">
        <v>74.09</v>
      </c>
      <c r="O54" s="8">
        <v>80.819999999999993</v>
      </c>
      <c r="V54" s="8">
        <v>89.01</v>
      </c>
      <c r="W54" s="8">
        <v>76.86</v>
      </c>
      <c r="AA54" s="8">
        <v>84.49</v>
      </c>
      <c r="AB54" s="8">
        <v>93.34</v>
      </c>
      <c r="AC54" s="8">
        <v>83.8</v>
      </c>
      <c r="AF54" s="8">
        <v>79.09</v>
      </c>
      <c r="AG54" s="8">
        <v>77.83</v>
      </c>
      <c r="AH54" s="8">
        <v>79.13</v>
      </c>
      <c r="AI54" s="8">
        <v>80.349999999999994</v>
      </c>
      <c r="AJ54" s="8">
        <v>82.47</v>
      </c>
      <c r="AK54" s="8">
        <v>87.7</v>
      </c>
      <c r="AL54" s="8">
        <v>88.85</v>
      </c>
      <c r="AM54" s="8">
        <v>86.04</v>
      </c>
      <c r="AN54" s="8">
        <v>85.73</v>
      </c>
      <c r="AO54" s="8">
        <v>87.94</v>
      </c>
      <c r="AP54" s="8">
        <v>91.13</v>
      </c>
      <c r="AQ54" s="8">
        <v>84.38</v>
      </c>
      <c r="AR54" s="8">
        <v>79.069999999999993</v>
      </c>
      <c r="AS54" s="8">
        <v>78.59</v>
      </c>
      <c r="AT54" s="8">
        <v>78.8</v>
      </c>
      <c r="AU54" s="8">
        <v>79.89</v>
      </c>
      <c r="AV54" s="8">
        <v>83.76</v>
      </c>
      <c r="AW54" s="8">
        <v>88.34</v>
      </c>
      <c r="AX54" s="8">
        <v>79.7</v>
      </c>
      <c r="AY54" s="8">
        <v>77.599999999999994</v>
      </c>
      <c r="AZ54" s="8">
        <v>69.84</v>
      </c>
      <c r="BA54" s="8">
        <v>84.53</v>
      </c>
      <c r="BB54" s="8">
        <v>81.77</v>
      </c>
      <c r="BC54" s="8">
        <v>69.5</v>
      </c>
      <c r="BD54" s="8">
        <v>76.23</v>
      </c>
      <c r="BE54" s="8">
        <v>82.19</v>
      </c>
      <c r="BF54" s="8">
        <v>79.63</v>
      </c>
      <c r="BG54" s="8">
        <v>72.459999999999994</v>
      </c>
      <c r="BH54" s="8">
        <v>82.17</v>
      </c>
      <c r="BN54" s="8">
        <v>83.69</v>
      </c>
      <c r="BP54" s="8">
        <v>85.51</v>
      </c>
      <c r="BQ54" s="8">
        <v>68.17</v>
      </c>
      <c r="BR54" s="8">
        <v>68.17</v>
      </c>
      <c r="CH54" s="8">
        <v>59.16</v>
      </c>
      <c r="CI54" s="8">
        <v>59.16</v>
      </c>
      <c r="CL54" s="8">
        <v>82.03</v>
      </c>
      <c r="DB54" s="8">
        <v>85.14</v>
      </c>
      <c r="DC54" s="8">
        <v>81.58</v>
      </c>
      <c r="DD54" s="8">
        <v>87.63</v>
      </c>
      <c r="DE54" s="8">
        <v>84.25</v>
      </c>
      <c r="DU54" s="8">
        <v>79.739999999999995</v>
      </c>
      <c r="EK54" s="8">
        <v>82.91</v>
      </c>
      <c r="EL54" s="8">
        <v>77.959999999999994</v>
      </c>
      <c r="EM54" s="8">
        <v>67.19</v>
      </c>
      <c r="EQ54" s="8">
        <v>81.010000000000005</v>
      </c>
      <c r="EX54" s="8">
        <v>83.23</v>
      </c>
      <c r="EY54" s="8">
        <v>78.819999999999993</v>
      </c>
      <c r="FC54" s="8">
        <v>86.25</v>
      </c>
      <c r="FD54" s="8">
        <v>93.34</v>
      </c>
      <c r="FE54" s="8">
        <v>84.84</v>
      </c>
      <c r="FH54" s="8">
        <v>81.010000000000005</v>
      </c>
      <c r="FI54" s="8">
        <v>81.260000000000005</v>
      </c>
      <c r="FJ54" s="8">
        <v>80.48</v>
      </c>
      <c r="FK54" s="8">
        <v>81.17</v>
      </c>
      <c r="FL54" s="8">
        <v>83.25</v>
      </c>
      <c r="FM54" s="8">
        <v>88.67</v>
      </c>
      <c r="FN54" s="8">
        <v>91.32</v>
      </c>
      <c r="FO54" s="8">
        <v>85.04</v>
      </c>
      <c r="FP54" s="8">
        <v>89.89</v>
      </c>
      <c r="FQ54" s="8">
        <v>88.21</v>
      </c>
      <c r="FR54" s="8">
        <v>91.1</v>
      </c>
      <c r="FS54" s="8">
        <v>84.38</v>
      </c>
      <c r="FT54" s="8">
        <v>79.02</v>
      </c>
      <c r="FU54" s="8">
        <v>79.819999999999993</v>
      </c>
      <c r="FV54" s="8">
        <v>78.11</v>
      </c>
      <c r="FW54" s="8">
        <v>78.650000000000006</v>
      </c>
      <c r="FX54" s="8">
        <v>85.48</v>
      </c>
      <c r="FY54" s="8">
        <v>86.7</v>
      </c>
      <c r="FZ54" s="8">
        <v>84.27</v>
      </c>
      <c r="GA54" s="8">
        <v>77.81</v>
      </c>
      <c r="GB54" s="8">
        <v>71.33</v>
      </c>
      <c r="GC54" s="8">
        <v>83.44</v>
      </c>
      <c r="GD54" s="8">
        <v>82.25</v>
      </c>
      <c r="GE54" s="8">
        <v>71.150000000000006</v>
      </c>
      <c r="GF54" s="8">
        <v>76.760000000000005</v>
      </c>
      <c r="GG54" s="8">
        <v>80.86</v>
      </c>
      <c r="GH54" s="8">
        <v>73.099999999999994</v>
      </c>
      <c r="GI54" s="8">
        <v>72.33</v>
      </c>
      <c r="GJ54" s="8">
        <v>73.34</v>
      </c>
      <c r="GP54" s="8">
        <v>81.55</v>
      </c>
      <c r="GR54" s="8">
        <v>82.79</v>
      </c>
      <c r="GS54" s="8">
        <v>66.63</v>
      </c>
      <c r="GT54" s="8">
        <v>66.63</v>
      </c>
      <c r="HJ54" s="8">
        <v>65.05</v>
      </c>
      <c r="HK54" s="8">
        <v>65.05</v>
      </c>
      <c r="HN54" s="8">
        <v>79.58</v>
      </c>
      <c r="ID54" s="8">
        <v>85.6</v>
      </c>
      <c r="IE54" s="8">
        <v>82.69</v>
      </c>
      <c r="IF54" s="8">
        <v>88.59</v>
      </c>
      <c r="IG54" s="8">
        <v>84.68</v>
      </c>
    </row>
    <row r="55" spans="1:241" x14ac:dyDescent="0.2">
      <c r="A55" s="9">
        <v>44317</v>
      </c>
      <c r="I55" s="8">
        <v>77.08</v>
      </c>
      <c r="J55" s="8">
        <v>74.98</v>
      </c>
      <c r="K55" s="8">
        <v>72.83</v>
      </c>
      <c r="O55" s="8">
        <v>80.61</v>
      </c>
      <c r="V55" s="8">
        <v>89.01</v>
      </c>
      <c r="W55" s="8">
        <v>76.86</v>
      </c>
      <c r="AA55" s="8">
        <v>84.38</v>
      </c>
      <c r="AB55" s="8">
        <v>92.04</v>
      </c>
      <c r="AC55" s="8">
        <v>83.8</v>
      </c>
      <c r="AF55" s="8">
        <v>79.23</v>
      </c>
      <c r="AG55" s="8">
        <v>77.739999999999995</v>
      </c>
      <c r="AH55" s="8">
        <v>79.680000000000007</v>
      </c>
      <c r="AI55" s="8">
        <v>80.709999999999994</v>
      </c>
      <c r="AJ55" s="8">
        <v>81.83</v>
      </c>
      <c r="AK55" s="8">
        <v>87.84</v>
      </c>
      <c r="AL55" s="8">
        <v>89.84</v>
      </c>
      <c r="AM55" s="8">
        <v>86.47</v>
      </c>
      <c r="AN55" s="8">
        <v>84.94</v>
      </c>
      <c r="AO55" s="8">
        <v>87.3</v>
      </c>
      <c r="AP55" s="8">
        <v>91.05</v>
      </c>
      <c r="AQ55" s="8">
        <v>84.83</v>
      </c>
      <c r="AR55" s="8">
        <v>79.09</v>
      </c>
      <c r="AS55" s="8">
        <v>78.08</v>
      </c>
      <c r="AT55" s="8">
        <v>79.52</v>
      </c>
      <c r="AU55" s="8">
        <v>79.81</v>
      </c>
      <c r="AV55" s="8">
        <v>86.31</v>
      </c>
      <c r="AW55" s="8">
        <v>89.56</v>
      </c>
      <c r="AX55" s="8">
        <v>83.4</v>
      </c>
      <c r="AY55" s="8">
        <v>77.06</v>
      </c>
      <c r="AZ55" s="8">
        <v>70.16</v>
      </c>
      <c r="BA55" s="8">
        <v>84.46</v>
      </c>
      <c r="BB55" s="8">
        <v>82.01</v>
      </c>
      <c r="BC55" s="8">
        <v>69.27</v>
      </c>
      <c r="BD55" s="8">
        <v>75.38</v>
      </c>
      <c r="BE55" s="8">
        <v>81.19</v>
      </c>
      <c r="BF55" s="8">
        <v>80.27</v>
      </c>
      <c r="BG55" s="8">
        <v>72.56</v>
      </c>
      <c r="BH55" s="8">
        <v>83</v>
      </c>
      <c r="BN55" s="8">
        <v>83.28</v>
      </c>
      <c r="BP55" s="8">
        <v>84.8</v>
      </c>
      <c r="BQ55" s="8">
        <v>68.650000000000006</v>
      </c>
      <c r="BR55" s="8">
        <v>68.650000000000006</v>
      </c>
      <c r="CH55" s="8">
        <v>61.23</v>
      </c>
      <c r="CI55" s="8">
        <v>61.23</v>
      </c>
      <c r="CL55" s="8">
        <v>82.03</v>
      </c>
      <c r="DB55" s="8">
        <v>85.09</v>
      </c>
      <c r="DC55" s="8">
        <v>82.05</v>
      </c>
      <c r="DD55" s="8">
        <v>86.74</v>
      </c>
      <c r="DE55" s="8">
        <v>84.66</v>
      </c>
      <c r="DU55" s="8">
        <v>79.23</v>
      </c>
      <c r="EK55" s="8">
        <v>79.86</v>
      </c>
      <c r="EL55" s="8">
        <v>74.819999999999993</v>
      </c>
      <c r="EM55" s="8">
        <v>72.239999999999995</v>
      </c>
      <c r="EQ55" s="8">
        <v>80.98</v>
      </c>
      <c r="EX55" s="8">
        <v>83.23</v>
      </c>
      <c r="EY55" s="8">
        <v>78.819999999999993</v>
      </c>
      <c r="FC55" s="8">
        <v>86.01</v>
      </c>
      <c r="FD55" s="8">
        <v>92.04</v>
      </c>
      <c r="FE55" s="8">
        <v>84.84</v>
      </c>
      <c r="FH55" s="8">
        <v>81.16</v>
      </c>
      <c r="FI55" s="8">
        <v>80.849999999999994</v>
      </c>
      <c r="FJ55" s="8">
        <v>81.180000000000007</v>
      </c>
      <c r="FK55" s="8">
        <v>81.92</v>
      </c>
      <c r="FL55" s="8">
        <v>82.5</v>
      </c>
      <c r="FM55" s="8">
        <v>88.49</v>
      </c>
      <c r="FN55" s="8">
        <v>92.78</v>
      </c>
      <c r="FO55" s="8">
        <v>85.37</v>
      </c>
      <c r="FP55" s="8">
        <v>87.32</v>
      </c>
      <c r="FQ55" s="8">
        <v>86.73</v>
      </c>
      <c r="FR55" s="8">
        <v>91.43</v>
      </c>
      <c r="FS55" s="8">
        <v>84.35</v>
      </c>
      <c r="FT55" s="8">
        <v>78.97</v>
      </c>
      <c r="FU55" s="8">
        <v>79.510000000000005</v>
      </c>
      <c r="FV55" s="8">
        <v>79.099999999999994</v>
      </c>
      <c r="FW55" s="8">
        <v>77.89</v>
      </c>
      <c r="FX55" s="8">
        <v>89.65</v>
      </c>
      <c r="FY55" s="8">
        <v>89.57</v>
      </c>
      <c r="FZ55" s="8">
        <v>89.23</v>
      </c>
      <c r="GA55" s="8">
        <v>77.11</v>
      </c>
      <c r="GB55" s="8">
        <v>71.48</v>
      </c>
      <c r="GC55" s="8">
        <v>83.17</v>
      </c>
      <c r="GD55" s="8">
        <v>82.46</v>
      </c>
      <c r="GE55" s="8">
        <v>70.599999999999994</v>
      </c>
      <c r="GF55" s="8">
        <v>76</v>
      </c>
      <c r="GG55" s="8">
        <v>79.33</v>
      </c>
      <c r="GH55" s="8">
        <v>73.78</v>
      </c>
      <c r="GI55" s="8">
        <v>71.790000000000006</v>
      </c>
      <c r="GJ55" s="8">
        <v>74.39</v>
      </c>
      <c r="GP55" s="8">
        <v>80.989999999999995</v>
      </c>
      <c r="GR55" s="8">
        <v>85</v>
      </c>
      <c r="GS55" s="8">
        <v>67.14</v>
      </c>
      <c r="GT55" s="8">
        <v>67.14</v>
      </c>
      <c r="HJ55" s="8">
        <v>66.510000000000005</v>
      </c>
      <c r="HK55" s="8">
        <v>66.510000000000005</v>
      </c>
      <c r="HN55" s="8">
        <v>79.58</v>
      </c>
      <c r="ID55" s="8">
        <v>85.31</v>
      </c>
      <c r="IE55" s="8">
        <v>83.01</v>
      </c>
      <c r="IF55" s="8">
        <v>87.46</v>
      </c>
      <c r="IG55" s="8">
        <v>84.7</v>
      </c>
    </row>
    <row r="56" spans="1:241" x14ac:dyDescent="0.2">
      <c r="A56" s="9">
        <v>44348</v>
      </c>
      <c r="I56" s="8">
        <v>80.94</v>
      </c>
      <c r="J56" s="8">
        <v>78.55</v>
      </c>
      <c r="K56" s="8">
        <v>81.34</v>
      </c>
      <c r="O56" s="8">
        <v>80.62</v>
      </c>
      <c r="V56" s="8">
        <v>89.01</v>
      </c>
      <c r="W56" s="8">
        <v>76.86</v>
      </c>
      <c r="AA56" s="8">
        <v>84.97</v>
      </c>
      <c r="AB56" s="8">
        <v>92.06</v>
      </c>
      <c r="AC56" s="8">
        <v>84.44</v>
      </c>
      <c r="AF56" s="8">
        <v>78.92</v>
      </c>
      <c r="AG56" s="8">
        <v>77.569999999999993</v>
      </c>
      <c r="AH56" s="8">
        <v>79.14</v>
      </c>
      <c r="AI56" s="8">
        <v>80.78</v>
      </c>
      <c r="AJ56" s="8">
        <v>81.61</v>
      </c>
      <c r="AK56" s="8">
        <v>87.39</v>
      </c>
      <c r="AL56" s="8">
        <v>89.65</v>
      </c>
      <c r="AM56" s="8">
        <v>85.55</v>
      </c>
      <c r="AN56" s="8">
        <v>83.87</v>
      </c>
      <c r="AO56" s="8">
        <v>86.83</v>
      </c>
      <c r="AP56" s="8">
        <v>90.44</v>
      </c>
      <c r="AQ56" s="8">
        <v>84.94</v>
      </c>
      <c r="AR56" s="8">
        <v>79.3</v>
      </c>
      <c r="AS56" s="8">
        <v>78.760000000000005</v>
      </c>
      <c r="AT56" s="8">
        <v>79.540000000000006</v>
      </c>
      <c r="AU56" s="8">
        <v>79.680000000000007</v>
      </c>
      <c r="AV56" s="8">
        <v>84.6</v>
      </c>
      <c r="AW56" s="8">
        <v>84.07</v>
      </c>
      <c r="AX56" s="8">
        <v>85.01</v>
      </c>
      <c r="AY56" s="8">
        <v>77.27</v>
      </c>
      <c r="AZ56" s="8">
        <v>70.099999999999994</v>
      </c>
      <c r="BA56" s="8">
        <v>84.61</v>
      </c>
      <c r="BB56" s="8">
        <v>81.95</v>
      </c>
      <c r="BC56" s="8">
        <v>69.13</v>
      </c>
      <c r="BD56" s="8">
        <v>75.900000000000006</v>
      </c>
      <c r="BE56" s="8">
        <v>81.33</v>
      </c>
      <c r="BF56" s="8">
        <v>79.98</v>
      </c>
      <c r="BG56" s="8">
        <v>71.989999999999995</v>
      </c>
      <c r="BH56" s="8">
        <v>82.82</v>
      </c>
      <c r="BN56" s="8">
        <v>83.58</v>
      </c>
      <c r="BP56" s="8">
        <v>84.96</v>
      </c>
      <c r="BQ56" s="8">
        <v>68.33</v>
      </c>
      <c r="BR56" s="8">
        <v>68.33</v>
      </c>
      <c r="CH56" s="8">
        <v>60.91</v>
      </c>
      <c r="CI56" s="8">
        <v>60.91</v>
      </c>
      <c r="CL56" s="8">
        <v>82.03</v>
      </c>
      <c r="DB56" s="8">
        <v>84.42</v>
      </c>
      <c r="DC56" s="8">
        <v>81.52</v>
      </c>
      <c r="DD56" s="8">
        <v>86.57</v>
      </c>
      <c r="DE56" s="8">
        <v>83.62</v>
      </c>
      <c r="DU56" s="8">
        <v>80.180000000000007</v>
      </c>
      <c r="EK56" s="8">
        <v>81.489999999999995</v>
      </c>
      <c r="EL56" s="8">
        <v>76.02</v>
      </c>
      <c r="EM56" s="8">
        <v>82.81</v>
      </c>
      <c r="EQ56" s="8">
        <v>81.05</v>
      </c>
      <c r="EX56" s="8">
        <v>83.23</v>
      </c>
      <c r="EY56" s="8">
        <v>78.819999999999993</v>
      </c>
      <c r="FC56" s="8">
        <v>86.26</v>
      </c>
      <c r="FD56" s="8">
        <v>92.06</v>
      </c>
      <c r="FE56" s="8">
        <v>85.15</v>
      </c>
      <c r="FH56" s="8">
        <v>80.66</v>
      </c>
      <c r="FI56" s="8">
        <v>80.760000000000005</v>
      </c>
      <c r="FJ56" s="8">
        <v>80.27</v>
      </c>
      <c r="FK56" s="8">
        <v>81.62</v>
      </c>
      <c r="FL56" s="8">
        <v>82.18</v>
      </c>
      <c r="FM56" s="8">
        <v>88.49</v>
      </c>
      <c r="FN56" s="8">
        <v>92.52</v>
      </c>
      <c r="FO56" s="8">
        <v>83.96</v>
      </c>
      <c r="FP56" s="8">
        <v>89.54</v>
      </c>
      <c r="FQ56" s="8">
        <v>86.4</v>
      </c>
      <c r="FR56" s="8">
        <v>90.44</v>
      </c>
      <c r="FS56" s="8">
        <v>85.65</v>
      </c>
      <c r="FT56" s="8">
        <v>79.06</v>
      </c>
      <c r="FU56" s="8">
        <v>80.02</v>
      </c>
      <c r="FV56" s="8">
        <v>78.75</v>
      </c>
      <c r="FW56" s="8">
        <v>77.849999999999994</v>
      </c>
      <c r="FX56" s="8">
        <v>88.45</v>
      </c>
      <c r="FY56" s="8">
        <v>86.76</v>
      </c>
      <c r="FZ56" s="8">
        <v>89.03</v>
      </c>
      <c r="GA56" s="8">
        <v>77.36</v>
      </c>
      <c r="GB56" s="8">
        <v>71.31</v>
      </c>
      <c r="GC56" s="8">
        <v>83.69</v>
      </c>
      <c r="GD56" s="8">
        <v>82.42</v>
      </c>
      <c r="GE56" s="8">
        <v>70.17</v>
      </c>
      <c r="GF56" s="8">
        <v>76.41</v>
      </c>
      <c r="GG56" s="8">
        <v>79.88</v>
      </c>
      <c r="GH56" s="8">
        <v>73.59</v>
      </c>
      <c r="GI56" s="8">
        <v>71.319999999999993</v>
      </c>
      <c r="GJ56" s="8">
        <v>74.3</v>
      </c>
      <c r="GP56" s="8">
        <v>81.72</v>
      </c>
      <c r="GR56" s="8">
        <v>84.11</v>
      </c>
      <c r="GS56" s="8">
        <v>67.06</v>
      </c>
      <c r="GT56" s="8">
        <v>67.06</v>
      </c>
      <c r="HJ56" s="8">
        <v>67.040000000000006</v>
      </c>
      <c r="HK56" s="8">
        <v>67.040000000000006</v>
      </c>
      <c r="HN56" s="8">
        <v>79.58</v>
      </c>
      <c r="ID56" s="8">
        <v>84.83</v>
      </c>
      <c r="IE56" s="8">
        <v>81.900000000000006</v>
      </c>
      <c r="IF56" s="8">
        <v>87.18</v>
      </c>
      <c r="IG56" s="8">
        <v>84.21</v>
      </c>
    </row>
    <row r="57" spans="1:241" x14ac:dyDescent="0.2">
      <c r="A57" s="9">
        <v>44378</v>
      </c>
      <c r="I57" s="8">
        <v>81.02</v>
      </c>
      <c r="J57" s="8">
        <v>78.819999999999993</v>
      </c>
      <c r="K57" s="8">
        <v>76.16</v>
      </c>
      <c r="O57" s="8">
        <v>81.239999999999995</v>
      </c>
      <c r="V57" s="8">
        <v>89.01</v>
      </c>
      <c r="W57" s="8">
        <v>76.86</v>
      </c>
      <c r="AA57" s="8">
        <v>84.82</v>
      </c>
      <c r="AB57" s="8">
        <v>90.2</v>
      </c>
      <c r="AC57" s="8">
        <v>84.44</v>
      </c>
      <c r="AF57" s="8">
        <v>78.819999999999993</v>
      </c>
      <c r="AG57" s="8">
        <v>77.48</v>
      </c>
      <c r="AH57" s="8">
        <v>78.88</v>
      </c>
      <c r="AI57" s="8">
        <v>80.45</v>
      </c>
      <c r="AJ57" s="8">
        <v>82.11</v>
      </c>
      <c r="AK57" s="8">
        <v>87.51</v>
      </c>
      <c r="AL57" s="8">
        <v>89.87</v>
      </c>
      <c r="AM57" s="8">
        <v>85.66</v>
      </c>
      <c r="AN57" s="8">
        <v>84.6</v>
      </c>
      <c r="AO57" s="8">
        <v>86.89</v>
      </c>
      <c r="AP57" s="8">
        <v>90.08</v>
      </c>
      <c r="AQ57" s="8">
        <v>84.98</v>
      </c>
      <c r="AR57" s="8">
        <v>79.67</v>
      </c>
      <c r="AS57" s="8">
        <v>79.44</v>
      </c>
      <c r="AT57" s="8">
        <v>79.510000000000005</v>
      </c>
      <c r="AU57" s="8">
        <v>80.09</v>
      </c>
      <c r="AV57" s="8">
        <v>82.86</v>
      </c>
      <c r="AW57" s="8">
        <v>81.62</v>
      </c>
      <c r="AX57" s="8">
        <v>83.89</v>
      </c>
      <c r="AY57" s="8">
        <v>77.8</v>
      </c>
      <c r="AZ57" s="8">
        <v>70.23</v>
      </c>
      <c r="BA57" s="8">
        <v>84.11</v>
      </c>
      <c r="BB57" s="8">
        <v>82.8</v>
      </c>
      <c r="BC57" s="8">
        <v>70.55</v>
      </c>
      <c r="BD57" s="8">
        <v>76.03</v>
      </c>
      <c r="BE57" s="8">
        <v>82.2</v>
      </c>
      <c r="BF57" s="8">
        <v>80.650000000000006</v>
      </c>
      <c r="BG57" s="8">
        <v>72.97</v>
      </c>
      <c r="BH57" s="8">
        <v>83.37</v>
      </c>
      <c r="BN57" s="8">
        <v>82.91</v>
      </c>
      <c r="BP57" s="8">
        <v>84.8</v>
      </c>
      <c r="BQ57" s="8">
        <v>68.09</v>
      </c>
      <c r="BR57" s="8">
        <v>68.09</v>
      </c>
      <c r="CH57" s="8">
        <v>58.6</v>
      </c>
      <c r="CI57" s="8">
        <v>58.6</v>
      </c>
      <c r="CL57" s="8">
        <v>82.03</v>
      </c>
      <c r="DB57" s="8">
        <v>85.37</v>
      </c>
      <c r="DC57" s="8">
        <v>82.57</v>
      </c>
      <c r="DD57" s="8">
        <v>87.21</v>
      </c>
      <c r="DE57" s="8">
        <v>84.76</v>
      </c>
      <c r="DU57" s="8">
        <v>84.57</v>
      </c>
      <c r="EK57" s="8">
        <v>81.709999999999994</v>
      </c>
      <c r="EL57" s="8">
        <v>76.569999999999993</v>
      </c>
      <c r="EM57" s="8">
        <v>73.31</v>
      </c>
      <c r="EQ57" s="8">
        <v>81.38</v>
      </c>
      <c r="EX57" s="8">
        <v>83.23</v>
      </c>
      <c r="EY57" s="8">
        <v>78.819999999999993</v>
      </c>
      <c r="FC57" s="8">
        <v>85.92</v>
      </c>
      <c r="FD57" s="8">
        <v>90.2</v>
      </c>
      <c r="FE57" s="8">
        <v>85.15</v>
      </c>
      <c r="FH57" s="8">
        <v>80.41</v>
      </c>
      <c r="FI57" s="8">
        <v>80.790000000000006</v>
      </c>
      <c r="FJ57" s="8">
        <v>79.75</v>
      </c>
      <c r="FK57" s="8">
        <v>81.400000000000006</v>
      </c>
      <c r="FL57" s="8">
        <v>82.04</v>
      </c>
      <c r="FM57" s="8">
        <v>88.09</v>
      </c>
      <c r="FN57" s="8">
        <v>91.97</v>
      </c>
      <c r="FO57" s="8">
        <v>84.4</v>
      </c>
      <c r="FP57" s="8">
        <v>87.6</v>
      </c>
      <c r="FQ57" s="8">
        <v>86.76</v>
      </c>
      <c r="FR57" s="8">
        <v>90.41</v>
      </c>
      <c r="FS57" s="8">
        <v>84.67</v>
      </c>
      <c r="FT57" s="8">
        <v>79.209999999999994</v>
      </c>
      <c r="FU57" s="8">
        <v>79.88</v>
      </c>
      <c r="FV57" s="8">
        <v>78.959999999999994</v>
      </c>
      <c r="FW57" s="8">
        <v>78.33</v>
      </c>
      <c r="FX57" s="8">
        <v>87.03</v>
      </c>
      <c r="FY57" s="8">
        <v>85.68</v>
      </c>
      <c r="FZ57" s="8">
        <v>87.41</v>
      </c>
      <c r="GA57" s="8">
        <v>77.91</v>
      </c>
      <c r="GB57" s="8">
        <v>71.41</v>
      </c>
      <c r="GC57" s="8">
        <v>82.99</v>
      </c>
      <c r="GD57" s="8">
        <v>83.35</v>
      </c>
      <c r="GE57" s="8">
        <v>71.989999999999995</v>
      </c>
      <c r="GF57" s="8">
        <v>76.58</v>
      </c>
      <c r="GG57" s="8">
        <v>80.69</v>
      </c>
      <c r="GH57" s="8">
        <v>74</v>
      </c>
      <c r="GI57" s="8">
        <v>71.98</v>
      </c>
      <c r="GJ57" s="8">
        <v>74.63</v>
      </c>
      <c r="GP57" s="8">
        <v>82.67</v>
      </c>
      <c r="GR57" s="8">
        <v>84.36</v>
      </c>
      <c r="GS57" s="8">
        <v>66.66</v>
      </c>
      <c r="GT57" s="8">
        <v>66.66</v>
      </c>
      <c r="HJ57" s="8">
        <v>65.510000000000005</v>
      </c>
      <c r="HK57" s="8">
        <v>65.510000000000005</v>
      </c>
      <c r="HN57" s="8">
        <v>79.58</v>
      </c>
      <c r="ID57" s="8">
        <v>85.95</v>
      </c>
      <c r="IE57" s="8">
        <v>83.15</v>
      </c>
      <c r="IF57" s="8">
        <v>88</v>
      </c>
      <c r="IG57" s="8">
        <v>85.45</v>
      </c>
    </row>
    <row r="58" spans="1:241" x14ac:dyDescent="0.2">
      <c r="A58" s="9">
        <v>44409</v>
      </c>
      <c r="I58" s="8">
        <v>80.7</v>
      </c>
      <c r="J58" s="8">
        <v>78.819999999999993</v>
      </c>
      <c r="K58" s="8">
        <v>67.67</v>
      </c>
      <c r="O58" s="8">
        <v>80.25</v>
      </c>
      <c r="V58" s="8">
        <v>89.01</v>
      </c>
      <c r="W58" s="8">
        <v>76.86</v>
      </c>
      <c r="AA58" s="8">
        <v>84.82</v>
      </c>
      <c r="AB58" s="8">
        <v>90.25</v>
      </c>
      <c r="AC58" s="8">
        <v>84.44</v>
      </c>
      <c r="AF58" s="8">
        <v>79.150000000000006</v>
      </c>
      <c r="AG58" s="8">
        <v>77.459999999999994</v>
      </c>
      <c r="AH58" s="8">
        <v>79.459999999999994</v>
      </c>
      <c r="AI58" s="8">
        <v>80.56</v>
      </c>
      <c r="AJ58" s="8">
        <v>82.86</v>
      </c>
      <c r="AK58" s="8">
        <v>87.76</v>
      </c>
      <c r="AL58" s="8">
        <v>89.72</v>
      </c>
      <c r="AM58" s="8">
        <v>86.52</v>
      </c>
      <c r="AN58" s="8">
        <v>85.67</v>
      </c>
      <c r="AO58" s="8">
        <v>86.28</v>
      </c>
      <c r="AP58" s="8">
        <v>90.55</v>
      </c>
      <c r="AQ58" s="8">
        <v>85.44</v>
      </c>
      <c r="AR58" s="8">
        <v>79.55</v>
      </c>
      <c r="AS58" s="8">
        <v>79.510000000000005</v>
      </c>
      <c r="AT58" s="8">
        <v>79.37</v>
      </c>
      <c r="AU58" s="8">
        <v>79.739999999999995</v>
      </c>
      <c r="AV58" s="8">
        <v>82.45</v>
      </c>
      <c r="AW58" s="8">
        <v>80</v>
      </c>
      <c r="AX58" s="8">
        <v>84.55</v>
      </c>
      <c r="AY58" s="8">
        <v>77.8</v>
      </c>
      <c r="AZ58" s="8">
        <v>70.11</v>
      </c>
      <c r="BA58" s="8">
        <v>84.45</v>
      </c>
      <c r="BB58" s="8">
        <v>82.77</v>
      </c>
      <c r="BC58" s="8">
        <v>70.39</v>
      </c>
      <c r="BD58" s="8">
        <v>75.98</v>
      </c>
      <c r="BE58" s="8">
        <v>82.35</v>
      </c>
      <c r="BF58" s="8">
        <v>80.459999999999994</v>
      </c>
      <c r="BG58" s="8">
        <v>72.099999999999994</v>
      </c>
      <c r="BH58" s="8">
        <v>83.45</v>
      </c>
      <c r="BN58" s="8">
        <v>83.73</v>
      </c>
      <c r="BP58" s="8">
        <v>84.79</v>
      </c>
      <c r="BQ58" s="8">
        <v>67.83</v>
      </c>
      <c r="BR58" s="8">
        <v>67.83</v>
      </c>
      <c r="CH58" s="8">
        <v>59.73</v>
      </c>
      <c r="CI58" s="8">
        <v>59.73</v>
      </c>
      <c r="CL58" s="8">
        <v>82.03</v>
      </c>
      <c r="DB58" s="8">
        <v>85.31</v>
      </c>
      <c r="DC58" s="8">
        <v>82.46</v>
      </c>
      <c r="DD58" s="8">
        <v>88.08</v>
      </c>
      <c r="DE58" s="8">
        <v>84.06</v>
      </c>
      <c r="DU58" s="8">
        <v>84.37</v>
      </c>
      <c r="EK58" s="8">
        <v>81.55</v>
      </c>
      <c r="EL58" s="8">
        <v>76.569999999999993</v>
      </c>
      <c r="EM58" s="8">
        <v>68.989999999999995</v>
      </c>
      <c r="EQ58" s="8">
        <v>80.78</v>
      </c>
      <c r="EX58" s="8">
        <v>83.23</v>
      </c>
      <c r="EY58" s="8">
        <v>78.81</v>
      </c>
      <c r="FC58" s="8">
        <v>85.93</v>
      </c>
      <c r="FD58" s="8">
        <v>90.25</v>
      </c>
      <c r="FE58" s="8">
        <v>85.15</v>
      </c>
      <c r="FH58" s="8">
        <v>81</v>
      </c>
      <c r="FI58" s="8">
        <v>80.63</v>
      </c>
      <c r="FJ58" s="8">
        <v>80.81</v>
      </c>
      <c r="FK58" s="8">
        <v>81.400000000000006</v>
      </c>
      <c r="FL58" s="8">
        <v>83.91</v>
      </c>
      <c r="FM58" s="8">
        <v>88.61</v>
      </c>
      <c r="FN58" s="8">
        <v>92.41</v>
      </c>
      <c r="FO58" s="8">
        <v>85.49</v>
      </c>
      <c r="FP58" s="8">
        <v>88.33</v>
      </c>
      <c r="FQ58" s="8">
        <v>86.45</v>
      </c>
      <c r="FR58" s="8">
        <v>92.01</v>
      </c>
      <c r="FS58" s="8">
        <v>84.39</v>
      </c>
      <c r="FT58" s="8">
        <v>79.25</v>
      </c>
      <c r="FU58" s="8">
        <v>80</v>
      </c>
      <c r="FV58" s="8">
        <v>79.150000000000006</v>
      </c>
      <c r="FW58" s="8">
        <v>78.11</v>
      </c>
      <c r="FX58" s="8">
        <v>86.13</v>
      </c>
      <c r="FY58" s="8">
        <v>82.1</v>
      </c>
      <c r="FZ58" s="8">
        <v>88.19</v>
      </c>
      <c r="GA58" s="8">
        <v>78.03</v>
      </c>
      <c r="GB58" s="8">
        <v>71.84</v>
      </c>
      <c r="GC58" s="8">
        <v>83.39</v>
      </c>
      <c r="GD58" s="8">
        <v>83.46</v>
      </c>
      <c r="GE58" s="8">
        <v>71.59</v>
      </c>
      <c r="GF58" s="8">
        <v>76.47</v>
      </c>
      <c r="GG58" s="8">
        <v>81.36</v>
      </c>
      <c r="GH58" s="8">
        <v>74.3</v>
      </c>
      <c r="GI58" s="8">
        <v>71.98</v>
      </c>
      <c r="GJ58" s="8">
        <v>75.02</v>
      </c>
      <c r="GP58" s="8">
        <v>83.65</v>
      </c>
      <c r="GR58" s="8">
        <v>84.06</v>
      </c>
      <c r="GS58" s="8">
        <v>66.489999999999995</v>
      </c>
      <c r="GT58" s="8">
        <v>66.489999999999995</v>
      </c>
      <c r="HJ58" s="8">
        <v>69.45</v>
      </c>
      <c r="HK58" s="8">
        <v>69.45</v>
      </c>
      <c r="HN58" s="8">
        <v>79.58</v>
      </c>
      <c r="ID58" s="8">
        <v>85.67</v>
      </c>
      <c r="IE58" s="8">
        <v>83.65</v>
      </c>
      <c r="IF58" s="8">
        <v>88.86</v>
      </c>
      <c r="IG58" s="8">
        <v>84.54</v>
      </c>
    </row>
    <row r="59" spans="1:241" x14ac:dyDescent="0.2">
      <c r="A59" s="9">
        <v>44440</v>
      </c>
      <c r="I59" s="8">
        <v>81.73</v>
      </c>
      <c r="J59" s="8">
        <v>79.349999999999994</v>
      </c>
      <c r="K59" s="8">
        <v>81.47</v>
      </c>
      <c r="O59" s="8">
        <v>80.89</v>
      </c>
      <c r="V59" s="8">
        <v>89.01</v>
      </c>
      <c r="W59" s="8">
        <v>76.86</v>
      </c>
      <c r="AA59" s="8">
        <v>85.45</v>
      </c>
      <c r="AB59" s="8">
        <v>90.3</v>
      </c>
      <c r="AC59" s="8">
        <v>85.12</v>
      </c>
      <c r="AF59" s="8">
        <v>79.099999999999994</v>
      </c>
      <c r="AG59" s="8">
        <v>77.790000000000006</v>
      </c>
      <c r="AH59" s="8">
        <v>78.73</v>
      </c>
      <c r="AI59" s="8">
        <v>81.93</v>
      </c>
      <c r="AJ59" s="8">
        <v>82.89</v>
      </c>
      <c r="AK59" s="8">
        <v>87.92</v>
      </c>
      <c r="AL59" s="8">
        <v>89.33</v>
      </c>
      <c r="AM59" s="8">
        <v>87.17</v>
      </c>
      <c r="AN59" s="8">
        <v>84.9</v>
      </c>
      <c r="AO59" s="8">
        <v>87.15</v>
      </c>
      <c r="AP59" s="8">
        <v>91.09</v>
      </c>
      <c r="AQ59" s="8">
        <v>85.67</v>
      </c>
      <c r="AR59" s="8">
        <v>79.540000000000006</v>
      </c>
      <c r="AS59" s="8">
        <v>79.48</v>
      </c>
      <c r="AT59" s="8">
        <v>79.62</v>
      </c>
      <c r="AU59" s="8">
        <v>79.510000000000005</v>
      </c>
      <c r="AV59" s="8">
        <v>79.239999999999995</v>
      </c>
      <c r="AW59" s="8">
        <v>72.81</v>
      </c>
      <c r="AX59" s="8">
        <v>84.83</v>
      </c>
      <c r="AY59" s="8">
        <v>77.849999999999994</v>
      </c>
      <c r="AZ59" s="8">
        <v>70.12</v>
      </c>
      <c r="BA59" s="8">
        <v>84.97</v>
      </c>
      <c r="BB59" s="8">
        <v>82.99</v>
      </c>
      <c r="BC59" s="8">
        <v>70.55</v>
      </c>
      <c r="BD59" s="8">
        <v>76.05</v>
      </c>
      <c r="BE59" s="8">
        <v>82.11</v>
      </c>
      <c r="BF59" s="8">
        <v>80.11</v>
      </c>
      <c r="BG59" s="8">
        <v>73.33</v>
      </c>
      <c r="BH59" s="8">
        <v>82.5</v>
      </c>
      <c r="BN59" s="8">
        <v>83.42</v>
      </c>
      <c r="BP59" s="8">
        <v>84.58</v>
      </c>
      <c r="BQ59" s="8">
        <v>68.16</v>
      </c>
      <c r="BR59" s="8">
        <v>68.16</v>
      </c>
      <c r="CH59" s="8">
        <v>58.64</v>
      </c>
      <c r="CI59" s="8">
        <v>58.64</v>
      </c>
      <c r="CL59" s="8">
        <v>83.62</v>
      </c>
      <c r="DB59" s="8">
        <v>85.88</v>
      </c>
      <c r="DC59" s="8">
        <v>81.75</v>
      </c>
      <c r="DD59" s="8">
        <v>88.55</v>
      </c>
      <c r="DE59" s="8">
        <v>85</v>
      </c>
      <c r="DU59" s="8">
        <v>86.42</v>
      </c>
      <c r="EK59" s="8">
        <v>82.65</v>
      </c>
      <c r="EL59" s="8">
        <v>77.400000000000006</v>
      </c>
      <c r="EM59" s="8">
        <v>75.75</v>
      </c>
      <c r="EQ59" s="8">
        <v>81.010000000000005</v>
      </c>
      <c r="EX59" s="8">
        <v>83.23</v>
      </c>
      <c r="EY59" s="8">
        <v>78.81</v>
      </c>
      <c r="FC59" s="8">
        <v>86.06</v>
      </c>
      <c r="FD59" s="8">
        <v>90.3</v>
      </c>
      <c r="FE59" s="8">
        <v>85.29</v>
      </c>
      <c r="FH59" s="8">
        <v>80.56</v>
      </c>
      <c r="FI59" s="8">
        <v>81.319999999999993</v>
      </c>
      <c r="FJ59" s="8">
        <v>79.09</v>
      </c>
      <c r="FK59" s="8">
        <v>82.73</v>
      </c>
      <c r="FL59" s="8">
        <v>83.61</v>
      </c>
      <c r="FM59" s="8">
        <v>88.79</v>
      </c>
      <c r="FN59" s="8">
        <v>91.74</v>
      </c>
      <c r="FO59" s="8">
        <v>86.23</v>
      </c>
      <c r="FP59" s="8">
        <v>87.03</v>
      </c>
      <c r="FQ59" s="8">
        <v>87.65</v>
      </c>
      <c r="FR59" s="8">
        <v>91.85</v>
      </c>
      <c r="FS59" s="8">
        <v>85.58</v>
      </c>
      <c r="FT59" s="8">
        <v>79.23</v>
      </c>
      <c r="FU59" s="8">
        <v>79.959999999999994</v>
      </c>
      <c r="FV59" s="8">
        <v>79.099999999999994</v>
      </c>
      <c r="FW59" s="8">
        <v>78.13</v>
      </c>
      <c r="FX59" s="8">
        <v>82.29</v>
      </c>
      <c r="FY59" s="8">
        <v>75.17</v>
      </c>
      <c r="FZ59" s="8">
        <v>86.29</v>
      </c>
      <c r="GA59" s="8">
        <v>78.260000000000005</v>
      </c>
      <c r="GB59" s="8">
        <v>71.989999999999995</v>
      </c>
      <c r="GC59" s="8">
        <v>84.26</v>
      </c>
      <c r="GD59" s="8">
        <v>83.65</v>
      </c>
      <c r="GE59" s="8">
        <v>73.180000000000007</v>
      </c>
      <c r="GF59" s="8">
        <v>76.48</v>
      </c>
      <c r="GG59" s="8">
        <v>81.13</v>
      </c>
      <c r="GH59" s="8">
        <v>73.62</v>
      </c>
      <c r="GI59" s="8">
        <v>73.34</v>
      </c>
      <c r="GJ59" s="8">
        <v>73.709999999999994</v>
      </c>
      <c r="GP59" s="8">
        <v>83.89</v>
      </c>
      <c r="GR59" s="8">
        <v>83.65</v>
      </c>
      <c r="GS59" s="8">
        <v>66.709999999999994</v>
      </c>
      <c r="GT59" s="8">
        <v>66.709999999999994</v>
      </c>
      <c r="HJ59" s="8">
        <v>73.64</v>
      </c>
      <c r="HK59" s="8">
        <v>73.64</v>
      </c>
      <c r="HN59" s="8">
        <v>81.92</v>
      </c>
      <c r="ID59" s="8">
        <v>86.9</v>
      </c>
      <c r="IE59" s="8">
        <v>82.79</v>
      </c>
      <c r="IF59" s="8">
        <v>89.5</v>
      </c>
      <c r="IG59" s="8">
        <v>86.33</v>
      </c>
    </row>
    <row r="60" spans="1:241" x14ac:dyDescent="0.2">
      <c r="A60" s="9">
        <v>44470</v>
      </c>
      <c r="I60" s="8">
        <v>81.709999999999994</v>
      </c>
      <c r="J60" s="8">
        <v>79.38</v>
      </c>
      <c r="K60" s="8">
        <v>79.67</v>
      </c>
      <c r="O60" s="8">
        <v>80.010000000000005</v>
      </c>
      <c r="V60" s="8">
        <v>89.01</v>
      </c>
      <c r="W60" s="8">
        <v>76.86</v>
      </c>
      <c r="AA60" s="8">
        <v>85.46</v>
      </c>
      <c r="AB60" s="8">
        <v>90.35</v>
      </c>
      <c r="AC60" s="8">
        <v>85.12</v>
      </c>
      <c r="AF60" s="8">
        <v>79.38</v>
      </c>
      <c r="AG60" s="8">
        <v>77.62</v>
      </c>
      <c r="AH60" s="8">
        <v>79.680000000000007</v>
      </c>
      <c r="AI60" s="8">
        <v>79.66</v>
      </c>
      <c r="AJ60" s="8">
        <v>84.01</v>
      </c>
      <c r="AK60" s="8">
        <v>87.94</v>
      </c>
      <c r="AL60" s="8">
        <v>89.64</v>
      </c>
      <c r="AM60" s="8">
        <v>87.32</v>
      </c>
      <c r="AN60" s="8">
        <v>85.78</v>
      </c>
      <c r="AO60" s="8">
        <v>86.53</v>
      </c>
      <c r="AP60" s="8">
        <v>90.56</v>
      </c>
      <c r="AQ60" s="8">
        <v>85.66</v>
      </c>
      <c r="AR60" s="8">
        <v>79.66</v>
      </c>
      <c r="AS60" s="8">
        <v>79.239999999999995</v>
      </c>
      <c r="AT60" s="8">
        <v>79.81</v>
      </c>
      <c r="AU60" s="8">
        <v>80</v>
      </c>
      <c r="AV60" s="8">
        <v>77.739999999999995</v>
      </c>
      <c r="AW60" s="8">
        <v>71.72</v>
      </c>
      <c r="AX60" s="8">
        <v>82.99</v>
      </c>
      <c r="AY60" s="8">
        <v>78.260000000000005</v>
      </c>
      <c r="AZ60" s="8">
        <v>70</v>
      </c>
      <c r="BA60" s="8">
        <v>85.14</v>
      </c>
      <c r="BB60" s="8">
        <v>83.58</v>
      </c>
      <c r="BC60" s="8">
        <v>70.8</v>
      </c>
      <c r="BD60" s="8">
        <v>76.44</v>
      </c>
      <c r="BE60" s="8">
        <v>82.72</v>
      </c>
      <c r="BF60" s="8">
        <v>80.150000000000006</v>
      </c>
      <c r="BG60" s="8">
        <v>74</v>
      </c>
      <c r="BH60" s="8">
        <v>82.31</v>
      </c>
      <c r="BN60" s="8">
        <v>83.72</v>
      </c>
      <c r="BP60" s="8">
        <v>83.97</v>
      </c>
      <c r="BQ60" s="8">
        <v>68.760000000000005</v>
      </c>
      <c r="BR60" s="8">
        <v>68.760000000000005</v>
      </c>
      <c r="CH60" s="8">
        <v>58.77</v>
      </c>
      <c r="CI60" s="8">
        <v>58.77</v>
      </c>
      <c r="CL60" s="8">
        <v>83.62</v>
      </c>
      <c r="CO60" s="8">
        <v>90.6</v>
      </c>
      <c r="CP60" s="8">
        <v>82.13</v>
      </c>
      <c r="DB60" s="8">
        <v>86.1</v>
      </c>
      <c r="DC60" s="8">
        <v>82.57</v>
      </c>
      <c r="DD60" s="8">
        <v>87.5</v>
      </c>
      <c r="DE60" s="8">
        <v>85.94</v>
      </c>
      <c r="DU60" s="8">
        <v>92.04</v>
      </c>
      <c r="EK60" s="8">
        <v>84.59</v>
      </c>
      <c r="EL60" s="8">
        <v>78.709999999999994</v>
      </c>
      <c r="EM60" s="8">
        <v>91.82</v>
      </c>
      <c r="EQ60" s="8">
        <v>80.13</v>
      </c>
      <c r="EX60" s="8">
        <v>83.23</v>
      </c>
      <c r="EY60" s="8">
        <v>78.81</v>
      </c>
      <c r="FC60" s="8">
        <v>86.06</v>
      </c>
      <c r="FD60" s="8">
        <v>90.35</v>
      </c>
      <c r="FE60" s="8">
        <v>85.29</v>
      </c>
      <c r="FH60" s="8">
        <v>80.94</v>
      </c>
      <c r="FI60" s="8">
        <v>80.849999999999994</v>
      </c>
      <c r="FJ60" s="8">
        <v>80.33</v>
      </c>
      <c r="FK60" s="8">
        <v>80.239999999999995</v>
      </c>
      <c r="FL60" s="8">
        <v>85.7</v>
      </c>
      <c r="FM60" s="8">
        <v>88.76</v>
      </c>
      <c r="FN60" s="8">
        <v>91.73</v>
      </c>
      <c r="FO60" s="8">
        <v>86.76</v>
      </c>
      <c r="FP60" s="8">
        <v>88.64</v>
      </c>
      <c r="FQ60" s="8">
        <v>86.63</v>
      </c>
      <c r="FR60" s="8">
        <v>91.25</v>
      </c>
      <c r="FS60" s="8">
        <v>85.42</v>
      </c>
      <c r="FT60" s="8">
        <v>79.430000000000007</v>
      </c>
      <c r="FU60" s="8">
        <v>79.47</v>
      </c>
      <c r="FV60" s="8">
        <v>79.67</v>
      </c>
      <c r="FW60" s="8">
        <v>79</v>
      </c>
      <c r="FX60" s="8">
        <v>83.36</v>
      </c>
      <c r="FY60" s="8">
        <v>77.13</v>
      </c>
      <c r="FZ60" s="8">
        <v>86.81</v>
      </c>
      <c r="GA60" s="8">
        <v>78.98</v>
      </c>
      <c r="GB60" s="8">
        <v>72.06</v>
      </c>
      <c r="GC60" s="8">
        <v>84.37</v>
      </c>
      <c r="GD60" s="8">
        <v>84.46</v>
      </c>
      <c r="GE60" s="8">
        <v>73.28</v>
      </c>
      <c r="GF60" s="8">
        <v>77.489999999999995</v>
      </c>
      <c r="GG60" s="8">
        <v>81.91</v>
      </c>
      <c r="GH60" s="8">
        <v>73.89</v>
      </c>
      <c r="GI60" s="8">
        <v>74.349999999999994</v>
      </c>
      <c r="GJ60" s="8">
        <v>73.75</v>
      </c>
      <c r="GP60" s="8">
        <v>83.77</v>
      </c>
      <c r="GR60" s="8">
        <v>84.17</v>
      </c>
      <c r="GS60" s="8">
        <v>67.400000000000006</v>
      </c>
      <c r="GT60" s="8">
        <v>67.400000000000006</v>
      </c>
      <c r="HJ60" s="8">
        <v>73.41</v>
      </c>
      <c r="HK60" s="8">
        <v>73.41</v>
      </c>
      <c r="HN60" s="8">
        <v>81.92</v>
      </c>
      <c r="HQ60" s="8">
        <v>90.34</v>
      </c>
      <c r="HR60" s="8">
        <v>82.27</v>
      </c>
      <c r="ID60" s="8">
        <v>87.68</v>
      </c>
      <c r="IE60" s="8">
        <v>83.93</v>
      </c>
      <c r="IF60" s="8">
        <v>88.89</v>
      </c>
      <c r="IG60" s="8">
        <v>87.7</v>
      </c>
    </row>
    <row r="61" spans="1:241" x14ac:dyDescent="0.2">
      <c r="A61" s="9">
        <v>44501</v>
      </c>
      <c r="I61" s="8">
        <v>79.69</v>
      </c>
      <c r="J61" s="8">
        <v>77.34</v>
      </c>
      <c r="K61" s="8">
        <v>79.959999999999994</v>
      </c>
      <c r="O61" s="8">
        <v>80.489999999999995</v>
      </c>
      <c r="V61" s="8">
        <v>89.01</v>
      </c>
      <c r="W61" s="8">
        <v>76.86</v>
      </c>
      <c r="AA61" s="8">
        <v>85.49</v>
      </c>
      <c r="AB61" s="8">
        <v>90.82</v>
      </c>
      <c r="AC61" s="8">
        <v>85.12</v>
      </c>
      <c r="AF61" s="8">
        <v>79.900000000000006</v>
      </c>
      <c r="AG61" s="8">
        <v>78.099999999999994</v>
      </c>
      <c r="AH61" s="8">
        <v>80.19</v>
      </c>
      <c r="AI61" s="8">
        <v>81.239999999999995</v>
      </c>
      <c r="AJ61" s="8">
        <v>83.95</v>
      </c>
      <c r="AK61" s="8">
        <v>88.56</v>
      </c>
      <c r="AL61" s="8">
        <v>90.41</v>
      </c>
      <c r="AM61" s="8">
        <v>88.32</v>
      </c>
      <c r="AN61" s="8">
        <v>86.57</v>
      </c>
      <c r="AO61" s="8">
        <v>86.29</v>
      </c>
      <c r="AP61" s="8">
        <v>90.99</v>
      </c>
      <c r="AQ61" s="8">
        <v>86.74</v>
      </c>
      <c r="AR61" s="8">
        <v>80.34</v>
      </c>
      <c r="AS61" s="8">
        <v>79.319999999999993</v>
      </c>
      <c r="AT61" s="8">
        <v>81.3</v>
      </c>
      <c r="AU61" s="8">
        <v>80.58</v>
      </c>
      <c r="AV61" s="8">
        <v>79.400000000000006</v>
      </c>
      <c r="AW61" s="8">
        <v>75.2</v>
      </c>
      <c r="AX61" s="8">
        <v>83.03</v>
      </c>
      <c r="AY61" s="8">
        <v>78.83</v>
      </c>
      <c r="AZ61" s="8">
        <v>69.91</v>
      </c>
      <c r="BA61" s="8">
        <v>84.87</v>
      </c>
      <c r="BB61" s="8">
        <v>84.05</v>
      </c>
      <c r="BC61" s="8">
        <v>71.56</v>
      </c>
      <c r="BD61" s="8">
        <v>76.540000000000006</v>
      </c>
      <c r="BE61" s="8">
        <v>84.37</v>
      </c>
      <c r="BF61" s="8">
        <v>79.86</v>
      </c>
      <c r="BG61" s="8">
        <v>73.069999999999993</v>
      </c>
      <c r="BH61" s="8">
        <v>82.24</v>
      </c>
      <c r="BN61" s="8">
        <v>82.81</v>
      </c>
      <c r="BP61" s="8">
        <v>84.75</v>
      </c>
      <c r="BQ61" s="8">
        <v>69.27</v>
      </c>
      <c r="BR61" s="8">
        <v>69.27</v>
      </c>
      <c r="CH61" s="8">
        <v>62.6</v>
      </c>
      <c r="CI61" s="8">
        <v>62.6</v>
      </c>
      <c r="CL61" s="8">
        <v>83.62</v>
      </c>
      <c r="CO61" s="8">
        <v>90.6</v>
      </c>
      <c r="CP61" s="8">
        <v>82.13</v>
      </c>
      <c r="DB61" s="8">
        <v>86.62</v>
      </c>
      <c r="DC61" s="8">
        <v>83.26</v>
      </c>
      <c r="DD61" s="8">
        <v>87.6</v>
      </c>
      <c r="DE61" s="8">
        <v>86.71</v>
      </c>
      <c r="DU61" s="8">
        <v>95.35</v>
      </c>
      <c r="EK61" s="8">
        <v>83.48</v>
      </c>
      <c r="EL61" s="8">
        <v>77.62</v>
      </c>
      <c r="EM61" s="8">
        <v>92.12</v>
      </c>
      <c r="EQ61" s="8">
        <v>80.760000000000005</v>
      </c>
      <c r="EX61" s="8">
        <v>83.23</v>
      </c>
      <c r="EY61" s="8">
        <v>78.81</v>
      </c>
      <c r="FC61" s="8">
        <v>86.14</v>
      </c>
      <c r="FD61" s="8">
        <v>90.82</v>
      </c>
      <c r="FE61" s="8">
        <v>85.29</v>
      </c>
      <c r="FH61" s="8">
        <v>81.58</v>
      </c>
      <c r="FI61" s="8">
        <v>81.09</v>
      </c>
      <c r="FJ61" s="8">
        <v>81.39</v>
      </c>
      <c r="FK61" s="8">
        <v>81.86</v>
      </c>
      <c r="FL61" s="8">
        <v>85.2</v>
      </c>
      <c r="FM61" s="8">
        <v>88.89</v>
      </c>
      <c r="FN61" s="8">
        <v>91.82</v>
      </c>
      <c r="FO61" s="8">
        <v>88.16</v>
      </c>
      <c r="FP61" s="8">
        <v>88.18</v>
      </c>
      <c r="FQ61" s="8">
        <v>85.04</v>
      </c>
      <c r="FR61" s="8">
        <v>91.59</v>
      </c>
      <c r="FS61" s="8">
        <v>86.67</v>
      </c>
      <c r="FT61" s="8">
        <v>80.63</v>
      </c>
      <c r="FU61" s="8">
        <v>80.13</v>
      </c>
      <c r="FV61" s="8">
        <v>81.61</v>
      </c>
      <c r="FW61" s="8">
        <v>80.19</v>
      </c>
      <c r="FX61" s="8">
        <v>85.01</v>
      </c>
      <c r="FY61" s="8">
        <v>80.47</v>
      </c>
      <c r="FZ61" s="8">
        <v>87.41</v>
      </c>
      <c r="GA61" s="8">
        <v>79.05</v>
      </c>
      <c r="GB61" s="8">
        <v>71.95</v>
      </c>
      <c r="GC61" s="8">
        <v>84.26</v>
      </c>
      <c r="GD61" s="8">
        <v>84.56</v>
      </c>
      <c r="GE61" s="8">
        <v>73.78</v>
      </c>
      <c r="GF61" s="8">
        <v>76.8</v>
      </c>
      <c r="GG61" s="8">
        <v>83.28</v>
      </c>
      <c r="GH61" s="8">
        <v>73.650000000000006</v>
      </c>
      <c r="GI61" s="8">
        <v>73.069999999999993</v>
      </c>
      <c r="GJ61" s="8">
        <v>73.819999999999993</v>
      </c>
      <c r="GP61" s="8">
        <v>83.76</v>
      </c>
      <c r="GR61" s="8">
        <v>84.54</v>
      </c>
      <c r="GS61" s="8">
        <v>67.69</v>
      </c>
      <c r="GT61" s="8">
        <v>67.69</v>
      </c>
      <c r="HJ61" s="8">
        <v>75.66</v>
      </c>
      <c r="HK61" s="8">
        <v>75.66</v>
      </c>
      <c r="HN61" s="8">
        <v>81.92</v>
      </c>
      <c r="HQ61" s="8">
        <v>90.34</v>
      </c>
      <c r="HR61" s="8">
        <v>82.27</v>
      </c>
      <c r="ID61" s="8">
        <v>88.28</v>
      </c>
      <c r="IE61" s="8">
        <v>84.39</v>
      </c>
      <c r="IF61" s="8">
        <v>88.72</v>
      </c>
      <c r="IG61" s="8">
        <v>88.67</v>
      </c>
    </row>
    <row r="62" spans="1:241" x14ac:dyDescent="0.2">
      <c r="A62" s="9">
        <v>44531</v>
      </c>
      <c r="I62" s="8">
        <v>90.35</v>
      </c>
      <c r="J62" s="8">
        <v>88.05</v>
      </c>
      <c r="K62" s="8">
        <v>80.150000000000006</v>
      </c>
      <c r="O62" s="8">
        <v>82.99</v>
      </c>
      <c r="V62" s="8">
        <v>89.01</v>
      </c>
      <c r="W62" s="8">
        <v>76.86</v>
      </c>
      <c r="AA62" s="8">
        <v>87.47</v>
      </c>
      <c r="AB62" s="8">
        <v>90.96</v>
      </c>
      <c r="AC62" s="8">
        <v>87.24</v>
      </c>
      <c r="AF62" s="8">
        <v>80.55</v>
      </c>
      <c r="AG62" s="8">
        <v>78.53</v>
      </c>
      <c r="AH62" s="8">
        <v>80.62</v>
      </c>
      <c r="AI62" s="8">
        <v>82.85</v>
      </c>
      <c r="AJ62" s="8">
        <v>85.38</v>
      </c>
      <c r="AK62" s="8">
        <v>89.12</v>
      </c>
      <c r="AL62" s="8">
        <v>92.34</v>
      </c>
      <c r="AM62" s="8">
        <v>87.62</v>
      </c>
      <c r="AN62" s="8">
        <v>85.69</v>
      </c>
      <c r="AO62" s="8">
        <v>86.75</v>
      </c>
      <c r="AP62" s="8">
        <v>91.8</v>
      </c>
      <c r="AQ62" s="8">
        <v>87.34</v>
      </c>
      <c r="AR62" s="8">
        <v>82.3</v>
      </c>
      <c r="AS62" s="8">
        <v>82.69</v>
      </c>
      <c r="AT62" s="8">
        <v>81.44</v>
      </c>
      <c r="AU62" s="8">
        <v>82.73</v>
      </c>
      <c r="AV62" s="8">
        <v>81.900000000000006</v>
      </c>
      <c r="AW62" s="8">
        <v>78.17</v>
      </c>
      <c r="AX62" s="8">
        <v>85.14</v>
      </c>
      <c r="AY62" s="8">
        <v>79.349999999999994</v>
      </c>
      <c r="AZ62" s="8">
        <v>70.069999999999993</v>
      </c>
      <c r="BA62" s="8">
        <v>85.78</v>
      </c>
      <c r="BB62" s="8">
        <v>83.37</v>
      </c>
      <c r="BC62" s="8">
        <v>70.78</v>
      </c>
      <c r="BD62" s="8">
        <v>77.28</v>
      </c>
      <c r="BE62" s="8">
        <v>85.9</v>
      </c>
      <c r="BF62" s="8">
        <v>80.27</v>
      </c>
      <c r="BG62" s="8">
        <v>74.78</v>
      </c>
      <c r="BH62" s="8">
        <v>82.19</v>
      </c>
      <c r="BN62" s="8">
        <v>83.74</v>
      </c>
      <c r="BP62" s="8">
        <v>84.8</v>
      </c>
      <c r="BQ62" s="8">
        <v>69.569999999999993</v>
      </c>
      <c r="BR62" s="8">
        <v>69.569999999999993</v>
      </c>
      <c r="CH62" s="8">
        <v>64.45</v>
      </c>
      <c r="CI62" s="8">
        <v>64.45</v>
      </c>
      <c r="CL62" s="8">
        <v>83.62</v>
      </c>
      <c r="CO62" s="8">
        <v>90.6</v>
      </c>
      <c r="CP62" s="8">
        <v>82.13</v>
      </c>
      <c r="DB62" s="8">
        <v>88.14</v>
      </c>
      <c r="DC62" s="8">
        <v>85.74</v>
      </c>
      <c r="DD62" s="8">
        <v>88.89</v>
      </c>
      <c r="DE62" s="8">
        <v>88.19</v>
      </c>
      <c r="DU62" s="8">
        <v>92.04</v>
      </c>
      <c r="EK62" s="8">
        <v>92.7</v>
      </c>
      <c r="EL62" s="8">
        <v>86.54</v>
      </c>
      <c r="EM62" s="8">
        <v>92.33</v>
      </c>
      <c r="EQ62" s="8">
        <v>82.93</v>
      </c>
      <c r="EX62" s="8">
        <v>83.23</v>
      </c>
      <c r="EY62" s="8">
        <v>78.81</v>
      </c>
      <c r="FC62" s="8">
        <v>87.13</v>
      </c>
      <c r="FD62" s="8">
        <v>90.96</v>
      </c>
      <c r="FE62" s="8">
        <v>86.44</v>
      </c>
      <c r="FH62" s="8">
        <v>82.38</v>
      </c>
      <c r="FI62" s="8">
        <v>81.72</v>
      </c>
      <c r="FJ62" s="8">
        <v>81.86</v>
      </c>
      <c r="FK62" s="8">
        <v>84.12</v>
      </c>
      <c r="FL62" s="8">
        <v>87.17</v>
      </c>
      <c r="FM62" s="8">
        <v>89.56</v>
      </c>
      <c r="FN62" s="8">
        <v>94.34</v>
      </c>
      <c r="FO62" s="8">
        <v>86.37</v>
      </c>
      <c r="FP62" s="8">
        <v>88.79</v>
      </c>
      <c r="FQ62" s="8">
        <v>86.2</v>
      </c>
      <c r="FR62" s="8">
        <v>92.12</v>
      </c>
      <c r="FS62" s="8">
        <v>86.76</v>
      </c>
      <c r="FT62" s="8">
        <v>82.91</v>
      </c>
      <c r="FU62" s="8">
        <v>84.2</v>
      </c>
      <c r="FV62" s="8">
        <v>81.36</v>
      </c>
      <c r="FW62" s="8">
        <v>82.58</v>
      </c>
      <c r="FX62" s="8">
        <v>87.25</v>
      </c>
      <c r="FY62" s="8">
        <v>82.34</v>
      </c>
      <c r="FZ62" s="8">
        <v>89.86</v>
      </c>
      <c r="GA62" s="8">
        <v>79.790000000000006</v>
      </c>
      <c r="GB62" s="8">
        <v>72.16</v>
      </c>
      <c r="GC62" s="8">
        <v>85.33</v>
      </c>
      <c r="GD62" s="8">
        <v>83.49</v>
      </c>
      <c r="GE62" s="8">
        <v>73.150000000000006</v>
      </c>
      <c r="GF62" s="8">
        <v>77.98</v>
      </c>
      <c r="GG62" s="8">
        <v>85</v>
      </c>
      <c r="GH62" s="8">
        <v>74.569999999999993</v>
      </c>
      <c r="GI62" s="8">
        <v>75.02</v>
      </c>
      <c r="GJ62" s="8">
        <v>74.430000000000007</v>
      </c>
      <c r="GP62" s="8">
        <v>82.78</v>
      </c>
      <c r="GR62" s="8">
        <v>82.99</v>
      </c>
      <c r="GS62" s="8">
        <v>67.88</v>
      </c>
      <c r="GT62" s="8">
        <v>67.88</v>
      </c>
      <c r="HJ62" s="8">
        <v>76.37</v>
      </c>
      <c r="HK62" s="8">
        <v>76.37</v>
      </c>
      <c r="HN62" s="8">
        <v>81.92</v>
      </c>
      <c r="HQ62" s="8">
        <v>90.34</v>
      </c>
      <c r="HR62" s="8">
        <v>83.17</v>
      </c>
      <c r="ID62" s="8">
        <v>90.18</v>
      </c>
      <c r="IE62" s="8">
        <v>87.3</v>
      </c>
      <c r="IF62" s="8">
        <v>90.55</v>
      </c>
      <c r="IG62" s="8">
        <v>90.49</v>
      </c>
    </row>
    <row r="63" spans="1:241" x14ac:dyDescent="0.2">
      <c r="A63" s="9">
        <v>44562</v>
      </c>
      <c r="I63" s="8">
        <v>92.36</v>
      </c>
      <c r="J63" s="8">
        <v>90.64</v>
      </c>
      <c r="K63" s="8">
        <v>64.17</v>
      </c>
      <c r="O63" s="8">
        <v>84.58</v>
      </c>
      <c r="V63" s="8">
        <v>89.01</v>
      </c>
      <c r="W63" s="8">
        <v>76.86</v>
      </c>
      <c r="AA63" s="8">
        <v>87.46</v>
      </c>
      <c r="AB63" s="8">
        <v>90.82</v>
      </c>
      <c r="AC63" s="8">
        <v>87.24</v>
      </c>
      <c r="AF63" s="8">
        <v>80.739999999999995</v>
      </c>
      <c r="AG63" s="8">
        <v>78.39</v>
      </c>
      <c r="AH63" s="8">
        <v>81.14</v>
      </c>
      <c r="AI63" s="8">
        <v>82.56</v>
      </c>
      <c r="AJ63" s="8">
        <v>85.84</v>
      </c>
      <c r="AK63" s="8">
        <v>91.44</v>
      </c>
      <c r="AL63" s="8">
        <v>95.8</v>
      </c>
      <c r="AM63" s="8">
        <v>89.46</v>
      </c>
      <c r="AN63" s="8">
        <v>90.42</v>
      </c>
      <c r="AO63" s="8">
        <v>88.5</v>
      </c>
      <c r="AP63" s="8">
        <v>94.05</v>
      </c>
      <c r="AQ63" s="8">
        <v>87.28</v>
      </c>
      <c r="AR63" s="8">
        <v>81.83</v>
      </c>
      <c r="AS63" s="8">
        <v>82.21</v>
      </c>
      <c r="AT63" s="8">
        <v>80.89</v>
      </c>
      <c r="AU63" s="8">
        <v>82.36</v>
      </c>
      <c r="AV63" s="8">
        <v>82.15</v>
      </c>
      <c r="AW63" s="8">
        <v>77.86</v>
      </c>
      <c r="AX63" s="8">
        <v>85.87</v>
      </c>
      <c r="AY63" s="8">
        <v>80.66</v>
      </c>
      <c r="AZ63" s="8">
        <v>71.44</v>
      </c>
      <c r="BA63" s="8">
        <v>85.34</v>
      </c>
      <c r="BB63" s="8">
        <v>85.6</v>
      </c>
      <c r="BC63" s="8">
        <v>72.930000000000007</v>
      </c>
      <c r="BD63" s="8">
        <v>78.959999999999994</v>
      </c>
      <c r="BE63" s="8">
        <v>86.04</v>
      </c>
      <c r="BF63" s="8">
        <v>82.21</v>
      </c>
      <c r="BG63" s="8">
        <v>77.290000000000006</v>
      </c>
      <c r="BH63" s="8">
        <v>83.91</v>
      </c>
      <c r="BN63" s="8">
        <v>83.07</v>
      </c>
      <c r="BP63" s="8">
        <v>85.86</v>
      </c>
      <c r="BQ63" s="8">
        <v>69.72</v>
      </c>
      <c r="BR63" s="8">
        <v>69.72</v>
      </c>
      <c r="CH63" s="8">
        <v>70.319999999999993</v>
      </c>
      <c r="CI63" s="8">
        <v>70.319999999999993</v>
      </c>
      <c r="CL63" s="8">
        <v>83.62</v>
      </c>
      <c r="CO63" s="8">
        <v>90.6</v>
      </c>
      <c r="CP63" s="8">
        <v>82.13</v>
      </c>
      <c r="DB63" s="8">
        <v>89.87</v>
      </c>
      <c r="DC63" s="8">
        <v>85.61</v>
      </c>
      <c r="DD63" s="8">
        <v>90.09</v>
      </c>
      <c r="DE63" s="8">
        <v>90.7</v>
      </c>
      <c r="DU63" s="8">
        <v>95.1</v>
      </c>
      <c r="EK63" s="8">
        <v>93.66</v>
      </c>
      <c r="EL63" s="8">
        <v>88.04</v>
      </c>
      <c r="EM63" s="8">
        <v>76.47</v>
      </c>
      <c r="EQ63" s="8">
        <v>84.49</v>
      </c>
      <c r="EX63" s="8">
        <v>83.23</v>
      </c>
      <c r="EY63" s="8">
        <v>78.81</v>
      </c>
      <c r="FC63" s="8">
        <v>87.11</v>
      </c>
      <c r="FD63" s="8">
        <v>90.82</v>
      </c>
      <c r="FE63" s="8">
        <v>86.44</v>
      </c>
      <c r="FH63" s="8">
        <v>82.95</v>
      </c>
      <c r="FI63" s="8">
        <v>81.75</v>
      </c>
      <c r="FJ63" s="8">
        <v>83.11</v>
      </c>
      <c r="FK63" s="8">
        <v>83.98</v>
      </c>
      <c r="FL63" s="8">
        <v>87.19</v>
      </c>
      <c r="FM63" s="8">
        <v>92.59</v>
      </c>
      <c r="FN63" s="8">
        <v>98.86</v>
      </c>
      <c r="FO63" s="8">
        <v>89.22</v>
      </c>
      <c r="FP63" s="8">
        <v>92.8</v>
      </c>
      <c r="FQ63" s="8">
        <v>88.64</v>
      </c>
      <c r="FR63" s="8">
        <v>95.28</v>
      </c>
      <c r="FS63" s="8">
        <v>87.72</v>
      </c>
      <c r="FT63" s="8">
        <v>82.1</v>
      </c>
      <c r="FU63" s="8">
        <v>83.52</v>
      </c>
      <c r="FV63" s="8">
        <v>80.459999999999994</v>
      </c>
      <c r="FW63" s="8">
        <v>81.67</v>
      </c>
      <c r="FX63" s="8">
        <v>87.06</v>
      </c>
      <c r="FY63" s="8">
        <v>80.83</v>
      </c>
      <c r="FZ63" s="8">
        <v>90.49</v>
      </c>
      <c r="GA63" s="8">
        <v>81.430000000000007</v>
      </c>
      <c r="GB63" s="8">
        <v>72.12</v>
      </c>
      <c r="GC63" s="8">
        <v>85.23</v>
      </c>
      <c r="GD63" s="8">
        <v>86.2</v>
      </c>
      <c r="GE63" s="8">
        <v>75.489999999999995</v>
      </c>
      <c r="GF63" s="8">
        <v>80.209999999999994</v>
      </c>
      <c r="GG63" s="8">
        <v>85.41</v>
      </c>
      <c r="GH63" s="8">
        <v>76.010000000000005</v>
      </c>
      <c r="GI63" s="8">
        <v>78.05</v>
      </c>
      <c r="GJ63" s="8">
        <v>75.400000000000006</v>
      </c>
      <c r="GP63" s="8">
        <v>81.39</v>
      </c>
      <c r="GR63" s="8">
        <v>82.99</v>
      </c>
      <c r="GS63" s="8">
        <v>68.2</v>
      </c>
      <c r="GT63" s="8">
        <v>68.2</v>
      </c>
      <c r="HJ63" s="8">
        <v>74.959999999999994</v>
      </c>
      <c r="HK63" s="8">
        <v>74.959999999999994</v>
      </c>
      <c r="HN63" s="8">
        <v>81.92</v>
      </c>
      <c r="HQ63" s="8">
        <v>90.34</v>
      </c>
      <c r="HR63" s="8">
        <v>83.86</v>
      </c>
      <c r="ID63" s="8">
        <v>91.03</v>
      </c>
      <c r="IE63" s="8">
        <v>86.87</v>
      </c>
      <c r="IF63" s="8">
        <v>91.4</v>
      </c>
      <c r="IG63" s="8">
        <v>91.48</v>
      </c>
    </row>
    <row r="64" spans="1:241" x14ac:dyDescent="0.2">
      <c r="A64" s="9">
        <v>44593</v>
      </c>
      <c r="I64" s="8">
        <v>81.53</v>
      </c>
      <c r="J64" s="8">
        <v>79.8</v>
      </c>
      <c r="K64" s="8">
        <v>62.72</v>
      </c>
      <c r="O64" s="8">
        <v>84.14</v>
      </c>
      <c r="V64" s="8">
        <v>91.07</v>
      </c>
      <c r="W64" s="8">
        <v>81.13</v>
      </c>
      <c r="AA64" s="8">
        <v>87.47</v>
      </c>
      <c r="AB64" s="8">
        <v>90.87</v>
      </c>
      <c r="AC64" s="8">
        <v>87.24</v>
      </c>
      <c r="AF64" s="8">
        <v>82.44</v>
      </c>
      <c r="AG64" s="8">
        <v>79.400000000000006</v>
      </c>
      <c r="AH64" s="8">
        <v>83.28</v>
      </c>
      <c r="AI64" s="8">
        <v>81.12</v>
      </c>
      <c r="AJ64" s="8">
        <v>90.18</v>
      </c>
      <c r="AK64" s="8">
        <v>93.94</v>
      </c>
      <c r="AL64" s="8">
        <v>97.43</v>
      </c>
      <c r="AM64" s="8">
        <v>91.59</v>
      </c>
      <c r="AN64" s="8">
        <v>92.33</v>
      </c>
      <c r="AO64" s="8">
        <v>91.08</v>
      </c>
      <c r="AP64" s="8">
        <v>96.65</v>
      </c>
      <c r="AQ64" s="8">
        <v>91.44</v>
      </c>
      <c r="AR64" s="8">
        <v>84.18</v>
      </c>
      <c r="AS64" s="8">
        <v>82.4</v>
      </c>
      <c r="AT64" s="8">
        <v>82.77</v>
      </c>
      <c r="AU64" s="8">
        <v>88.07</v>
      </c>
      <c r="AV64" s="8">
        <v>83.71</v>
      </c>
      <c r="AW64" s="8">
        <v>80.31</v>
      </c>
      <c r="AX64" s="8">
        <v>86.66</v>
      </c>
      <c r="AY64" s="8">
        <v>84.4</v>
      </c>
      <c r="AZ64" s="8">
        <v>72.42</v>
      </c>
      <c r="BA64" s="8">
        <v>87.71</v>
      </c>
      <c r="BB64" s="8">
        <v>89.63</v>
      </c>
      <c r="BC64" s="8">
        <v>76.52</v>
      </c>
      <c r="BD64" s="8">
        <v>83.09</v>
      </c>
      <c r="BE64" s="8">
        <v>90.16</v>
      </c>
      <c r="BF64" s="8">
        <v>87.97</v>
      </c>
      <c r="BG64" s="8">
        <v>83.91</v>
      </c>
      <c r="BH64" s="8">
        <v>89.36</v>
      </c>
      <c r="BN64" s="8">
        <v>85.62</v>
      </c>
      <c r="BP64" s="8">
        <v>86.58</v>
      </c>
      <c r="BQ64" s="8">
        <v>69.72</v>
      </c>
      <c r="BR64" s="8">
        <v>69.72</v>
      </c>
      <c r="CH64" s="8">
        <v>72.27</v>
      </c>
      <c r="CI64" s="8">
        <v>72.27</v>
      </c>
      <c r="CL64" s="8">
        <v>83.62</v>
      </c>
      <c r="CO64" s="8">
        <v>90.6</v>
      </c>
      <c r="CP64" s="8">
        <v>82.13</v>
      </c>
      <c r="DB64" s="8">
        <v>94.3</v>
      </c>
      <c r="DC64" s="8">
        <v>97.41</v>
      </c>
      <c r="DD64" s="8">
        <v>92.36</v>
      </c>
      <c r="DE64" s="8">
        <v>94.99</v>
      </c>
      <c r="DU64" s="8">
        <v>101.92</v>
      </c>
      <c r="EK64" s="8">
        <v>84.65</v>
      </c>
      <c r="EL64" s="8">
        <v>79.59</v>
      </c>
      <c r="EM64" s="8">
        <v>68.510000000000005</v>
      </c>
      <c r="EQ64" s="8">
        <v>88</v>
      </c>
      <c r="EX64" s="8">
        <v>85.03</v>
      </c>
      <c r="EY64" s="8">
        <v>83.77</v>
      </c>
      <c r="FC64" s="8">
        <v>87.11</v>
      </c>
      <c r="FD64" s="8">
        <v>90.87</v>
      </c>
      <c r="FE64" s="8">
        <v>86.44</v>
      </c>
      <c r="FH64" s="8">
        <v>82.81</v>
      </c>
      <c r="FI64" s="8">
        <v>83.41</v>
      </c>
      <c r="FJ64" s="8">
        <v>82.03</v>
      </c>
      <c r="FK64" s="8">
        <v>78.760000000000005</v>
      </c>
      <c r="FL64" s="8">
        <v>88.28</v>
      </c>
      <c r="FM64" s="8">
        <v>95.3</v>
      </c>
      <c r="FN64" s="8">
        <v>100.2</v>
      </c>
      <c r="FO64" s="8">
        <v>91.6</v>
      </c>
      <c r="FP64" s="8">
        <v>96.71</v>
      </c>
      <c r="FQ64" s="8">
        <v>92.49</v>
      </c>
      <c r="FR64" s="8">
        <v>97.65</v>
      </c>
      <c r="FS64" s="8">
        <v>90.52</v>
      </c>
      <c r="FT64" s="8">
        <v>81.89</v>
      </c>
      <c r="FU64" s="8">
        <v>82.97</v>
      </c>
      <c r="FV64" s="8">
        <v>80.98</v>
      </c>
      <c r="FW64" s="8">
        <v>81.14</v>
      </c>
      <c r="FX64" s="8">
        <v>89.5</v>
      </c>
      <c r="FY64" s="8">
        <v>85.05</v>
      </c>
      <c r="FZ64" s="8">
        <v>91.82</v>
      </c>
      <c r="GA64" s="8">
        <v>81.23</v>
      </c>
      <c r="GB64" s="8">
        <v>72.099999999999994</v>
      </c>
      <c r="GC64" s="8">
        <v>84.72</v>
      </c>
      <c r="GD64" s="8">
        <v>88.56</v>
      </c>
      <c r="GE64" s="8">
        <v>76.06</v>
      </c>
      <c r="GF64" s="8">
        <v>78.58</v>
      </c>
      <c r="GG64" s="8">
        <v>86.06</v>
      </c>
      <c r="GH64" s="8">
        <v>80.430000000000007</v>
      </c>
      <c r="GI64" s="8">
        <v>77.680000000000007</v>
      </c>
      <c r="GJ64" s="8">
        <v>81.25</v>
      </c>
      <c r="GP64" s="8">
        <v>82.91</v>
      </c>
      <c r="GR64" s="8">
        <v>83.6</v>
      </c>
      <c r="GS64" s="8">
        <v>68.3</v>
      </c>
      <c r="GT64" s="8">
        <v>68.3</v>
      </c>
      <c r="HJ64" s="8">
        <v>77.319999999999993</v>
      </c>
      <c r="HK64" s="8">
        <v>77.319999999999993</v>
      </c>
      <c r="HN64" s="8">
        <v>81.92</v>
      </c>
      <c r="HQ64" s="8">
        <v>90.34</v>
      </c>
      <c r="HR64" s="8">
        <v>83.86</v>
      </c>
      <c r="ID64" s="8">
        <v>92.92</v>
      </c>
      <c r="IE64" s="8">
        <v>87.28</v>
      </c>
      <c r="IF64" s="8">
        <v>89.92</v>
      </c>
      <c r="IG64" s="8">
        <v>95.12</v>
      </c>
    </row>
    <row r="65" spans="1:241" x14ac:dyDescent="0.2">
      <c r="A65" s="9">
        <v>44621</v>
      </c>
      <c r="I65" s="8">
        <v>83.15</v>
      </c>
      <c r="J65" s="8">
        <v>81.38</v>
      </c>
      <c r="K65" s="8">
        <v>64.040000000000006</v>
      </c>
      <c r="O65" s="8">
        <v>89.09</v>
      </c>
      <c r="V65" s="8">
        <v>91.07</v>
      </c>
      <c r="W65" s="8">
        <v>81.13</v>
      </c>
      <c r="AA65" s="8">
        <v>86.7</v>
      </c>
      <c r="AB65" s="8">
        <v>90.91</v>
      </c>
      <c r="AC65" s="8">
        <v>86.42</v>
      </c>
      <c r="AF65" s="8">
        <v>84.11</v>
      </c>
      <c r="AG65" s="8">
        <v>81.59</v>
      </c>
      <c r="AH65" s="8">
        <v>84.05</v>
      </c>
      <c r="AI65" s="8">
        <v>89.36</v>
      </c>
      <c r="AJ65" s="8">
        <v>89.06</v>
      </c>
      <c r="AK65" s="8">
        <v>92.38</v>
      </c>
      <c r="AL65" s="8">
        <v>96.95</v>
      </c>
      <c r="AM65" s="8">
        <v>90.37</v>
      </c>
      <c r="AN65" s="8">
        <v>90.49</v>
      </c>
      <c r="AO65" s="8">
        <v>90.25</v>
      </c>
      <c r="AP65" s="8">
        <v>95.67</v>
      </c>
      <c r="AQ65" s="8">
        <v>87.18</v>
      </c>
      <c r="AR65" s="8">
        <v>84.52</v>
      </c>
      <c r="AS65" s="8">
        <v>83.78</v>
      </c>
      <c r="AT65" s="8">
        <v>84.42</v>
      </c>
      <c r="AU65" s="8">
        <v>85.58</v>
      </c>
      <c r="AV65" s="8">
        <v>84.48</v>
      </c>
      <c r="AW65" s="8">
        <v>79.430000000000007</v>
      </c>
      <c r="AX65" s="8">
        <v>88.87</v>
      </c>
      <c r="AY65" s="8">
        <v>83.64</v>
      </c>
      <c r="AZ65" s="8">
        <v>73.39</v>
      </c>
      <c r="BA65" s="8">
        <v>88.04</v>
      </c>
      <c r="BB65" s="8">
        <v>89.43</v>
      </c>
      <c r="BC65" s="8">
        <v>75.61</v>
      </c>
      <c r="BD65" s="8">
        <v>82.36</v>
      </c>
      <c r="BE65" s="8">
        <v>88.37</v>
      </c>
      <c r="BF65" s="8">
        <v>88.22</v>
      </c>
      <c r="BG65" s="8">
        <v>87.41</v>
      </c>
      <c r="BH65" s="8">
        <v>88.43</v>
      </c>
      <c r="BN65" s="8">
        <v>84.92</v>
      </c>
      <c r="BP65" s="8">
        <v>85.76</v>
      </c>
      <c r="BQ65" s="8">
        <v>70.55</v>
      </c>
      <c r="BR65" s="8">
        <v>70.55</v>
      </c>
      <c r="CH65" s="8">
        <v>72.16</v>
      </c>
      <c r="CI65" s="8">
        <v>72.16</v>
      </c>
      <c r="CL65" s="8">
        <v>83.62</v>
      </c>
      <c r="CO65" s="8">
        <v>90.6</v>
      </c>
      <c r="CP65" s="8">
        <v>82.13</v>
      </c>
      <c r="DB65" s="8">
        <v>94.49</v>
      </c>
      <c r="DC65" s="8">
        <v>93.6</v>
      </c>
      <c r="DD65" s="8">
        <v>93.15</v>
      </c>
      <c r="DE65" s="8">
        <v>95.65</v>
      </c>
      <c r="DU65" s="8">
        <v>113.35</v>
      </c>
      <c r="EK65" s="8">
        <v>85.14</v>
      </c>
      <c r="EL65" s="8">
        <v>80.069999999999993</v>
      </c>
      <c r="EM65" s="8">
        <v>68.28</v>
      </c>
      <c r="EQ65" s="8">
        <v>92.68</v>
      </c>
      <c r="EX65" s="8">
        <v>85.03</v>
      </c>
      <c r="EY65" s="8">
        <v>83.77</v>
      </c>
      <c r="FC65" s="8">
        <v>88.04</v>
      </c>
      <c r="FD65" s="8">
        <v>90.91</v>
      </c>
      <c r="FE65" s="8">
        <v>87.53</v>
      </c>
      <c r="FH65" s="8">
        <v>84.18</v>
      </c>
      <c r="FI65" s="8">
        <v>85.22</v>
      </c>
      <c r="FJ65" s="8">
        <v>81.69</v>
      </c>
      <c r="FK65" s="8">
        <v>87.75</v>
      </c>
      <c r="FL65" s="8">
        <v>90.19</v>
      </c>
      <c r="FM65" s="8">
        <v>93.26</v>
      </c>
      <c r="FN65" s="8">
        <v>100.39</v>
      </c>
      <c r="FO65" s="8">
        <v>89.29</v>
      </c>
      <c r="FP65" s="8">
        <v>93.96</v>
      </c>
      <c r="FQ65" s="8">
        <v>91</v>
      </c>
      <c r="FR65" s="8">
        <v>96.48</v>
      </c>
      <c r="FS65" s="8">
        <v>84.97</v>
      </c>
      <c r="FT65" s="8">
        <v>82.97</v>
      </c>
      <c r="FU65" s="8">
        <v>83.65</v>
      </c>
      <c r="FV65" s="8">
        <v>82.97</v>
      </c>
      <c r="FW65" s="8">
        <v>81.819999999999993</v>
      </c>
      <c r="FX65" s="8">
        <v>89.52</v>
      </c>
      <c r="FY65" s="8">
        <v>83.39</v>
      </c>
      <c r="FZ65" s="8">
        <v>92.87</v>
      </c>
      <c r="GA65" s="8">
        <v>81.92</v>
      </c>
      <c r="GB65" s="8">
        <v>72.239999999999995</v>
      </c>
      <c r="GC65" s="8">
        <v>86.3</v>
      </c>
      <c r="GD65" s="8">
        <v>88.48</v>
      </c>
      <c r="GE65" s="8">
        <v>77.92</v>
      </c>
      <c r="GF65" s="8">
        <v>79.900000000000006</v>
      </c>
      <c r="GG65" s="8">
        <v>85.25</v>
      </c>
      <c r="GH65" s="8">
        <v>80.010000000000005</v>
      </c>
      <c r="GI65" s="8">
        <v>80.45</v>
      </c>
      <c r="GJ65" s="8">
        <v>79.88</v>
      </c>
      <c r="GP65" s="8">
        <v>83.06</v>
      </c>
      <c r="GR65" s="8">
        <v>83.27</v>
      </c>
      <c r="GS65" s="8">
        <v>68.760000000000005</v>
      </c>
      <c r="GT65" s="8">
        <v>68.760000000000005</v>
      </c>
      <c r="HJ65" s="8">
        <v>77.27</v>
      </c>
      <c r="HK65" s="8">
        <v>77.27</v>
      </c>
      <c r="HN65" s="8">
        <v>81.92</v>
      </c>
      <c r="HQ65" s="8">
        <v>90.34</v>
      </c>
      <c r="HR65" s="8">
        <v>86.47</v>
      </c>
      <c r="ID65" s="8">
        <v>94.34</v>
      </c>
      <c r="IE65" s="8">
        <v>88.85</v>
      </c>
      <c r="IF65" s="8">
        <v>91.1</v>
      </c>
      <c r="IG65" s="8">
        <v>96.64</v>
      </c>
    </row>
    <row r="66" spans="1:241" x14ac:dyDescent="0.2">
      <c r="A66" s="9">
        <v>44652</v>
      </c>
      <c r="I66" s="8">
        <v>91.62</v>
      </c>
      <c r="J66" s="8">
        <v>89.67</v>
      </c>
      <c r="K66" s="8">
        <v>70.459999999999994</v>
      </c>
      <c r="O66" s="8">
        <v>91.01</v>
      </c>
      <c r="V66" s="8">
        <v>91.07</v>
      </c>
      <c r="W66" s="8">
        <v>81.13</v>
      </c>
      <c r="AA66" s="8">
        <v>86.59</v>
      </c>
      <c r="AB66" s="8">
        <v>89.23</v>
      </c>
      <c r="AC66" s="8">
        <v>86.42</v>
      </c>
      <c r="AF66" s="8">
        <v>83.94</v>
      </c>
      <c r="AG66" s="8">
        <v>82.93</v>
      </c>
      <c r="AH66" s="8">
        <v>82.81</v>
      </c>
      <c r="AI66" s="8">
        <v>88.21</v>
      </c>
      <c r="AJ66" s="8">
        <v>88.36</v>
      </c>
      <c r="AK66" s="8">
        <v>92.6</v>
      </c>
      <c r="AL66" s="8">
        <v>98.68</v>
      </c>
      <c r="AM66" s="8">
        <v>89.73</v>
      </c>
      <c r="AN66" s="8">
        <v>91.44</v>
      </c>
      <c r="AO66" s="8">
        <v>90.78</v>
      </c>
      <c r="AP66" s="8">
        <v>95.55</v>
      </c>
      <c r="AQ66" s="8">
        <v>85.4</v>
      </c>
      <c r="AR66" s="8">
        <v>84.2</v>
      </c>
      <c r="AS66" s="8">
        <v>84.01</v>
      </c>
      <c r="AT66" s="8">
        <v>83.45</v>
      </c>
      <c r="AU66" s="8">
        <v>85.27</v>
      </c>
      <c r="AV66" s="8">
        <v>86.83</v>
      </c>
      <c r="AW66" s="8">
        <v>83.07</v>
      </c>
      <c r="AX66" s="8">
        <v>90.08</v>
      </c>
      <c r="AY66" s="8">
        <v>82.42</v>
      </c>
      <c r="AZ66" s="8">
        <v>73.849999999999994</v>
      </c>
      <c r="BA66" s="8">
        <v>86.97</v>
      </c>
      <c r="BB66" s="8">
        <v>87.99</v>
      </c>
      <c r="BC66" s="8">
        <v>76.75</v>
      </c>
      <c r="BD66" s="8">
        <v>79.989999999999995</v>
      </c>
      <c r="BE66" s="8">
        <v>87.41</v>
      </c>
      <c r="BF66" s="8">
        <v>86.45</v>
      </c>
      <c r="BG66" s="8">
        <v>81.44</v>
      </c>
      <c r="BH66" s="8">
        <v>88.19</v>
      </c>
      <c r="BN66" s="8">
        <v>85.21</v>
      </c>
      <c r="BP66" s="8">
        <v>85.81</v>
      </c>
      <c r="BQ66" s="8">
        <v>70.75</v>
      </c>
      <c r="BR66" s="8">
        <v>70.75</v>
      </c>
      <c r="CH66" s="8">
        <v>73.53</v>
      </c>
      <c r="CI66" s="8">
        <v>73.53</v>
      </c>
      <c r="CL66" s="8">
        <v>83.62</v>
      </c>
      <c r="CO66" s="8">
        <v>90.6</v>
      </c>
      <c r="CP66" s="8">
        <v>82.13</v>
      </c>
      <c r="DB66" s="8">
        <v>93</v>
      </c>
      <c r="DC66" s="8">
        <v>89.87</v>
      </c>
      <c r="DD66" s="8">
        <v>92.17</v>
      </c>
      <c r="DE66" s="8">
        <v>94.31</v>
      </c>
      <c r="DU66" s="8">
        <v>97.69</v>
      </c>
      <c r="EK66" s="8">
        <v>98.32</v>
      </c>
      <c r="EL66" s="8">
        <v>92.48</v>
      </c>
      <c r="EM66" s="8">
        <v>78.62</v>
      </c>
      <c r="EQ66" s="8">
        <v>91.36</v>
      </c>
      <c r="EX66" s="8">
        <v>85.03</v>
      </c>
      <c r="EY66" s="8">
        <v>83.77</v>
      </c>
      <c r="FC66" s="8">
        <v>87.78</v>
      </c>
      <c r="FD66" s="8">
        <v>89.23</v>
      </c>
      <c r="FE66" s="8">
        <v>87.53</v>
      </c>
      <c r="FH66" s="8">
        <v>84.81</v>
      </c>
      <c r="FI66" s="8">
        <v>85.78</v>
      </c>
      <c r="FJ66" s="8">
        <v>82.52</v>
      </c>
      <c r="FK66" s="8">
        <v>89.08</v>
      </c>
      <c r="FL66" s="8">
        <v>89.54</v>
      </c>
      <c r="FM66" s="8">
        <v>93.3</v>
      </c>
      <c r="FN66" s="8">
        <v>100.81</v>
      </c>
      <c r="FO66" s="8">
        <v>88.45</v>
      </c>
      <c r="FP66" s="8">
        <v>93.21</v>
      </c>
      <c r="FQ66" s="8">
        <v>92.05</v>
      </c>
      <c r="FR66" s="8">
        <v>96.11</v>
      </c>
      <c r="FS66" s="8">
        <v>85.23</v>
      </c>
      <c r="FT66" s="8">
        <v>83.36</v>
      </c>
      <c r="FU66" s="8">
        <v>84.1</v>
      </c>
      <c r="FV66" s="8">
        <v>82.48</v>
      </c>
      <c r="FW66" s="8">
        <v>83.1</v>
      </c>
      <c r="FX66" s="8">
        <v>90.37</v>
      </c>
      <c r="FY66" s="8">
        <v>82.84</v>
      </c>
      <c r="FZ66" s="8">
        <v>94.58</v>
      </c>
      <c r="GA66" s="8">
        <v>82.71</v>
      </c>
      <c r="GB66" s="8">
        <v>73.12</v>
      </c>
      <c r="GC66" s="8">
        <v>86.57</v>
      </c>
      <c r="GD66" s="8">
        <v>88.37</v>
      </c>
      <c r="GE66" s="8">
        <v>78.16</v>
      </c>
      <c r="GF66" s="8">
        <v>80.95</v>
      </c>
      <c r="GG66" s="8">
        <v>86.49</v>
      </c>
      <c r="GH66" s="8">
        <v>80.13</v>
      </c>
      <c r="GI66" s="8">
        <v>80.59</v>
      </c>
      <c r="GJ66" s="8">
        <v>79.989999999999995</v>
      </c>
      <c r="GP66" s="8">
        <v>83.63</v>
      </c>
      <c r="GR66" s="8">
        <v>83.45</v>
      </c>
      <c r="GS66" s="8">
        <v>69.010000000000005</v>
      </c>
      <c r="GT66" s="8">
        <v>69.010000000000005</v>
      </c>
      <c r="HJ66" s="8">
        <v>77.680000000000007</v>
      </c>
      <c r="HK66" s="8">
        <v>77.680000000000007</v>
      </c>
      <c r="HN66" s="8">
        <v>81.92</v>
      </c>
      <c r="HQ66" s="8">
        <v>90.34</v>
      </c>
      <c r="HR66" s="8">
        <v>86.47</v>
      </c>
      <c r="ID66" s="8">
        <v>95.58</v>
      </c>
      <c r="IE66" s="8">
        <v>91.18</v>
      </c>
      <c r="IF66" s="8">
        <v>93.27</v>
      </c>
      <c r="IG66" s="8">
        <v>97.31</v>
      </c>
    </row>
    <row r="67" spans="1:241" x14ac:dyDescent="0.2">
      <c r="A67" s="9">
        <v>44682</v>
      </c>
      <c r="I67" s="8">
        <v>83.37</v>
      </c>
      <c r="J67" s="8">
        <v>81.23</v>
      </c>
      <c r="K67" s="8">
        <v>74.66</v>
      </c>
      <c r="O67" s="8">
        <v>90.03</v>
      </c>
      <c r="V67" s="8">
        <v>91.07</v>
      </c>
      <c r="W67" s="8">
        <v>81.13</v>
      </c>
      <c r="AA67" s="8">
        <v>86.59</v>
      </c>
      <c r="AB67" s="8">
        <v>89.3</v>
      </c>
      <c r="AC67" s="8">
        <v>86.42</v>
      </c>
      <c r="AF67" s="8">
        <v>84.13</v>
      </c>
      <c r="AG67" s="8">
        <v>83.6</v>
      </c>
      <c r="AH67" s="8">
        <v>82.59</v>
      </c>
      <c r="AI67" s="8">
        <v>85.96</v>
      </c>
      <c r="AJ67" s="8">
        <v>89.92</v>
      </c>
      <c r="AK67" s="8">
        <v>93.54</v>
      </c>
      <c r="AL67" s="8">
        <v>99.38</v>
      </c>
      <c r="AM67" s="8">
        <v>90.52</v>
      </c>
      <c r="AN67" s="8">
        <v>92.27</v>
      </c>
      <c r="AO67" s="8">
        <v>91.67</v>
      </c>
      <c r="AP67" s="8">
        <v>96.64</v>
      </c>
      <c r="AQ67" s="8">
        <v>86.76</v>
      </c>
      <c r="AR67" s="8">
        <v>83.67</v>
      </c>
      <c r="AS67" s="8">
        <v>83.15</v>
      </c>
      <c r="AT67" s="8">
        <v>83.69</v>
      </c>
      <c r="AU67" s="8">
        <v>84.3</v>
      </c>
      <c r="AV67" s="8">
        <v>90.06</v>
      </c>
      <c r="AW67" s="8">
        <v>87.71</v>
      </c>
      <c r="AX67" s="8">
        <v>92.07</v>
      </c>
      <c r="AY67" s="8">
        <v>82.21</v>
      </c>
      <c r="AZ67" s="8">
        <v>73.989999999999995</v>
      </c>
      <c r="BA67" s="8">
        <v>86.54</v>
      </c>
      <c r="BB67" s="8">
        <v>88.59</v>
      </c>
      <c r="BC67" s="8">
        <v>77.400000000000006</v>
      </c>
      <c r="BD67" s="8">
        <v>78.78</v>
      </c>
      <c r="BE67" s="8">
        <v>87.83</v>
      </c>
      <c r="BF67" s="8">
        <v>86.58</v>
      </c>
      <c r="BG67" s="8">
        <v>80.239999999999995</v>
      </c>
      <c r="BH67" s="8">
        <v>88.8</v>
      </c>
      <c r="BN67" s="8">
        <v>85.36</v>
      </c>
      <c r="BP67" s="8">
        <v>85.57</v>
      </c>
      <c r="BQ67" s="8">
        <v>70.75</v>
      </c>
      <c r="BR67" s="8">
        <v>70.75</v>
      </c>
      <c r="CH67" s="8">
        <v>75.48</v>
      </c>
      <c r="CI67" s="8">
        <v>75.48</v>
      </c>
      <c r="CL67" s="8">
        <v>83.62</v>
      </c>
      <c r="CO67" s="8">
        <v>90.6</v>
      </c>
      <c r="CP67" s="8">
        <v>82.13</v>
      </c>
      <c r="DB67" s="8">
        <v>94.19</v>
      </c>
      <c r="DC67" s="8">
        <v>91.06</v>
      </c>
      <c r="DD67" s="8">
        <v>92.45</v>
      </c>
      <c r="DE67" s="8">
        <v>96.12</v>
      </c>
      <c r="DU67" s="8">
        <v>107.3</v>
      </c>
      <c r="EK67" s="8">
        <v>87.53</v>
      </c>
      <c r="EL67" s="8">
        <v>81.88</v>
      </c>
      <c r="EM67" s="8">
        <v>82.58</v>
      </c>
      <c r="EQ67" s="8">
        <v>89.92</v>
      </c>
      <c r="EX67" s="8">
        <v>85.03</v>
      </c>
      <c r="EY67" s="8">
        <v>83.77</v>
      </c>
      <c r="FC67" s="8">
        <v>87.79</v>
      </c>
      <c r="FD67" s="8">
        <v>89.3</v>
      </c>
      <c r="FE67" s="8">
        <v>87.53</v>
      </c>
      <c r="FH67" s="8">
        <v>85.11</v>
      </c>
      <c r="FI67" s="8">
        <v>85.99</v>
      </c>
      <c r="FJ67" s="8">
        <v>82.99</v>
      </c>
      <c r="FK67" s="8">
        <v>86.97</v>
      </c>
      <c r="FL67" s="8">
        <v>91.41</v>
      </c>
      <c r="FM67" s="8">
        <v>93.78</v>
      </c>
      <c r="FN67" s="8">
        <v>101.1</v>
      </c>
      <c r="FO67" s="8">
        <v>89.49</v>
      </c>
      <c r="FP67" s="8">
        <v>94.36</v>
      </c>
      <c r="FQ67" s="8">
        <v>92.02</v>
      </c>
      <c r="FR67" s="8">
        <v>96.71</v>
      </c>
      <c r="FS67" s="8">
        <v>85.38</v>
      </c>
      <c r="FT67" s="8">
        <v>82.95</v>
      </c>
      <c r="FU67" s="8">
        <v>83.27</v>
      </c>
      <c r="FV67" s="8">
        <v>82.89</v>
      </c>
      <c r="FW67" s="8">
        <v>82.42</v>
      </c>
      <c r="FX67" s="8">
        <v>92.54</v>
      </c>
      <c r="FY67" s="8">
        <v>87.02</v>
      </c>
      <c r="FZ67" s="8">
        <v>95.51</v>
      </c>
      <c r="GA67" s="8">
        <v>82.42</v>
      </c>
      <c r="GB67" s="8">
        <v>74.37</v>
      </c>
      <c r="GC67" s="8">
        <v>86.02</v>
      </c>
      <c r="GD67" s="8">
        <v>89.43</v>
      </c>
      <c r="GE67" s="8">
        <v>78.87</v>
      </c>
      <c r="GF67" s="8">
        <v>79.209999999999994</v>
      </c>
      <c r="GG67" s="8">
        <v>87.34</v>
      </c>
      <c r="GH67" s="8">
        <v>80.3</v>
      </c>
      <c r="GI67" s="8">
        <v>79.52</v>
      </c>
      <c r="GJ67" s="8">
        <v>80.53</v>
      </c>
      <c r="GP67" s="8">
        <v>85.28</v>
      </c>
      <c r="GR67" s="8">
        <v>83.39</v>
      </c>
      <c r="GS67" s="8">
        <v>69</v>
      </c>
      <c r="GT67" s="8">
        <v>69</v>
      </c>
      <c r="HJ67" s="8">
        <v>79.959999999999994</v>
      </c>
      <c r="HK67" s="8">
        <v>79.959999999999994</v>
      </c>
      <c r="HN67" s="8">
        <v>81.92</v>
      </c>
      <c r="HQ67" s="8">
        <v>90.34</v>
      </c>
      <c r="HR67" s="8">
        <v>86.47</v>
      </c>
      <c r="ID67" s="8">
        <v>96.35</v>
      </c>
      <c r="IE67" s="8">
        <v>92.27</v>
      </c>
      <c r="IF67" s="8">
        <v>93.27</v>
      </c>
      <c r="IG67" s="8">
        <v>98.39</v>
      </c>
    </row>
    <row r="68" spans="1:241" x14ac:dyDescent="0.2">
      <c r="A68" s="9">
        <v>44713</v>
      </c>
      <c r="I68" s="8">
        <v>86.8</v>
      </c>
      <c r="J68" s="8">
        <v>84.42</v>
      </c>
      <c r="K68" s="8">
        <v>81.93</v>
      </c>
      <c r="O68" s="8">
        <v>91.39</v>
      </c>
      <c r="V68" s="8">
        <v>91.07</v>
      </c>
      <c r="W68" s="8">
        <v>81.13</v>
      </c>
      <c r="AA68" s="8">
        <v>88.42</v>
      </c>
      <c r="AB68" s="8">
        <v>89.81</v>
      </c>
      <c r="AC68" s="8">
        <v>88.34</v>
      </c>
      <c r="AF68" s="8">
        <v>85.02</v>
      </c>
      <c r="AG68" s="8">
        <v>84.2</v>
      </c>
      <c r="AH68" s="8">
        <v>83.77</v>
      </c>
      <c r="AI68" s="8">
        <v>87.74</v>
      </c>
      <c r="AJ68" s="8">
        <v>90.21</v>
      </c>
      <c r="AK68" s="8">
        <v>93.47</v>
      </c>
      <c r="AL68" s="8">
        <v>99.26</v>
      </c>
      <c r="AM68" s="8">
        <v>89.64</v>
      </c>
      <c r="AN68" s="8">
        <v>92.26</v>
      </c>
      <c r="AO68" s="8">
        <v>90.85</v>
      </c>
      <c r="AP68" s="8">
        <v>96.32</v>
      </c>
      <c r="AQ68" s="8">
        <v>88.27</v>
      </c>
      <c r="AR68" s="8">
        <v>84.19</v>
      </c>
      <c r="AS68" s="8">
        <v>84.5</v>
      </c>
      <c r="AT68" s="8">
        <v>83.59</v>
      </c>
      <c r="AU68" s="8">
        <v>84.44</v>
      </c>
      <c r="AV68" s="8">
        <v>90.84</v>
      </c>
      <c r="AW68" s="8">
        <v>87.28</v>
      </c>
      <c r="AX68" s="8">
        <v>93.92</v>
      </c>
      <c r="AY68" s="8">
        <v>83.18</v>
      </c>
      <c r="AZ68" s="8">
        <v>77.290000000000006</v>
      </c>
      <c r="BA68" s="8">
        <v>88.17</v>
      </c>
      <c r="BB68" s="8">
        <v>88.96</v>
      </c>
      <c r="BC68" s="8">
        <v>79.040000000000006</v>
      </c>
      <c r="BD68" s="8">
        <v>80.09</v>
      </c>
      <c r="BE68" s="8">
        <v>87.47</v>
      </c>
      <c r="BF68" s="8">
        <v>86.58</v>
      </c>
      <c r="BG68" s="8">
        <v>79.959999999999994</v>
      </c>
      <c r="BH68" s="8">
        <v>88.9</v>
      </c>
      <c r="BN68" s="8">
        <v>84.7</v>
      </c>
      <c r="BP68" s="8">
        <v>85.3</v>
      </c>
      <c r="BQ68" s="8">
        <v>70.87</v>
      </c>
      <c r="BR68" s="8">
        <v>70.87</v>
      </c>
      <c r="CH68" s="8">
        <v>76.64</v>
      </c>
      <c r="CI68" s="8">
        <v>76.64</v>
      </c>
      <c r="CL68" s="8">
        <v>83.62</v>
      </c>
      <c r="CO68" s="8">
        <v>90.6</v>
      </c>
      <c r="CP68" s="8">
        <v>82.13</v>
      </c>
      <c r="DB68" s="8">
        <v>94.16</v>
      </c>
      <c r="DC68" s="8">
        <v>91.12</v>
      </c>
      <c r="DD68" s="8">
        <v>92.6</v>
      </c>
      <c r="DE68" s="8">
        <v>95.95</v>
      </c>
      <c r="DU68" s="8">
        <v>115.85</v>
      </c>
      <c r="EK68" s="8">
        <v>88.43</v>
      </c>
      <c r="EL68" s="8">
        <v>82.53</v>
      </c>
      <c r="EM68" s="8">
        <v>88.76</v>
      </c>
      <c r="EQ68" s="8">
        <v>91.68</v>
      </c>
      <c r="EX68" s="8">
        <v>85.03</v>
      </c>
      <c r="EY68" s="8">
        <v>83.77</v>
      </c>
      <c r="FC68" s="8">
        <v>88.69</v>
      </c>
      <c r="FD68" s="8">
        <v>89.81</v>
      </c>
      <c r="FE68" s="8">
        <v>88.5</v>
      </c>
      <c r="FH68" s="8">
        <v>86.12</v>
      </c>
      <c r="FI68" s="8">
        <v>86.55</v>
      </c>
      <c r="FJ68" s="8">
        <v>84.35</v>
      </c>
      <c r="FK68" s="8">
        <v>89.49</v>
      </c>
      <c r="FL68" s="8">
        <v>91.31</v>
      </c>
      <c r="FM68" s="8">
        <v>94.08</v>
      </c>
      <c r="FN68" s="8">
        <v>100.74</v>
      </c>
      <c r="FO68" s="8">
        <v>87.8</v>
      </c>
      <c r="FP68" s="8">
        <v>94.49</v>
      </c>
      <c r="FQ68" s="8">
        <v>91.66</v>
      </c>
      <c r="FR68" s="8">
        <v>98.16</v>
      </c>
      <c r="FS68" s="8">
        <v>87.91</v>
      </c>
      <c r="FT68" s="8">
        <v>83.89</v>
      </c>
      <c r="FU68" s="8">
        <v>85.12</v>
      </c>
      <c r="FV68" s="8">
        <v>82.54</v>
      </c>
      <c r="FW68" s="8">
        <v>83.39</v>
      </c>
      <c r="FX68" s="8">
        <v>94.33</v>
      </c>
      <c r="FY68" s="8">
        <v>85.1</v>
      </c>
      <c r="FZ68" s="8">
        <v>99.57</v>
      </c>
      <c r="GA68" s="8">
        <v>83.47</v>
      </c>
      <c r="GB68" s="8">
        <v>76.89</v>
      </c>
      <c r="GC68" s="8">
        <v>87.99</v>
      </c>
      <c r="GD68" s="8">
        <v>90.05</v>
      </c>
      <c r="GE68" s="8">
        <v>79.72</v>
      </c>
      <c r="GF68" s="8">
        <v>80.95</v>
      </c>
      <c r="GG68" s="8">
        <v>86.81</v>
      </c>
      <c r="GH68" s="8">
        <v>80.31</v>
      </c>
      <c r="GI68" s="8">
        <v>79.59</v>
      </c>
      <c r="GJ68" s="8">
        <v>80.53</v>
      </c>
      <c r="GP68" s="8">
        <v>85.68</v>
      </c>
      <c r="GR68" s="8">
        <v>82.91</v>
      </c>
      <c r="GS68" s="8">
        <v>69.05</v>
      </c>
      <c r="GT68" s="8">
        <v>69.05</v>
      </c>
      <c r="HJ68" s="8">
        <v>82.15</v>
      </c>
      <c r="HK68" s="8">
        <v>82.15</v>
      </c>
      <c r="HN68" s="8">
        <v>81.92</v>
      </c>
      <c r="HQ68" s="8">
        <v>90.34</v>
      </c>
      <c r="HR68" s="8">
        <v>87.3</v>
      </c>
      <c r="ID68" s="8">
        <v>96.64</v>
      </c>
      <c r="IE68" s="8">
        <v>92.22</v>
      </c>
      <c r="IF68" s="8">
        <v>93.13</v>
      </c>
      <c r="IG68" s="8">
        <v>98.93</v>
      </c>
    </row>
    <row r="69" spans="1:241" x14ac:dyDescent="0.2">
      <c r="A69" s="9">
        <v>44743</v>
      </c>
      <c r="I69" s="8">
        <v>90.97</v>
      </c>
      <c r="J69" s="8">
        <v>88.44</v>
      </c>
      <c r="K69" s="8">
        <v>86.97</v>
      </c>
      <c r="O69" s="8">
        <v>91.64</v>
      </c>
      <c r="V69" s="8">
        <v>91.07</v>
      </c>
      <c r="W69" s="8">
        <v>81.13</v>
      </c>
      <c r="AA69" s="8">
        <v>88.43</v>
      </c>
      <c r="AB69" s="8">
        <v>89.9</v>
      </c>
      <c r="AC69" s="8">
        <v>88.34</v>
      </c>
      <c r="AF69" s="8">
        <v>85.77</v>
      </c>
      <c r="AG69" s="8">
        <v>84.32</v>
      </c>
      <c r="AH69" s="8">
        <v>84.47</v>
      </c>
      <c r="AI69" s="8">
        <v>88.57</v>
      </c>
      <c r="AJ69" s="8">
        <v>92.97</v>
      </c>
      <c r="AK69" s="8">
        <v>94.28</v>
      </c>
      <c r="AL69" s="8">
        <v>99.35</v>
      </c>
      <c r="AM69" s="8">
        <v>90.01</v>
      </c>
      <c r="AN69" s="8">
        <v>92.28</v>
      </c>
      <c r="AO69" s="8">
        <v>92.11</v>
      </c>
      <c r="AP69" s="8">
        <v>97.65</v>
      </c>
      <c r="AQ69" s="8">
        <v>90.04</v>
      </c>
      <c r="AR69" s="8">
        <v>87.02</v>
      </c>
      <c r="AS69" s="8">
        <v>88.52</v>
      </c>
      <c r="AT69" s="8">
        <v>85.57</v>
      </c>
      <c r="AU69" s="8">
        <v>86.67</v>
      </c>
      <c r="AV69" s="8">
        <v>92.3</v>
      </c>
      <c r="AW69" s="8">
        <v>89.18</v>
      </c>
      <c r="AX69" s="8">
        <v>94.99</v>
      </c>
      <c r="AY69" s="8">
        <v>84.59</v>
      </c>
      <c r="AZ69" s="8">
        <v>77.83</v>
      </c>
      <c r="BA69" s="8">
        <v>89.97</v>
      </c>
      <c r="BB69" s="8">
        <v>90.39</v>
      </c>
      <c r="BC69" s="8">
        <v>82.69</v>
      </c>
      <c r="BD69" s="8">
        <v>80.77</v>
      </c>
      <c r="BE69" s="8">
        <v>89.11</v>
      </c>
      <c r="BF69" s="8">
        <v>87.19</v>
      </c>
      <c r="BG69" s="8">
        <v>80.87</v>
      </c>
      <c r="BH69" s="8">
        <v>89.4</v>
      </c>
      <c r="BN69" s="8">
        <v>84.74</v>
      </c>
      <c r="BP69" s="8">
        <v>85.35</v>
      </c>
      <c r="BQ69" s="8">
        <v>70.98</v>
      </c>
      <c r="BR69" s="8">
        <v>70.98</v>
      </c>
      <c r="CF69" s="8">
        <v>77.37</v>
      </c>
      <c r="CG69" s="8">
        <v>77.37</v>
      </c>
      <c r="CH69" s="8">
        <v>76.58</v>
      </c>
      <c r="CI69" s="8">
        <v>76.58</v>
      </c>
      <c r="CL69" s="8">
        <v>83.62</v>
      </c>
      <c r="CO69" s="8">
        <v>14.2</v>
      </c>
      <c r="CP69" s="8">
        <v>84.62</v>
      </c>
      <c r="DB69" s="8">
        <v>95</v>
      </c>
      <c r="DC69" s="8">
        <v>91.76</v>
      </c>
      <c r="DD69" s="8">
        <v>93.23</v>
      </c>
      <c r="DE69" s="8">
        <v>96.97</v>
      </c>
      <c r="DU69" s="8">
        <v>109.78</v>
      </c>
      <c r="EB69" s="8">
        <v>80.95</v>
      </c>
      <c r="EK69" s="8">
        <v>96.62</v>
      </c>
      <c r="EL69" s="8">
        <v>90.42</v>
      </c>
      <c r="EM69" s="8">
        <v>90.23</v>
      </c>
      <c r="EQ69" s="8">
        <v>91.69</v>
      </c>
      <c r="EX69" s="8">
        <v>85.03</v>
      </c>
      <c r="EY69" s="8">
        <v>83.77</v>
      </c>
      <c r="FC69" s="8">
        <v>88.71</v>
      </c>
      <c r="FD69" s="8">
        <v>89.9</v>
      </c>
      <c r="FE69" s="8">
        <v>88.5</v>
      </c>
      <c r="FH69" s="8">
        <v>86.59</v>
      </c>
      <c r="FI69" s="8">
        <v>86.65</v>
      </c>
      <c r="FJ69" s="8">
        <v>84.85</v>
      </c>
      <c r="FK69" s="8">
        <v>89.83</v>
      </c>
      <c r="FL69" s="8">
        <v>93.33</v>
      </c>
      <c r="FM69" s="8">
        <v>94.7</v>
      </c>
      <c r="FN69" s="8">
        <v>100.45</v>
      </c>
      <c r="FO69" s="8">
        <v>88.64</v>
      </c>
      <c r="FP69" s="8">
        <v>94.66</v>
      </c>
      <c r="FQ69" s="8">
        <v>92.76</v>
      </c>
      <c r="FR69" s="8">
        <v>98.25</v>
      </c>
      <c r="FS69" s="8">
        <v>89.87</v>
      </c>
      <c r="FT69" s="8">
        <v>87.24</v>
      </c>
      <c r="FU69" s="8">
        <v>89.46</v>
      </c>
      <c r="FV69" s="8">
        <v>85.36</v>
      </c>
      <c r="FW69" s="8">
        <v>85.84</v>
      </c>
      <c r="FX69" s="8">
        <v>98.31</v>
      </c>
      <c r="FY69" s="8">
        <v>93.92</v>
      </c>
      <c r="FZ69" s="8">
        <v>100.56</v>
      </c>
      <c r="GA69" s="8">
        <v>84.85</v>
      </c>
      <c r="GB69" s="8">
        <v>77.2</v>
      </c>
      <c r="GC69" s="8">
        <v>90</v>
      </c>
      <c r="GD69" s="8">
        <v>91.31</v>
      </c>
      <c r="GE69" s="8">
        <v>84.51</v>
      </c>
      <c r="GF69" s="8">
        <v>81.41</v>
      </c>
      <c r="GG69" s="8">
        <v>88.21</v>
      </c>
      <c r="GH69" s="8">
        <v>81.53</v>
      </c>
      <c r="GI69" s="8">
        <v>79.92</v>
      </c>
      <c r="GJ69" s="8">
        <v>82.01</v>
      </c>
      <c r="GP69" s="8">
        <v>86.09</v>
      </c>
      <c r="GR69" s="8">
        <v>83.2</v>
      </c>
      <c r="GS69" s="8">
        <v>69.319999999999993</v>
      </c>
      <c r="GT69" s="8">
        <v>69.319999999999993</v>
      </c>
      <c r="HH69" s="8">
        <v>99.48</v>
      </c>
      <c r="HI69" s="8">
        <v>99.48</v>
      </c>
      <c r="HJ69" s="8">
        <v>82.78</v>
      </c>
      <c r="HK69" s="8">
        <v>82.78</v>
      </c>
      <c r="HN69" s="8">
        <v>81.92</v>
      </c>
      <c r="HQ69" s="8">
        <v>101.1</v>
      </c>
      <c r="HR69" s="8">
        <v>87.57</v>
      </c>
      <c r="ID69" s="8">
        <v>97.5</v>
      </c>
      <c r="IE69" s="8">
        <v>92.39</v>
      </c>
      <c r="IF69" s="8">
        <v>93.85</v>
      </c>
      <c r="IG69" s="8">
        <v>99.95</v>
      </c>
    </row>
    <row r="70" spans="1:241" x14ac:dyDescent="0.2">
      <c r="A70" s="9">
        <v>44774</v>
      </c>
      <c r="I70" s="8">
        <v>85.74</v>
      </c>
      <c r="J70" s="8">
        <v>83.13</v>
      </c>
      <c r="K70" s="8">
        <v>88.46</v>
      </c>
      <c r="O70" s="8">
        <v>92.14</v>
      </c>
      <c r="V70" s="8">
        <v>91.07</v>
      </c>
      <c r="W70" s="8">
        <v>81.72</v>
      </c>
      <c r="AA70" s="8">
        <v>88.35</v>
      </c>
      <c r="AB70" s="8">
        <v>88.73</v>
      </c>
      <c r="AC70" s="8">
        <v>88.34</v>
      </c>
      <c r="AF70" s="8">
        <v>86.94</v>
      </c>
      <c r="AG70" s="8">
        <v>84.86</v>
      </c>
      <c r="AH70" s="8">
        <v>85.9</v>
      </c>
      <c r="AI70" s="8">
        <v>91.7</v>
      </c>
      <c r="AJ70" s="8">
        <v>93.95</v>
      </c>
      <c r="AK70" s="8">
        <v>94.71</v>
      </c>
      <c r="AL70" s="8">
        <v>99.5</v>
      </c>
      <c r="AM70" s="8">
        <v>90.14</v>
      </c>
      <c r="AN70" s="8">
        <v>90.51</v>
      </c>
      <c r="AO70" s="8">
        <v>94.23</v>
      </c>
      <c r="AP70" s="8">
        <v>98.67</v>
      </c>
      <c r="AQ70" s="8">
        <v>90.43</v>
      </c>
      <c r="AR70" s="8">
        <v>89.47</v>
      </c>
      <c r="AS70" s="8">
        <v>93.23</v>
      </c>
      <c r="AT70" s="8">
        <v>86.95</v>
      </c>
      <c r="AU70" s="8">
        <v>87.36</v>
      </c>
      <c r="AV70" s="8">
        <v>95.66</v>
      </c>
      <c r="AW70" s="8">
        <v>92.03</v>
      </c>
      <c r="AX70" s="8">
        <v>98.8</v>
      </c>
      <c r="AY70" s="8">
        <v>85.85</v>
      </c>
      <c r="AZ70" s="8">
        <v>78.12</v>
      </c>
      <c r="BA70" s="8">
        <v>91.69</v>
      </c>
      <c r="BB70" s="8">
        <v>90.74</v>
      </c>
      <c r="BC70" s="8">
        <v>84.67</v>
      </c>
      <c r="BD70" s="8">
        <v>81.84</v>
      </c>
      <c r="BE70" s="8">
        <v>91.05</v>
      </c>
      <c r="BF70" s="8">
        <v>88.35</v>
      </c>
      <c r="BG70" s="8">
        <v>81.819999999999993</v>
      </c>
      <c r="BH70" s="8">
        <v>90.63</v>
      </c>
      <c r="BN70" s="8">
        <v>89.51</v>
      </c>
      <c r="BP70" s="8">
        <v>89.21</v>
      </c>
      <c r="BQ70" s="8">
        <v>71.180000000000007</v>
      </c>
      <c r="BR70" s="8">
        <v>71.180000000000007</v>
      </c>
      <c r="CF70" s="8">
        <v>78.08</v>
      </c>
      <c r="CG70" s="8">
        <v>78.08</v>
      </c>
      <c r="CH70" s="8">
        <v>78.2</v>
      </c>
      <c r="CI70" s="8">
        <v>78.2</v>
      </c>
      <c r="CL70" s="8">
        <v>83.62</v>
      </c>
      <c r="CO70" s="8">
        <v>14.2</v>
      </c>
      <c r="CP70" s="8">
        <v>84.62</v>
      </c>
      <c r="DB70" s="8">
        <v>95.93</v>
      </c>
      <c r="DC70" s="8">
        <v>92.53</v>
      </c>
      <c r="DD70" s="8">
        <v>94.89</v>
      </c>
      <c r="DE70" s="8">
        <v>97.43</v>
      </c>
      <c r="DU70" s="8">
        <v>96.02</v>
      </c>
      <c r="EB70" s="8">
        <v>81.150000000000006</v>
      </c>
      <c r="EK70" s="8">
        <v>92.89</v>
      </c>
      <c r="EL70" s="8">
        <v>86.72</v>
      </c>
      <c r="EM70" s="8">
        <v>92.42</v>
      </c>
      <c r="EQ70" s="8">
        <v>92.33</v>
      </c>
      <c r="EX70" s="8">
        <v>85.03</v>
      </c>
      <c r="EY70" s="8">
        <v>83.73</v>
      </c>
      <c r="FC70" s="8">
        <v>88.53</v>
      </c>
      <c r="FD70" s="8">
        <v>88.73</v>
      </c>
      <c r="FE70" s="8">
        <v>88.5</v>
      </c>
      <c r="FH70" s="8">
        <v>87.9</v>
      </c>
      <c r="FI70" s="8">
        <v>86.97</v>
      </c>
      <c r="FJ70" s="8">
        <v>86.74</v>
      </c>
      <c r="FK70" s="8">
        <v>92.95</v>
      </c>
      <c r="FL70" s="8">
        <v>94.49</v>
      </c>
      <c r="FM70" s="8">
        <v>94.99</v>
      </c>
      <c r="FN70" s="8">
        <v>100.48</v>
      </c>
      <c r="FO70" s="8">
        <v>88.7</v>
      </c>
      <c r="FP70" s="8">
        <v>92.35</v>
      </c>
      <c r="FQ70" s="8">
        <v>95.35</v>
      </c>
      <c r="FR70" s="8">
        <v>99.3</v>
      </c>
      <c r="FS70" s="8">
        <v>89.42</v>
      </c>
      <c r="FT70" s="8">
        <v>89.07</v>
      </c>
      <c r="FU70" s="8">
        <v>92.88</v>
      </c>
      <c r="FV70" s="8">
        <v>86.49</v>
      </c>
      <c r="FW70" s="8">
        <v>86.01</v>
      </c>
      <c r="FX70" s="8">
        <v>101.92</v>
      </c>
      <c r="FY70" s="8">
        <v>97.12</v>
      </c>
      <c r="FZ70" s="8">
        <v>104.4</v>
      </c>
      <c r="GA70" s="8">
        <v>86</v>
      </c>
      <c r="GB70" s="8">
        <v>77.510000000000005</v>
      </c>
      <c r="GC70" s="8">
        <v>91.64</v>
      </c>
      <c r="GD70" s="8">
        <v>91.3</v>
      </c>
      <c r="GE70" s="8">
        <v>85.65</v>
      </c>
      <c r="GF70" s="8">
        <v>82.55</v>
      </c>
      <c r="GG70" s="8">
        <v>90.16</v>
      </c>
      <c r="GH70" s="8">
        <v>82.69</v>
      </c>
      <c r="GI70" s="8">
        <v>81.17</v>
      </c>
      <c r="GJ70" s="8">
        <v>83.14</v>
      </c>
      <c r="GP70" s="8">
        <v>90.34</v>
      </c>
      <c r="GR70" s="8">
        <v>85.55</v>
      </c>
      <c r="GS70" s="8">
        <v>69.64</v>
      </c>
      <c r="GT70" s="8">
        <v>69.64</v>
      </c>
      <c r="HH70" s="8">
        <v>99.91</v>
      </c>
      <c r="HI70" s="8">
        <v>99.91</v>
      </c>
      <c r="HJ70" s="8">
        <v>86.43</v>
      </c>
      <c r="HK70" s="8">
        <v>86.43</v>
      </c>
      <c r="HN70" s="8">
        <v>81.92</v>
      </c>
      <c r="HQ70" s="8">
        <v>101.1</v>
      </c>
      <c r="HR70" s="8">
        <v>87.57</v>
      </c>
      <c r="ID70" s="8">
        <v>98.68</v>
      </c>
      <c r="IE70" s="8">
        <v>93.19</v>
      </c>
      <c r="IF70" s="8">
        <v>95.52</v>
      </c>
      <c r="IG70" s="8">
        <v>100.94</v>
      </c>
    </row>
    <row r="71" spans="1:241" x14ac:dyDescent="0.2">
      <c r="A71" s="9">
        <v>44805</v>
      </c>
      <c r="I71" s="8">
        <v>96.33</v>
      </c>
      <c r="J71" s="8">
        <v>93.41</v>
      </c>
      <c r="K71" s="8">
        <v>99.17</v>
      </c>
      <c r="O71" s="8">
        <v>93.5</v>
      </c>
      <c r="V71" s="8">
        <v>91.07</v>
      </c>
      <c r="W71" s="8">
        <v>81.72</v>
      </c>
      <c r="AA71" s="8">
        <v>90.85</v>
      </c>
      <c r="AB71" s="8">
        <v>88.82</v>
      </c>
      <c r="AC71" s="8">
        <v>91.01</v>
      </c>
      <c r="AF71" s="8">
        <v>88.43</v>
      </c>
      <c r="AG71" s="8">
        <v>87.96</v>
      </c>
      <c r="AH71" s="8">
        <v>86.87</v>
      </c>
      <c r="AI71" s="8">
        <v>92.55</v>
      </c>
      <c r="AJ71" s="8">
        <v>92.76</v>
      </c>
      <c r="AK71" s="8">
        <v>94.73</v>
      </c>
      <c r="AL71" s="8">
        <v>98.92</v>
      </c>
      <c r="AM71" s="8">
        <v>89.96</v>
      </c>
      <c r="AN71" s="8">
        <v>89.21</v>
      </c>
      <c r="AO71" s="8">
        <v>95.45</v>
      </c>
      <c r="AP71" s="8">
        <v>99.12</v>
      </c>
      <c r="AQ71" s="8">
        <v>90.75</v>
      </c>
      <c r="AR71" s="8">
        <v>90.77</v>
      </c>
      <c r="AS71" s="8">
        <v>94.34</v>
      </c>
      <c r="AT71" s="8">
        <v>88.86</v>
      </c>
      <c r="AU71" s="8">
        <v>88.2</v>
      </c>
      <c r="AV71" s="8">
        <v>94.02</v>
      </c>
      <c r="AW71" s="8">
        <v>89.32</v>
      </c>
      <c r="AX71" s="8">
        <v>98.09</v>
      </c>
      <c r="AY71" s="8">
        <v>86.38</v>
      </c>
      <c r="AZ71" s="8">
        <v>77.989999999999995</v>
      </c>
      <c r="BA71" s="8">
        <v>91.39</v>
      </c>
      <c r="BB71" s="8">
        <v>91.25</v>
      </c>
      <c r="BC71" s="8">
        <v>84.1</v>
      </c>
      <c r="BD71" s="8">
        <v>82.98</v>
      </c>
      <c r="BE71" s="8">
        <v>91.54</v>
      </c>
      <c r="BF71" s="8">
        <v>88.49</v>
      </c>
      <c r="BG71" s="8">
        <v>83.62</v>
      </c>
      <c r="BH71" s="8">
        <v>90.17</v>
      </c>
      <c r="BN71" s="8">
        <v>89.95</v>
      </c>
      <c r="BP71" s="8">
        <v>89.06</v>
      </c>
      <c r="BQ71" s="8">
        <v>71.989999999999995</v>
      </c>
      <c r="BR71" s="8">
        <v>71.989999999999995</v>
      </c>
      <c r="CF71" s="8">
        <v>78.569999999999993</v>
      </c>
      <c r="CG71" s="8">
        <v>78.569999999999993</v>
      </c>
      <c r="CH71" s="8">
        <v>77.16</v>
      </c>
      <c r="CI71" s="8">
        <v>77.16</v>
      </c>
      <c r="CL71" s="8">
        <v>86.8</v>
      </c>
      <c r="CO71" s="8">
        <v>14.2</v>
      </c>
      <c r="CP71" s="8">
        <v>84.62</v>
      </c>
      <c r="DB71" s="8">
        <v>96.62</v>
      </c>
      <c r="DC71" s="8">
        <v>93.36</v>
      </c>
      <c r="DD71" s="8">
        <v>95.04</v>
      </c>
      <c r="DE71" s="8">
        <v>98.47</v>
      </c>
      <c r="DU71" s="8">
        <v>96.39</v>
      </c>
      <c r="EB71" s="8">
        <v>81.84</v>
      </c>
      <c r="EK71" s="8">
        <v>98.83</v>
      </c>
      <c r="EL71" s="8">
        <v>92.06</v>
      </c>
      <c r="EM71" s="8">
        <v>104.47</v>
      </c>
      <c r="EQ71" s="8">
        <v>94.09</v>
      </c>
      <c r="EX71" s="8">
        <v>85.03</v>
      </c>
      <c r="EY71" s="8">
        <v>83.73</v>
      </c>
      <c r="FC71" s="8">
        <v>89.34</v>
      </c>
      <c r="FD71" s="8">
        <v>88.82</v>
      </c>
      <c r="FE71" s="8">
        <v>89.45</v>
      </c>
      <c r="FH71" s="8">
        <v>88.61</v>
      </c>
      <c r="FI71" s="8">
        <v>88.59</v>
      </c>
      <c r="FJ71" s="8">
        <v>87.19</v>
      </c>
      <c r="FK71" s="8">
        <v>92.74</v>
      </c>
      <c r="FL71" s="8">
        <v>93.31</v>
      </c>
      <c r="FM71" s="8">
        <v>94.75</v>
      </c>
      <c r="FN71" s="8">
        <v>100.16</v>
      </c>
      <c r="FO71" s="8">
        <v>88.96</v>
      </c>
      <c r="FP71" s="8">
        <v>90.28</v>
      </c>
      <c r="FQ71" s="8">
        <v>95.39</v>
      </c>
      <c r="FR71" s="8">
        <v>99.59</v>
      </c>
      <c r="FS71" s="8">
        <v>89.54</v>
      </c>
      <c r="FT71" s="8">
        <v>90.48</v>
      </c>
      <c r="FU71" s="8">
        <v>93.4</v>
      </c>
      <c r="FV71" s="8">
        <v>88.4</v>
      </c>
      <c r="FW71" s="8">
        <v>88.21</v>
      </c>
      <c r="FX71" s="8">
        <v>96.33</v>
      </c>
      <c r="FY71" s="8">
        <v>90.47</v>
      </c>
      <c r="FZ71" s="8">
        <v>99.49</v>
      </c>
      <c r="GA71" s="8">
        <v>86.71</v>
      </c>
      <c r="GB71" s="8">
        <v>78.02</v>
      </c>
      <c r="GC71" s="8">
        <v>91.22</v>
      </c>
      <c r="GD71" s="8">
        <v>91.79</v>
      </c>
      <c r="GE71" s="8">
        <v>86.48</v>
      </c>
      <c r="GF71" s="8">
        <v>83.83</v>
      </c>
      <c r="GG71" s="8">
        <v>90.19</v>
      </c>
      <c r="GH71" s="8">
        <v>82.73</v>
      </c>
      <c r="GI71" s="8">
        <v>83.36</v>
      </c>
      <c r="GJ71" s="8">
        <v>82.54</v>
      </c>
      <c r="GP71" s="8">
        <v>89.44</v>
      </c>
      <c r="GR71" s="8">
        <v>85.19</v>
      </c>
      <c r="GS71" s="8">
        <v>70.37</v>
      </c>
      <c r="GT71" s="8">
        <v>70.37</v>
      </c>
      <c r="HH71" s="8">
        <v>100.3</v>
      </c>
      <c r="HI71" s="8">
        <v>100.3</v>
      </c>
      <c r="HJ71" s="8">
        <v>86.56</v>
      </c>
      <c r="HK71" s="8">
        <v>86.56</v>
      </c>
      <c r="HN71" s="8">
        <v>84.82</v>
      </c>
      <c r="HQ71" s="8">
        <v>101.1</v>
      </c>
      <c r="HR71" s="8">
        <v>88.57</v>
      </c>
      <c r="ID71" s="8">
        <v>99.84</v>
      </c>
      <c r="IE71" s="8">
        <v>94.7</v>
      </c>
      <c r="IF71" s="8">
        <v>95.27</v>
      </c>
      <c r="IG71" s="8">
        <v>102.72</v>
      </c>
    </row>
    <row r="72" spans="1:241" x14ac:dyDescent="0.2">
      <c r="A72" s="9">
        <v>44835</v>
      </c>
      <c r="I72" s="8">
        <v>91.51</v>
      </c>
      <c r="J72" s="8">
        <v>94.4</v>
      </c>
      <c r="K72" s="8">
        <v>86.43</v>
      </c>
      <c r="O72" s="8">
        <v>95.35</v>
      </c>
      <c r="V72" s="8">
        <v>91.07</v>
      </c>
      <c r="W72" s="8">
        <v>81.72</v>
      </c>
      <c r="AA72" s="8">
        <v>90.86</v>
      </c>
      <c r="AB72" s="8">
        <v>89</v>
      </c>
      <c r="AC72" s="8">
        <v>91.01</v>
      </c>
      <c r="AF72" s="8">
        <v>88.91</v>
      </c>
      <c r="AG72" s="8">
        <v>87.77</v>
      </c>
      <c r="AH72" s="8">
        <v>88.39</v>
      </c>
      <c r="AI72" s="8">
        <v>90.14</v>
      </c>
      <c r="AJ72" s="8">
        <v>93.62</v>
      </c>
      <c r="AK72" s="8">
        <v>94.88</v>
      </c>
      <c r="AL72" s="8">
        <v>98.64</v>
      </c>
      <c r="AM72" s="8">
        <v>90.88</v>
      </c>
      <c r="AN72" s="8">
        <v>88.82</v>
      </c>
      <c r="AO72" s="8">
        <v>94.35</v>
      </c>
      <c r="AP72" s="8">
        <v>99.46</v>
      </c>
      <c r="AQ72" s="8">
        <v>92.5</v>
      </c>
      <c r="AR72" s="8">
        <v>91.57</v>
      </c>
      <c r="AS72" s="8">
        <v>93.98</v>
      </c>
      <c r="AT72" s="8">
        <v>90.23</v>
      </c>
      <c r="AU72" s="8">
        <v>89.88</v>
      </c>
      <c r="AV72" s="8">
        <v>86.84</v>
      </c>
      <c r="AW72" s="8">
        <v>81.430000000000007</v>
      </c>
      <c r="AX72" s="8">
        <v>91.47</v>
      </c>
      <c r="AY72" s="8">
        <v>87.02</v>
      </c>
      <c r="AZ72" s="8">
        <v>78.099999999999994</v>
      </c>
      <c r="BA72" s="8">
        <v>91.55</v>
      </c>
      <c r="BB72" s="8">
        <v>92.03</v>
      </c>
      <c r="BC72" s="8">
        <v>83.81</v>
      </c>
      <c r="BD72" s="8">
        <v>83.22</v>
      </c>
      <c r="BE72" s="8">
        <v>93.46</v>
      </c>
      <c r="BF72" s="8">
        <v>89.26</v>
      </c>
      <c r="BG72" s="8">
        <v>83.57</v>
      </c>
      <c r="BH72" s="8">
        <v>91.24</v>
      </c>
      <c r="BN72" s="8">
        <v>90.83</v>
      </c>
      <c r="BP72" s="8">
        <v>89.36</v>
      </c>
      <c r="BQ72" s="8">
        <v>72.45</v>
      </c>
      <c r="BR72" s="8">
        <v>72.45</v>
      </c>
      <c r="CF72" s="8">
        <v>79.06</v>
      </c>
      <c r="CG72" s="8">
        <v>79.06</v>
      </c>
      <c r="CH72" s="8">
        <v>77.97</v>
      </c>
      <c r="CI72" s="8">
        <v>77.97</v>
      </c>
      <c r="CL72" s="8">
        <v>86.8</v>
      </c>
      <c r="CO72" s="8">
        <v>88.92</v>
      </c>
      <c r="CP72" s="8">
        <v>84.62</v>
      </c>
      <c r="DB72" s="8">
        <v>96.33</v>
      </c>
      <c r="DC72" s="8">
        <v>93.31</v>
      </c>
      <c r="DD72" s="8">
        <v>94.19</v>
      </c>
      <c r="DE72" s="8">
        <v>98.53</v>
      </c>
      <c r="DU72" s="8">
        <v>105.53</v>
      </c>
      <c r="EB72" s="8">
        <v>81.819999999999993</v>
      </c>
      <c r="EK72" s="8">
        <v>90.94</v>
      </c>
      <c r="EL72" s="8">
        <v>91.14</v>
      </c>
      <c r="EM72" s="8">
        <v>87.1</v>
      </c>
      <c r="EQ72" s="8">
        <v>95.3</v>
      </c>
      <c r="EX72" s="8">
        <v>85.03</v>
      </c>
      <c r="EY72" s="8">
        <v>83.73</v>
      </c>
      <c r="FC72" s="8">
        <v>89.37</v>
      </c>
      <c r="FD72" s="8">
        <v>89</v>
      </c>
      <c r="FE72" s="8">
        <v>89.45</v>
      </c>
      <c r="FH72" s="8">
        <v>89.86</v>
      </c>
      <c r="FI72" s="8">
        <v>89.88</v>
      </c>
      <c r="FJ72" s="8">
        <v>89.11</v>
      </c>
      <c r="FK72" s="8">
        <v>89.74</v>
      </c>
      <c r="FL72" s="8">
        <v>94.34</v>
      </c>
      <c r="FM72" s="8">
        <v>94.6</v>
      </c>
      <c r="FN72" s="8">
        <v>99.39</v>
      </c>
      <c r="FO72" s="8">
        <v>90.41</v>
      </c>
      <c r="FP72" s="8">
        <v>89.03</v>
      </c>
      <c r="FQ72" s="8">
        <v>93.82</v>
      </c>
      <c r="FR72" s="8">
        <v>99.06</v>
      </c>
      <c r="FS72" s="8">
        <v>91.77</v>
      </c>
      <c r="FT72" s="8">
        <v>91.26</v>
      </c>
      <c r="FU72" s="8">
        <v>93.72</v>
      </c>
      <c r="FV72" s="8">
        <v>89.39</v>
      </c>
      <c r="FW72" s="8">
        <v>89.5</v>
      </c>
      <c r="FX72" s="8">
        <v>90.35</v>
      </c>
      <c r="FY72" s="8">
        <v>87.44</v>
      </c>
      <c r="FZ72" s="8">
        <v>91.92</v>
      </c>
      <c r="GA72" s="8">
        <v>87.51</v>
      </c>
      <c r="GB72" s="8">
        <v>78.040000000000006</v>
      </c>
      <c r="GC72" s="8">
        <v>91.45</v>
      </c>
      <c r="GD72" s="8">
        <v>92.73</v>
      </c>
      <c r="GE72" s="8">
        <v>85.46</v>
      </c>
      <c r="GF72" s="8">
        <v>84.47</v>
      </c>
      <c r="GG72" s="8">
        <v>92.66</v>
      </c>
      <c r="GH72" s="8">
        <v>83.48</v>
      </c>
      <c r="GI72" s="8">
        <v>83.2</v>
      </c>
      <c r="GJ72" s="8">
        <v>83.57</v>
      </c>
      <c r="GP72" s="8">
        <v>88.26</v>
      </c>
      <c r="GR72" s="8">
        <v>85.76</v>
      </c>
      <c r="GS72" s="8">
        <v>70.849999999999994</v>
      </c>
      <c r="GT72" s="8">
        <v>70.849999999999994</v>
      </c>
      <c r="HH72" s="8">
        <v>100.57</v>
      </c>
      <c r="HI72" s="8">
        <v>100.57</v>
      </c>
      <c r="HJ72" s="8">
        <v>86.43</v>
      </c>
      <c r="HK72" s="8">
        <v>86.43</v>
      </c>
      <c r="HN72" s="8">
        <v>84.82</v>
      </c>
      <c r="HQ72" s="8">
        <v>92.8</v>
      </c>
      <c r="HR72" s="8">
        <v>88.57</v>
      </c>
      <c r="ID72" s="8">
        <v>99.51</v>
      </c>
      <c r="IE72" s="8">
        <v>93.83</v>
      </c>
      <c r="IF72" s="8">
        <v>94.73</v>
      </c>
      <c r="IG72" s="8">
        <v>102.56</v>
      </c>
    </row>
    <row r="73" spans="1:241" x14ac:dyDescent="0.2">
      <c r="A73" s="9">
        <v>44866</v>
      </c>
      <c r="I73" s="8">
        <v>92.34</v>
      </c>
      <c r="J73" s="8">
        <v>96.57</v>
      </c>
      <c r="K73" s="8">
        <v>85.42</v>
      </c>
      <c r="O73" s="8">
        <v>97.95</v>
      </c>
      <c r="V73" s="8">
        <v>91.07</v>
      </c>
      <c r="W73" s="8">
        <v>81.72</v>
      </c>
      <c r="AA73" s="8">
        <v>90.94</v>
      </c>
      <c r="AB73" s="8">
        <v>90.24</v>
      </c>
      <c r="AC73" s="8">
        <v>91.01</v>
      </c>
      <c r="AF73" s="8">
        <v>89.83</v>
      </c>
      <c r="AG73" s="8">
        <v>88.38</v>
      </c>
      <c r="AH73" s="8">
        <v>88.76</v>
      </c>
      <c r="AI73" s="8">
        <v>94.04</v>
      </c>
      <c r="AJ73" s="8">
        <v>95.35</v>
      </c>
      <c r="AK73" s="8">
        <v>95.35</v>
      </c>
      <c r="AL73" s="8">
        <v>98.82</v>
      </c>
      <c r="AM73" s="8">
        <v>92.15</v>
      </c>
      <c r="AN73" s="8">
        <v>87.92</v>
      </c>
      <c r="AO73" s="8">
        <v>94.9</v>
      </c>
      <c r="AP73" s="8">
        <v>99.69</v>
      </c>
      <c r="AQ73" s="8">
        <v>94</v>
      </c>
      <c r="AR73" s="8">
        <v>92.99</v>
      </c>
      <c r="AS73" s="8">
        <v>94.78</v>
      </c>
      <c r="AT73" s="8">
        <v>92.95</v>
      </c>
      <c r="AU73" s="8">
        <v>90.74</v>
      </c>
      <c r="AV73" s="8">
        <v>86.72</v>
      </c>
      <c r="AW73" s="8">
        <v>83.18</v>
      </c>
      <c r="AX73" s="8">
        <v>89.82</v>
      </c>
      <c r="AY73" s="8">
        <v>87.71</v>
      </c>
      <c r="AZ73" s="8">
        <v>78.09</v>
      </c>
      <c r="BA73" s="8">
        <v>91.77</v>
      </c>
      <c r="BB73" s="8">
        <v>92.55</v>
      </c>
      <c r="BC73" s="8">
        <v>85.98</v>
      </c>
      <c r="BD73" s="8">
        <v>83.4</v>
      </c>
      <c r="BE73" s="8">
        <v>94.66</v>
      </c>
      <c r="BF73" s="8">
        <v>88.98</v>
      </c>
      <c r="BG73" s="8">
        <v>84.18</v>
      </c>
      <c r="BH73" s="8">
        <v>90.64</v>
      </c>
      <c r="BN73" s="8">
        <v>91.48</v>
      </c>
      <c r="BP73" s="8">
        <v>89.18</v>
      </c>
      <c r="BQ73" s="8">
        <v>72.489999999999995</v>
      </c>
      <c r="BR73" s="8">
        <v>72.489999999999995</v>
      </c>
      <c r="CF73" s="8">
        <v>79.069999999999993</v>
      </c>
      <c r="CG73" s="8">
        <v>79.069999999999993</v>
      </c>
      <c r="CH73" s="8">
        <v>78.150000000000006</v>
      </c>
      <c r="CI73" s="8">
        <v>78.150000000000006</v>
      </c>
      <c r="CL73" s="8">
        <v>86.8</v>
      </c>
      <c r="CO73" s="8">
        <v>88.92</v>
      </c>
      <c r="CP73" s="8">
        <v>84.62</v>
      </c>
      <c r="DB73" s="8">
        <v>98.23</v>
      </c>
      <c r="DC73" s="8">
        <v>99.41</v>
      </c>
      <c r="DD73" s="8">
        <v>95.19</v>
      </c>
      <c r="DE73" s="8">
        <v>100.14</v>
      </c>
      <c r="DU73" s="8">
        <v>107.45</v>
      </c>
      <c r="EB73" s="8">
        <v>81.73</v>
      </c>
      <c r="EK73" s="8">
        <v>94.48</v>
      </c>
      <c r="EL73" s="8">
        <v>95.99</v>
      </c>
      <c r="EM73" s="8">
        <v>88.65</v>
      </c>
      <c r="EQ73" s="8">
        <v>97.83</v>
      </c>
      <c r="EX73" s="8">
        <v>85.03</v>
      </c>
      <c r="EY73" s="8">
        <v>83.73</v>
      </c>
      <c r="FC73" s="8">
        <v>89.56</v>
      </c>
      <c r="FD73" s="8">
        <v>90.24</v>
      </c>
      <c r="FE73" s="8">
        <v>89.45</v>
      </c>
      <c r="FH73" s="8">
        <v>91.03</v>
      </c>
      <c r="FI73" s="8">
        <v>91.73</v>
      </c>
      <c r="FJ73" s="8">
        <v>88.95</v>
      </c>
      <c r="FK73" s="8">
        <v>94.51</v>
      </c>
      <c r="FL73" s="8">
        <v>96.48</v>
      </c>
      <c r="FM73" s="8">
        <v>95.44</v>
      </c>
      <c r="FN73" s="8">
        <v>99.09</v>
      </c>
      <c r="FO73" s="8">
        <v>91.07</v>
      </c>
      <c r="FP73" s="8">
        <v>90.32</v>
      </c>
      <c r="FQ73" s="8">
        <v>95.15</v>
      </c>
      <c r="FR73" s="8">
        <v>100.13</v>
      </c>
      <c r="FS73" s="8">
        <v>93.06</v>
      </c>
      <c r="FT73" s="8">
        <v>92.64</v>
      </c>
      <c r="FU73" s="8">
        <v>94.53</v>
      </c>
      <c r="FV73" s="8">
        <v>92.61</v>
      </c>
      <c r="FW73" s="8">
        <v>89.74</v>
      </c>
      <c r="FX73" s="8">
        <v>91.81</v>
      </c>
      <c r="FY73" s="8">
        <v>90.93</v>
      </c>
      <c r="FZ73" s="8">
        <v>92.29</v>
      </c>
      <c r="GA73" s="8">
        <v>87.61</v>
      </c>
      <c r="GB73" s="8">
        <v>78.31</v>
      </c>
      <c r="GC73" s="8">
        <v>91.63</v>
      </c>
      <c r="GD73" s="8">
        <v>92.33</v>
      </c>
      <c r="GE73" s="8">
        <v>87.53</v>
      </c>
      <c r="GF73" s="8">
        <v>83.78</v>
      </c>
      <c r="GG73" s="8">
        <v>93.48</v>
      </c>
      <c r="GH73" s="8">
        <v>83.13</v>
      </c>
      <c r="GI73" s="8">
        <v>83.74</v>
      </c>
      <c r="GJ73" s="8">
        <v>82.95</v>
      </c>
      <c r="GP73" s="8">
        <v>88.09</v>
      </c>
      <c r="GR73" s="8">
        <v>85.04</v>
      </c>
      <c r="GS73" s="8">
        <v>70.84</v>
      </c>
      <c r="GT73" s="8">
        <v>70.84</v>
      </c>
      <c r="HH73" s="8">
        <v>100.16</v>
      </c>
      <c r="HI73" s="8">
        <v>100.16</v>
      </c>
      <c r="HJ73" s="8">
        <v>86.25</v>
      </c>
      <c r="HK73" s="8">
        <v>86.25</v>
      </c>
      <c r="HN73" s="8">
        <v>84.82</v>
      </c>
      <c r="HQ73" s="8">
        <v>92.8</v>
      </c>
      <c r="HR73" s="8">
        <v>88.57</v>
      </c>
      <c r="ID73" s="8">
        <v>101.37</v>
      </c>
      <c r="IE73" s="8">
        <v>99.9</v>
      </c>
      <c r="IF73" s="8">
        <v>95.74</v>
      </c>
      <c r="IG73" s="8">
        <v>104.28</v>
      </c>
    </row>
    <row r="74" spans="1:241" x14ac:dyDescent="0.2">
      <c r="A74" s="9">
        <v>44896</v>
      </c>
      <c r="I74" s="8">
        <v>113.06</v>
      </c>
      <c r="J74" s="8">
        <v>110.85</v>
      </c>
      <c r="K74" s="8">
        <v>114.71</v>
      </c>
      <c r="O74" s="8">
        <v>99.36</v>
      </c>
      <c r="V74" s="8">
        <v>91.07</v>
      </c>
      <c r="W74" s="8">
        <v>81.72</v>
      </c>
      <c r="AA74" s="8">
        <v>92.49</v>
      </c>
      <c r="AB74" s="8">
        <v>89.12</v>
      </c>
      <c r="AC74" s="8">
        <v>92.75</v>
      </c>
      <c r="AF74" s="8">
        <v>91.57</v>
      </c>
      <c r="AG74" s="8">
        <v>89.62</v>
      </c>
      <c r="AH74" s="8">
        <v>90.53</v>
      </c>
      <c r="AI74" s="8">
        <v>98.09</v>
      </c>
      <c r="AJ74" s="8">
        <v>97.11</v>
      </c>
      <c r="AK74" s="8">
        <v>96.48</v>
      </c>
      <c r="AL74" s="8">
        <v>99.19</v>
      </c>
      <c r="AM74" s="8">
        <v>93.12</v>
      </c>
      <c r="AN74" s="8">
        <v>89.68</v>
      </c>
      <c r="AO74" s="8">
        <v>96.16</v>
      </c>
      <c r="AP74" s="8">
        <v>101.08</v>
      </c>
      <c r="AQ74" s="8">
        <v>95.4</v>
      </c>
      <c r="AR74" s="8">
        <v>94.77</v>
      </c>
      <c r="AS74" s="8">
        <v>95.91</v>
      </c>
      <c r="AT74" s="8">
        <v>94.81</v>
      </c>
      <c r="AU74" s="8">
        <v>93.27</v>
      </c>
      <c r="AV74" s="8">
        <v>88.79</v>
      </c>
      <c r="AW74" s="8">
        <v>86.94</v>
      </c>
      <c r="AX74" s="8">
        <v>90.54</v>
      </c>
      <c r="AY74" s="8">
        <v>89.26</v>
      </c>
      <c r="AZ74" s="8">
        <v>78.22</v>
      </c>
      <c r="BA74" s="8">
        <v>92.87</v>
      </c>
      <c r="BB74" s="8">
        <v>92.2</v>
      </c>
      <c r="BC74" s="8">
        <v>87.4</v>
      </c>
      <c r="BD74" s="8">
        <v>85.77</v>
      </c>
      <c r="BE74" s="8">
        <v>96.65</v>
      </c>
      <c r="BF74" s="8">
        <v>88.37</v>
      </c>
      <c r="BG74" s="8">
        <v>84.94</v>
      </c>
      <c r="BH74" s="8">
        <v>89.53</v>
      </c>
      <c r="BN74" s="8">
        <v>90.99</v>
      </c>
      <c r="BP74" s="8">
        <v>88.59</v>
      </c>
      <c r="BQ74" s="8">
        <v>72.44</v>
      </c>
      <c r="BR74" s="8">
        <v>72.44</v>
      </c>
      <c r="CF74" s="8">
        <v>79.62</v>
      </c>
      <c r="CG74" s="8">
        <v>79.62</v>
      </c>
      <c r="CH74" s="8">
        <v>79.11</v>
      </c>
      <c r="CI74" s="8">
        <v>79.11</v>
      </c>
      <c r="CL74" s="8">
        <v>86.8</v>
      </c>
      <c r="CO74" s="8">
        <v>88.92</v>
      </c>
      <c r="CP74" s="8">
        <v>84.62</v>
      </c>
      <c r="DB74" s="8">
        <v>99.65</v>
      </c>
      <c r="DC74" s="8">
        <v>100.47</v>
      </c>
      <c r="DD74" s="8">
        <v>97.86</v>
      </c>
      <c r="DE74" s="8">
        <v>100.74</v>
      </c>
      <c r="DU74" s="8">
        <v>99.89</v>
      </c>
      <c r="EB74" s="8">
        <v>81.41</v>
      </c>
      <c r="EK74" s="8">
        <v>122.58</v>
      </c>
      <c r="EL74" s="8">
        <v>113.35</v>
      </c>
      <c r="EM74" s="8">
        <v>130.72999999999999</v>
      </c>
      <c r="EQ74" s="8">
        <v>99.79</v>
      </c>
      <c r="EX74" s="8">
        <v>85.03</v>
      </c>
      <c r="EY74" s="8">
        <v>83.73</v>
      </c>
      <c r="FC74" s="8">
        <v>90.73</v>
      </c>
      <c r="FD74" s="8">
        <v>89.12</v>
      </c>
      <c r="FE74" s="8">
        <v>91.03</v>
      </c>
      <c r="FH74" s="8">
        <v>92.3</v>
      </c>
      <c r="FI74" s="8">
        <v>92.02</v>
      </c>
      <c r="FJ74" s="8">
        <v>90.55</v>
      </c>
      <c r="FK74" s="8">
        <v>98.15</v>
      </c>
      <c r="FL74" s="8">
        <v>98.4</v>
      </c>
      <c r="FM74" s="8">
        <v>96.41</v>
      </c>
      <c r="FN74" s="8">
        <v>100.11</v>
      </c>
      <c r="FO74" s="8">
        <v>91.7</v>
      </c>
      <c r="FP74" s="8">
        <v>90.34</v>
      </c>
      <c r="FQ74" s="8">
        <v>96.47</v>
      </c>
      <c r="FR74" s="8">
        <v>101.75</v>
      </c>
      <c r="FS74" s="8">
        <v>93.93</v>
      </c>
      <c r="FT74" s="8">
        <v>94.5</v>
      </c>
      <c r="FU74" s="8">
        <v>95.94</v>
      </c>
      <c r="FV74" s="8">
        <v>94.46</v>
      </c>
      <c r="FW74" s="8">
        <v>92.34</v>
      </c>
      <c r="FX74" s="8">
        <v>93.54</v>
      </c>
      <c r="FY74" s="8">
        <v>93.8</v>
      </c>
      <c r="FZ74" s="8">
        <v>93.4</v>
      </c>
      <c r="GA74" s="8">
        <v>89.36</v>
      </c>
      <c r="GB74" s="8">
        <v>77.67</v>
      </c>
      <c r="GC74" s="8">
        <v>92.96</v>
      </c>
      <c r="GD74" s="8">
        <v>90.8</v>
      </c>
      <c r="GE74" s="8">
        <v>89.17</v>
      </c>
      <c r="GF74" s="8">
        <v>86.77</v>
      </c>
      <c r="GG74" s="8">
        <v>95.56</v>
      </c>
      <c r="GH74" s="8">
        <v>82.22</v>
      </c>
      <c r="GI74" s="8">
        <v>84.63</v>
      </c>
      <c r="GJ74" s="8">
        <v>81.5</v>
      </c>
      <c r="GP74" s="8">
        <v>88.59</v>
      </c>
      <c r="GR74" s="8">
        <v>85.83</v>
      </c>
      <c r="GS74" s="8">
        <v>70.75</v>
      </c>
      <c r="GT74" s="8">
        <v>70.75</v>
      </c>
      <c r="HH74" s="8">
        <v>100.41</v>
      </c>
      <c r="HI74" s="8">
        <v>100.41</v>
      </c>
      <c r="HJ74" s="8">
        <v>88.81</v>
      </c>
      <c r="HK74" s="8">
        <v>88.81</v>
      </c>
      <c r="HN74" s="8">
        <v>84.82</v>
      </c>
      <c r="HQ74" s="8">
        <v>92.8</v>
      </c>
      <c r="HR74" s="8">
        <v>88.57</v>
      </c>
      <c r="ID74" s="8">
        <v>102.03</v>
      </c>
      <c r="IE74" s="8">
        <v>101.13</v>
      </c>
      <c r="IF74" s="8">
        <v>98.45</v>
      </c>
      <c r="IG74" s="8">
        <v>103.88</v>
      </c>
    </row>
    <row r="75" spans="1:241" x14ac:dyDescent="0.2">
      <c r="A75" s="9">
        <v>44927</v>
      </c>
      <c r="I75" s="8">
        <v>107.73</v>
      </c>
      <c r="J75" s="8">
        <v>112.59</v>
      </c>
      <c r="K75" s="8">
        <v>99.76</v>
      </c>
      <c r="O75" s="8">
        <v>99.87</v>
      </c>
      <c r="V75" s="8">
        <v>91.07</v>
      </c>
      <c r="W75" s="8">
        <v>81.72</v>
      </c>
      <c r="AA75" s="8">
        <v>92.5</v>
      </c>
      <c r="AB75" s="8">
        <v>89.24</v>
      </c>
      <c r="AC75" s="8">
        <v>92.75</v>
      </c>
      <c r="AF75" s="8">
        <v>91.78</v>
      </c>
      <c r="AG75" s="8">
        <v>90.41</v>
      </c>
      <c r="AH75" s="8">
        <v>91.03</v>
      </c>
      <c r="AI75" s="8">
        <v>95.53</v>
      </c>
      <c r="AJ75" s="8">
        <v>96.44</v>
      </c>
      <c r="AK75" s="8">
        <v>95.94</v>
      </c>
      <c r="AL75" s="8">
        <v>99.06</v>
      </c>
      <c r="AM75" s="8">
        <v>92.51</v>
      </c>
      <c r="AN75" s="8">
        <v>89.27</v>
      </c>
      <c r="AO75" s="8">
        <v>95.35</v>
      </c>
      <c r="AP75" s="8">
        <v>100.3</v>
      </c>
      <c r="AQ75" s="8">
        <v>94.76</v>
      </c>
      <c r="AR75" s="8">
        <v>94.2</v>
      </c>
      <c r="AS75" s="8">
        <v>95.02</v>
      </c>
      <c r="AT75" s="8">
        <v>95.29</v>
      </c>
      <c r="AU75" s="8">
        <v>91.99</v>
      </c>
      <c r="AV75" s="8">
        <v>87.96</v>
      </c>
      <c r="AW75" s="8">
        <v>85.48</v>
      </c>
      <c r="AX75" s="8">
        <v>90.22</v>
      </c>
      <c r="AY75" s="8">
        <v>89.87</v>
      </c>
      <c r="AZ75" s="8">
        <v>78.56</v>
      </c>
      <c r="BA75" s="8">
        <v>92.51</v>
      </c>
      <c r="BB75" s="8">
        <v>93.55</v>
      </c>
      <c r="BC75" s="8">
        <v>87.96</v>
      </c>
      <c r="BD75" s="8">
        <v>86.9</v>
      </c>
      <c r="BE75" s="8">
        <v>96.22</v>
      </c>
      <c r="BF75" s="8">
        <v>90.63</v>
      </c>
      <c r="BG75" s="8">
        <v>86.23</v>
      </c>
      <c r="BH75" s="8">
        <v>92.14</v>
      </c>
      <c r="BN75" s="8">
        <v>91.14</v>
      </c>
      <c r="BP75" s="8">
        <v>88.89</v>
      </c>
      <c r="BQ75" s="8">
        <v>72.55</v>
      </c>
      <c r="BR75" s="8">
        <v>72.55</v>
      </c>
      <c r="CF75" s="8">
        <v>80.11</v>
      </c>
      <c r="CG75" s="8">
        <v>80.11</v>
      </c>
      <c r="CH75" s="8">
        <v>78.8</v>
      </c>
      <c r="CI75" s="8">
        <v>78.8</v>
      </c>
      <c r="CL75" s="8">
        <v>86.8</v>
      </c>
      <c r="CO75" s="8">
        <v>92.86</v>
      </c>
      <c r="CP75" s="8">
        <v>85.48</v>
      </c>
      <c r="DB75" s="8">
        <v>98.99</v>
      </c>
      <c r="DC75" s="8">
        <v>98.74</v>
      </c>
      <c r="DD75" s="8">
        <v>96.71</v>
      </c>
      <c r="DE75" s="8">
        <v>100.66</v>
      </c>
      <c r="DU75" s="8">
        <v>100.1</v>
      </c>
      <c r="EB75" s="8">
        <v>81.819999999999993</v>
      </c>
      <c r="EK75" s="8">
        <v>102.67</v>
      </c>
      <c r="EL75" s="8">
        <v>100.91</v>
      </c>
      <c r="EM75" s="8">
        <v>101.11</v>
      </c>
      <c r="EQ75" s="8">
        <v>99.8</v>
      </c>
      <c r="EX75" s="8">
        <v>85.03</v>
      </c>
      <c r="EY75" s="8">
        <v>83.73</v>
      </c>
      <c r="FC75" s="8">
        <v>90.75</v>
      </c>
      <c r="FD75" s="8">
        <v>89.24</v>
      </c>
      <c r="FE75" s="8">
        <v>91.03</v>
      </c>
      <c r="FH75" s="8">
        <v>92.44</v>
      </c>
      <c r="FI75" s="8">
        <v>92.85</v>
      </c>
      <c r="FJ75" s="8">
        <v>90.78</v>
      </c>
      <c r="FK75" s="8">
        <v>96.06</v>
      </c>
      <c r="FL75" s="8">
        <v>96.89</v>
      </c>
      <c r="FM75" s="8">
        <v>96.2</v>
      </c>
      <c r="FN75" s="8">
        <v>98.81</v>
      </c>
      <c r="FO75" s="8">
        <v>92.78</v>
      </c>
      <c r="FP75" s="8">
        <v>90.69</v>
      </c>
      <c r="FQ75" s="8">
        <v>96.34</v>
      </c>
      <c r="FR75" s="8">
        <v>101.61</v>
      </c>
      <c r="FS75" s="8">
        <v>93.41</v>
      </c>
      <c r="FT75" s="8">
        <v>94.04</v>
      </c>
      <c r="FU75" s="8">
        <v>94.94</v>
      </c>
      <c r="FV75" s="8">
        <v>95.04</v>
      </c>
      <c r="FW75" s="8">
        <v>91.58</v>
      </c>
      <c r="FX75" s="8">
        <v>90.93</v>
      </c>
      <c r="FY75" s="8">
        <v>88.63</v>
      </c>
      <c r="FZ75" s="8">
        <v>92.18</v>
      </c>
      <c r="GA75" s="8">
        <v>90.4</v>
      </c>
      <c r="GB75" s="8">
        <v>78.31</v>
      </c>
      <c r="GC75" s="8">
        <v>92.59</v>
      </c>
      <c r="GD75" s="8">
        <v>93.73</v>
      </c>
      <c r="GE75" s="8">
        <v>90</v>
      </c>
      <c r="GF75" s="8">
        <v>87.78</v>
      </c>
      <c r="GG75" s="8">
        <v>96.07</v>
      </c>
      <c r="GH75" s="8">
        <v>84.7</v>
      </c>
      <c r="GI75" s="8">
        <v>85.79</v>
      </c>
      <c r="GJ75" s="8">
        <v>84.37</v>
      </c>
      <c r="GP75" s="8">
        <v>90.25</v>
      </c>
      <c r="GR75" s="8">
        <v>85.2</v>
      </c>
      <c r="GS75" s="8">
        <v>70.84</v>
      </c>
      <c r="GT75" s="8">
        <v>70.84</v>
      </c>
      <c r="HH75" s="8">
        <v>100.9</v>
      </c>
      <c r="HI75" s="8">
        <v>100.9</v>
      </c>
      <c r="HJ75" s="8">
        <v>88.71</v>
      </c>
      <c r="HK75" s="8">
        <v>88.71</v>
      </c>
      <c r="HN75" s="8">
        <v>84.82</v>
      </c>
      <c r="HQ75" s="8">
        <v>101.1</v>
      </c>
      <c r="HR75" s="8">
        <v>89.99</v>
      </c>
      <c r="ID75" s="8">
        <v>101.41</v>
      </c>
      <c r="IE75" s="8">
        <v>98.56</v>
      </c>
      <c r="IF75" s="8">
        <v>97.48</v>
      </c>
      <c r="IG75" s="8">
        <v>103.67</v>
      </c>
    </row>
    <row r="76" spans="1:241" x14ac:dyDescent="0.2">
      <c r="A76" s="9">
        <v>44958</v>
      </c>
      <c r="I76" s="8">
        <v>92.22</v>
      </c>
      <c r="J76" s="8">
        <v>97.23</v>
      </c>
      <c r="K76" s="8">
        <v>84.24</v>
      </c>
      <c r="O76" s="8">
        <v>99.48</v>
      </c>
      <c r="V76" s="8">
        <v>93.3</v>
      </c>
      <c r="W76" s="8">
        <v>89.92</v>
      </c>
      <c r="AA76" s="8">
        <v>92.51</v>
      </c>
      <c r="AB76" s="8">
        <v>89.35</v>
      </c>
      <c r="AC76" s="8">
        <v>92.75</v>
      </c>
      <c r="AF76" s="8">
        <v>90.97</v>
      </c>
      <c r="AG76" s="8">
        <v>90.21</v>
      </c>
      <c r="AH76" s="8">
        <v>89.97</v>
      </c>
      <c r="AI76" s="8">
        <v>90.74</v>
      </c>
      <c r="AJ76" s="8">
        <v>96.9</v>
      </c>
      <c r="AK76" s="8">
        <v>96.31</v>
      </c>
      <c r="AL76" s="8">
        <v>98.81</v>
      </c>
      <c r="AM76" s="8">
        <v>93.48</v>
      </c>
      <c r="AN76" s="8">
        <v>89.79</v>
      </c>
      <c r="AO76" s="8">
        <v>96.88</v>
      </c>
      <c r="AP76" s="8">
        <v>100.23</v>
      </c>
      <c r="AQ76" s="8">
        <v>94.59</v>
      </c>
      <c r="AR76" s="8">
        <v>94.12</v>
      </c>
      <c r="AS76" s="8">
        <v>95.4</v>
      </c>
      <c r="AT76" s="8">
        <v>95.8</v>
      </c>
      <c r="AU76" s="8">
        <v>90.66</v>
      </c>
      <c r="AV76" s="8">
        <v>89.6</v>
      </c>
      <c r="AW76" s="8">
        <v>87.12</v>
      </c>
      <c r="AX76" s="8">
        <v>91.86</v>
      </c>
      <c r="AY76" s="8">
        <v>90.7</v>
      </c>
      <c r="AZ76" s="8">
        <v>80.45</v>
      </c>
      <c r="BA76" s="8">
        <v>92.12</v>
      </c>
      <c r="BB76" s="8">
        <v>95.62</v>
      </c>
      <c r="BC76" s="8">
        <v>88.24</v>
      </c>
      <c r="BD76" s="8">
        <v>87.36</v>
      </c>
      <c r="BE76" s="8">
        <v>97.14</v>
      </c>
      <c r="BF76" s="8">
        <v>91.78</v>
      </c>
      <c r="BG76" s="8">
        <v>86.75</v>
      </c>
      <c r="BH76" s="8">
        <v>93.51</v>
      </c>
      <c r="BN76" s="8">
        <v>95.64</v>
      </c>
      <c r="BP76" s="8">
        <v>90.95</v>
      </c>
      <c r="BQ76" s="8">
        <v>72.69</v>
      </c>
      <c r="BR76" s="8">
        <v>72.69</v>
      </c>
      <c r="CF76" s="8">
        <v>80.72</v>
      </c>
      <c r="CG76" s="8">
        <v>80.73</v>
      </c>
      <c r="CH76" s="8">
        <v>78.790000000000006</v>
      </c>
      <c r="CI76" s="8">
        <v>78.790000000000006</v>
      </c>
      <c r="CL76" s="8">
        <v>86.8</v>
      </c>
      <c r="CO76" s="8">
        <v>92.86</v>
      </c>
      <c r="CP76" s="8">
        <v>85.48</v>
      </c>
      <c r="DB76" s="8">
        <v>100.29</v>
      </c>
      <c r="DC76" s="8">
        <v>98.69</v>
      </c>
      <c r="DD76" s="8">
        <v>97.85</v>
      </c>
      <c r="DE76" s="8">
        <v>102.39</v>
      </c>
      <c r="DU76" s="8">
        <v>102.5</v>
      </c>
      <c r="EB76" s="8">
        <v>81.400000000000006</v>
      </c>
      <c r="EK76" s="8">
        <v>94.03</v>
      </c>
      <c r="EL76" s="8">
        <v>97.91</v>
      </c>
      <c r="EM76" s="8">
        <v>84.9</v>
      </c>
      <c r="EQ76" s="8">
        <v>99</v>
      </c>
      <c r="EX76" s="8">
        <v>89.82</v>
      </c>
      <c r="EY76" s="8">
        <v>90.69</v>
      </c>
      <c r="FC76" s="8">
        <v>90.77</v>
      </c>
      <c r="FD76" s="8">
        <v>89.35</v>
      </c>
      <c r="FE76" s="8">
        <v>91.03</v>
      </c>
      <c r="FH76" s="8">
        <v>92.25</v>
      </c>
      <c r="FI76" s="8">
        <v>92.78</v>
      </c>
      <c r="FJ76" s="8">
        <v>91.01</v>
      </c>
      <c r="FK76" s="8">
        <v>90.62</v>
      </c>
      <c r="FL76" s="8">
        <v>98.16</v>
      </c>
      <c r="FM76" s="8">
        <v>96.7</v>
      </c>
      <c r="FN76" s="8">
        <v>99.09</v>
      </c>
      <c r="FO76" s="8">
        <v>94.36</v>
      </c>
      <c r="FP76" s="8">
        <v>91.73</v>
      </c>
      <c r="FQ76" s="8">
        <v>96.45</v>
      </c>
      <c r="FR76" s="8">
        <v>101.61</v>
      </c>
      <c r="FS76" s="8">
        <v>93.81</v>
      </c>
      <c r="FT76" s="8">
        <v>93.78</v>
      </c>
      <c r="FU76" s="8">
        <v>94.79</v>
      </c>
      <c r="FV76" s="8">
        <v>95.96</v>
      </c>
      <c r="FW76" s="8">
        <v>89.86</v>
      </c>
      <c r="FX76" s="8">
        <v>94.32</v>
      </c>
      <c r="FY76" s="8">
        <v>92.42</v>
      </c>
      <c r="FZ76" s="8">
        <v>95.36</v>
      </c>
      <c r="GA76" s="8">
        <v>91.78</v>
      </c>
      <c r="GB76" s="8">
        <v>80.88</v>
      </c>
      <c r="GC76" s="8">
        <v>91.98</v>
      </c>
      <c r="GD76" s="8">
        <v>96.38</v>
      </c>
      <c r="GE76" s="8">
        <v>91.06</v>
      </c>
      <c r="GF76" s="8">
        <v>88.7</v>
      </c>
      <c r="GG76" s="8">
        <v>98.09</v>
      </c>
      <c r="GH76" s="8">
        <v>86.4</v>
      </c>
      <c r="GI76" s="8">
        <v>86.82</v>
      </c>
      <c r="GJ76" s="8">
        <v>86.27</v>
      </c>
      <c r="GP76" s="8">
        <v>95.21</v>
      </c>
      <c r="GR76" s="8">
        <v>87.15</v>
      </c>
      <c r="GS76" s="8">
        <v>71</v>
      </c>
      <c r="GT76" s="8">
        <v>71</v>
      </c>
      <c r="HH76" s="8">
        <v>101.26</v>
      </c>
      <c r="HI76" s="8">
        <v>101.26</v>
      </c>
      <c r="HJ76" s="8">
        <v>88.99</v>
      </c>
      <c r="HK76" s="8">
        <v>88.99</v>
      </c>
      <c r="HN76" s="8">
        <v>84.82</v>
      </c>
      <c r="HQ76" s="8">
        <v>101.1</v>
      </c>
      <c r="HR76" s="8">
        <v>89.99</v>
      </c>
      <c r="ID76" s="8">
        <v>103.11</v>
      </c>
      <c r="IE76" s="8">
        <v>99.47</v>
      </c>
      <c r="IF76" s="8">
        <v>99.06</v>
      </c>
      <c r="IG76" s="8">
        <v>105.53</v>
      </c>
    </row>
    <row r="77" spans="1:241" x14ac:dyDescent="0.2">
      <c r="A77" s="9">
        <v>44986</v>
      </c>
      <c r="I77" s="8">
        <v>94.5</v>
      </c>
      <c r="J77" s="8">
        <v>99.55</v>
      </c>
      <c r="K77" s="8">
        <v>86.43</v>
      </c>
      <c r="O77" s="8">
        <v>100.23</v>
      </c>
      <c r="V77" s="8">
        <v>93.3</v>
      </c>
      <c r="W77" s="8">
        <v>89.92</v>
      </c>
      <c r="AA77" s="8">
        <v>93.13</v>
      </c>
      <c r="AB77" s="8">
        <v>90.73</v>
      </c>
      <c r="AC77" s="8">
        <v>93.31</v>
      </c>
      <c r="AF77" s="8">
        <v>91.4</v>
      </c>
      <c r="AG77" s="8">
        <v>90.13</v>
      </c>
      <c r="AH77" s="8">
        <v>89.91</v>
      </c>
      <c r="AI77" s="8">
        <v>94.55</v>
      </c>
      <c r="AJ77" s="8">
        <v>98.32</v>
      </c>
      <c r="AK77" s="8">
        <v>96.17</v>
      </c>
      <c r="AL77" s="8">
        <v>98.55</v>
      </c>
      <c r="AM77" s="8">
        <v>93.82</v>
      </c>
      <c r="AN77" s="8">
        <v>89.31</v>
      </c>
      <c r="AO77" s="8">
        <v>97.66</v>
      </c>
      <c r="AP77" s="8">
        <v>100.35</v>
      </c>
      <c r="AQ77" s="8">
        <v>93.36</v>
      </c>
      <c r="AR77" s="8">
        <v>95.87</v>
      </c>
      <c r="AS77" s="8">
        <v>96.54</v>
      </c>
      <c r="AT77" s="8">
        <v>96.98</v>
      </c>
      <c r="AU77" s="8">
        <v>93.81</v>
      </c>
      <c r="AV77" s="8">
        <v>91.58</v>
      </c>
      <c r="AW77" s="8">
        <v>89.69</v>
      </c>
      <c r="AX77" s="8">
        <v>93.36</v>
      </c>
      <c r="AY77" s="8">
        <v>91.29</v>
      </c>
      <c r="AZ77" s="8">
        <v>80.650000000000006</v>
      </c>
      <c r="BA77" s="8">
        <v>93.47</v>
      </c>
      <c r="BB77" s="8">
        <v>95.79</v>
      </c>
      <c r="BC77" s="8">
        <v>88.72</v>
      </c>
      <c r="BD77" s="8">
        <v>88.1</v>
      </c>
      <c r="BE77" s="8">
        <v>97.76</v>
      </c>
      <c r="BF77" s="8">
        <v>92.31</v>
      </c>
      <c r="BG77" s="8">
        <v>85.65</v>
      </c>
      <c r="BH77" s="8">
        <v>94.64</v>
      </c>
      <c r="BN77" s="8">
        <v>95.59</v>
      </c>
      <c r="BP77" s="8">
        <v>91.8</v>
      </c>
      <c r="BQ77" s="8">
        <v>73.3</v>
      </c>
      <c r="BR77" s="8">
        <v>73.3</v>
      </c>
      <c r="CF77" s="8">
        <v>81.34</v>
      </c>
      <c r="CG77" s="8">
        <v>81.34</v>
      </c>
      <c r="CH77" s="8">
        <v>78.900000000000006</v>
      </c>
      <c r="CI77" s="8">
        <v>78.900000000000006</v>
      </c>
      <c r="CL77" s="8">
        <v>86.8</v>
      </c>
      <c r="CO77" s="8">
        <v>92.86</v>
      </c>
      <c r="CP77" s="8">
        <v>85.48</v>
      </c>
      <c r="DB77" s="8">
        <v>100.71</v>
      </c>
      <c r="DC77" s="8">
        <v>99.02</v>
      </c>
      <c r="DD77" s="8">
        <v>98.62</v>
      </c>
      <c r="DE77" s="8">
        <v>102.56</v>
      </c>
      <c r="DU77" s="8">
        <v>102.59</v>
      </c>
      <c r="EB77" s="8">
        <v>85.88</v>
      </c>
      <c r="EK77" s="8">
        <v>94.21</v>
      </c>
      <c r="EL77" s="8">
        <v>96.33</v>
      </c>
      <c r="EM77" s="8">
        <v>87.53</v>
      </c>
      <c r="EQ77" s="8">
        <v>99.41</v>
      </c>
      <c r="EX77" s="8">
        <v>89.82</v>
      </c>
      <c r="EY77" s="8">
        <v>90.69</v>
      </c>
      <c r="FC77" s="8">
        <v>91.94</v>
      </c>
      <c r="FD77" s="8">
        <v>90.73</v>
      </c>
      <c r="FE77" s="8">
        <v>92.17</v>
      </c>
      <c r="FH77" s="8">
        <v>92.25</v>
      </c>
      <c r="FI77" s="8">
        <v>92.82</v>
      </c>
      <c r="FJ77" s="8">
        <v>89.95</v>
      </c>
      <c r="FK77" s="8">
        <v>95.12</v>
      </c>
      <c r="FL77" s="8">
        <v>99.84</v>
      </c>
      <c r="FM77" s="8">
        <v>96.3</v>
      </c>
      <c r="FN77" s="8">
        <v>98.44</v>
      </c>
      <c r="FO77" s="8">
        <v>94.15</v>
      </c>
      <c r="FP77" s="8">
        <v>90.35</v>
      </c>
      <c r="FQ77" s="8">
        <v>97.32</v>
      </c>
      <c r="FR77" s="8">
        <v>101.6</v>
      </c>
      <c r="FS77" s="8">
        <v>92.49</v>
      </c>
      <c r="FT77" s="8">
        <v>95.38</v>
      </c>
      <c r="FU77" s="8">
        <v>95.79</v>
      </c>
      <c r="FV77" s="8">
        <v>96.89</v>
      </c>
      <c r="FW77" s="8">
        <v>93.12</v>
      </c>
      <c r="FX77" s="8">
        <v>95.73</v>
      </c>
      <c r="FY77" s="8">
        <v>94.76</v>
      </c>
      <c r="FZ77" s="8">
        <v>96.26</v>
      </c>
      <c r="GA77" s="8">
        <v>92.14</v>
      </c>
      <c r="GB77" s="8">
        <v>81.510000000000005</v>
      </c>
      <c r="GC77" s="8">
        <v>93.41</v>
      </c>
      <c r="GD77" s="8">
        <v>95.39</v>
      </c>
      <c r="GE77" s="8">
        <v>91.72</v>
      </c>
      <c r="GF77" s="8">
        <v>89.36</v>
      </c>
      <c r="GG77" s="8">
        <v>98.14</v>
      </c>
      <c r="GH77" s="8">
        <v>86.9</v>
      </c>
      <c r="GI77" s="8">
        <v>85.1</v>
      </c>
      <c r="GJ77" s="8">
        <v>87.44</v>
      </c>
      <c r="GP77" s="8">
        <v>94.74</v>
      </c>
      <c r="GR77" s="8">
        <v>87.93</v>
      </c>
      <c r="GS77" s="8">
        <v>71.55</v>
      </c>
      <c r="GT77" s="8">
        <v>71.55</v>
      </c>
      <c r="HH77" s="8">
        <v>101.14</v>
      </c>
      <c r="HI77" s="8">
        <v>101.14</v>
      </c>
      <c r="HJ77" s="8">
        <v>89.07</v>
      </c>
      <c r="HK77" s="8">
        <v>89.07</v>
      </c>
      <c r="HN77" s="8">
        <v>84.82</v>
      </c>
      <c r="HQ77" s="8">
        <v>101.1</v>
      </c>
      <c r="HR77" s="8">
        <v>90.68</v>
      </c>
      <c r="ID77" s="8">
        <v>102.92</v>
      </c>
      <c r="IE77" s="8">
        <v>99.58</v>
      </c>
      <c r="IF77" s="8">
        <v>99.04</v>
      </c>
      <c r="IG77" s="8">
        <v>105.23</v>
      </c>
    </row>
    <row r="78" spans="1:241" x14ac:dyDescent="0.2">
      <c r="A78" s="9">
        <v>45017</v>
      </c>
      <c r="I78" s="8">
        <v>102.38</v>
      </c>
      <c r="J78" s="8">
        <v>107.34</v>
      </c>
      <c r="K78" s="8">
        <v>94.34</v>
      </c>
      <c r="O78" s="8">
        <v>99.47</v>
      </c>
      <c r="V78" s="8">
        <v>93.3</v>
      </c>
      <c r="W78" s="8">
        <v>89.92</v>
      </c>
      <c r="AA78" s="8">
        <v>93.13</v>
      </c>
      <c r="AB78" s="8">
        <v>90.84</v>
      </c>
      <c r="AC78" s="8">
        <v>93.31</v>
      </c>
      <c r="AF78" s="8">
        <v>92.73</v>
      </c>
      <c r="AG78" s="8">
        <v>92.51</v>
      </c>
      <c r="AH78" s="8">
        <v>91.28</v>
      </c>
      <c r="AI78" s="8">
        <v>92.18</v>
      </c>
      <c r="AJ78" s="8">
        <v>98.64</v>
      </c>
      <c r="AK78" s="8">
        <v>96.28</v>
      </c>
      <c r="AL78" s="8">
        <v>98.28</v>
      </c>
      <c r="AM78" s="8">
        <v>93.21</v>
      </c>
      <c r="AN78" s="8">
        <v>90.01</v>
      </c>
      <c r="AO78" s="8">
        <v>98.39</v>
      </c>
      <c r="AP78" s="8">
        <v>99.55</v>
      </c>
      <c r="AQ78" s="8">
        <v>94.17</v>
      </c>
      <c r="AR78" s="8">
        <v>95.82</v>
      </c>
      <c r="AS78" s="8">
        <v>95.66</v>
      </c>
      <c r="AT78" s="8">
        <v>96.37</v>
      </c>
      <c r="AU78" s="8">
        <v>95.46</v>
      </c>
      <c r="AV78" s="8">
        <v>90.84</v>
      </c>
      <c r="AW78" s="8">
        <v>87.17</v>
      </c>
      <c r="AX78" s="8">
        <v>94.07</v>
      </c>
      <c r="AY78" s="8">
        <v>91.56</v>
      </c>
      <c r="AZ78" s="8">
        <v>80.73</v>
      </c>
      <c r="BA78" s="8">
        <v>92.3</v>
      </c>
      <c r="BB78" s="8">
        <v>95.98</v>
      </c>
      <c r="BC78" s="8">
        <v>88.75</v>
      </c>
      <c r="BD78" s="8">
        <v>88.31</v>
      </c>
      <c r="BE78" s="8">
        <v>98.63</v>
      </c>
      <c r="BF78" s="8">
        <v>93.84</v>
      </c>
      <c r="BG78" s="8">
        <v>86.4</v>
      </c>
      <c r="BH78" s="8">
        <v>96.44</v>
      </c>
      <c r="BN78" s="8">
        <v>95.29</v>
      </c>
      <c r="BP78" s="8">
        <v>91.56</v>
      </c>
      <c r="BQ78" s="8">
        <v>73.8</v>
      </c>
      <c r="BR78" s="8">
        <v>73.8</v>
      </c>
      <c r="CF78" s="8">
        <v>82.07</v>
      </c>
      <c r="CG78" s="8">
        <v>82.07</v>
      </c>
      <c r="CH78" s="8">
        <v>78.790000000000006</v>
      </c>
      <c r="CI78" s="8">
        <v>78.790000000000006</v>
      </c>
      <c r="CL78" s="8">
        <v>86.8</v>
      </c>
      <c r="CO78" s="8">
        <v>92.86</v>
      </c>
      <c r="CP78" s="8">
        <v>85.48</v>
      </c>
      <c r="DB78" s="8">
        <v>100.67</v>
      </c>
      <c r="DC78" s="8">
        <v>98.73</v>
      </c>
      <c r="DD78" s="8">
        <v>98.73</v>
      </c>
      <c r="DE78" s="8">
        <v>102.48</v>
      </c>
      <c r="DU78" s="8">
        <v>104.76</v>
      </c>
      <c r="EB78" s="8">
        <v>85.15</v>
      </c>
      <c r="EK78" s="8">
        <v>99.98</v>
      </c>
      <c r="EL78" s="8">
        <v>100.17</v>
      </c>
      <c r="EM78" s="8">
        <v>95.79</v>
      </c>
      <c r="EQ78" s="8">
        <v>98.97</v>
      </c>
      <c r="EX78" s="8">
        <v>89.82</v>
      </c>
      <c r="EY78" s="8">
        <v>90.69</v>
      </c>
      <c r="FC78" s="8">
        <v>91.95</v>
      </c>
      <c r="FD78" s="8">
        <v>90.84</v>
      </c>
      <c r="FE78" s="8">
        <v>92.17</v>
      </c>
      <c r="FH78" s="8">
        <v>93.68</v>
      </c>
      <c r="FI78" s="8">
        <v>94.29</v>
      </c>
      <c r="FJ78" s="8">
        <v>92.19</v>
      </c>
      <c r="FK78" s="8">
        <v>92.96</v>
      </c>
      <c r="FL78" s="8">
        <v>99.81</v>
      </c>
      <c r="FM78" s="8">
        <v>96.2</v>
      </c>
      <c r="FN78" s="8">
        <v>97.24</v>
      </c>
      <c r="FO78" s="8">
        <v>91.63</v>
      </c>
      <c r="FP78" s="8">
        <v>90.24</v>
      </c>
      <c r="FQ78" s="8">
        <v>99.25</v>
      </c>
      <c r="FR78" s="8">
        <v>100.88</v>
      </c>
      <c r="FS78" s="8">
        <v>94.37</v>
      </c>
      <c r="FT78" s="8">
        <v>95.46</v>
      </c>
      <c r="FU78" s="8">
        <v>94.88</v>
      </c>
      <c r="FV78" s="8">
        <v>96.23</v>
      </c>
      <c r="FW78" s="8">
        <v>95.54</v>
      </c>
      <c r="FX78" s="8">
        <v>94.87</v>
      </c>
      <c r="FY78" s="8">
        <v>89.59</v>
      </c>
      <c r="FZ78" s="8">
        <v>97.71</v>
      </c>
      <c r="GA78" s="8">
        <v>92.38</v>
      </c>
      <c r="GB78" s="8">
        <v>81.2</v>
      </c>
      <c r="GC78" s="8">
        <v>92.09</v>
      </c>
      <c r="GD78" s="8">
        <v>95.9</v>
      </c>
      <c r="GE78" s="8">
        <v>91.3</v>
      </c>
      <c r="GF78" s="8">
        <v>89.61</v>
      </c>
      <c r="GG78" s="8">
        <v>99.19</v>
      </c>
      <c r="GH78" s="8">
        <v>88.3</v>
      </c>
      <c r="GI78" s="8">
        <v>85.72</v>
      </c>
      <c r="GJ78" s="8">
        <v>89.07</v>
      </c>
      <c r="GP78" s="8">
        <v>94.22</v>
      </c>
      <c r="GR78" s="8">
        <v>87.17</v>
      </c>
      <c r="GS78" s="8">
        <v>71.81</v>
      </c>
      <c r="GT78" s="8">
        <v>71.81</v>
      </c>
      <c r="HH78" s="8">
        <v>101.43</v>
      </c>
      <c r="HI78" s="8">
        <v>101.43</v>
      </c>
      <c r="HJ78" s="8">
        <v>87.68</v>
      </c>
      <c r="HK78" s="8">
        <v>87.68</v>
      </c>
      <c r="HN78" s="8">
        <v>84.82</v>
      </c>
      <c r="HQ78" s="8">
        <v>101.1</v>
      </c>
      <c r="HR78" s="8">
        <v>92.32</v>
      </c>
      <c r="ID78" s="8">
        <v>102.81</v>
      </c>
      <c r="IE78" s="8">
        <v>99.64</v>
      </c>
      <c r="IF78" s="8">
        <v>99.45</v>
      </c>
      <c r="IG78" s="8">
        <v>104.84</v>
      </c>
    </row>
    <row r="79" spans="1:241" x14ac:dyDescent="0.2">
      <c r="A79" s="9">
        <v>45047</v>
      </c>
      <c r="I79" s="8">
        <v>91.49</v>
      </c>
      <c r="J79" s="8">
        <v>91.57</v>
      </c>
      <c r="K79" s="8">
        <v>90.27</v>
      </c>
      <c r="O79" s="8">
        <v>98.69</v>
      </c>
      <c r="V79" s="8">
        <v>93.3</v>
      </c>
      <c r="W79" s="8">
        <v>89.92</v>
      </c>
      <c r="AA79" s="8">
        <v>93.14</v>
      </c>
      <c r="AB79" s="8">
        <v>90.94</v>
      </c>
      <c r="AC79" s="8">
        <v>93.31</v>
      </c>
      <c r="AF79" s="8">
        <v>94.14</v>
      </c>
      <c r="AG79" s="8">
        <v>95.16</v>
      </c>
      <c r="AH79" s="8">
        <v>91.71</v>
      </c>
      <c r="AI79" s="8">
        <v>95.41</v>
      </c>
      <c r="AJ79" s="8">
        <v>98.47</v>
      </c>
      <c r="AK79" s="8">
        <v>96.11</v>
      </c>
      <c r="AL79" s="8">
        <v>97</v>
      </c>
      <c r="AM79" s="8">
        <v>92.77</v>
      </c>
      <c r="AN79" s="8">
        <v>89.83</v>
      </c>
      <c r="AO79" s="8">
        <v>98.67</v>
      </c>
      <c r="AP79" s="8">
        <v>99.17</v>
      </c>
      <c r="AQ79" s="8">
        <v>95.43</v>
      </c>
      <c r="AR79" s="8">
        <v>96.18</v>
      </c>
      <c r="AS79" s="8">
        <v>96.45</v>
      </c>
      <c r="AT79" s="8">
        <v>96.51</v>
      </c>
      <c r="AU79" s="8">
        <v>95.5</v>
      </c>
      <c r="AV79" s="8">
        <v>93.2</v>
      </c>
      <c r="AW79" s="8">
        <v>90.28</v>
      </c>
      <c r="AX79" s="8">
        <v>95.82</v>
      </c>
      <c r="AY79" s="8">
        <v>91.28</v>
      </c>
      <c r="AZ79" s="8">
        <v>80.819999999999993</v>
      </c>
      <c r="BA79" s="8">
        <v>92.23</v>
      </c>
      <c r="BB79" s="8">
        <v>96.1</v>
      </c>
      <c r="BC79" s="8">
        <v>89.23</v>
      </c>
      <c r="BD79" s="8">
        <v>87.8</v>
      </c>
      <c r="BE79" s="8">
        <v>97.94</v>
      </c>
      <c r="BF79" s="8">
        <v>94.21</v>
      </c>
      <c r="BG79" s="8">
        <v>85.55</v>
      </c>
      <c r="BH79" s="8">
        <v>97.25</v>
      </c>
      <c r="BN79" s="8">
        <v>95.75</v>
      </c>
      <c r="BP79" s="8">
        <v>91.65</v>
      </c>
      <c r="BQ79" s="8">
        <v>73.7</v>
      </c>
      <c r="BR79" s="8">
        <v>73.7</v>
      </c>
      <c r="CF79" s="8">
        <v>82.85</v>
      </c>
      <c r="CG79" s="8">
        <v>82.85</v>
      </c>
      <c r="CH79" s="8">
        <v>78.13</v>
      </c>
      <c r="CI79" s="8">
        <v>78.13</v>
      </c>
      <c r="CL79" s="8">
        <v>86.8</v>
      </c>
      <c r="CO79" s="8">
        <v>92.86</v>
      </c>
      <c r="CP79" s="8">
        <v>85.48</v>
      </c>
      <c r="DB79" s="8">
        <v>101.28</v>
      </c>
      <c r="DC79" s="8">
        <v>99.64</v>
      </c>
      <c r="DD79" s="8">
        <v>99</v>
      </c>
      <c r="DE79" s="8">
        <v>103.26</v>
      </c>
      <c r="DU79" s="8">
        <v>100.03</v>
      </c>
      <c r="EB79" s="8">
        <v>86.33</v>
      </c>
      <c r="EK79" s="8">
        <v>91.08</v>
      </c>
      <c r="EL79" s="8">
        <v>87.99</v>
      </c>
      <c r="EM79" s="8">
        <v>91.84</v>
      </c>
      <c r="EQ79" s="8">
        <v>98.25</v>
      </c>
      <c r="EX79" s="8">
        <v>89.82</v>
      </c>
      <c r="EY79" s="8">
        <v>90.69</v>
      </c>
      <c r="FC79" s="8">
        <v>91.97</v>
      </c>
      <c r="FD79" s="8">
        <v>90.94</v>
      </c>
      <c r="FE79" s="8">
        <v>92.17</v>
      </c>
      <c r="FH79" s="8">
        <v>94.43</v>
      </c>
      <c r="FI79" s="8">
        <v>95.74</v>
      </c>
      <c r="FJ79" s="8">
        <v>92.18</v>
      </c>
      <c r="FK79" s="8">
        <v>96.38</v>
      </c>
      <c r="FL79" s="8">
        <v>99.33</v>
      </c>
      <c r="FM79" s="8">
        <v>96.64</v>
      </c>
      <c r="FN79" s="8">
        <v>96.27</v>
      </c>
      <c r="FO79" s="8">
        <v>91.96</v>
      </c>
      <c r="FP79" s="8">
        <v>90.94</v>
      </c>
      <c r="FQ79" s="8">
        <v>99.29</v>
      </c>
      <c r="FR79" s="8">
        <v>102.23</v>
      </c>
      <c r="FS79" s="8">
        <v>96</v>
      </c>
      <c r="FT79" s="8">
        <v>95.3</v>
      </c>
      <c r="FU79" s="8">
        <v>94.47</v>
      </c>
      <c r="FV79" s="8">
        <v>96.72</v>
      </c>
      <c r="FW79" s="8">
        <v>95.05</v>
      </c>
      <c r="FX79" s="8">
        <v>96.79</v>
      </c>
      <c r="FY79" s="8">
        <v>92</v>
      </c>
      <c r="FZ79" s="8">
        <v>99.38</v>
      </c>
      <c r="GA79" s="8">
        <v>91.89</v>
      </c>
      <c r="GB79" s="8">
        <v>81.36</v>
      </c>
      <c r="GC79" s="8">
        <v>91.88</v>
      </c>
      <c r="GD79" s="8">
        <v>96.17</v>
      </c>
      <c r="GE79" s="8">
        <v>91.47</v>
      </c>
      <c r="GF79" s="8">
        <v>89.03</v>
      </c>
      <c r="GG79" s="8">
        <v>97.72</v>
      </c>
      <c r="GH79" s="8">
        <v>88.24</v>
      </c>
      <c r="GI79" s="8">
        <v>84.56</v>
      </c>
      <c r="GJ79" s="8">
        <v>89.33</v>
      </c>
      <c r="GP79" s="8">
        <v>95.2</v>
      </c>
      <c r="GR79" s="8">
        <v>87.21</v>
      </c>
      <c r="GS79" s="8">
        <v>71.36</v>
      </c>
      <c r="GT79" s="8">
        <v>71.36</v>
      </c>
      <c r="HH79" s="8">
        <v>101.68</v>
      </c>
      <c r="HI79" s="8">
        <v>101.68</v>
      </c>
      <c r="HJ79" s="8">
        <v>88.54</v>
      </c>
      <c r="HK79" s="8">
        <v>88.54</v>
      </c>
      <c r="HN79" s="8">
        <v>84.82</v>
      </c>
      <c r="HQ79" s="8">
        <v>101.1</v>
      </c>
      <c r="HR79" s="8">
        <v>92.32</v>
      </c>
      <c r="ID79" s="8">
        <v>102.61</v>
      </c>
      <c r="IE79" s="8">
        <v>100.64</v>
      </c>
      <c r="IF79" s="8">
        <v>99.33</v>
      </c>
      <c r="IG79" s="8">
        <v>104.45</v>
      </c>
    </row>
    <row r="80" spans="1:241" x14ac:dyDescent="0.2">
      <c r="A80" s="9">
        <v>45078</v>
      </c>
      <c r="I80" s="8">
        <v>97.8</v>
      </c>
      <c r="J80" s="8">
        <v>92.76</v>
      </c>
      <c r="K80" s="8">
        <v>103.51</v>
      </c>
      <c r="O80" s="8">
        <v>101.89</v>
      </c>
      <c r="V80" s="8">
        <v>93.3</v>
      </c>
      <c r="W80" s="8">
        <v>89.92</v>
      </c>
      <c r="AA80" s="8">
        <v>94.41</v>
      </c>
      <c r="AB80" s="8">
        <v>91.31</v>
      </c>
      <c r="AC80" s="8">
        <v>94.65</v>
      </c>
      <c r="AF80" s="8">
        <v>93.74</v>
      </c>
      <c r="AG80" s="8">
        <v>95.29</v>
      </c>
      <c r="AH80" s="8">
        <v>90.81</v>
      </c>
      <c r="AI80" s="8">
        <v>95.36</v>
      </c>
      <c r="AJ80" s="8">
        <v>97.93</v>
      </c>
      <c r="AK80" s="8">
        <v>95.29</v>
      </c>
      <c r="AL80" s="8">
        <v>95.72</v>
      </c>
      <c r="AM80" s="8">
        <v>92.22</v>
      </c>
      <c r="AN80" s="8">
        <v>88.88</v>
      </c>
      <c r="AO80" s="8">
        <v>98.27</v>
      </c>
      <c r="AP80" s="8">
        <v>98.76</v>
      </c>
      <c r="AQ80" s="8">
        <v>94.39</v>
      </c>
      <c r="AR80" s="8">
        <v>97.06</v>
      </c>
      <c r="AS80" s="8">
        <v>97.06</v>
      </c>
      <c r="AT80" s="8">
        <v>98.38</v>
      </c>
      <c r="AU80" s="8">
        <v>95.65</v>
      </c>
      <c r="AV80" s="8">
        <v>93.59</v>
      </c>
      <c r="AW80" s="8">
        <v>93.18</v>
      </c>
      <c r="AX80" s="8">
        <v>94.19</v>
      </c>
      <c r="AY80" s="8">
        <v>91.63</v>
      </c>
      <c r="AZ80" s="8">
        <v>80.95</v>
      </c>
      <c r="BA80" s="8">
        <v>93.53</v>
      </c>
      <c r="BB80" s="8">
        <v>95.88</v>
      </c>
      <c r="BC80" s="8">
        <v>89.02</v>
      </c>
      <c r="BD80" s="8">
        <v>88.53</v>
      </c>
      <c r="BE80" s="8">
        <v>98.16</v>
      </c>
      <c r="BF80" s="8">
        <v>92.3</v>
      </c>
      <c r="BG80" s="8">
        <v>85.29</v>
      </c>
      <c r="BH80" s="8">
        <v>94.75</v>
      </c>
      <c r="BN80" s="8">
        <v>95.47</v>
      </c>
      <c r="BP80" s="8">
        <v>91.55</v>
      </c>
      <c r="BQ80" s="8">
        <v>73.62</v>
      </c>
      <c r="BR80" s="8">
        <v>73.62</v>
      </c>
      <c r="CF80" s="8">
        <v>83.59</v>
      </c>
      <c r="CG80" s="8">
        <v>83.59</v>
      </c>
      <c r="CH80" s="8">
        <v>78.73</v>
      </c>
      <c r="CI80" s="8">
        <v>78.73</v>
      </c>
      <c r="CL80" s="8">
        <v>86.8</v>
      </c>
      <c r="CO80" s="8">
        <v>92.86</v>
      </c>
      <c r="CP80" s="8">
        <v>85.48</v>
      </c>
      <c r="DB80" s="8">
        <v>100.73</v>
      </c>
      <c r="DC80" s="8">
        <v>99.38</v>
      </c>
      <c r="DD80" s="8">
        <v>98.85</v>
      </c>
      <c r="DE80" s="8">
        <v>102.37</v>
      </c>
      <c r="DU80" s="8">
        <v>100.13</v>
      </c>
      <c r="EB80" s="8">
        <v>86.04</v>
      </c>
      <c r="EK80" s="8">
        <v>99.43</v>
      </c>
      <c r="EL80" s="8">
        <v>90.04</v>
      </c>
      <c r="EM80" s="8">
        <v>108.72</v>
      </c>
      <c r="EQ80" s="8">
        <v>101.52</v>
      </c>
      <c r="EX80" s="8">
        <v>89.82</v>
      </c>
      <c r="EY80" s="8">
        <v>90.69</v>
      </c>
      <c r="FC80" s="8">
        <v>93.5</v>
      </c>
      <c r="FD80" s="8">
        <v>91.31</v>
      </c>
      <c r="FE80" s="8">
        <v>93.9</v>
      </c>
      <c r="FH80" s="8">
        <v>93.59</v>
      </c>
      <c r="FI80" s="8">
        <v>95.43</v>
      </c>
      <c r="FJ80" s="8">
        <v>90.76</v>
      </c>
      <c r="FK80" s="8">
        <v>96.32</v>
      </c>
      <c r="FL80" s="8">
        <v>98.4</v>
      </c>
      <c r="FM80" s="8">
        <v>95.07</v>
      </c>
      <c r="FN80" s="8">
        <v>93.77</v>
      </c>
      <c r="FO80" s="8">
        <v>91.09</v>
      </c>
      <c r="FP80" s="8">
        <v>88.99</v>
      </c>
      <c r="FQ80" s="8">
        <v>98.01</v>
      </c>
      <c r="FR80" s="8">
        <v>101.08</v>
      </c>
      <c r="FS80" s="8">
        <v>94.58</v>
      </c>
      <c r="FT80" s="8">
        <v>95.95</v>
      </c>
      <c r="FU80" s="8">
        <v>94.79</v>
      </c>
      <c r="FV80" s="8">
        <v>98.18</v>
      </c>
      <c r="FW80" s="8">
        <v>95.32</v>
      </c>
      <c r="FX80" s="8">
        <v>98.2</v>
      </c>
      <c r="FY80" s="8">
        <v>99.05</v>
      </c>
      <c r="FZ80" s="8">
        <v>97.74</v>
      </c>
      <c r="GA80" s="8">
        <v>92.29</v>
      </c>
      <c r="GB80" s="8">
        <v>81.58</v>
      </c>
      <c r="GC80" s="8">
        <v>93.22</v>
      </c>
      <c r="GD80" s="8">
        <v>96.1</v>
      </c>
      <c r="GE80" s="8">
        <v>91.28</v>
      </c>
      <c r="GF80" s="8">
        <v>89.78</v>
      </c>
      <c r="GG80" s="8">
        <v>97.84</v>
      </c>
      <c r="GH80" s="8">
        <v>86.35</v>
      </c>
      <c r="GI80" s="8">
        <v>85.17</v>
      </c>
      <c r="GJ80" s="8">
        <v>86.71</v>
      </c>
      <c r="GP80" s="8">
        <v>94.78</v>
      </c>
      <c r="GR80" s="8">
        <v>87.17</v>
      </c>
      <c r="GS80" s="8">
        <v>71.31</v>
      </c>
      <c r="GT80" s="8">
        <v>71.31</v>
      </c>
      <c r="HH80" s="8">
        <v>101.87</v>
      </c>
      <c r="HI80" s="8">
        <v>101.87</v>
      </c>
      <c r="HJ80" s="8">
        <v>88.73</v>
      </c>
      <c r="HK80" s="8">
        <v>88.73</v>
      </c>
      <c r="HN80" s="8">
        <v>84.82</v>
      </c>
      <c r="HQ80" s="8">
        <v>101.1</v>
      </c>
      <c r="HR80" s="8">
        <v>92.32</v>
      </c>
      <c r="ID80" s="8">
        <v>102.41</v>
      </c>
      <c r="IE80" s="8">
        <v>100.24</v>
      </c>
      <c r="IF80" s="8">
        <v>99.47</v>
      </c>
      <c r="IG80" s="8">
        <v>104.11</v>
      </c>
    </row>
    <row r="81" spans="1:251" x14ac:dyDescent="0.2">
      <c r="A81" s="9">
        <v>45108</v>
      </c>
      <c r="I81" s="8">
        <v>96.05</v>
      </c>
      <c r="J81" s="8">
        <v>93.05</v>
      </c>
      <c r="K81" s="8">
        <v>99.27</v>
      </c>
      <c r="O81" s="8">
        <v>101.87</v>
      </c>
      <c r="V81" s="8">
        <v>93.3</v>
      </c>
      <c r="W81" s="8">
        <v>89.92</v>
      </c>
      <c r="AA81" s="8">
        <v>94.42</v>
      </c>
      <c r="AB81" s="8">
        <v>91.4</v>
      </c>
      <c r="AC81" s="8">
        <v>94.65</v>
      </c>
      <c r="AF81" s="8">
        <v>93.96</v>
      </c>
      <c r="AG81" s="8">
        <v>95.85</v>
      </c>
      <c r="AH81" s="8">
        <v>90.89</v>
      </c>
      <c r="AI81" s="8">
        <v>94.4</v>
      </c>
      <c r="AJ81" s="8">
        <v>98.25</v>
      </c>
      <c r="AK81" s="8">
        <v>95.96</v>
      </c>
      <c r="AL81" s="8">
        <v>96.36</v>
      </c>
      <c r="AM81" s="8">
        <v>92.76</v>
      </c>
      <c r="AN81" s="8">
        <v>88.1</v>
      </c>
      <c r="AO81" s="8">
        <v>99.38</v>
      </c>
      <c r="AP81" s="8">
        <v>99.45</v>
      </c>
      <c r="AQ81" s="8">
        <v>95.77</v>
      </c>
      <c r="AR81" s="8">
        <v>98.71</v>
      </c>
      <c r="AS81" s="8">
        <v>98.02</v>
      </c>
      <c r="AT81" s="8">
        <v>101.86</v>
      </c>
      <c r="AU81" s="8">
        <v>96.24</v>
      </c>
      <c r="AV81" s="8">
        <v>92.23</v>
      </c>
      <c r="AW81" s="8">
        <v>93.14</v>
      </c>
      <c r="AX81" s="8">
        <v>91.79</v>
      </c>
      <c r="AY81" s="8">
        <v>91.58</v>
      </c>
      <c r="AZ81" s="8">
        <v>82.25</v>
      </c>
      <c r="BA81" s="8">
        <v>94.14</v>
      </c>
      <c r="BB81" s="8">
        <v>95.94</v>
      </c>
      <c r="BC81" s="8">
        <v>90.35</v>
      </c>
      <c r="BD81" s="8">
        <v>87.97</v>
      </c>
      <c r="BE81" s="8">
        <v>97.68</v>
      </c>
      <c r="BF81" s="8">
        <v>93</v>
      </c>
      <c r="BG81" s="8">
        <v>85.94</v>
      </c>
      <c r="BH81" s="8">
        <v>95.46</v>
      </c>
      <c r="BN81" s="8">
        <v>95.6</v>
      </c>
      <c r="BP81" s="8">
        <v>91.21</v>
      </c>
      <c r="BQ81" s="8">
        <v>73.7</v>
      </c>
      <c r="BR81" s="8">
        <v>73.7</v>
      </c>
      <c r="CF81" s="8">
        <v>84.33</v>
      </c>
      <c r="CG81" s="8">
        <v>84.33</v>
      </c>
      <c r="CH81" s="8">
        <v>79.22</v>
      </c>
      <c r="CI81" s="8">
        <v>79.22</v>
      </c>
      <c r="CL81" s="8">
        <v>86.8</v>
      </c>
      <c r="CO81" s="8">
        <v>51.61</v>
      </c>
      <c r="CP81" s="8">
        <v>91.47</v>
      </c>
      <c r="DB81" s="8">
        <v>100.91</v>
      </c>
      <c r="DC81" s="8">
        <v>100.23</v>
      </c>
      <c r="DD81" s="8">
        <v>98.97</v>
      </c>
      <c r="DE81" s="8">
        <v>102.45</v>
      </c>
      <c r="DU81" s="8">
        <v>101.02</v>
      </c>
      <c r="EB81" s="8">
        <v>90.95</v>
      </c>
      <c r="EK81" s="8">
        <v>96.7</v>
      </c>
      <c r="EL81" s="8">
        <v>92.99</v>
      </c>
      <c r="EM81" s="8">
        <v>100.12</v>
      </c>
      <c r="EQ81" s="8">
        <v>101.6</v>
      </c>
      <c r="EX81" s="8">
        <v>89.82</v>
      </c>
      <c r="EY81" s="8">
        <v>90.69</v>
      </c>
      <c r="FC81" s="8">
        <v>93.51</v>
      </c>
      <c r="FD81" s="8">
        <v>91.4</v>
      </c>
      <c r="FE81" s="8">
        <v>93.9</v>
      </c>
      <c r="FH81" s="8">
        <v>93.62</v>
      </c>
      <c r="FI81" s="8">
        <v>95.51</v>
      </c>
      <c r="FJ81" s="8">
        <v>90.84</v>
      </c>
      <c r="FK81" s="8">
        <v>95.64</v>
      </c>
      <c r="FL81" s="8">
        <v>98.53</v>
      </c>
      <c r="FM81" s="8">
        <v>96.01</v>
      </c>
      <c r="FN81" s="8">
        <v>94.27</v>
      </c>
      <c r="FO81" s="8">
        <v>92.94</v>
      </c>
      <c r="FP81" s="8">
        <v>87.78</v>
      </c>
      <c r="FQ81" s="8">
        <v>99.08</v>
      </c>
      <c r="FR81" s="8">
        <v>102.18</v>
      </c>
      <c r="FS81" s="8">
        <v>96.83</v>
      </c>
      <c r="FT81" s="8">
        <v>97.89</v>
      </c>
      <c r="FU81" s="8">
        <v>96.02</v>
      </c>
      <c r="FV81" s="8">
        <v>102.04</v>
      </c>
      <c r="FW81" s="8">
        <v>96.31</v>
      </c>
      <c r="FX81" s="8">
        <v>96.27</v>
      </c>
      <c r="FY81" s="8">
        <v>99.14</v>
      </c>
      <c r="FZ81" s="8">
        <v>94.79</v>
      </c>
      <c r="GA81" s="8">
        <v>91.84</v>
      </c>
      <c r="GB81" s="8">
        <v>82.07</v>
      </c>
      <c r="GC81" s="8">
        <v>94.24</v>
      </c>
      <c r="GD81" s="8">
        <v>96.12</v>
      </c>
      <c r="GE81" s="8">
        <v>93.19</v>
      </c>
      <c r="GF81" s="8">
        <v>88.41</v>
      </c>
      <c r="GG81" s="8">
        <v>96.93</v>
      </c>
      <c r="GH81" s="8">
        <v>87.18</v>
      </c>
      <c r="GI81" s="8">
        <v>85</v>
      </c>
      <c r="GJ81" s="8">
        <v>87.83</v>
      </c>
      <c r="GP81" s="8">
        <v>92.52</v>
      </c>
      <c r="GR81" s="8">
        <v>86.42</v>
      </c>
      <c r="GS81" s="8">
        <v>71.319999999999993</v>
      </c>
      <c r="GT81" s="8">
        <v>71.319999999999993</v>
      </c>
      <c r="HH81" s="8">
        <v>102.03</v>
      </c>
      <c r="HI81" s="8">
        <v>102.03</v>
      </c>
      <c r="HJ81" s="8">
        <v>88.93</v>
      </c>
      <c r="HK81" s="8">
        <v>88.93</v>
      </c>
      <c r="HN81" s="8">
        <v>84.82</v>
      </c>
      <c r="HQ81" s="8">
        <v>101.79</v>
      </c>
      <c r="HR81" s="8">
        <v>92.32</v>
      </c>
      <c r="ID81" s="8">
        <v>102.49</v>
      </c>
      <c r="IE81" s="8">
        <v>101.29</v>
      </c>
      <c r="IF81" s="8">
        <v>99.39</v>
      </c>
      <c r="IG81" s="8">
        <v>104.14</v>
      </c>
    </row>
    <row r="82" spans="1:251" x14ac:dyDescent="0.2">
      <c r="A82" s="9">
        <v>45139</v>
      </c>
      <c r="I82" s="8">
        <v>91.8</v>
      </c>
      <c r="J82" s="8">
        <v>88.31</v>
      </c>
      <c r="K82" s="8">
        <v>95.64</v>
      </c>
      <c r="O82" s="8">
        <v>100.22</v>
      </c>
      <c r="V82" s="8">
        <v>93.3</v>
      </c>
      <c r="W82" s="8">
        <v>90.79</v>
      </c>
      <c r="AA82" s="8">
        <v>94.48</v>
      </c>
      <c r="AB82" s="8">
        <v>92.39</v>
      </c>
      <c r="AC82" s="8">
        <v>94.65</v>
      </c>
      <c r="AF82" s="8">
        <v>95.54</v>
      </c>
      <c r="AG82" s="8">
        <v>96.33</v>
      </c>
      <c r="AH82" s="8">
        <v>93.84</v>
      </c>
      <c r="AI82" s="8">
        <v>95.99</v>
      </c>
      <c r="AJ82" s="8">
        <v>98.82</v>
      </c>
      <c r="AK82" s="8">
        <v>96.7</v>
      </c>
      <c r="AL82" s="8">
        <v>97.05</v>
      </c>
      <c r="AM82" s="8">
        <v>93.71</v>
      </c>
      <c r="AN82" s="8">
        <v>87.4</v>
      </c>
      <c r="AO82" s="8">
        <v>100.21</v>
      </c>
      <c r="AP82" s="8">
        <v>100.31</v>
      </c>
      <c r="AQ82" s="8">
        <v>97.37</v>
      </c>
      <c r="AR82" s="8">
        <v>98.77</v>
      </c>
      <c r="AS82" s="8">
        <v>98.13</v>
      </c>
      <c r="AT82" s="8">
        <v>100.95</v>
      </c>
      <c r="AU82" s="8">
        <v>97.27</v>
      </c>
      <c r="AV82" s="8">
        <v>92.57</v>
      </c>
      <c r="AW82" s="8">
        <v>92.7</v>
      </c>
      <c r="AX82" s="8">
        <v>92.74</v>
      </c>
      <c r="AY82" s="8">
        <v>91.84</v>
      </c>
      <c r="AZ82" s="8">
        <v>82.69</v>
      </c>
      <c r="BA82" s="8">
        <v>95.34</v>
      </c>
      <c r="BB82" s="8">
        <v>96.69</v>
      </c>
      <c r="BC82" s="8">
        <v>92.17</v>
      </c>
      <c r="BD82" s="8">
        <v>87.4</v>
      </c>
      <c r="BE82" s="8">
        <v>97.93</v>
      </c>
      <c r="BF82" s="8">
        <v>92.84</v>
      </c>
      <c r="BG82" s="8">
        <v>85.83</v>
      </c>
      <c r="BH82" s="8">
        <v>95.29</v>
      </c>
      <c r="BN82" s="8">
        <v>96.29</v>
      </c>
      <c r="BP82" s="8">
        <v>92.37</v>
      </c>
      <c r="BQ82" s="8">
        <v>73.95</v>
      </c>
      <c r="BR82" s="8">
        <v>73.95</v>
      </c>
      <c r="CF82" s="8">
        <v>85.05</v>
      </c>
      <c r="CG82" s="8">
        <v>85.05</v>
      </c>
      <c r="CH82" s="8">
        <v>81.27</v>
      </c>
      <c r="CI82" s="8">
        <v>81.27</v>
      </c>
      <c r="CL82" s="8">
        <v>86.8</v>
      </c>
      <c r="CO82" s="8">
        <v>51.61</v>
      </c>
      <c r="CP82" s="8">
        <v>91.47</v>
      </c>
      <c r="DB82" s="8">
        <v>101.02</v>
      </c>
      <c r="DC82" s="8">
        <v>99.62</v>
      </c>
      <c r="DD82" s="8">
        <v>99.25</v>
      </c>
      <c r="DE82" s="8">
        <v>102.59</v>
      </c>
      <c r="DU82" s="8">
        <v>111.44</v>
      </c>
      <c r="EB82" s="8">
        <v>93.58</v>
      </c>
      <c r="EK82" s="8">
        <v>91.98</v>
      </c>
      <c r="EL82" s="8">
        <v>87.79</v>
      </c>
      <c r="EM82" s="8">
        <v>95.92</v>
      </c>
      <c r="EQ82" s="8">
        <v>100.61</v>
      </c>
      <c r="EX82" s="8">
        <v>89.82</v>
      </c>
      <c r="EY82" s="8">
        <v>90.73</v>
      </c>
      <c r="FC82" s="8">
        <v>93.66</v>
      </c>
      <c r="FD82" s="8">
        <v>92.39</v>
      </c>
      <c r="FE82" s="8">
        <v>93.9</v>
      </c>
      <c r="FH82" s="8">
        <v>95.88</v>
      </c>
      <c r="FI82" s="8">
        <v>95.52</v>
      </c>
      <c r="FJ82" s="8">
        <v>95.46</v>
      </c>
      <c r="FK82" s="8">
        <v>97.16</v>
      </c>
      <c r="FL82" s="8">
        <v>99.19</v>
      </c>
      <c r="FM82" s="8">
        <v>96.61</v>
      </c>
      <c r="FN82" s="8">
        <v>95.53</v>
      </c>
      <c r="FO82" s="8">
        <v>92.92</v>
      </c>
      <c r="FP82" s="8">
        <v>85.68</v>
      </c>
      <c r="FQ82" s="8">
        <v>99.68</v>
      </c>
      <c r="FR82" s="8">
        <v>103.79</v>
      </c>
      <c r="FS82" s="8">
        <v>98.3</v>
      </c>
      <c r="FT82" s="8">
        <v>97.63</v>
      </c>
      <c r="FU82" s="8">
        <v>95.8</v>
      </c>
      <c r="FV82" s="8">
        <v>100.8</v>
      </c>
      <c r="FW82" s="8">
        <v>97.04</v>
      </c>
      <c r="FX82" s="8">
        <v>94.86</v>
      </c>
      <c r="FY82" s="8">
        <v>95.83</v>
      </c>
      <c r="FZ82" s="8">
        <v>94.34</v>
      </c>
      <c r="GA82" s="8">
        <v>92.1</v>
      </c>
      <c r="GB82" s="8">
        <v>82.43</v>
      </c>
      <c r="GC82" s="8">
        <v>95.38</v>
      </c>
      <c r="GD82" s="8">
        <v>96.98</v>
      </c>
      <c r="GE82" s="8">
        <v>95.71</v>
      </c>
      <c r="GF82" s="8">
        <v>87.59</v>
      </c>
      <c r="GG82" s="8">
        <v>97.37</v>
      </c>
      <c r="GH82" s="8">
        <v>86.87</v>
      </c>
      <c r="GI82" s="8">
        <v>85.23</v>
      </c>
      <c r="GJ82" s="8">
        <v>87.35</v>
      </c>
      <c r="GP82" s="8">
        <v>92.16</v>
      </c>
      <c r="GR82" s="8">
        <v>87.37</v>
      </c>
      <c r="GS82" s="8">
        <v>71.72</v>
      </c>
      <c r="GT82" s="8">
        <v>71.72</v>
      </c>
      <c r="HH82" s="8">
        <v>102.04</v>
      </c>
      <c r="HI82" s="8">
        <v>102.04</v>
      </c>
      <c r="HJ82" s="8">
        <v>92.24</v>
      </c>
      <c r="HK82" s="8">
        <v>92.24</v>
      </c>
      <c r="HN82" s="8">
        <v>84.82</v>
      </c>
      <c r="HQ82" s="8">
        <v>101.79</v>
      </c>
      <c r="HR82" s="8">
        <v>92.6</v>
      </c>
      <c r="ID82" s="8">
        <v>102.63</v>
      </c>
      <c r="IE82" s="8">
        <v>100.47</v>
      </c>
      <c r="IF82" s="8">
        <v>99.63</v>
      </c>
      <c r="IG82" s="8">
        <v>104.35</v>
      </c>
    </row>
    <row r="83" spans="1:251" x14ac:dyDescent="0.2">
      <c r="A83" s="9">
        <v>45170</v>
      </c>
      <c r="I83" s="8">
        <v>96.75</v>
      </c>
      <c r="J83" s="8">
        <v>94.72</v>
      </c>
      <c r="K83" s="8">
        <v>98.78</v>
      </c>
      <c r="O83" s="8">
        <v>100.21</v>
      </c>
      <c r="V83" s="8">
        <v>93.3</v>
      </c>
      <c r="W83" s="8">
        <v>90.79</v>
      </c>
      <c r="AA83" s="8">
        <v>94.24</v>
      </c>
      <c r="AB83" s="8">
        <v>94.34</v>
      </c>
      <c r="AC83" s="8">
        <v>94.25</v>
      </c>
      <c r="AF83" s="8">
        <v>96.25</v>
      </c>
      <c r="AG83" s="8">
        <v>96.64</v>
      </c>
      <c r="AH83" s="8">
        <v>94.58</v>
      </c>
      <c r="AI83" s="8">
        <v>98.54</v>
      </c>
      <c r="AJ83" s="8">
        <v>99.5</v>
      </c>
      <c r="AK83" s="8">
        <v>95.57</v>
      </c>
      <c r="AL83" s="8">
        <v>94.87</v>
      </c>
      <c r="AM83" s="8">
        <v>94.49</v>
      </c>
      <c r="AN83" s="8">
        <v>82.28</v>
      </c>
      <c r="AO83" s="8">
        <v>99.35</v>
      </c>
      <c r="AP83" s="8">
        <v>99.39</v>
      </c>
      <c r="AQ83" s="8">
        <v>98.94</v>
      </c>
      <c r="AR83" s="8">
        <v>97.73</v>
      </c>
      <c r="AS83" s="8">
        <v>96.14</v>
      </c>
      <c r="AT83" s="8">
        <v>101.1</v>
      </c>
      <c r="AU83" s="8">
        <v>96.18</v>
      </c>
      <c r="AV83" s="8">
        <v>89.54</v>
      </c>
      <c r="AW83" s="8">
        <v>88.47</v>
      </c>
      <c r="AX83" s="8">
        <v>90.64</v>
      </c>
      <c r="AY83" s="8">
        <v>92.4</v>
      </c>
      <c r="AZ83" s="8">
        <v>84.89</v>
      </c>
      <c r="BA83" s="8">
        <v>94.97</v>
      </c>
      <c r="BB83" s="8">
        <v>97.02</v>
      </c>
      <c r="BC83" s="8">
        <v>91.29</v>
      </c>
      <c r="BD83" s="8">
        <v>88.71</v>
      </c>
      <c r="BE83" s="8">
        <v>97.89</v>
      </c>
      <c r="BF83" s="8">
        <v>92.87</v>
      </c>
      <c r="BG83" s="8">
        <v>86.75</v>
      </c>
      <c r="BH83" s="8">
        <v>95</v>
      </c>
      <c r="BN83" s="8">
        <v>97.38</v>
      </c>
      <c r="BP83" s="8">
        <v>93.33</v>
      </c>
      <c r="BQ83" s="8">
        <v>77.75</v>
      </c>
      <c r="BR83" s="8">
        <v>77.75</v>
      </c>
      <c r="CF83" s="8">
        <v>85.54</v>
      </c>
      <c r="CG83" s="8">
        <v>85.54</v>
      </c>
      <c r="CH83" s="8">
        <v>82.07</v>
      </c>
      <c r="CI83" s="8">
        <v>82.07</v>
      </c>
      <c r="CL83" s="8">
        <v>91.02</v>
      </c>
      <c r="CO83" s="8">
        <v>51.61</v>
      </c>
      <c r="CP83" s="8">
        <v>91.47</v>
      </c>
      <c r="DB83" s="8">
        <v>100.65</v>
      </c>
      <c r="DC83" s="8">
        <v>100.75</v>
      </c>
      <c r="DD83" s="8">
        <v>99.56</v>
      </c>
      <c r="DE83" s="8">
        <v>101.4</v>
      </c>
      <c r="DU83" s="8">
        <v>115.87</v>
      </c>
      <c r="EB83" s="8">
        <v>94.06</v>
      </c>
      <c r="EK83" s="8">
        <v>97.06</v>
      </c>
      <c r="EL83" s="8">
        <v>93.08</v>
      </c>
      <c r="EM83" s="8">
        <v>100.77</v>
      </c>
      <c r="EQ83" s="8">
        <v>100.25</v>
      </c>
      <c r="EX83" s="8">
        <v>89.82</v>
      </c>
      <c r="EY83" s="8">
        <v>90.73</v>
      </c>
      <c r="FC83" s="8">
        <v>95.62</v>
      </c>
      <c r="FD83" s="8">
        <v>94.34</v>
      </c>
      <c r="FE83" s="8">
        <v>95.86</v>
      </c>
      <c r="FH83" s="8">
        <v>96.03</v>
      </c>
      <c r="FI83" s="8">
        <v>95.76</v>
      </c>
      <c r="FJ83" s="8">
        <v>95.25</v>
      </c>
      <c r="FK83" s="8">
        <v>98.61</v>
      </c>
      <c r="FL83" s="8">
        <v>99.75</v>
      </c>
      <c r="FM83" s="8">
        <v>95.8</v>
      </c>
      <c r="FN83" s="8">
        <v>94.07</v>
      </c>
      <c r="FO83" s="8">
        <v>93.54</v>
      </c>
      <c r="FP83" s="8">
        <v>80.180000000000007</v>
      </c>
      <c r="FQ83" s="8">
        <v>99.89</v>
      </c>
      <c r="FR83" s="8">
        <v>103.12</v>
      </c>
      <c r="FS83" s="8">
        <v>99.78</v>
      </c>
      <c r="FT83" s="8">
        <v>97.15</v>
      </c>
      <c r="FU83" s="8">
        <v>95.11</v>
      </c>
      <c r="FV83" s="8">
        <v>100.95</v>
      </c>
      <c r="FW83" s="8">
        <v>96.23</v>
      </c>
      <c r="FX83" s="8">
        <v>92.56</v>
      </c>
      <c r="FY83" s="8">
        <v>92.34</v>
      </c>
      <c r="FZ83" s="8">
        <v>92.65</v>
      </c>
      <c r="GA83" s="8">
        <v>92.5</v>
      </c>
      <c r="GB83" s="8">
        <v>84.3</v>
      </c>
      <c r="GC83" s="8">
        <v>94.88</v>
      </c>
      <c r="GD83" s="8">
        <v>97.3</v>
      </c>
      <c r="GE83" s="8">
        <v>94.49</v>
      </c>
      <c r="GF83" s="8">
        <v>88.59</v>
      </c>
      <c r="GG83" s="8">
        <v>97.48</v>
      </c>
      <c r="GH83" s="8">
        <v>86.76</v>
      </c>
      <c r="GI83" s="8">
        <v>86.31</v>
      </c>
      <c r="GJ83" s="8">
        <v>86.89</v>
      </c>
      <c r="GP83" s="8">
        <v>92.63</v>
      </c>
      <c r="GR83" s="8">
        <v>87.04</v>
      </c>
      <c r="GS83" s="8">
        <v>75.8</v>
      </c>
      <c r="GT83" s="8">
        <v>75.8</v>
      </c>
      <c r="HH83" s="8">
        <v>101.55</v>
      </c>
      <c r="HI83" s="8">
        <v>101.55</v>
      </c>
      <c r="HJ83" s="8">
        <v>92.29</v>
      </c>
      <c r="HK83" s="8">
        <v>92.29</v>
      </c>
      <c r="HN83" s="8">
        <v>89.93</v>
      </c>
      <c r="HQ83" s="8">
        <v>101.79</v>
      </c>
      <c r="HR83" s="8">
        <v>90.53</v>
      </c>
      <c r="ID83" s="8">
        <v>101.97</v>
      </c>
      <c r="IE83" s="8">
        <v>101.83</v>
      </c>
      <c r="IF83" s="8">
        <v>99.73</v>
      </c>
      <c r="IG83" s="8">
        <v>103.06</v>
      </c>
    </row>
    <row r="84" spans="1:251" x14ac:dyDescent="0.2">
      <c r="A84" s="9">
        <v>45200</v>
      </c>
      <c r="I84" s="8">
        <v>92.98</v>
      </c>
      <c r="J84" s="8">
        <v>98.18</v>
      </c>
      <c r="K84" s="8">
        <v>86.15</v>
      </c>
      <c r="O84" s="8">
        <v>99.31</v>
      </c>
      <c r="V84" s="8">
        <v>93.3</v>
      </c>
      <c r="W84" s="8">
        <v>90.79</v>
      </c>
      <c r="AA84" s="8">
        <v>94.24</v>
      </c>
      <c r="AB84" s="8">
        <v>94.42</v>
      </c>
      <c r="AC84" s="8">
        <v>94.25</v>
      </c>
      <c r="AF84" s="8">
        <v>96.37</v>
      </c>
      <c r="AG84" s="8">
        <v>96.66</v>
      </c>
      <c r="AH84" s="8">
        <v>95.12</v>
      </c>
      <c r="AI84" s="8">
        <v>98.32</v>
      </c>
      <c r="AJ84" s="8">
        <v>98.8</v>
      </c>
      <c r="AK84" s="8">
        <v>95.64</v>
      </c>
      <c r="AL84" s="8">
        <v>94.49</v>
      </c>
      <c r="AM84" s="8">
        <v>96.21</v>
      </c>
      <c r="AN84" s="8">
        <v>79.819999999999993</v>
      </c>
      <c r="AO84" s="8">
        <v>98.83</v>
      </c>
      <c r="AP84" s="8">
        <v>101.1</v>
      </c>
      <c r="AQ84" s="8">
        <v>99.54</v>
      </c>
      <c r="AR84" s="8">
        <v>98.22</v>
      </c>
      <c r="AS84" s="8">
        <v>97.63</v>
      </c>
      <c r="AT84" s="8">
        <v>100.67</v>
      </c>
      <c r="AU84" s="8">
        <v>96.38</v>
      </c>
      <c r="AV84" s="8">
        <v>88.04</v>
      </c>
      <c r="AW84" s="8">
        <v>87.13</v>
      </c>
      <c r="AX84" s="8">
        <v>89</v>
      </c>
      <c r="AY84" s="8">
        <v>92.56</v>
      </c>
      <c r="AZ84" s="8">
        <v>85.88</v>
      </c>
      <c r="BA84" s="8">
        <v>96.13</v>
      </c>
      <c r="BB84" s="8">
        <v>97.37</v>
      </c>
      <c r="BC84" s="8">
        <v>91.53</v>
      </c>
      <c r="BD84" s="8">
        <v>88.02</v>
      </c>
      <c r="BE84" s="8">
        <v>98.82</v>
      </c>
      <c r="BF84" s="8">
        <v>92.69</v>
      </c>
      <c r="BG84" s="8">
        <v>86.36</v>
      </c>
      <c r="BH84" s="8">
        <v>94.9</v>
      </c>
      <c r="BN84" s="8">
        <v>96.61</v>
      </c>
      <c r="BP84" s="8">
        <v>93.1</v>
      </c>
      <c r="BQ84" s="8">
        <v>80.19</v>
      </c>
      <c r="BR84" s="8">
        <v>80.19</v>
      </c>
      <c r="CF84" s="8">
        <v>85.35</v>
      </c>
      <c r="CG84" s="8">
        <v>85.35</v>
      </c>
      <c r="CH84" s="8">
        <v>84.08</v>
      </c>
      <c r="CI84" s="8">
        <v>84.08</v>
      </c>
      <c r="CL84" s="8">
        <v>91.02</v>
      </c>
      <c r="CO84" s="8">
        <v>95.18</v>
      </c>
      <c r="CP84" s="8">
        <v>91.47</v>
      </c>
      <c r="DB84" s="8">
        <v>99.11</v>
      </c>
      <c r="DC84" s="8">
        <v>101.1</v>
      </c>
      <c r="DD84" s="8">
        <v>97.06</v>
      </c>
      <c r="DE84" s="8">
        <v>100.13</v>
      </c>
      <c r="DU84" s="8">
        <v>111.98</v>
      </c>
      <c r="EB84" s="8">
        <v>94.42</v>
      </c>
      <c r="EK84" s="8">
        <v>91.09</v>
      </c>
      <c r="EL84" s="8">
        <v>93.48</v>
      </c>
      <c r="EM84" s="8">
        <v>88.25</v>
      </c>
      <c r="EQ84" s="8">
        <v>98.98</v>
      </c>
      <c r="EX84" s="8">
        <v>89.82</v>
      </c>
      <c r="EY84" s="8">
        <v>90.73</v>
      </c>
      <c r="FC84" s="8">
        <v>95.63</v>
      </c>
      <c r="FD84" s="8">
        <v>94.42</v>
      </c>
      <c r="FE84" s="8">
        <v>95.86</v>
      </c>
      <c r="FH84" s="8">
        <v>97.25</v>
      </c>
      <c r="FI84" s="8">
        <v>97.55</v>
      </c>
      <c r="FJ84" s="8">
        <v>96.53</v>
      </c>
      <c r="FK84" s="8">
        <v>99.12</v>
      </c>
      <c r="FL84" s="8">
        <v>98.72</v>
      </c>
      <c r="FM84" s="8">
        <v>95.89</v>
      </c>
      <c r="FN84" s="8">
        <v>93.29</v>
      </c>
      <c r="FO84" s="8">
        <v>96.24</v>
      </c>
      <c r="FP84" s="8">
        <v>78.59</v>
      </c>
      <c r="FQ84" s="8">
        <v>98.65</v>
      </c>
      <c r="FR84" s="8">
        <v>104.62</v>
      </c>
      <c r="FS84" s="8">
        <v>100.23</v>
      </c>
      <c r="FT84" s="8">
        <v>97.79</v>
      </c>
      <c r="FU84" s="8">
        <v>96.61</v>
      </c>
      <c r="FV84" s="8">
        <v>100.55</v>
      </c>
      <c r="FW84" s="8">
        <v>96.65</v>
      </c>
      <c r="FX84" s="8">
        <v>93.24</v>
      </c>
      <c r="FY84" s="8">
        <v>97.47</v>
      </c>
      <c r="FZ84" s="8">
        <v>91.08</v>
      </c>
      <c r="GA84" s="8">
        <v>92.81</v>
      </c>
      <c r="GB84" s="8">
        <v>85.71</v>
      </c>
      <c r="GC84" s="8">
        <v>95.97</v>
      </c>
      <c r="GD84" s="8">
        <v>97.55</v>
      </c>
      <c r="GE84" s="8">
        <v>94.87</v>
      </c>
      <c r="GF84" s="8">
        <v>88.41</v>
      </c>
      <c r="GG84" s="8">
        <v>98.23</v>
      </c>
      <c r="GH84" s="8">
        <v>85.55</v>
      </c>
      <c r="GI84" s="8">
        <v>85.88</v>
      </c>
      <c r="GJ84" s="8">
        <v>85.47</v>
      </c>
      <c r="GP84" s="8">
        <v>93.21</v>
      </c>
      <c r="GR84" s="8">
        <v>87.91</v>
      </c>
      <c r="GS84" s="8">
        <v>78.61</v>
      </c>
      <c r="GT84" s="8">
        <v>78.61</v>
      </c>
      <c r="HH84" s="8">
        <v>99.27</v>
      </c>
      <c r="HI84" s="8">
        <v>99.27</v>
      </c>
      <c r="HJ84" s="8">
        <v>92.6</v>
      </c>
      <c r="HK84" s="8">
        <v>92.6</v>
      </c>
      <c r="HN84" s="8">
        <v>89.93</v>
      </c>
      <c r="HQ84" s="8">
        <v>109.27</v>
      </c>
      <c r="HR84" s="8">
        <v>90.15</v>
      </c>
      <c r="ID84" s="8">
        <v>100.48</v>
      </c>
      <c r="IE84" s="8">
        <v>101.98</v>
      </c>
      <c r="IF84" s="8">
        <v>97.52</v>
      </c>
      <c r="IG84" s="8">
        <v>101.71</v>
      </c>
    </row>
    <row r="85" spans="1:251" x14ac:dyDescent="0.2">
      <c r="A85" s="9">
        <v>45231</v>
      </c>
      <c r="I85" s="8">
        <v>92.92</v>
      </c>
      <c r="J85" s="8">
        <v>95.8</v>
      </c>
      <c r="K85" s="8">
        <v>88.92</v>
      </c>
      <c r="O85" s="8">
        <v>100.02</v>
      </c>
      <c r="V85" s="8">
        <v>93.3</v>
      </c>
      <c r="W85" s="8">
        <v>90.79</v>
      </c>
      <c r="AA85" s="8">
        <v>94.27</v>
      </c>
      <c r="AB85" s="8">
        <v>94.81</v>
      </c>
      <c r="AC85" s="8">
        <v>94.25</v>
      </c>
      <c r="AF85" s="8">
        <v>96.89</v>
      </c>
      <c r="AG85" s="8">
        <v>96.86</v>
      </c>
      <c r="AH85" s="8">
        <v>95.29</v>
      </c>
      <c r="AI85" s="8">
        <v>102.2</v>
      </c>
      <c r="AJ85" s="8">
        <v>99.42</v>
      </c>
      <c r="AK85" s="8">
        <v>95.01</v>
      </c>
      <c r="AL85" s="8">
        <v>94.35</v>
      </c>
      <c r="AM85" s="8">
        <v>96.9</v>
      </c>
      <c r="AN85" s="8">
        <v>75.66</v>
      </c>
      <c r="AO85" s="8">
        <v>97.68</v>
      </c>
      <c r="AP85" s="8">
        <v>101.46</v>
      </c>
      <c r="AQ85" s="8">
        <v>99.71</v>
      </c>
      <c r="AR85" s="8">
        <v>98.05</v>
      </c>
      <c r="AS85" s="8">
        <v>97.16</v>
      </c>
      <c r="AT85" s="8">
        <v>100.84</v>
      </c>
      <c r="AU85" s="8">
        <v>96.22</v>
      </c>
      <c r="AV85" s="8">
        <v>89.29</v>
      </c>
      <c r="AW85" s="8">
        <v>87.31</v>
      </c>
      <c r="AX85" s="8">
        <v>91.09</v>
      </c>
      <c r="AY85" s="8">
        <v>93.47</v>
      </c>
      <c r="AZ85" s="8">
        <v>85.11</v>
      </c>
      <c r="BA85" s="8">
        <v>96.33</v>
      </c>
      <c r="BB85" s="8">
        <v>96.61</v>
      </c>
      <c r="BC85" s="8">
        <v>93.43</v>
      </c>
      <c r="BD85" s="8">
        <v>89.51</v>
      </c>
      <c r="BE85" s="8">
        <v>99.95</v>
      </c>
      <c r="BF85" s="8">
        <v>92.56</v>
      </c>
      <c r="BG85" s="8">
        <v>86.41</v>
      </c>
      <c r="BH85" s="8">
        <v>94.71</v>
      </c>
      <c r="BN85" s="8">
        <v>95.77</v>
      </c>
      <c r="BP85" s="8">
        <v>93.49</v>
      </c>
      <c r="BQ85" s="8">
        <v>80.38</v>
      </c>
      <c r="BR85" s="8">
        <v>80.38</v>
      </c>
      <c r="CF85" s="8">
        <v>86.09</v>
      </c>
      <c r="CG85" s="8">
        <v>86.09</v>
      </c>
      <c r="CH85" s="8">
        <v>85.58</v>
      </c>
      <c r="CI85" s="8">
        <v>85.58</v>
      </c>
      <c r="CL85" s="8">
        <v>91.02</v>
      </c>
      <c r="CO85" s="8">
        <v>95.18</v>
      </c>
      <c r="CP85" s="8">
        <v>91.47</v>
      </c>
      <c r="DB85" s="8">
        <v>98.97</v>
      </c>
      <c r="DC85" s="8">
        <v>100.8</v>
      </c>
      <c r="DD85" s="8">
        <v>97.23</v>
      </c>
      <c r="DE85" s="8">
        <v>99.81</v>
      </c>
      <c r="DU85" s="8">
        <v>110.38</v>
      </c>
      <c r="EB85" s="8">
        <v>95</v>
      </c>
      <c r="EK85" s="8">
        <v>94.45</v>
      </c>
      <c r="EL85" s="8">
        <v>94.9</v>
      </c>
      <c r="EM85" s="8">
        <v>93.59</v>
      </c>
      <c r="EQ85" s="8">
        <v>99.77</v>
      </c>
      <c r="EX85" s="8">
        <v>89.82</v>
      </c>
      <c r="EY85" s="8">
        <v>90.73</v>
      </c>
      <c r="FC85" s="8">
        <v>95.69</v>
      </c>
      <c r="FD85" s="8">
        <v>94.81</v>
      </c>
      <c r="FE85" s="8">
        <v>95.86</v>
      </c>
      <c r="FH85" s="8">
        <v>97.68</v>
      </c>
      <c r="FI85" s="8">
        <v>98.12</v>
      </c>
      <c r="FJ85" s="8">
        <v>96.29</v>
      </c>
      <c r="FK85" s="8">
        <v>102.72</v>
      </c>
      <c r="FL85" s="8">
        <v>99.6</v>
      </c>
      <c r="FM85" s="8">
        <v>95.01</v>
      </c>
      <c r="FN85" s="8">
        <v>93.09</v>
      </c>
      <c r="FO85" s="8">
        <v>97.13</v>
      </c>
      <c r="FP85" s="8">
        <v>72.45</v>
      </c>
      <c r="FQ85" s="8">
        <v>97.89</v>
      </c>
      <c r="FR85" s="8">
        <v>103.84</v>
      </c>
      <c r="FS85" s="8">
        <v>101.11</v>
      </c>
      <c r="FT85" s="8">
        <v>97.56</v>
      </c>
      <c r="FU85" s="8">
        <v>96.15</v>
      </c>
      <c r="FV85" s="8">
        <v>100.52</v>
      </c>
      <c r="FW85" s="8">
        <v>96.53</v>
      </c>
      <c r="FX85" s="8">
        <v>93.81</v>
      </c>
      <c r="FY85" s="8">
        <v>94.33</v>
      </c>
      <c r="FZ85" s="8">
        <v>93.52</v>
      </c>
      <c r="GA85" s="8">
        <v>94.02</v>
      </c>
      <c r="GB85" s="8">
        <v>85.87</v>
      </c>
      <c r="GC85" s="8">
        <v>95.48</v>
      </c>
      <c r="GD85" s="8">
        <v>96.23</v>
      </c>
      <c r="GE85" s="8">
        <v>96.32</v>
      </c>
      <c r="GF85" s="8">
        <v>90.52</v>
      </c>
      <c r="GG85" s="8">
        <v>99.88</v>
      </c>
      <c r="GH85" s="8">
        <v>85.87</v>
      </c>
      <c r="GI85" s="8">
        <v>85.47</v>
      </c>
      <c r="GJ85" s="8">
        <v>85.99</v>
      </c>
      <c r="GP85" s="8">
        <v>94.38</v>
      </c>
      <c r="GR85" s="8">
        <v>88.69</v>
      </c>
      <c r="GS85" s="8">
        <v>78.67</v>
      </c>
      <c r="GT85" s="8">
        <v>78.67</v>
      </c>
      <c r="HH85" s="8">
        <v>99.37</v>
      </c>
      <c r="HI85" s="8">
        <v>99.37</v>
      </c>
      <c r="HJ85" s="8">
        <v>92.58</v>
      </c>
      <c r="HK85" s="8">
        <v>92.57</v>
      </c>
      <c r="HN85" s="8">
        <v>89.93</v>
      </c>
      <c r="HQ85" s="8">
        <v>109.27</v>
      </c>
      <c r="HR85" s="8">
        <v>90.15</v>
      </c>
      <c r="ID85" s="8">
        <v>100.48</v>
      </c>
      <c r="IE85" s="8">
        <v>101.46</v>
      </c>
      <c r="IF85" s="8">
        <v>98.13</v>
      </c>
      <c r="IG85" s="8">
        <v>101.48</v>
      </c>
    </row>
    <row r="86" spans="1:251" x14ac:dyDescent="0.2">
      <c r="A86" s="9">
        <v>45261</v>
      </c>
      <c r="I86" s="8">
        <v>106.11</v>
      </c>
      <c r="J86" s="8">
        <v>105.2</v>
      </c>
      <c r="K86" s="8">
        <v>106.71</v>
      </c>
      <c r="O86" s="8">
        <v>101.59</v>
      </c>
      <c r="V86" s="8">
        <v>93.3</v>
      </c>
      <c r="W86" s="8">
        <v>90.79</v>
      </c>
      <c r="AA86" s="8">
        <v>97.49</v>
      </c>
      <c r="AB86" s="8">
        <v>95.61</v>
      </c>
      <c r="AC86" s="8">
        <v>97.64</v>
      </c>
      <c r="AF86" s="8">
        <v>97.83</v>
      </c>
      <c r="AG86" s="8">
        <v>97.2</v>
      </c>
      <c r="AH86" s="8">
        <v>96.02</v>
      </c>
      <c r="AI86" s="8">
        <v>104.8</v>
      </c>
      <c r="AJ86" s="8">
        <v>101.68</v>
      </c>
      <c r="AK86" s="8">
        <v>93.81</v>
      </c>
      <c r="AL86" s="8">
        <v>94.28</v>
      </c>
      <c r="AM86" s="8">
        <v>95.83</v>
      </c>
      <c r="AN86" s="8">
        <v>71.55</v>
      </c>
      <c r="AO86" s="8">
        <v>97.24</v>
      </c>
      <c r="AP86" s="8">
        <v>98.48</v>
      </c>
      <c r="AQ86" s="8">
        <v>99.87</v>
      </c>
      <c r="AR86" s="8">
        <v>98.98</v>
      </c>
      <c r="AS86" s="8">
        <v>97.78</v>
      </c>
      <c r="AT86" s="8">
        <v>100.9</v>
      </c>
      <c r="AU86" s="8">
        <v>98.5</v>
      </c>
      <c r="AV86" s="8">
        <v>88.99</v>
      </c>
      <c r="AW86" s="8">
        <v>85.35</v>
      </c>
      <c r="AX86" s="8">
        <v>92.1</v>
      </c>
      <c r="AY86" s="8">
        <v>94.96</v>
      </c>
      <c r="AZ86" s="8">
        <v>86.23</v>
      </c>
      <c r="BA86" s="8">
        <v>97.12</v>
      </c>
      <c r="BB86" s="8">
        <v>97.4</v>
      </c>
      <c r="BC86" s="8">
        <v>92.54</v>
      </c>
      <c r="BD86" s="8">
        <v>92.2</v>
      </c>
      <c r="BE86" s="8">
        <v>101.35</v>
      </c>
      <c r="BF86" s="8">
        <v>93.16</v>
      </c>
      <c r="BG86" s="8">
        <v>88.62</v>
      </c>
      <c r="BH86" s="8">
        <v>94.73</v>
      </c>
      <c r="BN86" s="8">
        <v>95.4</v>
      </c>
      <c r="BP86" s="8">
        <v>93.03</v>
      </c>
      <c r="BQ86" s="8">
        <v>80.61</v>
      </c>
      <c r="BR86" s="8">
        <v>80.61</v>
      </c>
      <c r="CF86" s="8">
        <v>86.93</v>
      </c>
      <c r="CG86" s="8">
        <v>86.93</v>
      </c>
      <c r="CH86" s="8">
        <v>86.28</v>
      </c>
      <c r="CI86" s="8">
        <v>86.28</v>
      </c>
      <c r="CL86" s="8">
        <v>91.02</v>
      </c>
      <c r="CO86" s="8">
        <v>51.61</v>
      </c>
      <c r="CP86" s="8">
        <v>91.47</v>
      </c>
      <c r="DB86" s="8">
        <v>100.63</v>
      </c>
      <c r="DC86" s="8">
        <v>101.99</v>
      </c>
      <c r="DD86" s="8">
        <v>100.22</v>
      </c>
      <c r="DE86" s="8">
        <v>100.61</v>
      </c>
      <c r="DU86" s="8">
        <v>103.81</v>
      </c>
      <c r="EB86" s="8">
        <v>95.39</v>
      </c>
      <c r="EK86" s="8">
        <v>107.65</v>
      </c>
      <c r="EL86" s="8">
        <v>101.93</v>
      </c>
      <c r="EM86" s="8">
        <v>113.11</v>
      </c>
      <c r="EQ86" s="8">
        <v>101.34</v>
      </c>
      <c r="EX86" s="8">
        <v>89.82</v>
      </c>
      <c r="EY86" s="8">
        <v>90.73</v>
      </c>
      <c r="FC86" s="8">
        <v>95.79</v>
      </c>
      <c r="FD86" s="8">
        <v>95.61</v>
      </c>
      <c r="FE86" s="8">
        <v>95.84</v>
      </c>
      <c r="FH86" s="8">
        <v>98.74</v>
      </c>
      <c r="FI86" s="8">
        <v>98.68</v>
      </c>
      <c r="FJ86" s="8">
        <v>97</v>
      </c>
      <c r="FK86" s="8">
        <v>106.22</v>
      </c>
      <c r="FL86" s="8">
        <v>102.69</v>
      </c>
      <c r="FM86" s="8">
        <v>93.48</v>
      </c>
      <c r="FN86" s="8">
        <v>92.98</v>
      </c>
      <c r="FO86" s="8">
        <v>96.12</v>
      </c>
      <c r="FP86" s="8">
        <v>68.27</v>
      </c>
      <c r="FQ86" s="8">
        <v>97.18</v>
      </c>
      <c r="FR86" s="8">
        <v>99.95</v>
      </c>
      <c r="FS86" s="8">
        <v>101.12</v>
      </c>
      <c r="FT86" s="8">
        <v>98.79</v>
      </c>
      <c r="FU86" s="8">
        <v>96.99</v>
      </c>
      <c r="FV86" s="8">
        <v>100.74</v>
      </c>
      <c r="FW86" s="8">
        <v>99.47</v>
      </c>
      <c r="FX86" s="8">
        <v>93.42</v>
      </c>
      <c r="FY86" s="8">
        <v>92.45</v>
      </c>
      <c r="FZ86" s="8">
        <v>93.88</v>
      </c>
      <c r="GA86" s="8">
        <v>95.84</v>
      </c>
      <c r="GB86" s="8">
        <v>86.01</v>
      </c>
      <c r="GC86" s="8">
        <v>96.65</v>
      </c>
      <c r="GD86" s="8">
        <v>96.81</v>
      </c>
      <c r="GE86" s="8">
        <v>94.89</v>
      </c>
      <c r="GF86" s="8">
        <v>93.97</v>
      </c>
      <c r="GG86" s="8">
        <v>101.72</v>
      </c>
      <c r="GH86" s="8">
        <v>86.75</v>
      </c>
      <c r="GI86" s="8">
        <v>88.35</v>
      </c>
      <c r="GJ86" s="8">
        <v>86.29</v>
      </c>
      <c r="GP86" s="8">
        <v>94.32</v>
      </c>
      <c r="GR86" s="8">
        <v>89.22</v>
      </c>
      <c r="GS86" s="8">
        <v>78.87</v>
      </c>
      <c r="GT86" s="8">
        <v>78.87</v>
      </c>
      <c r="HH86" s="8">
        <v>99.79</v>
      </c>
      <c r="HI86" s="8">
        <v>99.79</v>
      </c>
      <c r="HJ86" s="8">
        <v>94.27</v>
      </c>
      <c r="HK86" s="8">
        <v>94.27</v>
      </c>
      <c r="HN86" s="8">
        <v>89.93</v>
      </c>
      <c r="HQ86" s="8">
        <v>109.27</v>
      </c>
      <c r="HR86" s="8">
        <v>90.48</v>
      </c>
      <c r="ID86" s="8">
        <v>102</v>
      </c>
      <c r="IE86" s="8">
        <v>103.1</v>
      </c>
      <c r="IF86" s="8">
        <v>100.94</v>
      </c>
      <c r="IG86" s="8">
        <v>102.36</v>
      </c>
    </row>
    <row r="87" spans="1:251" x14ac:dyDescent="0.2">
      <c r="A87" s="9">
        <v>45292</v>
      </c>
      <c r="I87" s="8">
        <v>101.8</v>
      </c>
      <c r="J87" s="8">
        <v>106.76</v>
      </c>
      <c r="K87" s="8">
        <v>95.5</v>
      </c>
      <c r="O87" s="8">
        <v>102.46</v>
      </c>
      <c r="V87" s="8">
        <v>93.3</v>
      </c>
      <c r="W87" s="8">
        <v>90.79</v>
      </c>
      <c r="AA87" s="8">
        <v>97.5</v>
      </c>
      <c r="AB87" s="8">
        <v>95.81</v>
      </c>
      <c r="AC87" s="8">
        <v>97.64</v>
      </c>
      <c r="AF87" s="8">
        <v>97.76</v>
      </c>
      <c r="AG87" s="8">
        <v>97.59</v>
      </c>
      <c r="AH87" s="8">
        <v>96.32</v>
      </c>
      <c r="AI87" s="8">
        <v>101.16</v>
      </c>
      <c r="AJ87" s="8">
        <v>100.95</v>
      </c>
      <c r="AK87" s="8">
        <v>93.7</v>
      </c>
      <c r="AL87" s="8">
        <v>94.18</v>
      </c>
      <c r="AM87" s="8">
        <v>96.97</v>
      </c>
      <c r="AN87" s="8">
        <v>70.53</v>
      </c>
      <c r="AO87" s="8">
        <v>98.2</v>
      </c>
      <c r="AP87" s="8">
        <v>97.45</v>
      </c>
      <c r="AQ87" s="8">
        <v>99.22</v>
      </c>
      <c r="AR87" s="8">
        <v>98.92</v>
      </c>
      <c r="AS87" s="8">
        <v>98.18</v>
      </c>
      <c r="AT87" s="8">
        <v>101.47</v>
      </c>
      <c r="AU87" s="8">
        <v>97.11</v>
      </c>
      <c r="AV87" s="8">
        <v>89.5</v>
      </c>
      <c r="AW87" s="8">
        <v>85.12</v>
      </c>
      <c r="AX87" s="8">
        <v>93.24</v>
      </c>
      <c r="AY87" s="8">
        <v>96.09</v>
      </c>
      <c r="AZ87" s="8">
        <v>86.58</v>
      </c>
      <c r="BA87" s="8">
        <v>96.54</v>
      </c>
      <c r="BB87" s="8">
        <v>98.83</v>
      </c>
      <c r="BC87" s="8">
        <v>94.76</v>
      </c>
      <c r="BD87" s="8">
        <v>94.17</v>
      </c>
      <c r="BE87" s="8">
        <v>100.86</v>
      </c>
      <c r="BF87" s="8">
        <v>94.41</v>
      </c>
      <c r="BG87" s="8">
        <v>86.99</v>
      </c>
      <c r="BH87" s="8">
        <v>97</v>
      </c>
      <c r="BN87" s="8">
        <v>94.95</v>
      </c>
      <c r="BP87" s="8">
        <v>93.77</v>
      </c>
      <c r="BQ87" s="8">
        <v>80.66</v>
      </c>
      <c r="BR87" s="8">
        <v>80.66</v>
      </c>
      <c r="CF87" s="8">
        <v>87.61</v>
      </c>
      <c r="CG87" s="8">
        <v>87.61</v>
      </c>
      <c r="CH87" s="8">
        <v>86.73</v>
      </c>
      <c r="CI87" s="8">
        <v>86.73</v>
      </c>
      <c r="CL87" s="8">
        <v>91.02</v>
      </c>
      <c r="CO87" s="8">
        <v>51.61</v>
      </c>
      <c r="CP87" s="8">
        <v>91.47</v>
      </c>
      <c r="DB87" s="8">
        <v>100.46</v>
      </c>
      <c r="DC87" s="8">
        <v>100.22</v>
      </c>
      <c r="DD87" s="8">
        <v>100.38</v>
      </c>
      <c r="DE87" s="8">
        <v>100.55</v>
      </c>
      <c r="DU87" s="8">
        <v>102.64</v>
      </c>
      <c r="EB87" s="8">
        <v>95.02</v>
      </c>
      <c r="EK87" s="8">
        <v>99.12</v>
      </c>
      <c r="EL87" s="8">
        <v>97.72</v>
      </c>
      <c r="EM87" s="8">
        <v>99.68</v>
      </c>
      <c r="EQ87" s="8">
        <v>102.25</v>
      </c>
      <c r="EX87" s="8">
        <v>89.82</v>
      </c>
      <c r="EY87" s="8">
        <v>90.73</v>
      </c>
      <c r="FC87" s="8">
        <v>95.83</v>
      </c>
      <c r="FD87" s="8">
        <v>95.81</v>
      </c>
      <c r="FE87" s="8">
        <v>95.84</v>
      </c>
      <c r="FH87" s="8">
        <v>99.26</v>
      </c>
      <c r="FI87" s="8">
        <v>99.3</v>
      </c>
      <c r="FJ87" s="8">
        <v>98.38</v>
      </c>
      <c r="FK87" s="8">
        <v>102.89</v>
      </c>
      <c r="FL87" s="8">
        <v>101.03</v>
      </c>
      <c r="FM87" s="8">
        <v>93.61</v>
      </c>
      <c r="FN87" s="8">
        <v>93.01</v>
      </c>
      <c r="FO87" s="8">
        <v>97.91</v>
      </c>
      <c r="FP87" s="8">
        <v>68.510000000000005</v>
      </c>
      <c r="FQ87" s="8">
        <v>98.79</v>
      </c>
      <c r="FR87" s="8">
        <v>99.06</v>
      </c>
      <c r="FS87" s="8">
        <v>99.17</v>
      </c>
      <c r="FT87" s="8">
        <v>98.18</v>
      </c>
      <c r="FU87" s="8">
        <v>96.52</v>
      </c>
      <c r="FV87" s="8">
        <v>101.54</v>
      </c>
      <c r="FW87" s="8">
        <v>97.06</v>
      </c>
      <c r="FX87" s="8">
        <v>93.88</v>
      </c>
      <c r="FY87" s="8">
        <v>89.87</v>
      </c>
      <c r="FZ87" s="8">
        <v>95.99</v>
      </c>
      <c r="GA87" s="8">
        <v>97.13</v>
      </c>
      <c r="GB87" s="8">
        <v>86.32</v>
      </c>
      <c r="GC87" s="8">
        <v>96.24</v>
      </c>
      <c r="GD87" s="8">
        <v>98.53</v>
      </c>
      <c r="GE87" s="8">
        <v>96.83</v>
      </c>
      <c r="GF87" s="8">
        <v>96.43</v>
      </c>
      <c r="GG87" s="8">
        <v>100.65</v>
      </c>
      <c r="GH87" s="8">
        <v>88.15</v>
      </c>
      <c r="GI87" s="8">
        <v>87.25</v>
      </c>
      <c r="GJ87" s="8">
        <v>88.42</v>
      </c>
      <c r="GP87" s="8">
        <v>93.53</v>
      </c>
      <c r="GR87" s="8">
        <v>89.22</v>
      </c>
      <c r="GS87" s="8">
        <v>79.03</v>
      </c>
      <c r="GT87" s="8">
        <v>79.03</v>
      </c>
      <c r="HH87" s="8">
        <v>99.87</v>
      </c>
      <c r="HI87" s="8">
        <v>99.87</v>
      </c>
      <c r="HJ87" s="8">
        <v>94.3</v>
      </c>
      <c r="HK87" s="8">
        <v>94.3</v>
      </c>
      <c r="HN87" s="8">
        <v>89.93</v>
      </c>
      <c r="HQ87" s="8">
        <v>110.51</v>
      </c>
      <c r="HR87" s="8">
        <v>92.62</v>
      </c>
      <c r="ID87" s="8">
        <v>101.88</v>
      </c>
      <c r="IE87" s="8">
        <v>100.92</v>
      </c>
      <c r="IF87" s="8">
        <v>101.01</v>
      </c>
      <c r="IG87" s="8">
        <v>102.41</v>
      </c>
    </row>
    <row r="88" spans="1:251" x14ac:dyDescent="0.2">
      <c r="A88" s="9">
        <v>45323</v>
      </c>
      <c r="I88" s="8">
        <v>93.99</v>
      </c>
      <c r="J88" s="8">
        <v>100.05</v>
      </c>
      <c r="K88" s="8">
        <v>86.43</v>
      </c>
      <c r="O88" s="8">
        <v>101.32</v>
      </c>
      <c r="V88" s="8">
        <v>95.15</v>
      </c>
      <c r="W88" s="8">
        <v>96.4</v>
      </c>
      <c r="AA88" s="8">
        <v>97.51</v>
      </c>
      <c r="AB88" s="8">
        <v>95.9</v>
      </c>
      <c r="AC88" s="8">
        <v>97.64</v>
      </c>
      <c r="AF88" s="8">
        <v>97.27</v>
      </c>
      <c r="AG88" s="8">
        <v>97.94</v>
      </c>
      <c r="AH88" s="8">
        <v>95.73</v>
      </c>
      <c r="AI88" s="8">
        <v>98.02</v>
      </c>
      <c r="AJ88" s="8">
        <v>99.69</v>
      </c>
      <c r="AK88" s="8">
        <v>93.82</v>
      </c>
      <c r="AL88" s="8">
        <v>92.06</v>
      </c>
      <c r="AM88" s="8">
        <v>96.32</v>
      </c>
      <c r="AN88" s="8">
        <v>74.569999999999993</v>
      </c>
      <c r="AO88" s="8">
        <v>98.26</v>
      </c>
      <c r="AP88" s="8">
        <v>99.19</v>
      </c>
      <c r="AQ88" s="8">
        <v>98.51</v>
      </c>
      <c r="AR88" s="8">
        <v>98.03</v>
      </c>
      <c r="AS88" s="8">
        <v>97.62</v>
      </c>
      <c r="AT88" s="8">
        <v>100.65</v>
      </c>
      <c r="AU88" s="8">
        <v>95.71</v>
      </c>
      <c r="AV88" s="8">
        <v>88.81</v>
      </c>
      <c r="AW88" s="8">
        <v>83.57</v>
      </c>
      <c r="AX88" s="8">
        <v>93.26</v>
      </c>
      <c r="AY88" s="8">
        <v>95.28</v>
      </c>
      <c r="AZ88" s="8">
        <v>86.49</v>
      </c>
      <c r="BA88" s="8">
        <v>96.34</v>
      </c>
      <c r="BB88" s="8">
        <v>99.04</v>
      </c>
      <c r="BC88" s="8">
        <v>95.21</v>
      </c>
      <c r="BD88" s="8">
        <v>92.19</v>
      </c>
      <c r="BE88" s="8">
        <v>100.44</v>
      </c>
      <c r="BF88" s="8">
        <v>94.88</v>
      </c>
      <c r="BG88" s="8">
        <v>86.94</v>
      </c>
      <c r="BH88" s="8">
        <v>97.67</v>
      </c>
      <c r="BN88" s="8">
        <v>96.87</v>
      </c>
      <c r="BP88" s="8">
        <v>95.74</v>
      </c>
      <c r="BQ88" s="8">
        <v>80.760000000000005</v>
      </c>
      <c r="BR88" s="8">
        <v>80.760000000000005</v>
      </c>
      <c r="CF88" s="8">
        <v>88.46</v>
      </c>
      <c r="CG88" s="8">
        <v>88.46</v>
      </c>
      <c r="CH88" s="8">
        <v>88.39</v>
      </c>
      <c r="CI88" s="8">
        <v>88.39</v>
      </c>
      <c r="CL88" s="8">
        <v>91.02</v>
      </c>
      <c r="CO88" s="8">
        <v>51.61</v>
      </c>
      <c r="CP88" s="8">
        <v>91.47</v>
      </c>
      <c r="DB88" s="8">
        <v>99.95</v>
      </c>
      <c r="DC88" s="8">
        <v>100.54</v>
      </c>
      <c r="DD88" s="8">
        <v>98.59</v>
      </c>
      <c r="DE88" s="8">
        <v>100.78</v>
      </c>
      <c r="DU88" s="8">
        <v>108.09</v>
      </c>
      <c r="EB88" s="8">
        <v>96.22</v>
      </c>
      <c r="EK88" s="8">
        <v>95.1</v>
      </c>
      <c r="EL88" s="8">
        <v>98.78</v>
      </c>
      <c r="EM88" s="8">
        <v>89.85</v>
      </c>
      <c r="EQ88" s="8">
        <v>100.97</v>
      </c>
      <c r="EX88" s="8">
        <v>93.99</v>
      </c>
      <c r="EY88" s="8">
        <v>96.45</v>
      </c>
      <c r="FC88" s="8">
        <v>95.84</v>
      </c>
      <c r="FD88" s="8">
        <v>95.9</v>
      </c>
      <c r="FE88" s="8">
        <v>95.84</v>
      </c>
      <c r="FH88" s="8">
        <v>98.52</v>
      </c>
      <c r="FI88" s="8">
        <v>99.43</v>
      </c>
      <c r="FJ88" s="8">
        <v>97.35</v>
      </c>
      <c r="FK88" s="8">
        <v>98.86</v>
      </c>
      <c r="FL88" s="8">
        <v>100.21</v>
      </c>
      <c r="FM88" s="8">
        <v>93.91</v>
      </c>
      <c r="FN88" s="8">
        <v>90.78</v>
      </c>
      <c r="FO88" s="8">
        <v>97.2</v>
      </c>
      <c r="FP88" s="8">
        <v>74.239999999999995</v>
      </c>
      <c r="FQ88" s="8">
        <v>97.9</v>
      </c>
      <c r="FR88" s="8">
        <v>100.86</v>
      </c>
      <c r="FS88" s="8">
        <v>98.68</v>
      </c>
      <c r="FT88" s="8">
        <v>97.49</v>
      </c>
      <c r="FU88" s="8">
        <v>96.43</v>
      </c>
      <c r="FV88" s="8">
        <v>100.61</v>
      </c>
      <c r="FW88" s="8">
        <v>95.7</v>
      </c>
      <c r="FX88" s="8">
        <v>94.83</v>
      </c>
      <c r="FY88" s="8">
        <v>90.24</v>
      </c>
      <c r="FZ88" s="8">
        <v>97.25</v>
      </c>
      <c r="GA88" s="8">
        <v>95.91</v>
      </c>
      <c r="GB88" s="8">
        <v>86.43</v>
      </c>
      <c r="GC88" s="8">
        <v>95.49</v>
      </c>
      <c r="GD88" s="8">
        <v>98.93</v>
      </c>
      <c r="GE88" s="8">
        <v>96.88</v>
      </c>
      <c r="GF88" s="8">
        <v>93.71</v>
      </c>
      <c r="GG88" s="8">
        <v>100.25</v>
      </c>
      <c r="GH88" s="8">
        <v>88.81</v>
      </c>
      <c r="GI88" s="8">
        <v>87.33</v>
      </c>
      <c r="GJ88" s="8">
        <v>89.25</v>
      </c>
      <c r="GP88" s="8">
        <v>95.79</v>
      </c>
      <c r="GR88" s="8">
        <v>90.8</v>
      </c>
      <c r="GS88" s="8">
        <v>79.260000000000005</v>
      </c>
      <c r="GT88" s="8">
        <v>79.260000000000005</v>
      </c>
      <c r="HH88" s="8">
        <v>100.03</v>
      </c>
      <c r="HI88" s="8">
        <v>100.03</v>
      </c>
      <c r="HJ88" s="8">
        <v>97.64</v>
      </c>
      <c r="HK88" s="8">
        <v>97.64</v>
      </c>
      <c r="HN88" s="8">
        <v>89.93</v>
      </c>
      <c r="HQ88" s="8">
        <v>110.51</v>
      </c>
      <c r="HR88" s="8">
        <v>92.62</v>
      </c>
      <c r="ID88" s="8">
        <v>101.45</v>
      </c>
      <c r="IE88" s="8">
        <v>101.21</v>
      </c>
      <c r="IF88" s="8">
        <v>99.4</v>
      </c>
      <c r="IG88" s="8">
        <v>102.46</v>
      </c>
    </row>
    <row r="89" spans="1:251" x14ac:dyDescent="0.2">
      <c r="A89" s="9">
        <v>45352</v>
      </c>
      <c r="I89" s="8">
        <v>92.19</v>
      </c>
      <c r="J89" s="8">
        <v>99.51</v>
      </c>
      <c r="K89" s="8">
        <v>83.15</v>
      </c>
      <c r="O89" s="8">
        <v>101.8</v>
      </c>
      <c r="V89" s="8">
        <v>95.15</v>
      </c>
      <c r="W89" s="8">
        <v>96.4</v>
      </c>
      <c r="AA89" s="8">
        <v>98.73</v>
      </c>
      <c r="AB89" s="8">
        <v>96.22</v>
      </c>
      <c r="AC89" s="8">
        <v>98.93</v>
      </c>
      <c r="AF89" s="8">
        <v>97.87</v>
      </c>
      <c r="AG89" s="8">
        <v>97.81</v>
      </c>
      <c r="AH89" s="8">
        <v>96.96</v>
      </c>
      <c r="AI89" s="8">
        <v>98.45</v>
      </c>
      <c r="AJ89" s="8">
        <v>100.59</v>
      </c>
      <c r="AK89" s="8">
        <v>94.87</v>
      </c>
      <c r="AL89" s="8">
        <v>92.94</v>
      </c>
      <c r="AM89" s="8">
        <v>96.59</v>
      </c>
      <c r="AN89" s="8">
        <v>79.22</v>
      </c>
      <c r="AO89" s="8">
        <v>99.01</v>
      </c>
      <c r="AP89" s="8">
        <v>100.62</v>
      </c>
      <c r="AQ89" s="8">
        <v>97.63</v>
      </c>
      <c r="AR89" s="8">
        <v>98.7</v>
      </c>
      <c r="AS89" s="8">
        <v>98.55</v>
      </c>
      <c r="AT89" s="8">
        <v>100.36</v>
      </c>
      <c r="AU89" s="8">
        <v>97.08</v>
      </c>
      <c r="AV89" s="8">
        <v>90.95</v>
      </c>
      <c r="AW89" s="8">
        <v>86.57</v>
      </c>
      <c r="AX89" s="8">
        <v>94.69</v>
      </c>
      <c r="AY89" s="8">
        <v>95.08</v>
      </c>
      <c r="AZ89" s="8">
        <v>86.04</v>
      </c>
      <c r="BA89" s="8">
        <v>97.27</v>
      </c>
      <c r="BB89" s="8">
        <v>98.3</v>
      </c>
      <c r="BC89" s="8">
        <v>94.45</v>
      </c>
      <c r="BD89" s="8">
        <v>92.33</v>
      </c>
      <c r="BE89" s="8">
        <v>100.11</v>
      </c>
      <c r="BF89" s="8">
        <v>96.14</v>
      </c>
      <c r="BG89" s="8">
        <v>88.33</v>
      </c>
      <c r="BH89" s="8">
        <v>98.87</v>
      </c>
      <c r="BN89" s="8">
        <v>97.03</v>
      </c>
      <c r="BP89" s="8">
        <v>95.58</v>
      </c>
      <c r="BQ89" s="8">
        <v>82.57</v>
      </c>
      <c r="BR89" s="8">
        <v>82.57</v>
      </c>
      <c r="CF89" s="8">
        <v>89.47</v>
      </c>
      <c r="CG89" s="8">
        <v>89.47</v>
      </c>
      <c r="CH89" s="8">
        <v>89.92</v>
      </c>
      <c r="CI89" s="8">
        <v>89.92</v>
      </c>
      <c r="CL89" s="8">
        <v>91.02</v>
      </c>
      <c r="CO89" s="8">
        <v>95.18</v>
      </c>
      <c r="CP89" s="8">
        <v>91.47</v>
      </c>
      <c r="DB89" s="8">
        <v>100.85</v>
      </c>
      <c r="DC89" s="8">
        <v>101.04</v>
      </c>
      <c r="DD89" s="8">
        <v>100.23</v>
      </c>
      <c r="DE89" s="8">
        <v>101.23</v>
      </c>
      <c r="DU89" s="8">
        <v>107.27</v>
      </c>
      <c r="EB89" s="8">
        <v>96.21</v>
      </c>
      <c r="EK89" s="8">
        <v>92.89</v>
      </c>
      <c r="EL89" s="8">
        <v>96.4</v>
      </c>
      <c r="EM89" s="8">
        <v>87.86</v>
      </c>
      <c r="EQ89" s="8">
        <v>101.57</v>
      </c>
      <c r="EX89" s="8">
        <v>93.99</v>
      </c>
      <c r="EY89" s="8">
        <v>96.45</v>
      </c>
      <c r="FC89" s="8">
        <v>97.26</v>
      </c>
      <c r="FD89" s="8">
        <v>96.22</v>
      </c>
      <c r="FE89" s="8">
        <v>97.47</v>
      </c>
      <c r="FH89" s="8">
        <v>98.91</v>
      </c>
      <c r="FI89" s="8">
        <v>99.26</v>
      </c>
      <c r="FJ89" s="8">
        <v>97.86</v>
      </c>
      <c r="FK89" s="8">
        <v>100.22</v>
      </c>
      <c r="FL89" s="8">
        <v>101.76</v>
      </c>
      <c r="FM89" s="8">
        <v>94.71</v>
      </c>
      <c r="FN89" s="8">
        <v>91.51</v>
      </c>
      <c r="FO89" s="8">
        <v>97.76</v>
      </c>
      <c r="FP89" s="8">
        <v>75.58</v>
      </c>
      <c r="FQ89" s="8">
        <v>98.6</v>
      </c>
      <c r="FR89" s="8">
        <v>103.21</v>
      </c>
      <c r="FS89" s="8">
        <v>97.73</v>
      </c>
      <c r="FT89" s="8">
        <v>98.13</v>
      </c>
      <c r="FU89" s="8">
        <v>97.51</v>
      </c>
      <c r="FV89" s="8">
        <v>100.11</v>
      </c>
      <c r="FW89" s="8">
        <v>96.9</v>
      </c>
      <c r="FX89" s="8">
        <v>95.53</v>
      </c>
      <c r="FY89" s="8">
        <v>89.42</v>
      </c>
      <c r="FZ89" s="8">
        <v>98.78</v>
      </c>
      <c r="GA89" s="8">
        <v>95.26</v>
      </c>
      <c r="GB89" s="8">
        <v>86.39</v>
      </c>
      <c r="GC89" s="8">
        <v>97.05</v>
      </c>
      <c r="GD89" s="8">
        <v>97.71</v>
      </c>
      <c r="GE89" s="8">
        <v>96.01</v>
      </c>
      <c r="GF89" s="8">
        <v>92.95</v>
      </c>
      <c r="GG89" s="8">
        <v>99.58</v>
      </c>
      <c r="GH89" s="8">
        <v>89.75</v>
      </c>
      <c r="GI89" s="8">
        <v>88.19</v>
      </c>
      <c r="GJ89" s="8">
        <v>90.21</v>
      </c>
      <c r="GP89" s="8">
        <v>98.1</v>
      </c>
      <c r="GR89" s="8">
        <v>90.92</v>
      </c>
      <c r="GS89" s="8">
        <v>81.150000000000006</v>
      </c>
      <c r="GT89" s="8">
        <v>81.150000000000006</v>
      </c>
      <c r="HH89" s="8">
        <v>100.36</v>
      </c>
      <c r="HI89" s="8">
        <v>100.36</v>
      </c>
      <c r="HJ89" s="8">
        <v>93.18</v>
      </c>
      <c r="HK89" s="8">
        <v>93.18</v>
      </c>
      <c r="HN89" s="8">
        <v>89.93</v>
      </c>
      <c r="HQ89" s="8">
        <v>110.51</v>
      </c>
      <c r="HR89" s="8">
        <v>95.03</v>
      </c>
      <c r="ID89" s="8">
        <v>101.65</v>
      </c>
      <c r="IE89" s="8">
        <v>101.42</v>
      </c>
      <c r="IF89" s="8">
        <v>100.29</v>
      </c>
      <c r="IG89" s="8">
        <v>102.32</v>
      </c>
    </row>
    <row r="90" spans="1:251" x14ac:dyDescent="0.2">
      <c r="A90" s="9">
        <v>45383</v>
      </c>
      <c r="B90" s="8">
        <v>97.57</v>
      </c>
      <c r="C90" s="8">
        <v>93.74</v>
      </c>
      <c r="D90" s="8">
        <v>101.05</v>
      </c>
      <c r="E90" s="8">
        <v>86.4</v>
      </c>
      <c r="F90" s="8">
        <v>96.19</v>
      </c>
      <c r="G90" s="8">
        <v>101.54</v>
      </c>
      <c r="H90" s="8">
        <v>94.46</v>
      </c>
      <c r="I90" s="8">
        <v>98.37</v>
      </c>
      <c r="J90" s="8">
        <v>102.55</v>
      </c>
      <c r="K90" s="8">
        <v>93.01</v>
      </c>
      <c r="L90" s="8">
        <v>98.4</v>
      </c>
      <c r="M90" s="8">
        <v>98.69</v>
      </c>
      <c r="N90" s="8">
        <v>100.74</v>
      </c>
      <c r="O90" s="8">
        <v>100.7</v>
      </c>
      <c r="P90" s="8">
        <v>91.82</v>
      </c>
      <c r="Q90" s="8">
        <v>98.94</v>
      </c>
      <c r="R90" s="8">
        <v>98.06</v>
      </c>
      <c r="S90" s="8">
        <v>95.72</v>
      </c>
      <c r="T90" s="8">
        <v>95.72</v>
      </c>
      <c r="U90" s="8">
        <v>95.21</v>
      </c>
      <c r="V90" s="8">
        <v>95.15</v>
      </c>
      <c r="W90" s="8">
        <v>96.4</v>
      </c>
      <c r="X90" s="8">
        <v>96.62</v>
      </c>
      <c r="Y90" s="8">
        <v>92.07</v>
      </c>
      <c r="Z90" s="8">
        <v>92.07</v>
      </c>
      <c r="AA90" s="8">
        <v>98.75</v>
      </c>
      <c r="AB90" s="8">
        <v>96.53</v>
      </c>
      <c r="AC90" s="8">
        <v>98.93</v>
      </c>
      <c r="AD90" s="8">
        <v>95.88</v>
      </c>
      <c r="AE90" s="8">
        <v>96.25</v>
      </c>
      <c r="AF90" s="8">
        <v>97.9</v>
      </c>
      <c r="AG90" s="8">
        <v>98.34</v>
      </c>
      <c r="AH90" s="8">
        <v>96.28</v>
      </c>
      <c r="AI90" s="8">
        <v>99.01</v>
      </c>
      <c r="AJ90" s="8">
        <v>101.03</v>
      </c>
      <c r="AK90" s="8">
        <v>94.96</v>
      </c>
      <c r="AL90" s="8">
        <v>91.77</v>
      </c>
      <c r="AM90" s="8">
        <v>96.45</v>
      </c>
      <c r="AN90" s="8">
        <v>78.88</v>
      </c>
      <c r="AO90" s="8">
        <v>99</v>
      </c>
      <c r="AP90" s="8">
        <v>100.01</v>
      </c>
      <c r="AQ90" s="8">
        <v>100.6</v>
      </c>
      <c r="AR90" s="8">
        <v>98.84</v>
      </c>
      <c r="AS90" s="8">
        <v>98.22</v>
      </c>
      <c r="AT90" s="8">
        <v>100.51</v>
      </c>
      <c r="AU90" s="8">
        <v>97.84</v>
      </c>
      <c r="AV90" s="8">
        <v>96.89</v>
      </c>
      <c r="AW90" s="8">
        <v>97.29</v>
      </c>
      <c r="AX90" s="8">
        <v>96.57</v>
      </c>
      <c r="AY90" s="8">
        <v>96.03</v>
      </c>
      <c r="AZ90" s="8">
        <v>86</v>
      </c>
      <c r="BA90" s="8">
        <v>96.4</v>
      </c>
      <c r="BB90" s="8">
        <v>99.24</v>
      </c>
      <c r="BC90" s="8">
        <v>98.67</v>
      </c>
      <c r="BD90" s="8">
        <v>93.83</v>
      </c>
      <c r="BE90" s="8">
        <v>99.01</v>
      </c>
      <c r="BF90" s="8">
        <v>96.28</v>
      </c>
      <c r="BG90" s="8">
        <v>88.25</v>
      </c>
      <c r="BH90" s="8">
        <v>99.09</v>
      </c>
      <c r="BI90" s="8">
        <v>95.7</v>
      </c>
      <c r="BJ90" s="8">
        <v>96.37</v>
      </c>
      <c r="BK90" s="8">
        <v>95.03</v>
      </c>
      <c r="BL90" s="8">
        <v>92.35</v>
      </c>
      <c r="BM90" s="8">
        <v>96.06</v>
      </c>
      <c r="BN90" s="8">
        <v>95.17</v>
      </c>
      <c r="BO90" s="8">
        <v>97.5</v>
      </c>
      <c r="BP90" s="8">
        <v>95.55</v>
      </c>
      <c r="BQ90" s="8">
        <v>83.42</v>
      </c>
      <c r="BR90" s="8">
        <v>83.42</v>
      </c>
      <c r="BS90" s="8">
        <v>100.97</v>
      </c>
      <c r="BT90" s="8">
        <v>104.63</v>
      </c>
      <c r="BU90" s="8">
        <v>111.01</v>
      </c>
      <c r="BV90" s="8">
        <v>103.2</v>
      </c>
      <c r="BW90" s="8">
        <v>99.43</v>
      </c>
      <c r="BX90" s="8">
        <v>101.31</v>
      </c>
      <c r="BY90" s="8">
        <v>104.64</v>
      </c>
      <c r="BZ90" s="8">
        <v>98.44</v>
      </c>
      <c r="CA90" s="8">
        <v>106.39</v>
      </c>
      <c r="CB90" s="8">
        <v>91.24</v>
      </c>
      <c r="CC90" s="8">
        <v>90.81</v>
      </c>
      <c r="CD90" s="8">
        <v>94.24</v>
      </c>
      <c r="CE90" s="8">
        <v>92.02</v>
      </c>
      <c r="CF90" s="8">
        <v>90.21</v>
      </c>
      <c r="CG90" s="8">
        <v>90.21</v>
      </c>
      <c r="CH90" s="8">
        <v>91.39</v>
      </c>
      <c r="CI90" s="8">
        <v>91.39</v>
      </c>
      <c r="CJ90" s="8">
        <v>93.03</v>
      </c>
      <c r="CK90" s="8">
        <v>94.69</v>
      </c>
      <c r="CL90" s="8">
        <v>91.02</v>
      </c>
      <c r="CM90" s="8">
        <v>93.95</v>
      </c>
      <c r="CN90" s="8">
        <v>94.84</v>
      </c>
      <c r="CO90" s="8">
        <v>95.18</v>
      </c>
      <c r="CP90" s="8">
        <v>91.47</v>
      </c>
      <c r="CQ90" s="8">
        <v>97.55</v>
      </c>
      <c r="CR90" s="8">
        <v>99.14</v>
      </c>
      <c r="CS90" s="8">
        <v>99.39</v>
      </c>
      <c r="CT90" s="8">
        <v>98.17</v>
      </c>
      <c r="CU90" s="8">
        <v>97.7</v>
      </c>
      <c r="CV90" s="8">
        <v>97.7</v>
      </c>
      <c r="CW90" s="8">
        <v>100.49</v>
      </c>
      <c r="CX90" s="8">
        <v>100.38</v>
      </c>
      <c r="CY90" s="8">
        <v>99.21</v>
      </c>
      <c r="CZ90" s="8">
        <v>102.53</v>
      </c>
      <c r="DA90" s="8">
        <v>99.84</v>
      </c>
      <c r="DB90" s="8">
        <v>101.57</v>
      </c>
      <c r="DC90" s="8">
        <v>100.52</v>
      </c>
      <c r="DD90" s="8">
        <v>100.39</v>
      </c>
      <c r="DE90" s="8">
        <v>102.64</v>
      </c>
      <c r="DF90" s="8">
        <v>90.93</v>
      </c>
      <c r="DG90" s="8">
        <v>81.7</v>
      </c>
      <c r="DH90" s="8">
        <v>92.96</v>
      </c>
      <c r="DI90" s="8">
        <v>95.62</v>
      </c>
      <c r="DJ90" s="8">
        <v>96.13</v>
      </c>
      <c r="DK90" s="8">
        <v>101.3</v>
      </c>
      <c r="DL90" s="8">
        <v>102.18</v>
      </c>
      <c r="DM90" s="8">
        <v>95.53</v>
      </c>
      <c r="DN90" s="8">
        <v>95.19</v>
      </c>
      <c r="DO90" s="8">
        <v>95.05</v>
      </c>
      <c r="DP90" s="8">
        <v>96.56</v>
      </c>
      <c r="DQ90" s="8">
        <v>100.67</v>
      </c>
      <c r="DR90" s="8">
        <v>100.79</v>
      </c>
      <c r="DS90" s="8">
        <v>101.22</v>
      </c>
      <c r="DT90" s="8">
        <v>97.79</v>
      </c>
      <c r="DU90" s="8">
        <v>109.87</v>
      </c>
      <c r="DV90" s="8">
        <v>91.38</v>
      </c>
      <c r="DW90" s="8">
        <v>93.2</v>
      </c>
      <c r="DX90" s="8">
        <v>97.04</v>
      </c>
      <c r="DY90" s="8">
        <v>97.04</v>
      </c>
      <c r="DZ90" s="8">
        <v>98.51</v>
      </c>
      <c r="EA90" s="8">
        <v>98.51</v>
      </c>
      <c r="EB90" s="8">
        <v>96.77</v>
      </c>
      <c r="EC90" s="8">
        <v>98.57</v>
      </c>
      <c r="ED90" s="8">
        <v>96.12</v>
      </c>
      <c r="EE90" s="8">
        <v>94.67</v>
      </c>
      <c r="EF90" s="8">
        <v>101.85</v>
      </c>
      <c r="EG90" s="8">
        <v>85.97</v>
      </c>
      <c r="EH90" s="8">
        <v>98.58</v>
      </c>
      <c r="EI90" s="8">
        <v>100.61</v>
      </c>
      <c r="EJ90" s="8">
        <v>97.85</v>
      </c>
      <c r="EK90" s="8">
        <v>93.44</v>
      </c>
      <c r="EL90" s="8">
        <v>92.71</v>
      </c>
      <c r="EM90" s="8">
        <v>93.3</v>
      </c>
      <c r="EN90" s="8">
        <v>99.45</v>
      </c>
      <c r="EO90" s="8">
        <v>107.94</v>
      </c>
      <c r="EP90" s="8">
        <v>99.44</v>
      </c>
      <c r="EQ90" s="8">
        <v>100.81</v>
      </c>
      <c r="ER90" s="8">
        <v>88.83</v>
      </c>
      <c r="ES90" s="8">
        <v>93.61</v>
      </c>
      <c r="ET90" s="8">
        <v>110.48</v>
      </c>
      <c r="EU90" s="8">
        <v>94.65</v>
      </c>
      <c r="EV90" s="8">
        <v>94.65</v>
      </c>
      <c r="EW90" s="8">
        <v>93.8</v>
      </c>
      <c r="EX90" s="8">
        <v>93.99</v>
      </c>
      <c r="EY90" s="8">
        <v>96.45</v>
      </c>
      <c r="EZ90" s="8">
        <v>96.62</v>
      </c>
      <c r="FA90" s="8">
        <v>94.84</v>
      </c>
      <c r="FB90" s="8">
        <v>94.84</v>
      </c>
      <c r="FC90" s="8">
        <v>97.31</v>
      </c>
      <c r="FD90" s="8">
        <v>96.53</v>
      </c>
      <c r="FE90" s="8">
        <v>97.47</v>
      </c>
      <c r="FF90" s="8">
        <v>96.64</v>
      </c>
      <c r="FG90" s="8">
        <v>95.2</v>
      </c>
      <c r="FH90" s="8">
        <v>98.3</v>
      </c>
      <c r="FI90" s="8">
        <v>99.43</v>
      </c>
      <c r="FJ90" s="8">
        <v>96.82</v>
      </c>
      <c r="FK90" s="8">
        <v>100.14</v>
      </c>
      <c r="FL90" s="8">
        <v>99.52</v>
      </c>
      <c r="FM90" s="8">
        <v>94.89</v>
      </c>
      <c r="FN90" s="8">
        <v>91.47</v>
      </c>
      <c r="FO90" s="8">
        <v>97.28</v>
      </c>
      <c r="FP90" s="8">
        <v>76.22</v>
      </c>
      <c r="FQ90" s="8">
        <v>98.51</v>
      </c>
      <c r="FR90" s="8">
        <v>102.05</v>
      </c>
      <c r="FS90" s="8">
        <v>100.15</v>
      </c>
      <c r="FT90" s="8">
        <v>98.08</v>
      </c>
      <c r="FU90" s="8">
        <v>97.12</v>
      </c>
      <c r="FV90" s="8">
        <v>100.34</v>
      </c>
      <c r="FW90" s="8">
        <v>97.08</v>
      </c>
      <c r="FX90" s="8">
        <v>97.21</v>
      </c>
      <c r="FY90" s="8">
        <v>92.76</v>
      </c>
      <c r="FZ90" s="8">
        <v>99.55</v>
      </c>
      <c r="GA90" s="8">
        <v>95.86</v>
      </c>
      <c r="GB90" s="8">
        <v>86.44</v>
      </c>
      <c r="GC90" s="8">
        <v>95.58</v>
      </c>
      <c r="GD90" s="8">
        <v>98.26</v>
      </c>
      <c r="GE90" s="8">
        <v>100.31</v>
      </c>
      <c r="GF90" s="8">
        <v>94.04</v>
      </c>
      <c r="GG90" s="8">
        <v>97.64</v>
      </c>
      <c r="GH90" s="8">
        <v>89</v>
      </c>
      <c r="GI90" s="8">
        <v>86.76</v>
      </c>
      <c r="GJ90" s="8">
        <v>89.66</v>
      </c>
      <c r="GK90" s="8">
        <v>94.48</v>
      </c>
      <c r="GL90" s="8">
        <v>94.29</v>
      </c>
      <c r="GM90" s="8">
        <v>94.66</v>
      </c>
      <c r="GN90" s="8">
        <v>89.3</v>
      </c>
      <c r="GO90" s="8">
        <v>94.14</v>
      </c>
      <c r="GP90" s="8">
        <v>96.2</v>
      </c>
      <c r="GQ90" s="8">
        <v>98.98</v>
      </c>
      <c r="GR90" s="8">
        <v>90.78</v>
      </c>
      <c r="GS90" s="8">
        <v>82</v>
      </c>
      <c r="GT90" s="8">
        <v>82</v>
      </c>
      <c r="GU90" s="8">
        <v>100.12</v>
      </c>
      <c r="GV90" s="8">
        <v>102.62</v>
      </c>
      <c r="GW90" s="8">
        <v>107.27</v>
      </c>
      <c r="GX90" s="8">
        <v>99.94</v>
      </c>
      <c r="GY90" s="8">
        <v>103.07</v>
      </c>
      <c r="GZ90" s="8">
        <v>101.9</v>
      </c>
      <c r="HA90" s="8">
        <v>101.61</v>
      </c>
      <c r="HB90" s="8">
        <v>101.79</v>
      </c>
      <c r="HC90" s="8">
        <v>102.47</v>
      </c>
      <c r="HD90" s="8">
        <v>87.85</v>
      </c>
      <c r="HE90" s="8">
        <v>87.27</v>
      </c>
      <c r="HF90" s="8">
        <v>92.93</v>
      </c>
      <c r="HG90" s="8">
        <v>95.63</v>
      </c>
      <c r="HH90" s="8">
        <v>100.13</v>
      </c>
      <c r="HI90" s="8">
        <v>100.13</v>
      </c>
      <c r="HJ90" s="8">
        <v>92.7</v>
      </c>
      <c r="HK90" s="8">
        <v>92.7</v>
      </c>
      <c r="HL90" s="8">
        <v>93.3</v>
      </c>
      <c r="HM90" s="8">
        <v>95.88</v>
      </c>
      <c r="HN90" s="8">
        <v>89.93</v>
      </c>
      <c r="HO90" s="8">
        <v>97.4</v>
      </c>
      <c r="HP90" s="8">
        <v>93.35</v>
      </c>
      <c r="HQ90" s="8">
        <v>100.55</v>
      </c>
      <c r="HR90" s="8">
        <v>91.23</v>
      </c>
      <c r="HS90" s="8">
        <v>96.79</v>
      </c>
      <c r="HT90" s="8">
        <v>97.78</v>
      </c>
      <c r="HU90" s="8">
        <v>98.07</v>
      </c>
      <c r="HV90" s="8">
        <v>96.72</v>
      </c>
      <c r="HW90" s="8">
        <v>93.66</v>
      </c>
      <c r="HX90" s="8">
        <v>93.66</v>
      </c>
      <c r="HY90" s="8">
        <v>100.2</v>
      </c>
      <c r="HZ90" s="8">
        <v>99.63</v>
      </c>
      <c r="IA90" s="8">
        <v>102.21</v>
      </c>
      <c r="IB90" s="8">
        <v>101.83</v>
      </c>
      <c r="IC90" s="8">
        <v>97.95</v>
      </c>
      <c r="ID90" s="8">
        <v>102.05</v>
      </c>
      <c r="IE90" s="8">
        <v>100.37</v>
      </c>
      <c r="IF90" s="8">
        <v>99.43</v>
      </c>
      <c r="IG90" s="8">
        <v>103.51</v>
      </c>
      <c r="IH90" s="8">
        <v>88.15</v>
      </c>
      <c r="II90" s="8">
        <v>83.18</v>
      </c>
      <c r="IJ90" s="8">
        <v>93.27</v>
      </c>
      <c r="IK90" s="8">
        <v>84.05</v>
      </c>
      <c r="IL90" s="8">
        <v>97.83</v>
      </c>
      <c r="IM90" s="8">
        <v>105.2</v>
      </c>
      <c r="IN90" s="8">
        <v>105.64</v>
      </c>
      <c r="IO90" s="8">
        <v>103.16</v>
      </c>
      <c r="IP90" s="8">
        <v>96.52</v>
      </c>
      <c r="IQ90" s="8">
        <v>96.58</v>
      </c>
    </row>
    <row r="91" spans="1:251" x14ac:dyDescent="0.2">
      <c r="A91" s="9">
        <v>45413</v>
      </c>
      <c r="B91" s="8">
        <v>95.42</v>
      </c>
      <c r="C91" s="8">
        <v>95.9</v>
      </c>
      <c r="D91" s="8">
        <v>103.15</v>
      </c>
      <c r="E91" s="8">
        <v>88.62</v>
      </c>
      <c r="F91" s="8">
        <v>96.95</v>
      </c>
      <c r="G91" s="8">
        <v>101.16</v>
      </c>
      <c r="H91" s="8">
        <v>95.59</v>
      </c>
      <c r="I91" s="8">
        <v>92.86</v>
      </c>
      <c r="J91" s="8">
        <v>90.71</v>
      </c>
      <c r="K91" s="8">
        <v>94.99</v>
      </c>
      <c r="L91" s="8">
        <v>98.25</v>
      </c>
      <c r="M91" s="8">
        <v>99.7</v>
      </c>
      <c r="N91" s="8">
        <v>98.04</v>
      </c>
      <c r="O91" s="8">
        <v>100.19</v>
      </c>
      <c r="P91" s="8">
        <v>91.82</v>
      </c>
      <c r="Q91" s="8">
        <v>99.85</v>
      </c>
      <c r="R91" s="8">
        <v>98.36</v>
      </c>
      <c r="S91" s="8">
        <v>95.73</v>
      </c>
      <c r="T91" s="8">
        <v>95.73</v>
      </c>
      <c r="U91" s="8">
        <v>95.23</v>
      </c>
      <c r="V91" s="8">
        <v>95.15</v>
      </c>
      <c r="W91" s="8">
        <v>96.4</v>
      </c>
      <c r="X91" s="8">
        <v>96.89</v>
      </c>
      <c r="Y91" s="8">
        <v>92.92</v>
      </c>
      <c r="Z91" s="8">
        <v>92.92</v>
      </c>
      <c r="AA91" s="8">
        <v>98.76</v>
      </c>
      <c r="AB91" s="8">
        <v>96.59</v>
      </c>
      <c r="AC91" s="8">
        <v>98.93</v>
      </c>
      <c r="AD91" s="8">
        <v>96</v>
      </c>
      <c r="AE91" s="8">
        <v>96.48</v>
      </c>
      <c r="AF91" s="8">
        <v>97.52</v>
      </c>
      <c r="AG91" s="8">
        <v>97.86</v>
      </c>
      <c r="AH91" s="8">
        <v>96.25</v>
      </c>
      <c r="AI91" s="8">
        <v>98.55</v>
      </c>
      <c r="AJ91" s="8">
        <v>99.94</v>
      </c>
      <c r="AK91" s="8">
        <v>95.34</v>
      </c>
      <c r="AL91" s="8">
        <v>93.56</v>
      </c>
      <c r="AM91" s="8">
        <v>97.07</v>
      </c>
      <c r="AN91" s="8">
        <v>79.849999999999994</v>
      </c>
      <c r="AO91" s="8">
        <v>99.07</v>
      </c>
      <c r="AP91" s="8">
        <v>99.19</v>
      </c>
      <c r="AQ91" s="8">
        <v>99.95</v>
      </c>
      <c r="AR91" s="8">
        <v>98.36</v>
      </c>
      <c r="AS91" s="8">
        <v>97.75</v>
      </c>
      <c r="AT91" s="8">
        <v>100.11</v>
      </c>
      <c r="AU91" s="8">
        <v>97.27</v>
      </c>
      <c r="AV91" s="8">
        <v>98.91</v>
      </c>
      <c r="AW91" s="8">
        <v>99.27</v>
      </c>
      <c r="AX91" s="8">
        <v>98.63</v>
      </c>
      <c r="AY91" s="8">
        <v>95.17</v>
      </c>
      <c r="AZ91" s="8">
        <v>86.23</v>
      </c>
      <c r="BA91" s="8">
        <v>95.74</v>
      </c>
      <c r="BB91" s="8">
        <v>98.01</v>
      </c>
      <c r="BC91" s="8">
        <v>99.17</v>
      </c>
      <c r="BD91" s="8">
        <v>92.36</v>
      </c>
      <c r="BE91" s="8">
        <v>98.33</v>
      </c>
      <c r="BF91" s="8">
        <v>96.55</v>
      </c>
      <c r="BG91" s="8">
        <v>86.9</v>
      </c>
      <c r="BH91" s="8">
        <v>99.95</v>
      </c>
      <c r="BI91" s="8">
        <v>95.97</v>
      </c>
      <c r="BJ91" s="8">
        <v>96.54</v>
      </c>
      <c r="BK91" s="8">
        <v>95.39</v>
      </c>
      <c r="BL91" s="8">
        <v>92.56</v>
      </c>
      <c r="BM91" s="8">
        <v>96.32</v>
      </c>
      <c r="BN91" s="8">
        <v>97.38</v>
      </c>
      <c r="BO91" s="8">
        <v>96.23</v>
      </c>
      <c r="BP91" s="8">
        <v>95.94</v>
      </c>
      <c r="BQ91" s="8">
        <v>83.54</v>
      </c>
      <c r="BR91" s="8">
        <v>83.54</v>
      </c>
      <c r="BS91" s="8">
        <v>97.34</v>
      </c>
      <c r="BT91" s="8">
        <v>99.42</v>
      </c>
      <c r="BU91" s="8">
        <v>103.28</v>
      </c>
      <c r="BV91" s="8">
        <v>98.3</v>
      </c>
      <c r="BW91" s="8">
        <v>96.94</v>
      </c>
      <c r="BX91" s="8">
        <v>99.13</v>
      </c>
      <c r="BY91" s="8">
        <v>104.35</v>
      </c>
      <c r="BZ91" s="8">
        <v>94.82</v>
      </c>
      <c r="CA91" s="8">
        <v>106.52</v>
      </c>
      <c r="CB91" s="8">
        <v>91.01</v>
      </c>
      <c r="CC91" s="8">
        <v>90.48</v>
      </c>
      <c r="CD91" s="8">
        <v>94.73</v>
      </c>
      <c r="CE91" s="8">
        <v>92.68</v>
      </c>
      <c r="CF91" s="8">
        <v>91.12</v>
      </c>
      <c r="CG91" s="8">
        <v>91.12</v>
      </c>
      <c r="CH91" s="8">
        <v>92.53</v>
      </c>
      <c r="CI91" s="8">
        <v>92.53</v>
      </c>
      <c r="CJ91" s="8">
        <v>93.3</v>
      </c>
      <c r="CK91" s="8">
        <v>95.19</v>
      </c>
      <c r="CL91" s="8">
        <v>91.02</v>
      </c>
      <c r="CM91" s="8">
        <v>93.95</v>
      </c>
      <c r="CN91" s="8">
        <v>94.84</v>
      </c>
      <c r="CO91" s="8">
        <v>95.18</v>
      </c>
      <c r="CP91" s="8">
        <v>91.47</v>
      </c>
      <c r="CQ91" s="8">
        <v>97.67</v>
      </c>
      <c r="CR91" s="8">
        <v>100.02</v>
      </c>
      <c r="CS91" s="8">
        <v>100.95</v>
      </c>
      <c r="CT91" s="8">
        <v>96.65</v>
      </c>
      <c r="CU91" s="8">
        <v>99.85</v>
      </c>
      <c r="CV91" s="8">
        <v>99.85</v>
      </c>
      <c r="CW91" s="8">
        <v>100.65</v>
      </c>
      <c r="CX91" s="8">
        <v>99.75</v>
      </c>
      <c r="CY91" s="8">
        <v>103.79</v>
      </c>
      <c r="CZ91" s="8">
        <v>99.98</v>
      </c>
      <c r="DA91" s="8">
        <v>99.71</v>
      </c>
      <c r="DB91" s="8">
        <v>100.62</v>
      </c>
      <c r="DC91" s="8">
        <v>98.84</v>
      </c>
      <c r="DD91" s="8">
        <v>99.37</v>
      </c>
      <c r="DE91" s="8">
        <v>101.89</v>
      </c>
      <c r="DF91" s="8">
        <v>91.15</v>
      </c>
      <c r="DG91" s="8">
        <v>81.08</v>
      </c>
      <c r="DH91" s="8">
        <v>93.94</v>
      </c>
      <c r="DI91" s="8">
        <v>95.35</v>
      </c>
      <c r="DJ91" s="8">
        <v>96.02</v>
      </c>
      <c r="DK91" s="8">
        <v>101.34</v>
      </c>
      <c r="DL91" s="8">
        <v>102.19</v>
      </c>
      <c r="DM91" s="8">
        <v>95.79</v>
      </c>
      <c r="DN91" s="8">
        <v>95.05</v>
      </c>
      <c r="DO91" s="8">
        <v>94.81</v>
      </c>
      <c r="DP91" s="8">
        <v>97.24</v>
      </c>
      <c r="DQ91" s="8">
        <v>100.34</v>
      </c>
      <c r="DR91" s="8">
        <v>100.43</v>
      </c>
      <c r="DS91" s="8">
        <v>100.38</v>
      </c>
      <c r="DT91" s="8">
        <v>99.43</v>
      </c>
      <c r="DU91" s="8">
        <v>108.18</v>
      </c>
      <c r="DV91" s="8">
        <v>92.46</v>
      </c>
      <c r="DW91" s="8">
        <v>93.38</v>
      </c>
      <c r="DX91" s="8">
        <v>97.57</v>
      </c>
      <c r="DY91" s="8">
        <v>97.57</v>
      </c>
      <c r="DZ91" s="8">
        <v>97.89</v>
      </c>
      <c r="EA91" s="8">
        <v>97.89</v>
      </c>
      <c r="EB91" s="8">
        <v>94.61</v>
      </c>
      <c r="EC91" s="8">
        <v>98.03</v>
      </c>
      <c r="ED91" s="8">
        <v>96.77</v>
      </c>
      <c r="EE91" s="8">
        <v>96.59</v>
      </c>
      <c r="EF91" s="8">
        <v>103</v>
      </c>
      <c r="EG91" s="8">
        <v>88.85</v>
      </c>
      <c r="EH91" s="8">
        <v>97.94</v>
      </c>
      <c r="EI91" s="8">
        <v>100.8</v>
      </c>
      <c r="EJ91" s="8">
        <v>96.92</v>
      </c>
      <c r="EK91" s="8">
        <v>94.52</v>
      </c>
      <c r="EL91" s="8">
        <v>91.16</v>
      </c>
      <c r="EM91" s="8">
        <v>97.39</v>
      </c>
      <c r="EN91" s="8">
        <v>99.15</v>
      </c>
      <c r="EO91" s="8">
        <v>105.49</v>
      </c>
      <c r="EP91" s="8">
        <v>98.13</v>
      </c>
      <c r="EQ91" s="8">
        <v>99.75</v>
      </c>
      <c r="ER91" s="8">
        <v>90.91</v>
      </c>
      <c r="ES91" s="8">
        <v>93.61</v>
      </c>
      <c r="ET91" s="8">
        <v>110.19</v>
      </c>
      <c r="EU91" s="8">
        <v>94.65</v>
      </c>
      <c r="EV91" s="8">
        <v>94.65</v>
      </c>
      <c r="EW91" s="8">
        <v>93.8</v>
      </c>
      <c r="EX91" s="8">
        <v>93.99</v>
      </c>
      <c r="EY91" s="8">
        <v>96.45</v>
      </c>
      <c r="EZ91" s="8">
        <v>96.92</v>
      </c>
      <c r="FA91" s="8">
        <v>95.87</v>
      </c>
      <c r="FB91" s="8">
        <v>95.87</v>
      </c>
      <c r="FC91" s="8">
        <v>97.32</v>
      </c>
      <c r="FD91" s="8">
        <v>96.59</v>
      </c>
      <c r="FE91" s="8">
        <v>97.47</v>
      </c>
      <c r="FF91" s="8">
        <v>96.38</v>
      </c>
      <c r="FG91" s="8">
        <v>95.49</v>
      </c>
      <c r="FH91" s="8">
        <v>98.2</v>
      </c>
      <c r="FI91" s="8">
        <v>98.92</v>
      </c>
      <c r="FJ91" s="8">
        <v>96.89</v>
      </c>
      <c r="FK91" s="8">
        <v>99.82</v>
      </c>
      <c r="FL91" s="8">
        <v>100.54</v>
      </c>
      <c r="FM91" s="8">
        <v>95.07</v>
      </c>
      <c r="FN91" s="8">
        <v>92.08</v>
      </c>
      <c r="FO91" s="8">
        <v>97.41</v>
      </c>
      <c r="FP91" s="8">
        <v>77.64</v>
      </c>
      <c r="FQ91" s="8">
        <v>98.74</v>
      </c>
      <c r="FR91" s="8">
        <v>101.56</v>
      </c>
      <c r="FS91" s="8">
        <v>99.47</v>
      </c>
      <c r="FT91" s="8">
        <v>97.42</v>
      </c>
      <c r="FU91" s="8">
        <v>96.48</v>
      </c>
      <c r="FV91" s="8">
        <v>99.71</v>
      </c>
      <c r="FW91" s="8">
        <v>96.35</v>
      </c>
      <c r="FX91" s="8">
        <v>100.11</v>
      </c>
      <c r="FY91" s="8">
        <v>97.38</v>
      </c>
      <c r="FZ91" s="8">
        <v>101.53</v>
      </c>
      <c r="GA91" s="8">
        <v>95.18</v>
      </c>
      <c r="GB91" s="8">
        <v>86.54</v>
      </c>
      <c r="GC91" s="8">
        <v>95.19</v>
      </c>
      <c r="GD91" s="8">
        <v>97.46</v>
      </c>
      <c r="GE91" s="8">
        <v>100.45</v>
      </c>
      <c r="GF91" s="8">
        <v>92.71</v>
      </c>
      <c r="GG91" s="8">
        <v>97.57</v>
      </c>
      <c r="GH91" s="8">
        <v>89.45</v>
      </c>
      <c r="GI91" s="8">
        <v>85.96</v>
      </c>
      <c r="GJ91" s="8">
        <v>90.48</v>
      </c>
      <c r="GK91" s="8">
        <v>94.66</v>
      </c>
      <c r="GL91" s="8">
        <v>94.37</v>
      </c>
      <c r="GM91" s="8">
        <v>94.93</v>
      </c>
      <c r="GN91" s="8">
        <v>88.94</v>
      </c>
      <c r="GO91" s="8">
        <v>93.34</v>
      </c>
      <c r="GP91" s="8">
        <v>98.72</v>
      </c>
      <c r="GQ91" s="8">
        <v>96.56</v>
      </c>
      <c r="GR91" s="8">
        <v>89.86</v>
      </c>
      <c r="GS91" s="8">
        <v>82.26</v>
      </c>
      <c r="GT91" s="8">
        <v>82.26</v>
      </c>
      <c r="GU91" s="8">
        <v>96.7</v>
      </c>
      <c r="GV91" s="8">
        <v>98.3</v>
      </c>
      <c r="GW91" s="8">
        <v>102.05</v>
      </c>
      <c r="GX91" s="8">
        <v>94.96</v>
      </c>
      <c r="GY91" s="8">
        <v>102.37</v>
      </c>
      <c r="GZ91" s="8">
        <v>99.14</v>
      </c>
      <c r="HA91" s="8">
        <v>101.45</v>
      </c>
      <c r="HB91" s="8">
        <v>94.68</v>
      </c>
      <c r="HC91" s="8">
        <v>101.71</v>
      </c>
      <c r="HD91" s="8">
        <v>87.29</v>
      </c>
      <c r="HE91" s="8">
        <v>86.51</v>
      </c>
      <c r="HF91" s="8">
        <v>94.39</v>
      </c>
      <c r="HG91" s="8">
        <v>96.1</v>
      </c>
      <c r="HH91" s="8">
        <v>100.35</v>
      </c>
      <c r="HI91" s="8">
        <v>100.35</v>
      </c>
      <c r="HJ91" s="8">
        <v>93.74</v>
      </c>
      <c r="HK91" s="8">
        <v>93.74</v>
      </c>
      <c r="HL91" s="8">
        <v>93.57</v>
      </c>
      <c r="HM91" s="8">
        <v>96.34</v>
      </c>
      <c r="HN91" s="8">
        <v>89.93</v>
      </c>
      <c r="HO91" s="8">
        <v>97.4</v>
      </c>
      <c r="HP91" s="8">
        <v>93.35</v>
      </c>
      <c r="HQ91" s="8">
        <v>100.55</v>
      </c>
      <c r="HR91" s="8">
        <v>91.23</v>
      </c>
      <c r="HS91" s="8">
        <v>96.64</v>
      </c>
      <c r="HT91" s="8">
        <v>97.16</v>
      </c>
      <c r="HU91" s="8">
        <v>96.86</v>
      </c>
      <c r="HV91" s="8">
        <v>98</v>
      </c>
      <c r="HW91" s="8">
        <v>97.95</v>
      </c>
      <c r="HX91" s="8">
        <v>97.95</v>
      </c>
      <c r="HY91" s="8">
        <v>100.48</v>
      </c>
      <c r="HZ91" s="8">
        <v>100.28</v>
      </c>
      <c r="IA91" s="8">
        <v>103.9</v>
      </c>
      <c r="IB91" s="8">
        <v>100.76</v>
      </c>
      <c r="IC91" s="8">
        <v>97.93</v>
      </c>
      <c r="ID91" s="8">
        <v>100.9</v>
      </c>
      <c r="IE91" s="8">
        <v>99.01</v>
      </c>
      <c r="IF91" s="8">
        <v>99.72</v>
      </c>
      <c r="IG91" s="8">
        <v>101.7</v>
      </c>
      <c r="IH91" s="8">
        <v>88.23</v>
      </c>
      <c r="II91" s="8">
        <v>82.34</v>
      </c>
      <c r="IJ91" s="8">
        <v>93.15</v>
      </c>
      <c r="IK91" s="8">
        <v>85.2</v>
      </c>
      <c r="IL91" s="8">
        <v>97.21</v>
      </c>
      <c r="IM91" s="8">
        <v>104.34</v>
      </c>
      <c r="IN91" s="8">
        <v>105.57</v>
      </c>
      <c r="IO91" s="8">
        <v>98.47</v>
      </c>
      <c r="IP91" s="8">
        <v>95.95</v>
      </c>
      <c r="IQ91" s="8">
        <v>96</v>
      </c>
    </row>
    <row r="92" spans="1:251" x14ac:dyDescent="0.2">
      <c r="A92" s="9">
        <v>45444</v>
      </c>
      <c r="B92" s="8">
        <v>97.01</v>
      </c>
      <c r="C92" s="8">
        <v>94.81</v>
      </c>
      <c r="D92" s="8">
        <v>100.38</v>
      </c>
      <c r="E92" s="8">
        <v>89.28</v>
      </c>
      <c r="F92" s="8">
        <v>96.4</v>
      </c>
      <c r="G92" s="8">
        <v>101.39</v>
      </c>
      <c r="H92" s="8">
        <v>94.79</v>
      </c>
      <c r="I92" s="8">
        <v>96.88</v>
      </c>
      <c r="J92" s="8">
        <v>94.5</v>
      </c>
      <c r="K92" s="8">
        <v>99.26</v>
      </c>
      <c r="L92" s="8">
        <v>98.19</v>
      </c>
      <c r="M92" s="8">
        <v>96.21</v>
      </c>
      <c r="N92" s="8">
        <v>98.2</v>
      </c>
      <c r="O92" s="8">
        <v>101.91</v>
      </c>
      <c r="P92" s="8">
        <v>92.25</v>
      </c>
      <c r="Q92" s="8">
        <v>99.87</v>
      </c>
      <c r="R92" s="8">
        <v>98.36</v>
      </c>
      <c r="S92" s="8">
        <v>95.74</v>
      </c>
      <c r="T92" s="8">
        <v>95.74</v>
      </c>
      <c r="U92" s="8">
        <v>95.31</v>
      </c>
      <c r="V92" s="8">
        <v>95.15</v>
      </c>
      <c r="W92" s="8">
        <v>96.4</v>
      </c>
      <c r="X92" s="8">
        <v>96.62</v>
      </c>
      <c r="Y92" s="8">
        <v>94.36</v>
      </c>
      <c r="Z92" s="8">
        <v>94.36</v>
      </c>
      <c r="AA92" s="8">
        <v>97.7</v>
      </c>
      <c r="AB92" s="8">
        <v>96.92</v>
      </c>
      <c r="AC92" s="8">
        <v>97.78</v>
      </c>
      <c r="AD92" s="8">
        <v>95.96</v>
      </c>
      <c r="AE92" s="8">
        <v>96.48</v>
      </c>
      <c r="AF92" s="8">
        <v>97.23</v>
      </c>
      <c r="AG92" s="8">
        <v>98.07</v>
      </c>
      <c r="AH92" s="8">
        <v>95.54</v>
      </c>
      <c r="AI92" s="8">
        <v>97.36</v>
      </c>
      <c r="AJ92" s="8">
        <v>99.89</v>
      </c>
      <c r="AK92" s="8">
        <v>94.85</v>
      </c>
      <c r="AL92" s="8">
        <v>92.7</v>
      </c>
      <c r="AM92" s="8">
        <v>96.14</v>
      </c>
      <c r="AN92" s="8">
        <v>80.42</v>
      </c>
      <c r="AO92" s="8">
        <v>98.52</v>
      </c>
      <c r="AP92" s="8">
        <v>98.9</v>
      </c>
      <c r="AQ92" s="8">
        <v>99.34</v>
      </c>
      <c r="AR92" s="8">
        <v>98.05</v>
      </c>
      <c r="AS92" s="8">
        <v>97.83</v>
      </c>
      <c r="AT92" s="8">
        <v>99.58</v>
      </c>
      <c r="AU92" s="8">
        <v>96.67</v>
      </c>
      <c r="AV92" s="8">
        <v>99.16</v>
      </c>
      <c r="AW92" s="8">
        <v>101.33</v>
      </c>
      <c r="AX92" s="8">
        <v>97.33</v>
      </c>
      <c r="AY92" s="8">
        <v>95.18</v>
      </c>
      <c r="AZ92" s="8">
        <v>86.59</v>
      </c>
      <c r="BA92" s="8">
        <v>96.2</v>
      </c>
      <c r="BB92" s="8">
        <v>97.94</v>
      </c>
      <c r="BC92" s="8">
        <v>99.72</v>
      </c>
      <c r="BD92" s="8">
        <v>92.3</v>
      </c>
      <c r="BE92" s="8">
        <v>98.02</v>
      </c>
      <c r="BF92" s="8">
        <v>96.37</v>
      </c>
      <c r="BG92" s="8">
        <v>85.89</v>
      </c>
      <c r="BH92" s="8">
        <v>100.06</v>
      </c>
      <c r="BI92" s="8">
        <v>96.26</v>
      </c>
      <c r="BJ92" s="8">
        <v>96.98</v>
      </c>
      <c r="BK92" s="8">
        <v>95.52</v>
      </c>
      <c r="BL92" s="8">
        <v>92.03</v>
      </c>
      <c r="BM92" s="8">
        <v>95.53</v>
      </c>
      <c r="BN92" s="8">
        <v>95.4</v>
      </c>
      <c r="BO92" s="8">
        <v>96.61</v>
      </c>
      <c r="BP92" s="8">
        <v>94.92</v>
      </c>
      <c r="BQ92" s="8">
        <v>83.59</v>
      </c>
      <c r="BR92" s="8">
        <v>83.59</v>
      </c>
      <c r="BS92" s="8">
        <v>95.12</v>
      </c>
      <c r="BT92" s="8">
        <v>97.04</v>
      </c>
      <c r="BU92" s="8">
        <v>100.54</v>
      </c>
      <c r="BV92" s="8">
        <v>95.62</v>
      </c>
      <c r="BW92" s="8">
        <v>95.86</v>
      </c>
      <c r="BX92" s="8">
        <v>99.75</v>
      </c>
      <c r="BY92" s="8">
        <v>100.07</v>
      </c>
      <c r="BZ92" s="8">
        <v>97.6</v>
      </c>
      <c r="CA92" s="8">
        <v>106.77</v>
      </c>
      <c r="CB92" s="8">
        <v>87.44</v>
      </c>
      <c r="CC92" s="8">
        <v>86.37</v>
      </c>
      <c r="CD92" s="8">
        <v>95.32</v>
      </c>
      <c r="CE92" s="8">
        <v>93.43</v>
      </c>
      <c r="CF92" s="8">
        <v>91.98</v>
      </c>
      <c r="CG92" s="8">
        <v>91.98</v>
      </c>
      <c r="CH92" s="8">
        <v>94.16</v>
      </c>
      <c r="CI92" s="8">
        <v>94.16</v>
      </c>
      <c r="CJ92" s="8">
        <v>93.17</v>
      </c>
      <c r="CK92" s="8">
        <v>94.95</v>
      </c>
      <c r="CL92" s="8">
        <v>91.02</v>
      </c>
      <c r="CM92" s="8">
        <v>93.95</v>
      </c>
      <c r="CN92" s="8">
        <v>94.84</v>
      </c>
      <c r="CO92" s="8">
        <v>95.18</v>
      </c>
      <c r="CP92" s="8">
        <v>91.47</v>
      </c>
      <c r="CQ92" s="8">
        <v>95.92</v>
      </c>
      <c r="CR92" s="8">
        <v>95.12</v>
      </c>
      <c r="CS92" s="8">
        <v>94.75</v>
      </c>
      <c r="CT92" s="8">
        <v>96.34</v>
      </c>
      <c r="CU92" s="8">
        <v>94.65</v>
      </c>
      <c r="CV92" s="8">
        <v>94.65</v>
      </c>
      <c r="CW92" s="8">
        <v>97.03</v>
      </c>
      <c r="CX92" s="8">
        <v>97.53</v>
      </c>
      <c r="CY92" s="8">
        <v>98.12</v>
      </c>
      <c r="CZ92" s="8">
        <v>91.3</v>
      </c>
      <c r="DA92" s="8">
        <v>100.7</v>
      </c>
      <c r="DB92" s="8">
        <v>100.11</v>
      </c>
      <c r="DC92" s="8">
        <v>98.73</v>
      </c>
      <c r="DD92" s="8">
        <v>99.39</v>
      </c>
      <c r="DE92" s="8">
        <v>100.92</v>
      </c>
      <c r="DF92" s="8">
        <v>91.99</v>
      </c>
      <c r="DG92" s="8">
        <v>81.87</v>
      </c>
      <c r="DH92" s="8">
        <v>95.4</v>
      </c>
      <c r="DI92" s="8">
        <v>95.24</v>
      </c>
      <c r="DJ92" s="8">
        <v>95.96</v>
      </c>
      <c r="DK92" s="8">
        <v>100.86</v>
      </c>
      <c r="DL92" s="8">
        <v>101.58</v>
      </c>
      <c r="DM92" s="8">
        <v>96.17</v>
      </c>
      <c r="DN92" s="8">
        <v>95.07</v>
      </c>
      <c r="DO92" s="8">
        <v>94.81</v>
      </c>
      <c r="DP92" s="8">
        <v>97.42</v>
      </c>
      <c r="DQ92" s="8">
        <v>98.85</v>
      </c>
      <c r="DR92" s="8">
        <v>98.93</v>
      </c>
      <c r="DS92" s="8">
        <v>99.65</v>
      </c>
      <c r="DT92" s="8">
        <v>99.96</v>
      </c>
      <c r="DU92" s="8">
        <v>104.08</v>
      </c>
      <c r="DV92" s="8">
        <v>92.41</v>
      </c>
      <c r="DW92" s="8">
        <v>93.51</v>
      </c>
      <c r="DX92" s="8">
        <v>96.8</v>
      </c>
      <c r="DY92" s="8">
        <v>96.8</v>
      </c>
      <c r="DZ92" s="8">
        <v>97.27</v>
      </c>
      <c r="EA92" s="8">
        <v>97.27</v>
      </c>
      <c r="EB92" s="8">
        <v>92.38</v>
      </c>
      <c r="EC92" s="8">
        <v>97.48</v>
      </c>
      <c r="ED92" s="8">
        <v>98.49</v>
      </c>
      <c r="EE92" s="8">
        <v>95.36</v>
      </c>
      <c r="EF92" s="8">
        <v>100.26</v>
      </c>
      <c r="EG92" s="8">
        <v>89.5</v>
      </c>
      <c r="EH92" s="8">
        <v>97.56</v>
      </c>
      <c r="EI92" s="8">
        <v>100.9</v>
      </c>
      <c r="EJ92" s="8">
        <v>96.38</v>
      </c>
      <c r="EK92" s="8">
        <v>98.72</v>
      </c>
      <c r="EL92" s="8">
        <v>93.4</v>
      </c>
      <c r="EM92" s="8">
        <v>103.82</v>
      </c>
      <c r="EN92" s="8">
        <v>99.39</v>
      </c>
      <c r="EO92" s="8">
        <v>104.06</v>
      </c>
      <c r="EP92" s="8">
        <v>97.58</v>
      </c>
      <c r="EQ92" s="8">
        <v>102.03</v>
      </c>
      <c r="ER92" s="8">
        <v>91.75</v>
      </c>
      <c r="ES92" s="8">
        <v>93.98</v>
      </c>
      <c r="ET92" s="8">
        <v>109.75</v>
      </c>
      <c r="EU92" s="8">
        <v>94.67</v>
      </c>
      <c r="EV92" s="8">
        <v>94.67</v>
      </c>
      <c r="EW92" s="8">
        <v>93.89</v>
      </c>
      <c r="EX92" s="8">
        <v>93.99</v>
      </c>
      <c r="EY92" s="8">
        <v>96.45</v>
      </c>
      <c r="EZ92" s="8">
        <v>97.55</v>
      </c>
      <c r="FA92" s="8">
        <v>97.15</v>
      </c>
      <c r="FB92" s="8">
        <v>97.15</v>
      </c>
      <c r="FC92" s="8">
        <v>97.69</v>
      </c>
      <c r="FD92" s="8">
        <v>96.92</v>
      </c>
      <c r="FE92" s="8">
        <v>97.84</v>
      </c>
      <c r="FF92" s="8">
        <v>96.44</v>
      </c>
      <c r="FG92" s="8">
        <v>95.55</v>
      </c>
      <c r="FH92" s="8">
        <v>97.68</v>
      </c>
      <c r="FI92" s="8">
        <v>99.2</v>
      </c>
      <c r="FJ92" s="8">
        <v>95.83</v>
      </c>
      <c r="FK92" s="8">
        <v>97.9</v>
      </c>
      <c r="FL92" s="8">
        <v>100.07</v>
      </c>
      <c r="FM92" s="8">
        <v>94.37</v>
      </c>
      <c r="FN92" s="8">
        <v>91.68</v>
      </c>
      <c r="FO92" s="8">
        <v>95.45</v>
      </c>
      <c r="FP92" s="8">
        <v>79.17</v>
      </c>
      <c r="FQ92" s="8">
        <v>98.05</v>
      </c>
      <c r="FR92" s="8">
        <v>99.73</v>
      </c>
      <c r="FS92" s="8">
        <v>98.75</v>
      </c>
      <c r="FT92" s="8">
        <v>97.48</v>
      </c>
      <c r="FU92" s="8">
        <v>96.67</v>
      </c>
      <c r="FV92" s="8">
        <v>99.34</v>
      </c>
      <c r="FW92" s="8">
        <v>96.66</v>
      </c>
      <c r="FX92" s="8">
        <v>101.33</v>
      </c>
      <c r="FY92" s="8">
        <v>102.12</v>
      </c>
      <c r="FZ92" s="8">
        <v>100.85</v>
      </c>
      <c r="GA92" s="8">
        <v>95.2</v>
      </c>
      <c r="GB92" s="8">
        <v>86.51</v>
      </c>
      <c r="GC92" s="8">
        <v>95.71</v>
      </c>
      <c r="GD92" s="8">
        <v>98.1</v>
      </c>
      <c r="GE92" s="8">
        <v>100.75</v>
      </c>
      <c r="GF92" s="8">
        <v>92.43</v>
      </c>
      <c r="GG92" s="8">
        <v>97.52</v>
      </c>
      <c r="GH92" s="8">
        <v>89.6</v>
      </c>
      <c r="GI92" s="8">
        <v>85.75</v>
      </c>
      <c r="GJ92" s="8">
        <v>90.73</v>
      </c>
      <c r="GK92" s="8">
        <v>94.75</v>
      </c>
      <c r="GL92" s="8">
        <v>94.62</v>
      </c>
      <c r="GM92" s="8">
        <v>94.88</v>
      </c>
      <c r="GN92" s="8">
        <v>89.77</v>
      </c>
      <c r="GO92" s="8">
        <v>94.67</v>
      </c>
      <c r="GP92" s="8">
        <v>95.77</v>
      </c>
      <c r="GQ92" s="8">
        <v>99.94</v>
      </c>
      <c r="GR92" s="8">
        <v>91.38</v>
      </c>
      <c r="GS92" s="8">
        <v>82.4</v>
      </c>
      <c r="GT92" s="8">
        <v>82.4</v>
      </c>
      <c r="GU92" s="8">
        <v>94.7</v>
      </c>
      <c r="GV92" s="8">
        <v>95.82</v>
      </c>
      <c r="GW92" s="8">
        <v>99.94</v>
      </c>
      <c r="GX92" s="8">
        <v>92.51</v>
      </c>
      <c r="GY92" s="8">
        <v>99.12</v>
      </c>
      <c r="GZ92" s="8">
        <v>96.81</v>
      </c>
      <c r="HA92" s="8">
        <v>93.71</v>
      </c>
      <c r="HB92" s="8">
        <v>97.63</v>
      </c>
      <c r="HC92" s="8">
        <v>100.21</v>
      </c>
      <c r="HD92" s="8">
        <v>87.74</v>
      </c>
      <c r="HE92" s="8">
        <v>87.01</v>
      </c>
      <c r="HF92" s="8">
        <v>94.39</v>
      </c>
      <c r="HG92" s="8">
        <v>96.18</v>
      </c>
      <c r="HH92" s="8">
        <v>100.43</v>
      </c>
      <c r="HI92" s="8">
        <v>100.43</v>
      </c>
      <c r="HJ92" s="8">
        <v>93.76</v>
      </c>
      <c r="HK92" s="8">
        <v>93.76</v>
      </c>
      <c r="HL92" s="8">
        <v>93.6</v>
      </c>
      <c r="HM92" s="8">
        <v>96.41</v>
      </c>
      <c r="HN92" s="8">
        <v>89.93</v>
      </c>
      <c r="HO92" s="8">
        <v>97.61</v>
      </c>
      <c r="HP92" s="8">
        <v>93.35</v>
      </c>
      <c r="HQ92" s="8">
        <v>100.55</v>
      </c>
      <c r="HR92" s="8">
        <v>92.77</v>
      </c>
      <c r="HS92" s="8">
        <v>95.78</v>
      </c>
      <c r="HT92" s="8">
        <v>95.25</v>
      </c>
      <c r="HU92" s="8">
        <v>93.44</v>
      </c>
      <c r="HV92" s="8">
        <v>100.84</v>
      </c>
      <c r="HW92" s="8">
        <v>92.02</v>
      </c>
      <c r="HX92" s="8">
        <v>92.02</v>
      </c>
      <c r="HY92" s="8">
        <v>98.35</v>
      </c>
      <c r="HZ92" s="8">
        <v>98.67</v>
      </c>
      <c r="IA92" s="8">
        <v>99.2</v>
      </c>
      <c r="IB92" s="8">
        <v>97.27</v>
      </c>
      <c r="IC92" s="8">
        <v>98.23</v>
      </c>
      <c r="ID92" s="8">
        <v>100.7</v>
      </c>
      <c r="IE92" s="8">
        <v>99.53</v>
      </c>
      <c r="IF92" s="8">
        <v>99.64</v>
      </c>
      <c r="IG92" s="8">
        <v>101.34</v>
      </c>
      <c r="IH92" s="8">
        <v>89.32</v>
      </c>
      <c r="II92" s="8">
        <v>83.34</v>
      </c>
      <c r="IJ92" s="8">
        <v>92.99</v>
      </c>
      <c r="IK92" s="8">
        <v>88.36</v>
      </c>
      <c r="IL92" s="8">
        <v>97.18</v>
      </c>
      <c r="IM92" s="8">
        <v>103.66</v>
      </c>
      <c r="IN92" s="8">
        <v>104.55</v>
      </c>
      <c r="IO92" s="8">
        <v>99.4</v>
      </c>
      <c r="IP92" s="8">
        <v>96.03</v>
      </c>
      <c r="IQ92" s="8">
        <v>96.09</v>
      </c>
    </row>
    <row r="93" spans="1:251" x14ac:dyDescent="0.2">
      <c r="A93" s="9">
        <v>45474</v>
      </c>
      <c r="B93" s="8">
        <v>98.26</v>
      </c>
      <c r="C93" s="8">
        <v>96.45</v>
      </c>
      <c r="D93" s="8">
        <v>102.66</v>
      </c>
      <c r="E93" s="8">
        <v>90.26</v>
      </c>
      <c r="F93" s="8">
        <v>97.56</v>
      </c>
      <c r="G93" s="8">
        <v>102.31</v>
      </c>
      <c r="H93" s="8">
        <v>96.02</v>
      </c>
      <c r="I93" s="8">
        <v>98.47</v>
      </c>
      <c r="J93" s="8">
        <v>96.92</v>
      </c>
      <c r="K93" s="8">
        <v>99.86</v>
      </c>
      <c r="L93" s="8">
        <v>98.79</v>
      </c>
      <c r="M93" s="8">
        <v>99.42</v>
      </c>
      <c r="N93" s="8">
        <v>95.77</v>
      </c>
      <c r="O93" s="8">
        <v>102.6</v>
      </c>
      <c r="P93" s="8">
        <v>92.25</v>
      </c>
      <c r="Q93" s="8">
        <v>100.64</v>
      </c>
      <c r="R93" s="8">
        <v>100.1</v>
      </c>
      <c r="S93" s="8">
        <v>95.75</v>
      </c>
      <c r="T93" s="8">
        <v>95.75</v>
      </c>
      <c r="U93" s="8">
        <v>95.32</v>
      </c>
      <c r="V93" s="8">
        <v>95.15</v>
      </c>
      <c r="W93" s="8">
        <v>96.4</v>
      </c>
      <c r="X93" s="8">
        <v>97.08</v>
      </c>
      <c r="Y93" s="8">
        <v>95.8</v>
      </c>
      <c r="Z93" s="8">
        <v>95.8</v>
      </c>
      <c r="AA93" s="8">
        <v>97.71</v>
      </c>
      <c r="AB93" s="8">
        <v>96.98</v>
      </c>
      <c r="AC93" s="8">
        <v>97.78</v>
      </c>
      <c r="AD93" s="8">
        <v>96.18</v>
      </c>
      <c r="AE93" s="8">
        <v>96.78</v>
      </c>
      <c r="AF93" s="8">
        <v>97.96</v>
      </c>
      <c r="AG93" s="8">
        <v>98.25</v>
      </c>
      <c r="AH93" s="8">
        <v>97</v>
      </c>
      <c r="AI93" s="8">
        <v>97.04</v>
      </c>
      <c r="AJ93" s="8">
        <v>100.52</v>
      </c>
      <c r="AK93" s="8">
        <v>95.7</v>
      </c>
      <c r="AL93" s="8">
        <v>92.94</v>
      </c>
      <c r="AM93" s="8">
        <v>95.97</v>
      </c>
      <c r="AN93" s="8">
        <v>84.54</v>
      </c>
      <c r="AO93" s="8">
        <v>100.31</v>
      </c>
      <c r="AP93" s="8">
        <v>98.66</v>
      </c>
      <c r="AQ93" s="8">
        <v>99.24</v>
      </c>
      <c r="AR93" s="8">
        <v>98.25</v>
      </c>
      <c r="AS93" s="8">
        <v>97.86</v>
      </c>
      <c r="AT93" s="8">
        <v>100.07</v>
      </c>
      <c r="AU93" s="8">
        <v>96.77</v>
      </c>
      <c r="AV93" s="8">
        <v>98.59</v>
      </c>
      <c r="AW93" s="8">
        <v>100.62</v>
      </c>
      <c r="AX93" s="8">
        <v>96.89</v>
      </c>
      <c r="AY93" s="8">
        <v>95.38</v>
      </c>
      <c r="AZ93" s="8">
        <v>86.88</v>
      </c>
      <c r="BA93" s="8">
        <v>95.68</v>
      </c>
      <c r="BB93" s="8">
        <v>97.22</v>
      </c>
      <c r="BC93" s="8">
        <v>99.9</v>
      </c>
      <c r="BD93" s="8">
        <v>92.83</v>
      </c>
      <c r="BE93" s="8">
        <v>98.4</v>
      </c>
      <c r="BF93" s="8">
        <v>96.3</v>
      </c>
      <c r="BG93" s="8">
        <v>86.26</v>
      </c>
      <c r="BH93" s="8">
        <v>99.84</v>
      </c>
      <c r="BI93" s="8">
        <v>96.66</v>
      </c>
      <c r="BJ93" s="8">
        <v>97.28</v>
      </c>
      <c r="BK93" s="8">
        <v>96.04</v>
      </c>
      <c r="BL93" s="8">
        <v>92.91</v>
      </c>
      <c r="BM93" s="8">
        <v>96.76</v>
      </c>
      <c r="BN93" s="8">
        <v>97.93</v>
      </c>
      <c r="BO93" s="8">
        <v>97.74</v>
      </c>
      <c r="BP93" s="8">
        <v>95.66</v>
      </c>
      <c r="BQ93" s="8">
        <v>83.67</v>
      </c>
      <c r="BR93" s="8">
        <v>83.67</v>
      </c>
      <c r="BS93" s="8">
        <v>98.1</v>
      </c>
      <c r="BT93" s="8">
        <v>100.52</v>
      </c>
      <c r="BU93" s="8">
        <v>105.22</v>
      </c>
      <c r="BV93" s="8">
        <v>99.18</v>
      </c>
      <c r="BW93" s="8">
        <v>97.46</v>
      </c>
      <c r="BX93" s="8">
        <v>98.71</v>
      </c>
      <c r="BY93" s="8">
        <v>101.56</v>
      </c>
      <c r="BZ93" s="8">
        <v>94.64</v>
      </c>
      <c r="CA93" s="8">
        <v>108.8</v>
      </c>
      <c r="CB93" s="8">
        <v>91.56</v>
      </c>
      <c r="CC93" s="8">
        <v>91.02</v>
      </c>
      <c r="CD93" s="8">
        <v>95.41</v>
      </c>
      <c r="CE93" s="8">
        <v>92.36</v>
      </c>
      <c r="CF93" s="8">
        <v>92.9</v>
      </c>
      <c r="CG93" s="8">
        <v>92.9</v>
      </c>
      <c r="CH93" s="8">
        <v>96</v>
      </c>
      <c r="CI93" s="8">
        <v>96</v>
      </c>
      <c r="CJ93" s="8">
        <v>93.95</v>
      </c>
      <c r="CK93" s="8">
        <v>96.39</v>
      </c>
      <c r="CL93" s="8">
        <v>91.02</v>
      </c>
      <c r="CM93" s="8">
        <v>85.11</v>
      </c>
      <c r="CN93" s="8">
        <v>97.35</v>
      </c>
      <c r="CO93" s="8">
        <v>73.61</v>
      </c>
      <c r="CP93" s="8">
        <v>96.31</v>
      </c>
      <c r="CQ93" s="8">
        <v>98.05</v>
      </c>
      <c r="CR93" s="8">
        <v>100.09</v>
      </c>
      <c r="CS93" s="8">
        <v>101.02</v>
      </c>
      <c r="CT93" s="8">
        <v>96.72</v>
      </c>
      <c r="CU93" s="8">
        <v>100.51</v>
      </c>
      <c r="CV93" s="8">
        <v>100.51</v>
      </c>
      <c r="CW93" s="8">
        <v>101.17</v>
      </c>
      <c r="CX93" s="8">
        <v>99.96</v>
      </c>
      <c r="CY93" s="8">
        <v>100.27</v>
      </c>
      <c r="CZ93" s="8">
        <v>102.41</v>
      </c>
      <c r="DA93" s="8">
        <v>102.02</v>
      </c>
      <c r="DB93" s="8">
        <v>99.75</v>
      </c>
      <c r="DC93" s="8">
        <v>99.76</v>
      </c>
      <c r="DD93" s="8">
        <v>98.99</v>
      </c>
      <c r="DE93" s="8">
        <v>100.29</v>
      </c>
      <c r="DF93" s="8">
        <v>92.8</v>
      </c>
      <c r="DG93" s="8">
        <v>81.8</v>
      </c>
      <c r="DH93" s="8">
        <v>96.7</v>
      </c>
      <c r="DI93" s="8">
        <v>96.05</v>
      </c>
      <c r="DJ93" s="8">
        <v>95.99</v>
      </c>
      <c r="DK93" s="8">
        <v>100.26</v>
      </c>
      <c r="DL93" s="8">
        <v>100.88</v>
      </c>
      <c r="DM93" s="8">
        <v>96.17</v>
      </c>
      <c r="DN93" s="8">
        <v>95.22</v>
      </c>
      <c r="DO93" s="8">
        <v>94.94</v>
      </c>
      <c r="DP93" s="8">
        <v>97.71</v>
      </c>
      <c r="DQ93" s="8">
        <v>99.42</v>
      </c>
      <c r="DR93" s="8">
        <v>99.47</v>
      </c>
      <c r="DS93" s="8">
        <v>99.91</v>
      </c>
      <c r="DT93" s="8">
        <v>98.47</v>
      </c>
      <c r="DU93" s="8">
        <v>105.31</v>
      </c>
      <c r="DV93" s="8">
        <v>92.04</v>
      </c>
      <c r="DW93" s="8">
        <v>96</v>
      </c>
      <c r="DX93" s="8">
        <v>99.44</v>
      </c>
      <c r="DY93" s="8">
        <v>99.44</v>
      </c>
      <c r="DZ93" s="8">
        <v>98.88</v>
      </c>
      <c r="EA93" s="8">
        <v>98.88</v>
      </c>
      <c r="EB93" s="8">
        <v>96.26</v>
      </c>
      <c r="EC93" s="8">
        <v>98.99</v>
      </c>
      <c r="ED93" s="8">
        <v>97.92</v>
      </c>
      <c r="EE93" s="8">
        <v>96.65</v>
      </c>
      <c r="EF93" s="8">
        <v>101.84</v>
      </c>
      <c r="EG93" s="8">
        <v>90.41</v>
      </c>
      <c r="EH93" s="8">
        <v>98.01</v>
      </c>
      <c r="EI93" s="8">
        <v>100.96</v>
      </c>
      <c r="EJ93" s="8">
        <v>96.97</v>
      </c>
      <c r="EK93" s="8">
        <v>96.67</v>
      </c>
      <c r="EL93" s="8">
        <v>93.58</v>
      </c>
      <c r="EM93" s="8">
        <v>99.2</v>
      </c>
      <c r="EN93" s="8">
        <v>99.69</v>
      </c>
      <c r="EO93" s="8">
        <v>103.81</v>
      </c>
      <c r="EP93" s="8">
        <v>95.5</v>
      </c>
      <c r="EQ93" s="8">
        <v>102.69</v>
      </c>
      <c r="ER93" s="8">
        <v>92.41</v>
      </c>
      <c r="ES93" s="8">
        <v>95.77</v>
      </c>
      <c r="ET93" s="8">
        <v>109.19</v>
      </c>
      <c r="EU93" s="8">
        <v>94.67</v>
      </c>
      <c r="EV93" s="8">
        <v>94.67</v>
      </c>
      <c r="EW93" s="8">
        <v>93.89</v>
      </c>
      <c r="EX93" s="8">
        <v>93.99</v>
      </c>
      <c r="EY93" s="8">
        <v>96.45</v>
      </c>
      <c r="EZ93" s="8">
        <v>97.92</v>
      </c>
      <c r="FA93" s="8">
        <v>98.43</v>
      </c>
      <c r="FB93" s="8">
        <v>98.43</v>
      </c>
      <c r="FC93" s="8">
        <v>97.7</v>
      </c>
      <c r="FD93" s="8">
        <v>96.98</v>
      </c>
      <c r="FE93" s="8">
        <v>97.84</v>
      </c>
      <c r="FF93" s="8">
        <v>95.67</v>
      </c>
      <c r="FG93" s="8">
        <v>96.06</v>
      </c>
      <c r="FH93" s="8">
        <v>98.52</v>
      </c>
      <c r="FI93" s="8">
        <v>99.15</v>
      </c>
      <c r="FJ93" s="8">
        <v>97.76</v>
      </c>
      <c r="FK93" s="8">
        <v>98.15</v>
      </c>
      <c r="FL93" s="8">
        <v>99.89</v>
      </c>
      <c r="FM93" s="8">
        <v>95.12</v>
      </c>
      <c r="FN93" s="8">
        <v>91.54</v>
      </c>
      <c r="FO93" s="8">
        <v>96.19</v>
      </c>
      <c r="FP93" s="8">
        <v>81.44</v>
      </c>
      <c r="FQ93" s="8">
        <v>100.89</v>
      </c>
      <c r="FR93" s="8">
        <v>99.2</v>
      </c>
      <c r="FS93" s="8">
        <v>98.17</v>
      </c>
      <c r="FT93" s="8">
        <v>97.59</v>
      </c>
      <c r="FU93" s="8">
        <v>96.6</v>
      </c>
      <c r="FV93" s="8">
        <v>99.91</v>
      </c>
      <c r="FW93" s="8">
        <v>96.55</v>
      </c>
      <c r="FX93" s="8">
        <v>101.91</v>
      </c>
      <c r="FY93" s="8">
        <v>107.77</v>
      </c>
      <c r="FZ93" s="8">
        <v>98.68</v>
      </c>
      <c r="GA93" s="8">
        <v>95.62</v>
      </c>
      <c r="GB93" s="8">
        <v>86.81</v>
      </c>
      <c r="GC93" s="8">
        <v>95.2</v>
      </c>
      <c r="GD93" s="8">
        <v>97.17</v>
      </c>
      <c r="GE93" s="8">
        <v>100.91</v>
      </c>
      <c r="GF93" s="8">
        <v>93.51</v>
      </c>
      <c r="GG93" s="8">
        <v>97.86</v>
      </c>
      <c r="GH93" s="8">
        <v>89.69</v>
      </c>
      <c r="GI93" s="8">
        <v>85.86</v>
      </c>
      <c r="GJ93" s="8">
        <v>90.82</v>
      </c>
      <c r="GK93" s="8">
        <v>95.29</v>
      </c>
      <c r="GL93" s="8">
        <v>95.2</v>
      </c>
      <c r="GM93" s="8">
        <v>95.38</v>
      </c>
      <c r="GN93" s="8">
        <v>89.48</v>
      </c>
      <c r="GO93" s="8">
        <v>94</v>
      </c>
      <c r="GP93" s="8">
        <v>95.7</v>
      </c>
      <c r="GQ93" s="8">
        <v>99.45</v>
      </c>
      <c r="GR93" s="8">
        <v>90.41</v>
      </c>
      <c r="GS93" s="8">
        <v>82.63</v>
      </c>
      <c r="GT93" s="8">
        <v>82.63</v>
      </c>
      <c r="GU93" s="8">
        <v>97.97</v>
      </c>
      <c r="GV93" s="8">
        <v>99.95</v>
      </c>
      <c r="GW93" s="8">
        <v>102.57</v>
      </c>
      <c r="GX93" s="8">
        <v>98.57</v>
      </c>
      <c r="GY93" s="8">
        <v>99.84</v>
      </c>
      <c r="GZ93" s="8">
        <v>99.33</v>
      </c>
      <c r="HA93" s="8">
        <v>98.6</v>
      </c>
      <c r="HB93" s="8">
        <v>98.96</v>
      </c>
      <c r="HC93" s="8">
        <v>100.89</v>
      </c>
      <c r="HD93" s="8">
        <v>88.37</v>
      </c>
      <c r="HE93" s="8">
        <v>87.7</v>
      </c>
      <c r="HF93" s="8">
        <v>94.39</v>
      </c>
      <c r="HG93" s="8">
        <v>91.91</v>
      </c>
      <c r="HH93" s="8">
        <v>100.54</v>
      </c>
      <c r="HI93" s="8">
        <v>100.54</v>
      </c>
      <c r="HJ93" s="8">
        <v>94.44</v>
      </c>
      <c r="HK93" s="8">
        <v>94.44</v>
      </c>
      <c r="HL93" s="8">
        <v>93.83</v>
      </c>
      <c r="HM93" s="8">
        <v>96.8</v>
      </c>
      <c r="HN93" s="8">
        <v>89.93</v>
      </c>
      <c r="HO93" s="8">
        <v>74.28</v>
      </c>
      <c r="HP93" s="8">
        <v>96.79</v>
      </c>
      <c r="HQ93" s="8">
        <v>59.64</v>
      </c>
      <c r="HR93" s="8">
        <v>92.97</v>
      </c>
      <c r="HS93" s="8">
        <v>97.55</v>
      </c>
      <c r="HT93" s="8">
        <v>98.83</v>
      </c>
      <c r="HU93" s="8">
        <v>98.17</v>
      </c>
      <c r="HV93" s="8">
        <v>100.78</v>
      </c>
      <c r="HW93" s="8">
        <v>100.5</v>
      </c>
      <c r="HX93" s="8">
        <v>100.5</v>
      </c>
      <c r="HY93" s="8">
        <v>100.58</v>
      </c>
      <c r="HZ93" s="8">
        <v>100.98</v>
      </c>
      <c r="IA93" s="8">
        <v>105.21</v>
      </c>
      <c r="IB93" s="8">
        <v>100.54</v>
      </c>
      <c r="IC93" s="8">
        <v>96.9</v>
      </c>
      <c r="ID93" s="8">
        <v>100.51</v>
      </c>
      <c r="IE93" s="8">
        <v>100.87</v>
      </c>
      <c r="IF93" s="8">
        <v>99.19</v>
      </c>
      <c r="IG93" s="8">
        <v>101.09</v>
      </c>
      <c r="IH93" s="8">
        <v>90.31</v>
      </c>
      <c r="II93" s="8">
        <v>83.1</v>
      </c>
      <c r="IJ93" s="8">
        <v>93.38</v>
      </c>
      <c r="IK93" s="8">
        <v>91.32</v>
      </c>
      <c r="IL93" s="8">
        <v>97.1</v>
      </c>
      <c r="IM93" s="8">
        <v>103.09</v>
      </c>
      <c r="IN93" s="8">
        <v>104.13</v>
      </c>
      <c r="IO93" s="8">
        <v>98.13</v>
      </c>
      <c r="IP93" s="8">
        <v>96.04</v>
      </c>
      <c r="IQ93" s="8">
        <v>95.96</v>
      </c>
    </row>
    <row r="94" spans="1:251" x14ac:dyDescent="0.2">
      <c r="A94" s="9">
        <v>45505</v>
      </c>
      <c r="B94" s="8">
        <v>97.14</v>
      </c>
      <c r="C94" s="8">
        <v>96.83</v>
      </c>
      <c r="D94" s="8">
        <v>103.12</v>
      </c>
      <c r="E94" s="8">
        <v>90.56</v>
      </c>
      <c r="F94" s="8">
        <v>97.36</v>
      </c>
      <c r="G94" s="8">
        <v>102.96</v>
      </c>
      <c r="H94" s="8">
        <v>95.55</v>
      </c>
      <c r="I94" s="8">
        <v>95.36</v>
      </c>
      <c r="J94" s="8">
        <v>91.65</v>
      </c>
      <c r="K94" s="8">
        <v>99.31</v>
      </c>
      <c r="L94" s="8">
        <v>99.47</v>
      </c>
      <c r="M94" s="8">
        <v>98.77</v>
      </c>
      <c r="N94" s="8">
        <v>98.34</v>
      </c>
      <c r="O94" s="8">
        <v>102.14</v>
      </c>
      <c r="P94" s="8">
        <v>94.5</v>
      </c>
      <c r="Q94" s="8">
        <v>100.9</v>
      </c>
      <c r="R94" s="8">
        <v>100.31</v>
      </c>
      <c r="S94" s="8">
        <v>95.78</v>
      </c>
      <c r="T94" s="8">
        <v>95.78</v>
      </c>
      <c r="U94" s="8">
        <v>95.46</v>
      </c>
      <c r="V94" s="8">
        <v>95.15</v>
      </c>
      <c r="W94" s="8">
        <v>96.4</v>
      </c>
      <c r="X94" s="8">
        <v>97.41</v>
      </c>
      <c r="Y94" s="8">
        <v>97.17</v>
      </c>
      <c r="Z94" s="8">
        <v>97.17</v>
      </c>
      <c r="AA94" s="8">
        <v>97.57</v>
      </c>
      <c r="AB94" s="8">
        <v>94.95</v>
      </c>
      <c r="AC94" s="8">
        <v>97.78</v>
      </c>
      <c r="AD94" s="8">
        <v>95.12</v>
      </c>
      <c r="AE94" s="8">
        <v>96.96</v>
      </c>
      <c r="AF94" s="8">
        <v>97.95</v>
      </c>
      <c r="AG94" s="8">
        <v>98.11</v>
      </c>
      <c r="AH94" s="8">
        <v>96.78</v>
      </c>
      <c r="AI94" s="8">
        <v>100.51</v>
      </c>
      <c r="AJ94" s="8">
        <v>99.78</v>
      </c>
      <c r="AK94" s="8">
        <v>96.19</v>
      </c>
      <c r="AL94" s="8">
        <v>93.4</v>
      </c>
      <c r="AM94" s="8">
        <v>96.71</v>
      </c>
      <c r="AN94" s="8">
        <v>85.4</v>
      </c>
      <c r="AO94" s="8">
        <v>100.88</v>
      </c>
      <c r="AP94" s="8">
        <v>98.2</v>
      </c>
      <c r="AQ94" s="8">
        <v>100.07</v>
      </c>
      <c r="AR94" s="8">
        <v>98.06</v>
      </c>
      <c r="AS94" s="8">
        <v>98.7</v>
      </c>
      <c r="AT94" s="8">
        <v>98.24</v>
      </c>
      <c r="AU94" s="8">
        <v>97.01</v>
      </c>
      <c r="AV94" s="8">
        <v>98.91</v>
      </c>
      <c r="AW94" s="8">
        <v>99.57</v>
      </c>
      <c r="AX94" s="8">
        <v>98.38</v>
      </c>
      <c r="AY94" s="8">
        <v>95.51</v>
      </c>
      <c r="AZ94" s="8">
        <v>88.33</v>
      </c>
      <c r="BA94" s="8">
        <v>97.51</v>
      </c>
      <c r="BB94" s="8">
        <v>98.16</v>
      </c>
      <c r="BC94" s="8">
        <v>99.92</v>
      </c>
      <c r="BD94" s="8">
        <v>92.01</v>
      </c>
      <c r="BE94" s="8">
        <v>98.97</v>
      </c>
      <c r="BF94" s="8">
        <v>96.18</v>
      </c>
      <c r="BG94" s="8">
        <v>86.85</v>
      </c>
      <c r="BH94" s="8">
        <v>99.47</v>
      </c>
      <c r="BI94" s="8">
        <v>96.87</v>
      </c>
      <c r="BJ94" s="8">
        <v>97.52</v>
      </c>
      <c r="BK94" s="8">
        <v>96.21</v>
      </c>
      <c r="BL94" s="8">
        <v>93.33</v>
      </c>
      <c r="BM94" s="8">
        <v>97.42</v>
      </c>
      <c r="BN94" s="8">
        <v>97.44</v>
      </c>
      <c r="BO94" s="8">
        <v>98.17</v>
      </c>
      <c r="BP94" s="8">
        <v>96.95</v>
      </c>
      <c r="BQ94" s="8">
        <v>83.58</v>
      </c>
      <c r="BR94" s="8">
        <v>83.58</v>
      </c>
      <c r="BS94" s="8">
        <v>97.94</v>
      </c>
      <c r="BT94" s="8">
        <v>101.77</v>
      </c>
      <c r="BU94" s="8">
        <v>107.17</v>
      </c>
      <c r="BV94" s="8">
        <v>99.79</v>
      </c>
      <c r="BW94" s="8">
        <v>99.39</v>
      </c>
      <c r="BX94" s="8">
        <v>94.4</v>
      </c>
      <c r="BY94" s="8">
        <v>99.54</v>
      </c>
      <c r="BZ94" s="8">
        <v>90.51</v>
      </c>
      <c r="CA94" s="8">
        <v>100.43</v>
      </c>
      <c r="CB94" s="8">
        <v>90.11</v>
      </c>
      <c r="CC94" s="8">
        <v>89.39</v>
      </c>
      <c r="CD94" s="8">
        <v>95.33</v>
      </c>
      <c r="CE94" s="8">
        <v>87.23</v>
      </c>
      <c r="CF94" s="8">
        <v>93.77</v>
      </c>
      <c r="CG94" s="8">
        <v>93.77</v>
      </c>
      <c r="CH94" s="8">
        <v>96.48</v>
      </c>
      <c r="CI94" s="8">
        <v>96.48</v>
      </c>
      <c r="CJ94" s="8">
        <v>93.99</v>
      </c>
      <c r="CK94" s="8">
        <v>96.47</v>
      </c>
      <c r="CL94" s="8">
        <v>91.02</v>
      </c>
      <c r="CM94" s="8">
        <v>61.69</v>
      </c>
      <c r="CN94" s="8">
        <v>97.35</v>
      </c>
      <c r="CO94" s="8">
        <v>25.71</v>
      </c>
      <c r="CP94" s="8">
        <v>96.31</v>
      </c>
      <c r="CQ94" s="8">
        <v>98.71</v>
      </c>
      <c r="CR94" s="8">
        <v>98.49</v>
      </c>
      <c r="CS94" s="8">
        <v>98.76</v>
      </c>
      <c r="CT94" s="8">
        <v>97.45</v>
      </c>
      <c r="CU94" s="8">
        <v>103.09</v>
      </c>
      <c r="CV94" s="8">
        <v>103.09</v>
      </c>
      <c r="CW94" s="8">
        <v>102.94</v>
      </c>
      <c r="CX94" s="8">
        <v>101.23</v>
      </c>
      <c r="CY94" s="8">
        <v>101.82</v>
      </c>
      <c r="CZ94" s="8">
        <v>107.6</v>
      </c>
      <c r="DA94" s="8">
        <v>101.45</v>
      </c>
      <c r="DB94" s="8">
        <v>99.89</v>
      </c>
      <c r="DC94" s="8">
        <v>99.11</v>
      </c>
      <c r="DD94" s="8">
        <v>99.3</v>
      </c>
      <c r="DE94" s="8">
        <v>100.47</v>
      </c>
      <c r="DF94" s="8">
        <v>94.43</v>
      </c>
      <c r="DG94" s="8">
        <v>87.81</v>
      </c>
      <c r="DH94" s="8">
        <v>96.92</v>
      </c>
      <c r="DI94" s="8">
        <v>96.05</v>
      </c>
      <c r="DJ94" s="8">
        <v>96.01</v>
      </c>
      <c r="DK94" s="8">
        <v>99.89</v>
      </c>
      <c r="DL94" s="8">
        <v>100.46</v>
      </c>
      <c r="DM94" s="8">
        <v>96.17</v>
      </c>
      <c r="DN94" s="8">
        <v>95.32</v>
      </c>
      <c r="DO94" s="8">
        <v>95.04</v>
      </c>
      <c r="DP94" s="8">
        <v>97.75</v>
      </c>
      <c r="DQ94" s="8">
        <v>99</v>
      </c>
      <c r="DR94" s="8">
        <v>99.07</v>
      </c>
      <c r="DS94" s="8">
        <v>99.84</v>
      </c>
      <c r="DT94" s="8">
        <v>99.44</v>
      </c>
      <c r="DU94" s="8">
        <v>103.64</v>
      </c>
      <c r="DV94" s="8">
        <v>92.43</v>
      </c>
      <c r="DW94" s="8">
        <v>96</v>
      </c>
      <c r="DX94" s="8">
        <v>97.65</v>
      </c>
      <c r="DY94" s="8">
        <v>97.65</v>
      </c>
      <c r="DZ94" s="8">
        <v>98.37</v>
      </c>
      <c r="EA94" s="8">
        <v>98.37</v>
      </c>
      <c r="EB94" s="8">
        <v>96.17</v>
      </c>
      <c r="EC94" s="8">
        <v>98.45</v>
      </c>
      <c r="ED94" s="8">
        <v>96.99</v>
      </c>
      <c r="EE94" s="8">
        <v>96.07</v>
      </c>
      <c r="EF94" s="8">
        <v>100.54</v>
      </c>
      <c r="EG94" s="8">
        <v>90.74</v>
      </c>
      <c r="EH94" s="8">
        <v>98.82</v>
      </c>
      <c r="EI94" s="8">
        <v>101.59</v>
      </c>
      <c r="EJ94" s="8">
        <v>97.83</v>
      </c>
      <c r="EK94" s="8">
        <v>94.99</v>
      </c>
      <c r="EL94" s="8">
        <v>90.09</v>
      </c>
      <c r="EM94" s="8">
        <v>99.65</v>
      </c>
      <c r="EN94" s="8">
        <v>99.32</v>
      </c>
      <c r="EO94" s="8">
        <v>104.87</v>
      </c>
      <c r="EP94" s="8">
        <v>98</v>
      </c>
      <c r="EQ94" s="8">
        <v>102.16</v>
      </c>
      <c r="ER94" s="8">
        <v>92.88</v>
      </c>
      <c r="ES94" s="8">
        <v>95.98</v>
      </c>
      <c r="ET94" s="8">
        <v>104.69</v>
      </c>
      <c r="EU94" s="8">
        <v>94.69</v>
      </c>
      <c r="EV94" s="8">
        <v>94.69</v>
      </c>
      <c r="EW94" s="8">
        <v>93.95</v>
      </c>
      <c r="EX94" s="8">
        <v>93.99</v>
      </c>
      <c r="EY94" s="8">
        <v>96.51</v>
      </c>
      <c r="EZ94" s="8">
        <v>98.19</v>
      </c>
      <c r="FA94" s="8">
        <v>100.16</v>
      </c>
      <c r="FB94" s="8">
        <v>100.16</v>
      </c>
      <c r="FC94" s="8">
        <v>97.38</v>
      </c>
      <c r="FD94" s="8">
        <v>94.95</v>
      </c>
      <c r="FE94" s="8">
        <v>97.84</v>
      </c>
      <c r="FF94" s="8">
        <v>95.27</v>
      </c>
      <c r="FG94" s="8">
        <v>96.22</v>
      </c>
      <c r="FH94" s="8">
        <v>98.63</v>
      </c>
      <c r="FI94" s="8">
        <v>98.99</v>
      </c>
      <c r="FJ94" s="8">
        <v>97.6</v>
      </c>
      <c r="FK94" s="8">
        <v>102.15</v>
      </c>
      <c r="FL94" s="8">
        <v>99.83</v>
      </c>
      <c r="FM94" s="8">
        <v>96.42</v>
      </c>
      <c r="FN94" s="8">
        <v>92.41</v>
      </c>
      <c r="FO94" s="8">
        <v>95.77</v>
      </c>
      <c r="FP94" s="8">
        <v>88.87</v>
      </c>
      <c r="FQ94" s="8">
        <v>101.02</v>
      </c>
      <c r="FR94" s="8">
        <v>99.14</v>
      </c>
      <c r="FS94" s="8">
        <v>99.15</v>
      </c>
      <c r="FT94" s="8">
        <v>97.42</v>
      </c>
      <c r="FU94" s="8">
        <v>97.45</v>
      </c>
      <c r="FV94" s="8">
        <v>98.07</v>
      </c>
      <c r="FW94" s="8">
        <v>96.6</v>
      </c>
      <c r="FX94" s="8">
        <v>102.23</v>
      </c>
      <c r="FY94" s="8">
        <v>103.58</v>
      </c>
      <c r="FZ94" s="8">
        <v>101.44</v>
      </c>
      <c r="GA94" s="8">
        <v>95.49</v>
      </c>
      <c r="GB94" s="8">
        <v>87.29</v>
      </c>
      <c r="GC94" s="8">
        <v>96.97</v>
      </c>
      <c r="GD94" s="8">
        <v>98.48</v>
      </c>
      <c r="GE94" s="8">
        <v>100.75</v>
      </c>
      <c r="GF94" s="8">
        <v>92.25</v>
      </c>
      <c r="GG94" s="8">
        <v>98.5</v>
      </c>
      <c r="GH94" s="8">
        <v>89.57</v>
      </c>
      <c r="GI94" s="8">
        <v>86.39</v>
      </c>
      <c r="GJ94" s="8">
        <v>90.5</v>
      </c>
      <c r="GK94" s="8">
        <v>95.27</v>
      </c>
      <c r="GL94" s="8">
        <v>95.2</v>
      </c>
      <c r="GM94" s="8">
        <v>95.33</v>
      </c>
      <c r="GN94" s="8">
        <v>89.4</v>
      </c>
      <c r="GO94" s="8">
        <v>93.86</v>
      </c>
      <c r="GP94" s="8">
        <v>93.49</v>
      </c>
      <c r="GQ94" s="8">
        <v>99.45</v>
      </c>
      <c r="GR94" s="8">
        <v>90.83</v>
      </c>
      <c r="GS94" s="8">
        <v>82.63</v>
      </c>
      <c r="GT94" s="8">
        <v>82.63</v>
      </c>
      <c r="GU94" s="8">
        <v>98.47</v>
      </c>
      <c r="GV94" s="8">
        <v>101.06</v>
      </c>
      <c r="GW94" s="8">
        <v>104.27</v>
      </c>
      <c r="GX94" s="8">
        <v>98.73</v>
      </c>
      <c r="GY94" s="8">
        <v>102.87</v>
      </c>
      <c r="GZ94" s="8">
        <v>98.45</v>
      </c>
      <c r="HA94" s="8">
        <v>98.84</v>
      </c>
      <c r="HB94" s="8">
        <v>95.32</v>
      </c>
      <c r="HC94" s="8">
        <v>102.03</v>
      </c>
      <c r="HD94" s="8">
        <v>88.07</v>
      </c>
      <c r="HE94" s="8">
        <v>87.37</v>
      </c>
      <c r="HF94" s="8">
        <v>94.39</v>
      </c>
      <c r="HG94" s="8">
        <v>90.3</v>
      </c>
      <c r="HH94" s="8">
        <v>100.63</v>
      </c>
      <c r="HI94" s="8">
        <v>100.63</v>
      </c>
      <c r="HJ94" s="8">
        <v>93.79</v>
      </c>
      <c r="HK94" s="8">
        <v>93.79</v>
      </c>
      <c r="HL94" s="8">
        <v>93.92</v>
      </c>
      <c r="HM94" s="8">
        <v>96.96</v>
      </c>
      <c r="HN94" s="8">
        <v>89.93</v>
      </c>
      <c r="HO94" s="8">
        <v>67.06</v>
      </c>
      <c r="HP94" s="8">
        <v>96.79</v>
      </c>
      <c r="HQ94" s="8">
        <v>47.31</v>
      </c>
      <c r="HR94" s="8">
        <v>93.76</v>
      </c>
      <c r="HS94" s="8">
        <v>97.69</v>
      </c>
      <c r="HT94" s="8">
        <v>96.1</v>
      </c>
      <c r="HU94" s="8">
        <v>94.85</v>
      </c>
      <c r="HV94" s="8">
        <v>99.94</v>
      </c>
      <c r="HW94" s="8">
        <v>97.62</v>
      </c>
      <c r="HX94" s="8">
        <v>97.62</v>
      </c>
      <c r="HY94" s="8">
        <v>101.5</v>
      </c>
      <c r="HZ94" s="8">
        <v>99.11</v>
      </c>
      <c r="IA94" s="8">
        <v>107.35</v>
      </c>
      <c r="IB94" s="8">
        <v>102.17</v>
      </c>
      <c r="IC94" s="8">
        <v>98.65</v>
      </c>
      <c r="ID94" s="8">
        <v>101.01</v>
      </c>
      <c r="IE94" s="8">
        <v>99.89</v>
      </c>
      <c r="IF94" s="8">
        <v>99.74</v>
      </c>
      <c r="IG94" s="8">
        <v>101.75</v>
      </c>
      <c r="IH94" s="8">
        <v>92.07</v>
      </c>
      <c r="II94" s="8">
        <v>88.42</v>
      </c>
      <c r="IJ94" s="8">
        <v>94.45</v>
      </c>
      <c r="IK94" s="8">
        <v>91.32</v>
      </c>
      <c r="IL94" s="8">
        <v>97.24</v>
      </c>
      <c r="IM94" s="8">
        <v>102.37</v>
      </c>
      <c r="IN94" s="8">
        <v>103.26</v>
      </c>
      <c r="IO94" s="8">
        <v>98.13</v>
      </c>
      <c r="IP94" s="8">
        <v>96.34</v>
      </c>
      <c r="IQ94" s="8">
        <v>96.29</v>
      </c>
    </row>
    <row r="95" spans="1:251" x14ac:dyDescent="0.2">
      <c r="A95" s="9">
        <v>45536</v>
      </c>
      <c r="B95" s="8">
        <v>98.27</v>
      </c>
      <c r="C95" s="8">
        <v>95.18</v>
      </c>
      <c r="D95" s="8">
        <v>99.83</v>
      </c>
      <c r="E95" s="8">
        <v>90.61</v>
      </c>
      <c r="F95" s="8">
        <v>96.97</v>
      </c>
      <c r="G95" s="8">
        <v>99.63</v>
      </c>
      <c r="H95" s="8">
        <v>96.11</v>
      </c>
      <c r="I95" s="8">
        <v>98.34</v>
      </c>
      <c r="J95" s="8">
        <v>94.39</v>
      </c>
      <c r="K95" s="8">
        <v>102.55</v>
      </c>
      <c r="L95" s="8">
        <v>99.71</v>
      </c>
      <c r="M95" s="8">
        <v>96.58</v>
      </c>
      <c r="N95" s="8">
        <v>99.99</v>
      </c>
      <c r="O95" s="8">
        <v>101.5</v>
      </c>
      <c r="P95" s="8">
        <v>95.96</v>
      </c>
      <c r="Q95" s="8">
        <v>101.26</v>
      </c>
      <c r="R95" s="8">
        <v>100.57</v>
      </c>
      <c r="S95" s="8">
        <v>95.81</v>
      </c>
      <c r="T95" s="8">
        <v>95.81</v>
      </c>
      <c r="U95" s="8">
        <v>95.6</v>
      </c>
      <c r="V95" s="8">
        <v>95.15</v>
      </c>
      <c r="W95" s="8">
        <v>96.4</v>
      </c>
      <c r="X95" s="8">
        <v>98.12</v>
      </c>
      <c r="Y95" s="8">
        <v>96.99</v>
      </c>
      <c r="Z95" s="8">
        <v>96.99</v>
      </c>
      <c r="AA95" s="8">
        <v>98.68</v>
      </c>
      <c r="AB95" s="8">
        <v>95.16</v>
      </c>
      <c r="AC95" s="8">
        <v>98.95</v>
      </c>
      <c r="AD95" s="8">
        <v>95.2</v>
      </c>
      <c r="AE95" s="8">
        <v>96.62</v>
      </c>
      <c r="AF95" s="8">
        <v>97.91</v>
      </c>
      <c r="AG95" s="8">
        <v>97.76</v>
      </c>
      <c r="AH95" s="8">
        <v>96.76</v>
      </c>
      <c r="AI95" s="8">
        <v>100.87</v>
      </c>
      <c r="AJ95" s="8">
        <v>100.37</v>
      </c>
      <c r="AK95" s="8">
        <v>96.12</v>
      </c>
      <c r="AL95" s="8">
        <v>92.85</v>
      </c>
      <c r="AM95" s="8">
        <v>96.51</v>
      </c>
      <c r="AN95" s="8">
        <v>87.26</v>
      </c>
      <c r="AO95" s="8">
        <v>100.13</v>
      </c>
      <c r="AP95" s="8">
        <v>98.25</v>
      </c>
      <c r="AQ95" s="8">
        <v>99.94</v>
      </c>
      <c r="AR95" s="8">
        <v>97.45</v>
      </c>
      <c r="AS95" s="8">
        <v>98.29</v>
      </c>
      <c r="AT95" s="8">
        <v>97.91</v>
      </c>
      <c r="AU95" s="8">
        <v>95.85</v>
      </c>
      <c r="AV95" s="8">
        <v>96.83</v>
      </c>
      <c r="AW95" s="8">
        <v>96.11</v>
      </c>
      <c r="AX95" s="8">
        <v>97.45</v>
      </c>
      <c r="AY95" s="8">
        <v>95.95</v>
      </c>
      <c r="AZ95" s="8">
        <v>92.58</v>
      </c>
      <c r="BA95" s="8">
        <v>96.5</v>
      </c>
      <c r="BB95" s="8">
        <v>97.79</v>
      </c>
      <c r="BC95" s="8">
        <v>98.87</v>
      </c>
      <c r="BD95" s="8">
        <v>92.87</v>
      </c>
      <c r="BE95" s="8">
        <v>99.25</v>
      </c>
      <c r="BF95" s="8">
        <v>95.2</v>
      </c>
      <c r="BG95" s="8">
        <v>87.49</v>
      </c>
      <c r="BH95" s="8">
        <v>97.9</v>
      </c>
      <c r="BI95" s="8">
        <v>96.86</v>
      </c>
      <c r="BJ95" s="8">
        <v>97.52</v>
      </c>
      <c r="BK95" s="8">
        <v>96.19</v>
      </c>
      <c r="BL95" s="8">
        <v>94.97</v>
      </c>
      <c r="BM95" s="8">
        <v>97.94</v>
      </c>
      <c r="BN95" s="8">
        <v>97.23</v>
      </c>
      <c r="BO95" s="8">
        <v>99.47</v>
      </c>
      <c r="BP95" s="8">
        <v>97.29</v>
      </c>
      <c r="BQ95" s="8">
        <v>87.64</v>
      </c>
      <c r="BR95" s="8">
        <v>87.64</v>
      </c>
      <c r="BS95" s="8">
        <v>97.09</v>
      </c>
      <c r="BT95" s="8">
        <v>99.29</v>
      </c>
      <c r="BU95" s="8">
        <v>105.4</v>
      </c>
      <c r="BV95" s="8">
        <v>97.41</v>
      </c>
      <c r="BW95" s="8">
        <v>95.65</v>
      </c>
      <c r="BX95" s="8">
        <v>97.07</v>
      </c>
      <c r="BY95" s="8">
        <v>105.61</v>
      </c>
      <c r="BZ95" s="8">
        <v>92.06</v>
      </c>
      <c r="CA95" s="8">
        <v>101.99</v>
      </c>
      <c r="CB95" s="8">
        <v>91.53</v>
      </c>
      <c r="CC95" s="8">
        <v>90.99</v>
      </c>
      <c r="CD95" s="8">
        <v>95.36</v>
      </c>
      <c r="CE95" s="8">
        <v>87.67</v>
      </c>
      <c r="CF95" s="8">
        <v>94.11</v>
      </c>
      <c r="CG95" s="8">
        <v>94.11</v>
      </c>
      <c r="CH95" s="8">
        <v>96.53</v>
      </c>
      <c r="CI95" s="8">
        <v>96.53</v>
      </c>
      <c r="CJ95" s="8">
        <v>95.9</v>
      </c>
      <c r="CK95" s="8">
        <v>96.44</v>
      </c>
      <c r="CL95" s="8">
        <v>95.26</v>
      </c>
      <c r="CM95" s="8">
        <v>61.69</v>
      </c>
      <c r="CN95" s="8">
        <v>97.35</v>
      </c>
      <c r="CO95" s="8">
        <v>25.71</v>
      </c>
      <c r="CP95" s="8">
        <v>96.31</v>
      </c>
      <c r="CQ95" s="8">
        <v>98.12</v>
      </c>
      <c r="CR95" s="8">
        <v>99.01</v>
      </c>
      <c r="CS95" s="8">
        <v>99.43</v>
      </c>
      <c r="CT95" s="8">
        <v>97.42</v>
      </c>
      <c r="CU95" s="8">
        <v>98.8</v>
      </c>
      <c r="CV95" s="8">
        <v>98.8</v>
      </c>
      <c r="CW95" s="8">
        <v>100.22</v>
      </c>
      <c r="CX95" s="8">
        <v>100.62</v>
      </c>
      <c r="CY95" s="8">
        <v>98.02</v>
      </c>
      <c r="CZ95" s="8">
        <v>100.51</v>
      </c>
      <c r="DA95" s="8">
        <v>101.3</v>
      </c>
      <c r="DB95" s="8">
        <v>99.14</v>
      </c>
      <c r="DC95" s="8">
        <v>98.47</v>
      </c>
      <c r="DD95" s="8">
        <v>97.97</v>
      </c>
      <c r="DE95" s="8">
        <v>100.11</v>
      </c>
      <c r="DF95" s="8">
        <v>95.19</v>
      </c>
      <c r="DG95" s="8">
        <v>89.73</v>
      </c>
      <c r="DH95" s="8">
        <v>97.46</v>
      </c>
      <c r="DI95" s="8">
        <v>96.16</v>
      </c>
      <c r="DJ95" s="8">
        <v>95.95</v>
      </c>
      <c r="DK95" s="8">
        <v>100.08</v>
      </c>
      <c r="DL95" s="8">
        <v>100.68</v>
      </c>
      <c r="DM95" s="8">
        <v>96.17</v>
      </c>
      <c r="DN95" s="8">
        <v>95.21</v>
      </c>
      <c r="DO95" s="8">
        <v>94.92</v>
      </c>
      <c r="DP95" s="8">
        <v>97.76</v>
      </c>
      <c r="DQ95" s="8">
        <v>96.85</v>
      </c>
      <c r="DR95" s="8">
        <v>96.89</v>
      </c>
      <c r="DS95" s="8">
        <v>99.19</v>
      </c>
      <c r="DT95" s="8">
        <v>96.34</v>
      </c>
      <c r="DU95" s="8">
        <v>98.34</v>
      </c>
      <c r="DV95" s="8">
        <v>92.63</v>
      </c>
      <c r="DW95" s="8">
        <v>96</v>
      </c>
      <c r="DX95" s="8">
        <v>97.47</v>
      </c>
      <c r="DY95" s="8">
        <v>97.47</v>
      </c>
      <c r="DZ95" s="8">
        <v>98.41</v>
      </c>
      <c r="EA95" s="8">
        <v>98.41</v>
      </c>
      <c r="EB95" s="8">
        <v>95.96</v>
      </c>
      <c r="EC95" s="8">
        <v>98.51</v>
      </c>
      <c r="ED95" s="8">
        <v>98.84</v>
      </c>
      <c r="EE95" s="8">
        <v>96.34</v>
      </c>
      <c r="EF95" s="8">
        <v>100.86</v>
      </c>
      <c r="EG95" s="8">
        <v>90.94</v>
      </c>
      <c r="EH95" s="8">
        <v>98.39</v>
      </c>
      <c r="EI95" s="8">
        <v>98.57</v>
      </c>
      <c r="EJ95" s="8">
        <v>98.33</v>
      </c>
      <c r="EK95" s="8">
        <v>99.97</v>
      </c>
      <c r="EL95" s="8">
        <v>95.51</v>
      </c>
      <c r="EM95" s="8">
        <v>104.05</v>
      </c>
      <c r="EN95" s="8">
        <v>98.32</v>
      </c>
      <c r="EO95" s="8">
        <v>104.82</v>
      </c>
      <c r="EP95" s="8">
        <v>99.89</v>
      </c>
      <c r="EQ95" s="8">
        <v>101.35</v>
      </c>
      <c r="ER95" s="8">
        <v>92.88</v>
      </c>
      <c r="ES95" s="8">
        <v>96.24</v>
      </c>
      <c r="ET95" s="8">
        <v>98.53</v>
      </c>
      <c r="EU95" s="8">
        <v>94.7</v>
      </c>
      <c r="EV95" s="8">
        <v>94.7</v>
      </c>
      <c r="EW95" s="8">
        <v>93.98</v>
      </c>
      <c r="EX95" s="8">
        <v>93.99</v>
      </c>
      <c r="EY95" s="8">
        <v>96.51</v>
      </c>
      <c r="EZ95" s="8">
        <v>98.73</v>
      </c>
      <c r="FA95" s="8">
        <v>100.59</v>
      </c>
      <c r="FB95" s="8">
        <v>100.59</v>
      </c>
      <c r="FC95" s="8">
        <v>97.96</v>
      </c>
      <c r="FD95" s="8">
        <v>95.16</v>
      </c>
      <c r="FE95" s="8">
        <v>98.5</v>
      </c>
      <c r="FF95" s="8">
        <v>95.45</v>
      </c>
      <c r="FG95" s="8">
        <v>95.93</v>
      </c>
      <c r="FH95" s="8">
        <v>98.26</v>
      </c>
      <c r="FI95" s="8">
        <v>98.68</v>
      </c>
      <c r="FJ95" s="8">
        <v>96.94</v>
      </c>
      <c r="FK95" s="8">
        <v>101.68</v>
      </c>
      <c r="FL95" s="8">
        <v>100.74</v>
      </c>
      <c r="FM95" s="8">
        <v>96.23</v>
      </c>
      <c r="FN95" s="8">
        <v>93.05</v>
      </c>
      <c r="FO95" s="8">
        <v>95.99</v>
      </c>
      <c r="FP95" s="8">
        <v>88.19</v>
      </c>
      <c r="FQ95" s="8">
        <v>99.97</v>
      </c>
      <c r="FR95" s="8">
        <v>99.05</v>
      </c>
      <c r="FS95" s="8">
        <v>98.91</v>
      </c>
      <c r="FT95" s="8">
        <v>96.92</v>
      </c>
      <c r="FU95" s="8">
        <v>97.32</v>
      </c>
      <c r="FV95" s="8">
        <v>97.55</v>
      </c>
      <c r="FW95" s="8">
        <v>95.53</v>
      </c>
      <c r="FX95" s="8">
        <v>99.96</v>
      </c>
      <c r="FY95" s="8">
        <v>97.99</v>
      </c>
      <c r="FZ95" s="8">
        <v>100.97</v>
      </c>
      <c r="GA95" s="8">
        <v>95.85</v>
      </c>
      <c r="GB95" s="8">
        <v>90.87</v>
      </c>
      <c r="GC95" s="8">
        <v>95.96</v>
      </c>
      <c r="GD95" s="8">
        <v>98.32</v>
      </c>
      <c r="GE95" s="8">
        <v>100.15</v>
      </c>
      <c r="GF95" s="8">
        <v>93.03</v>
      </c>
      <c r="GG95" s="8">
        <v>98.58</v>
      </c>
      <c r="GH95" s="8">
        <v>88.53</v>
      </c>
      <c r="GI95" s="8">
        <v>87.31</v>
      </c>
      <c r="GJ95" s="8">
        <v>88.9</v>
      </c>
      <c r="GK95" s="8">
        <v>95.54</v>
      </c>
      <c r="GL95" s="8">
        <v>95.54</v>
      </c>
      <c r="GM95" s="8">
        <v>95.54</v>
      </c>
      <c r="GN95" s="8">
        <v>91.67</v>
      </c>
      <c r="GO95" s="8">
        <v>94.88</v>
      </c>
      <c r="GP95" s="8">
        <v>93.71</v>
      </c>
      <c r="GQ95" s="8">
        <v>101.21</v>
      </c>
      <c r="GR95" s="8">
        <v>91.69</v>
      </c>
      <c r="GS95" s="8">
        <v>86.6</v>
      </c>
      <c r="GT95" s="8">
        <v>86.6</v>
      </c>
      <c r="GU95" s="8">
        <v>98.43</v>
      </c>
      <c r="GV95" s="8">
        <v>100.27</v>
      </c>
      <c r="GW95" s="8">
        <v>105.9</v>
      </c>
      <c r="GX95" s="8">
        <v>97.69</v>
      </c>
      <c r="GY95" s="8">
        <v>98.75</v>
      </c>
      <c r="GZ95" s="8">
        <v>99.48</v>
      </c>
      <c r="HA95" s="8">
        <v>101.78</v>
      </c>
      <c r="HB95" s="8">
        <v>95.79</v>
      </c>
      <c r="HC95" s="8">
        <v>101.07</v>
      </c>
      <c r="HD95" s="8">
        <v>89.78</v>
      </c>
      <c r="HE95" s="8">
        <v>89.26</v>
      </c>
      <c r="HF95" s="8">
        <v>94.39</v>
      </c>
      <c r="HG95" s="8">
        <v>90.72</v>
      </c>
      <c r="HH95" s="8">
        <v>99.8</v>
      </c>
      <c r="HI95" s="8">
        <v>99.8</v>
      </c>
      <c r="HJ95" s="8">
        <v>93.97</v>
      </c>
      <c r="HK95" s="8">
        <v>93.97</v>
      </c>
      <c r="HL95" s="8">
        <v>96.51</v>
      </c>
      <c r="HM95" s="8">
        <v>97.04</v>
      </c>
      <c r="HN95" s="8">
        <v>95.8</v>
      </c>
      <c r="HO95" s="8">
        <v>67.25</v>
      </c>
      <c r="HP95" s="8">
        <v>96.79</v>
      </c>
      <c r="HQ95" s="8">
        <v>47.31</v>
      </c>
      <c r="HR95" s="8">
        <v>95.19</v>
      </c>
      <c r="HS95" s="8">
        <v>97.88</v>
      </c>
      <c r="HT95" s="8">
        <v>98.42</v>
      </c>
      <c r="HU95" s="8">
        <v>97.66</v>
      </c>
      <c r="HV95" s="8">
        <v>100.68</v>
      </c>
      <c r="HW95" s="8">
        <v>99.84</v>
      </c>
      <c r="HX95" s="8">
        <v>99.84</v>
      </c>
      <c r="HY95" s="8">
        <v>99.78</v>
      </c>
      <c r="HZ95" s="8">
        <v>99.02</v>
      </c>
      <c r="IA95" s="8">
        <v>100.91</v>
      </c>
      <c r="IB95" s="8">
        <v>99.74</v>
      </c>
      <c r="IC95" s="8">
        <v>99.57</v>
      </c>
      <c r="ID95" s="8">
        <v>100.12</v>
      </c>
      <c r="IE95" s="8">
        <v>99.08</v>
      </c>
      <c r="IF95" s="8">
        <v>98.37</v>
      </c>
      <c r="IG95" s="8">
        <v>101.08</v>
      </c>
      <c r="IH95" s="8">
        <v>92.98</v>
      </c>
      <c r="II95" s="8">
        <v>90.82</v>
      </c>
      <c r="IJ95" s="8">
        <v>94.6</v>
      </c>
      <c r="IK95" s="8">
        <v>92.22</v>
      </c>
      <c r="IL95" s="8">
        <v>96.99</v>
      </c>
      <c r="IM95" s="8">
        <v>102.32</v>
      </c>
      <c r="IN95" s="8">
        <v>103.2</v>
      </c>
      <c r="IO95" s="8">
        <v>98.13</v>
      </c>
      <c r="IP95" s="8">
        <v>96.04</v>
      </c>
      <c r="IQ95" s="8">
        <v>95.97</v>
      </c>
    </row>
    <row r="96" spans="1:251" x14ac:dyDescent="0.2">
      <c r="A96" s="9">
        <v>45566</v>
      </c>
      <c r="B96" s="8">
        <v>98</v>
      </c>
      <c r="C96" s="8">
        <v>95.28</v>
      </c>
      <c r="D96" s="8">
        <v>99.96</v>
      </c>
      <c r="E96" s="8">
        <v>90.68</v>
      </c>
      <c r="F96" s="8">
        <v>96.55</v>
      </c>
      <c r="G96" s="8">
        <v>99.21</v>
      </c>
      <c r="H96" s="8">
        <v>95.68</v>
      </c>
      <c r="I96" s="8">
        <v>98.4</v>
      </c>
      <c r="J96" s="8">
        <v>102.44</v>
      </c>
      <c r="K96" s="8">
        <v>93.21</v>
      </c>
      <c r="L96" s="8">
        <v>98.81</v>
      </c>
      <c r="M96" s="8">
        <v>97.99</v>
      </c>
      <c r="N96" s="8">
        <v>98.64</v>
      </c>
      <c r="O96" s="8">
        <v>97.56</v>
      </c>
      <c r="P96" s="8">
        <v>96.94</v>
      </c>
      <c r="Q96" s="8">
        <v>101.6</v>
      </c>
      <c r="R96" s="8">
        <v>98.28</v>
      </c>
      <c r="S96" s="8">
        <v>95.81</v>
      </c>
      <c r="T96" s="8">
        <v>95.81</v>
      </c>
      <c r="U96" s="8">
        <v>95.64</v>
      </c>
      <c r="V96" s="8">
        <v>95.15</v>
      </c>
      <c r="W96" s="8">
        <v>96.4</v>
      </c>
      <c r="X96" s="8">
        <v>98.16</v>
      </c>
      <c r="Y96" s="8">
        <v>96.81</v>
      </c>
      <c r="Z96" s="8">
        <v>96.81</v>
      </c>
      <c r="AA96" s="8">
        <v>98.83</v>
      </c>
      <c r="AB96" s="8">
        <v>97.32</v>
      </c>
      <c r="AC96" s="8">
        <v>98.95</v>
      </c>
      <c r="AD96" s="8">
        <v>95.69</v>
      </c>
      <c r="AE96" s="8">
        <v>96.72</v>
      </c>
      <c r="AF96" s="8">
        <v>99.17</v>
      </c>
      <c r="AG96" s="8">
        <v>98.96</v>
      </c>
      <c r="AH96" s="8">
        <v>99.34</v>
      </c>
      <c r="AI96" s="8">
        <v>97.47</v>
      </c>
      <c r="AJ96" s="8">
        <v>100.17</v>
      </c>
      <c r="AK96" s="8">
        <v>96.71</v>
      </c>
      <c r="AL96" s="8">
        <v>93.69</v>
      </c>
      <c r="AM96" s="8">
        <v>97.52</v>
      </c>
      <c r="AN96" s="8">
        <v>86.43</v>
      </c>
      <c r="AO96" s="8">
        <v>100.95</v>
      </c>
      <c r="AP96" s="8">
        <v>99.7</v>
      </c>
      <c r="AQ96" s="8">
        <v>99.91</v>
      </c>
      <c r="AR96" s="8">
        <v>96.63</v>
      </c>
      <c r="AS96" s="8">
        <v>96.97</v>
      </c>
      <c r="AT96" s="8">
        <v>97.67</v>
      </c>
      <c r="AU96" s="8">
        <v>95.06</v>
      </c>
      <c r="AV96" s="8">
        <v>95.84</v>
      </c>
      <c r="AW96" s="8">
        <v>95.56</v>
      </c>
      <c r="AX96" s="8">
        <v>96.09</v>
      </c>
      <c r="AY96" s="8">
        <v>95.93</v>
      </c>
      <c r="AZ96" s="8">
        <v>92.99</v>
      </c>
      <c r="BA96" s="8">
        <v>97.66</v>
      </c>
      <c r="BB96" s="8">
        <v>98.55</v>
      </c>
      <c r="BC96" s="8">
        <v>99.3</v>
      </c>
      <c r="BD96" s="8">
        <v>91.88</v>
      </c>
      <c r="BE96" s="8">
        <v>99.82</v>
      </c>
      <c r="BF96" s="8">
        <v>95.22</v>
      </c>
      <c r="BG96" s="8">
        <v>86.56</v>
      </c>
      <c r="BH96" s="8">
        <v>98.26</v>
      </c>
      <c r="BI96" s="8">
        <v>97.08</v>
      </c>
      <c r="BJ96" s="8">
        <v>97.9</v>
      </c>
      <c r="BK96" s="8">
        <v>96.24</v>
      </c>
      <c r="BL96" s="8">
        <v>95.46</v>
      </c>
      <c r="BM96" s="8">
        <v>97.57</v>
      </c>
      <c r="BN96" s="8">
        <v>96.92</v>
      </c>
      <c r="BO96" s="8">
        <v>98.3</v>
      </c>
      <c r="BP96" s="8">
        <v>97.41</v>
      </c>
      <c r="BQ96" s="8">
        <v>89.98</v>
      </c>
      <c r="BR96" s="8">
        <v>89.98</v>
      </c>
      <c r="BS96" s="8">
        <v>98.23</v>
      </c>
      <c r="BT96" s="8">
        <v>100.12</v>
      </c>
      <c r="BU96" s="8">
        <v>104.78</v>
      </c>
      <c r="BV96" s="8">
        <v>98.39</v>
      </c>
      <c r="BW96" s="8">
        <v>98.09</v>
      </c>
      <c r="BX96" s="8">
        <v>101.97</v>
      </c>
      <c r="BY96" s="8">
        <v>106.21</v>
      </c>
      <c r="BZ96" s="8">
        <v>98.88</v>
      </c>
      <c r="CA96" s="8">
        <v>106.48</v>
      </c>
      <c r="CB96" s="8">
        <v>91.2</v>
      </c>
      <c r="CC96" s="8">
        <v>90.62</v>
      </c>
      <c r="CD96" s="8">
        <v>95.32</v>
      </c>
      <c r="CE96" s="8">
        <v>90.59</v>
      </c>
      <c r="CF96" s="8">
        <v>94.17</v>
      </c>
      <c r="CG96" s="8">
        <v>94.17</v>
      </c>
      <c r="CH96" s="8">
        <v>96.82</v>
      </c>
      <c r="CI96" s="8">
        <v>96.82</v>
      </c>
      <c r="CJ96" s="8">
        <v>96.18</v>
      </c>
      <c r="CK96" s="8">
        <v>96.95</v>
      </c>
      <c r="CL96" s="8">
        <v>95.26</v>
      </c>
      <c r="CM96" s="8">
        <v>73.400000000000006</v>
      </c>
      <c r="CN96" s="8">
        <v>97.35</v>
      </c>
      <c r="CO96" s="8">
        <v>49.66</v>
      </c>
      <c r="CP96" s="8">
        <v>96.31</v>
      </c>
      <c r="CQ96" s="8">
        <v>98.57</v>
      </c>
      <c r="CR96" s="8">
        <v>100.85</v>
      </c>
      <c r="CS96" s="8">
        <v>101.82</v>
      </c>
      <c r="CT96" s="8">
        <v>97.33</v>
      </c>
      <c r="CU96" s="8">
        <v>94.83</v>
      </c>
      <c r="CV96" s="8">
        <v>94.83</v>
      </c>
      <c r="CW96" s="8">
        <v>102.78</v>
      </c>
      <c r="CX96" s="8">
        <v>101.04</v>
      </c>
      <c r="CY96" s="8">
        <v>101.16</v>
      </c>
      <c r="CZ96" s="8">
        <v>108.08</v>
      </c>
      <c r="DA96" s="8">
        <v>101.16</v>
      </c>
      <c r="DB96" s="8">
        <v>98.45</v>
      </c>
      <c r="DC96" s="8">
        <v>98.97</v>
      </c>
      <c r="DD96" s="8">
        <v>97.23</v>
      </c>
      <c r="DE96" s="8">
        <v>99.2</v>
      </c>
      <c r="DF96" s="8">
        <v>95.51</v>
      </c>
      <c r="DG96" s="8">
        <v>90.37</v>
      </c>
      <c r="DH96" s="8">
        <v>97.56</v>
      </c>
      <c r="DI96" s="8">
        <v>96.55</v>
      </c>
      <c r="DJ96" s="8">
        <v>96.07</v>
      </c>
      <c r="DK96" s="8">
        <v>100.01</v>
      </c>
      <c r="DL96" s="8">
        <v>100.6</v>
      </c>
      <c r="DM96" s="8">
        <v>96.17</v>
      </c>
      <c r="DN96" s="8">
        <v>95.36</v>
      </c>
      <c r="DO96" s="8">
        <v>95.06</v>
      </c>
      <c r="DP96" s="8">
        <v>98</v>
      </c>
      <c r="DQ96" s="8">
        <v>97.42</v>
      </c>
      <c r="DR96" s="8">
        <v>97.47</v>
      </c>
      <c r="DS96" s="8">
        <v>99.56</v>
      </c>
      <c r="DT96" s="8">
        <v>100.78</v>
      </c>
      <c r="DU96" s="8">
        <v>98.81</v>
      </c>
      <c r="DV96" s="8">
        <v>92.04</v>
      </c>
      <c r="DW96" s="8">
        <v>96.39</v>
      </c>
      <c r="DX96" s="8">
        <v>97.36</v>
      </c>
      <c r="DY96" s="8">
        <v>97.36</v>
      </c>
      <c r="DZ96" s="8">
        <v>99.06</v>
      </c>
      <c r="EA96" s="8">
        <v>99.06</v>
      </c>
      <c r="EB96" s="8">
        <v>95.36</v>
      </c>
      <c r="EC96" s="8">
        <v>99.22</v>
      </c>
      <c r="ED96" s="8">
        <v>96.25</v>
      </c>
      <c r="EE96" s="8">
        <v>95.75</v>
      </c>
      <c r="EF96" s="8">
        <v>99.71</v>
      </c>
      <c r="EG96" s="8">
        <v>91.04</v>
      </c>
      <c r="EH96" s="8">
        <v>98.21</v>
      </c>
      <c r="EI96" s="8">
        <v>98.76</v>
      </c>
      <c r="EJ96" s="8">
        <v>98.01</v>
      </c>
      <c r="EK96" s="8">
        <v>95.99</v>
      </c>
      <c r="EL96" s="8">
        <v>96.52</v>
      </c>
      <c r="EM96" s="8">
        <v>94.36</v>
      </c>
      <c r="EN96" s="8">
        <v>96.28</v>
      </c>
      <c r="EO96" s="8">
        <v>105.22</v>
      </c>
      <c r="EP96" s="8">
        <v>98.83</v>
      </c>
      <c r="EQ96" s="8">
        <v>97.29</v>
      </c>
      <c r="ER96" s="8">
        <v>94.7</v>
      </c>
      <c r="ES96" s="8">
        <v>96.24</v>
      </c>
      <c r="ET96" s="8">
        <v>89.53</v>
      </c>
      <c r="EU96" s="8">
        <v>94.7</v>
      </c>
      <c r="EV96" s="8">
        <v>94.7</v>
      </c>
      <c r="EW96" s="8">
        <v>93.99</v>
      </c>
      <c r="EX96" s="8">
        <v>93.99</v>
      </c>
      <c r="EY96" s="8">
        <v>96.51</v>
      </c>
      <c r="EZ96" s="8">
        <v>99.1</v>
      </c>
      <c r="FA96" s="8">
        <v>101.02</v>
      </c>
      <c r="FB96" s="8">
        <v>101.02</v>
      </c>
      <c r="FC96" s="8">
        <v>98.3</v>
      </c>
      <c r="FD96" s="8">
        <v>97.32</v>
      </c>
      <c r="FE96" s="8">
        <v>98.5</v>
      </c>
      <c r="FF96" s="8">
        <v>96.53</v>
      </c>
      <c r="FG96" s="8">
        <v>96.3</v>
      </c>
      <c r="FH96" s="8">
        <v>99.98</v>
      </c>
      <c r="FI96" s="8">
        <v>99.57</v>
      </c>
      <c r="FJ96" s="8">
        <v>100.47</v>
      </c>
      <c r="FK96" s="8">
        <v>98.79</v>
      </c>
      <c r="FL96" s="8">
        <v>100.22</v>
      </c>
      <c r="FM96" s="8">
        <v>96.81</v>
      </c>
      <c r="FN96" s="8">
        <v>92.1</v>
      </c>
      <c r="FO96" s="8">
        <v>97.53</v>
      </c>
      <c r="FP96" s="8">
        <v>87.94</v>
      </c>
      <c r="FQ96" s="8">
        <v>101.03</v>
      </c>
      <c r="FR96" s="8">
        <v>101.52</v>
      </c>
      <c r="FS96" s="8">
        <v>98.7</v>
      </c>
      <c r="FT96" s="8">
        <v>95.96</v>
      </c>
      <c r="FU96" s="8">
        <v>95.66</v>
      </c>
      <c r="FV96" s="8">
        <v>97.3</v>
      </c>
      <c r="FW96" s="8">
        <v>94.89</v>
      </c>
      <c r="FX96" s="8">
        <v>100.26</v>
      </c>
      <c r="FY96" s="8">
        <v>102.08</v>
      </c>
      <c r="FZ96" s="8">
        <v>99.22</v>
      </c>
      <c r="GA96" s="8">
        <v>95.84</v>
      </c>
      <c r="GB96" s="8">
        <v>91.67</v>
      </c>
      <c r="GC96" s="8">
        <v>97.17</v>
      </c>
      <c r="GD96" s="8">
        <v>98.69</v>
      </c>
      <c r="GE96" s="8">
        <v>100.22</v>
      </c>
      <c r="GF96" s="8">
        <v>92.29</v>
      </c>
      <c r="GG96" s="8">
        <v>99.25</v>
      </c>
      <c r="GH96" s="8">
        <v>88.82</v>
      </c>
      <c r="GI96" s="8">
        <v>86.2</v>
      </c>
      <c r="GJ96" s="8">
        <v>89.6</v>
      </c>
      <c r="GK96" s="8">
        <v>95.94</v>
      </c>
      <c r="GL96" s="8">
        <v>96.02</v>
      </c>
      <c r="GM96" s="8">
        <v>95.85</v>
      </c>
      <c r="GN96" s="8">
        <v>93.05</v>
      </c>
      <c r="GO96" s="8">
        <v>95.28</v>
      </c>
      <c r="GP96" s="8">
        <v>93.98</v>
      </c>
      <c r="GQ96" s="8">
        <v>99.75</v>
      </c>
      <c r="GR96" s="8">
        <v>93.15</v>
      </c>
      <c r="GS96" s="8">
        <v>89.34</v>
      </c>
      <c r="GT96" s="8">
        <v>89.34</v>
      </c>
      <c r="GU96" s="8">
        <v>99.14</v>
      </c>
      <c r="GV96" s="8">
        <v>100.28</v>
      </c>
      <c r="GW96" s="8">
        <v>104.78</v>
      </c>
      <c r="GX96" s="8">
        <v>98.87</v>
      </c>
      <c r="GY96" s="8">
        <v>97.04</v>
      </c>
      <c r="GZ96" s="8">
        <v>102.52</v>
      </c>
      <c r="HA96" s="8">
        <v>104.5</v>
      </c>
      <c r="HB96" s="8">
        <v>100.9</v>
      </c>
      <c r="HC96" s="8">
        <v>101.77</v>
      </c>
      <c r="HD96" s="8">
        <v>90.47</v>
      </c>
      <c r="HE96" s="8">
        <v>90.01</v>
      </c>
      <c r="HF96" s="8">
        <v>94.39</v>
      </c>
      <c r="HG96" s="8">
        <v>94.9</v>
      </c>
      <c r="HH96" s="8">
        <v>98.24</v>
      </c>
      <c r="HI96" s="8">
        <v>98.24</v>
      </c>
      <c r="HJ96" s="8">
        <v>93.83</v>
      </c>
      <c r="HK96" s="8">
        <v>93.83</v>
      </c>
      <c r="HL96" s="8">
        <v>97.19</v>
      </c>
      <c r="HM96" s="8">
        <v>98.24</v>
      </c>
      <c r="HN96" s="8">
        <v>95.8</v>
      </c>
      <c r="HO96" s="8">
        <v>90.05</v>
      </c>
      <c r="HP96" s="8">
        <v>96.79</v>
      </c>
      <c r="HQ96" s="8">
        <v>86.05</v>
      </c>
      <c r="HR96" s="8">
        <v>93.67</v>
      </c>
      <c r="HS96" s="8">
        <v>97.99</v>
      </c>
      <c r="HT96" s="8">
        <v>99.39</v>
      </c>
      <c r="HU96" s="8">
        <v>99.23</v>
      </c>
      <c r="HV96" s="8">
        <v>99.79</v>
      </c>
      <c r="HW96" s="8">
        <v>97.72</v>
      </c>
      <c r="HX96" s="8">
        <v>97.72</v>
      </c>
      <c r="HY96" s="8">
        <v>100.99</v>
      </c>
      <c r="HZ96" s="8">
        <v>98.73</v>
      </c>
      <c r="IA96" s="8">
        <v>102</v>
      </c>
      <c r="IB96" s="8">
        <v>104.3</v>
      </c>
      <c r="IC96" s="8">
        <v>99.57</v>
      </c>
      <c r="ID96" s="8">
        <v>99.18</v>
      </c>
      <c r="IE96" s="8">
        <v>99.4</v>
      </c>
      <c r="IF96" s="8">
        <v>97.58</v>
      </c>
      <c r="IG96" s="8">
        <v>99.9</v>
      </c>
      <c r="IH96" s="8">
        <v>93.31</v>
      </c>
      <c r="II96" s="8">
        <v>91.63</v>
      </c>
      <c r="IJ96" s="8">
        <v>94.9</v>
      </c>
      <c r="IK96" s="8">
        <v>92.22</v>
      </c>
      <c r="IL96" s="8">
        <v>97.28</v>
      </c>
      <c r="IM96" s="8">
        <v>102.04</v>
      </c>
      <c r="IN96" s="8">
        <v>102.86</v>
      </c>
      <c r="IO96" s="8">
        <v>98.13</v>
      </c>
      <c r="IP96" s="8">
        <v>96.44</v>
      </c>
      <c r="IQ96" s="8">
        <v>96.41</v>
      </c>
    </row>
    <row r="97" spans="1:251" x14ac:dyDescent="0.2">
      <c r="A97" s="9">
        <v>45597</v>
      </c>
      <c r="B97" s="8">
        <v>97.44</v>
      </c>
      <c r="C97" s="8">
        <v>97</v>
      </c>
      <c r="D97" s="8">
        <v>102.63</v>
      </c>
      <c r="E97" s="8">
        <v>91.43</v>
      </c>
      <c r="F97" s="8">
        <v>97.25</v>
      </c>
      <c r="G97" s="8">
        <v>101.59</v>
      </c>
      <c r="H97" s="8">
        <v>95.85</v>
      </c>
      <c r="I97" s="8">
        <v>95.74</v>
      </c>
      <c r="J97" s="8">
        <v>100.6</v>
      </c>
      <c r="K97" s="8">
        <v>89.6</v>
      </c>
      <c r="L97" s="8">
        <v>99.8</v>
      </c>
      <c r="M97" s="8">
        <v>97.24</v>
      </c>
      <c r="N97" s="8">
        <v>100.49</v>
      </c>
      <c r="O97" s="8">
        <v>99.62</v>
      </c>
      <c r="P97" s="8">
        <v>96.94</v>
      </c>
      <c r="Q97" s="8">
        <v>101.6</v>
      </c>
      <c r="R97" s="8">
        <v>100.58</v>
      </c>
      <c r="S97" s="8">
        <v>95.82</v>
      </c>
      <c r="T97" s="8">
        <v>95.82</v>
      </c>
      <c r="U97" s="8">
        <v>95.67</v>
      </c>
      <c r="V97" s="8">
        <v>95.15</v>
      </c>
      <c r="W97" s="8">
        <v>96.4</v>
      </c>
      <c r="X97" s="8">
        <v>98.26</v>
      </c>
      <c r="Y97" s="8">
        <v>97.37</v>
      </c>
      <c r="Z97" s="8">
        <v>97.37</v>
      </c>
      <c r="AA97" s="8">
        <v>98.72</v>
      </c>
      <c r="AB97" s="8">
        <v>95.75</v>
      </c>
      <c r="AC97" s="8">
        <v>98.95</v>
      </c>
      <c r="AD97" s="8">
        <v>96.81</v>
      </c>
      <c r="AE97" s="8">
        <v>97.13</v>
      </c>
      <c r="AF97" s="8">
        <v>99.44</v>
      </c>
      <c r="AG97" s="8">
        <v>99.66</v>
      </c>
      <c r="AH97" s="8">
        <v>99.07</v>
      </c>
      <c r="AI97" s="8">
        <v>99.6</v>
      </c>
      <c r="AJ97" s="8">
        <v>99.9</v>
      </c>
      <c r="AK97" s="8">
        <v>97.28</v>
      </c>
      <c r="AL97" s="8">
        <v>94.55</v>
      </c>
      <c r="AM97" s="8">
        <v>98.76</v>
      </c>
      <c r="AN97" s="8">
        <v>89.45</v>
      </c>
      <c r="AO97" s="8">
        <v>100.43</v>
      </c>
      <c r="AP97" s="8">
        <v>99.83</v>
      </c>
      <c r="AQ97" s="8">
        <v>99.51</v>
      </c>
      <c r="AR97" s="8">
        <v>97.7</v>
      </c>
      <c r="AS97" s="8">
        <v>97.94</v>
      </c>
      <c r="AT97" s="8">
        <v>99.38</v>
      </c>
      <c r="AU97" s="8">
        <v>95.53</v>
      </c>
      <c r="AV97" s="8">
        <v>96.61</v>
      </c>
      <c r="AW97" s="8">
        <v>96.94</v>
      </c>
      <c r="AX97" s="8">
        <v>96.35</v>
      </c>
      <c r="AY97" s="8">
        <v>96.34</v>
      </c>
      <c r="AZ97" s="8">
        <v>93.38</v>
      </c>
      <c r="BA97" s="8">
        <v>97.88</v>
      </c>
      <c r="BB97" s="8">
        <v>98.27</v>
      </c>
      <c r="BC97" s="8">
        <v>99.68</v>
      </c>
      <c r="BD97" s="8">
        <v>92.64</v>
      </c>
      <c r="BE97" s="8">
        <v>100.1</v>
      </c>
      <c r="BF97" s="8">
        <v>95.46</v>
      </c>
      <c r="BG97" s="8">
        <v>87.9</v>
      </c>
      <c r="BH97" s="8">
        <v>98.11</v>
      </c>
      <c r="BI97" s="8">
        <v>97.26</v>
      </c>
      <c r="BJ97" s="8">
        <v>97.9</v>
      </c>
      <c r="BK97" s="8">
        <v>96.61</v>
      </c>
      <c r="BL97" s="8">
        <v>96.12</v>
      </c>
      <c r="BM97" s="8">
        <v>98.44</v>
      </c>
      <c r="BN97" s="8">
        <v>98.99</v>
      </c>
      <c r="BO97" s="8">
        <v>99.65</v>
      </c>
      <c r="BP97" s="8">
        <v>97.46</v>
      </c>
      <c r="BQ97" s="8">
        <v>90.15</v>
      </c>
      <c r="BR97" s="8">
        <v>90.15</v>
      </c>
      <c r="BS97" s="8">
        <v>95.43</v>
      </c>
      <c r="BT97" s="8">
        <v>98.64</v>
      </c>
      <c r="BU97" s="8">
        <v>104.28</v>
      </c>
      <c r="BV97" s="8">
        <v>97.07</v>
      </c>
      <c r="BW97" s="8">
        <v>94.83</v>
      </c>
      <c r="BX97" s="8">
        <v>95.62</v>
      </c>
      <c r="BY97" s="8">
        <v>99.13</v>
      </c>
      <c r="BZ97" s="8">
        <v>91.66</v>
      </c>
      <c r="CA97" s="8">
        <v>104.33</v>
      </c>
      <c r="CB97" s="8">
        <v>87.02</v>
      </c>
      <c r="CC97" s="8">
        <v>85.9</v>
      </c>
      <c r="CD97" s="8">
        <v>95.32</v>
      </c>
      <c r="CE97" s="8">
        <v>96.27</v>
      </c>
      <c r="CF97" s="8">
        <v>94.86</v>
      </c>
      <c r="CG97" s="8">
        <v>94.86</v>
      </c>
      <c r="CH97" s="8">
        <v>96.86</v>
      </c>
      <c r="CI97" s="8">
        <v>96.86</v>
      </c>
      <c r="CJ97" s="8">
        <v>96.22</v>
      </c>
      <c r="CK97" s="8">
        <v>97.03</v>
      </c>
      <c r="CL97" s="8">
        <v>95.26</v>
      </c>
      <c r="CM97" s="8">
        <v>96.82</v>
      </c>
      <c r="CN97" s="8">
        <v>97.35</v>
      </c>
      <c r="CO97" s="8">
        <v>97.56</v>
      </c>
      <c r="CP97" s="8">
        <v>96.31</v>
      </c>
      <c r="CQ97" s="8">
        <v>98.26</v>
      </c>
      <c r="CR97" s="8">
        <v>98.61</v>
      </c>
      <c r="CS97" s="8">
        <v>98.88</v>
      </c>
      <c r="CT97" s="8">
        <v>97.57</v>
      </c>
      <c r="CU97" s="8">
        <v>101.21</v>
      </c>
      <c r="CV97" s="8">
        <v>101.21</v>
      </c>
      <c r="CW97" s="8">
        <v>100.71</v>
      </c>
      <c r="CX97" s="8">
        <v>101.4</v>
      </c>
      <c r="CY97" s="8">
        <v>99.9</v>
      </c>
      <c r="CZ97" s="8">
        <v>100.45</v>
      </c>
      <c r="DA97" s="8">
        <v>100.87</v>
      </c>
      <c r="DB97" s="8">
        <v>98.53</v>
      </c>
      <c r="DC97" s="8">
        <v>97.7</v>
      </c>
      <c r="DD97" s="8">
        <v>96.93</v>
      </c>
      <c r="DE97" s="8">
        <v>99.86</v>
      </c>
      <c r="DF97" s="8">
        <v>95.76</v>
      </c>
      <c r="DG97" s="8">
        <v>90.5</v>
      </c>
      <c r="DH97" s="8">
        <v>97.73</v>
      </c>
      <c r="DI97" s="8">
        <v>97.02</v>
      </c>
      <c r="DJ97" s="8">
        <v>95.69</v>
      </c>
      <c r="DK97" s="8">
        <v>99.42</v>
      </c>
      <c r="DL97" s="8">
        <v>99.86</v>
      </c>
      <c r="DM97" s="8">
        <v>96.55</v>
      </c>
      <c r="DN97" s="8">
        <v>95.02</v>
      </c>
      <c r="DO97" s="8">
        <v>94.67</v>
      </c>
      <c r="DP97" s="8">
        <v>98.11</v>
      </c>
      <c r="DQ97" s="8">
        <v>96.99</v>
      </c>
      <c r="DR97" s="8">
        <v>97</v>
      </c>
      <c r="DS97" s="8">
        <v>98.95</v>
      </c>
      <c r="DT97" s="8">
        <v>99.15</v>
      </c>
      <c r="DU97" s="8">
        <v>98.04</v>
      </c>
      <c r="DV97" s="8">
        <v>92.44</v>
      </c>
      <c r="DW97" s="8">
        <v>96.41</v>
      </c>
      <c r="DX97" s="8">
        <v>99.16</v>
      </c>
      <c r="DY97" s="8">
        <v>99.16</v>
      </c>
      <c r="DZ97" s="8">
        <v>98.94</v>
      </c>
      <c r="EA97" s="8">
        <v>98.94</v>
      </c>
      <c r="EB97" s="8">
        <v>95.19</v>
      </c>
      <c r="EC97" s="8">
        <v>99.1</v>
      </c>
      <c r="ED97" s="8">
        <v>96.81</v>
      </c>
      <c r="EE97" s="8">
        <v>96.81</v>
      </c>
      <c r="EF97" s="8">
        <v>100.92</v>
      </c>
      <c r="EG97" s="8">
        <v>91.91</v>
      </c>
      <c r="EH97" s="8">
        <v>99.37</v>
      </c>
      <c r="EI97" s="8">
        <v>100.54</v>
      </c>
      <c r="EJ97" s="8">
        <v>98.95</v>
      </c>
      <c r="EK97" s="8">
        <v>95.44</v>
      </c>
      <c r="EL97" s="8">
        <v>96.79</v>
      </c>
      <c r="EM97" s="8">
        <v>92.86</v>
      </c>
      <c r="EN97" s="8">
        <v>97.9</v>
      </c>
      <c r="EO97" s="8">
        <v>106.16</v>
      </c>
      <c r="EP97" s="8">
        <v>100.82</v>
      </c>
      <c r="EQ97" s="8">
        <v>99.1</v>
      </c>
      <c r="ER97" s="8">
        <v>94.7</v>
      </c>
      <c r="ES97" s="8">
        <v>96.24</v>
      </c>
      <c r="ET97" s="8">
        <v>94.91</v>
      </c>
      <c r="EU97" s="8">
        <v>94.7</v>
      </c>
      <c r="EV97" s="8">
        <v>94.7</v>
      </c>
      <c r="EW97" s="8">
        <v>93.99</v>
      </c>
      <c r="EX97" s="8">
        <v>93.99</v>
      </c>
      <c r="EY97" s="8">
        <v>96.51</v>
      </c>
      <c r="EZ97" s="8">
        <v>99.06</v>
      </c>
      <c r="FA97" s="8">
        <v>101.51</v>
      </c>
      <c r="FB97" s="8">
        <v>101.51</v>
      </c>
      <c r="FC97" s="8">
        <v>98.05</v>
      </c>
      <c r="FD97" s="8">
        <v>95.75</v>
      </c>
      <c r="FE97" s="8">
        <v>98.5</v>
      </c>
      <c r="FF97" s="8">
        <v>96.81</v>
      </c>
      <c r="FG97" s="8">
        <v>96.54</v>
      </c>
      <c r="FH97" s="8">
        <v>99.94</v>
      </c>
      <c r="FI97" s="8">
        <v>99.91</v>
      </c>
      <c r="FJ97" s="8">
        <v>100.02</v>
      </c>
      <c r="FK97" s="8">
        <v>100.42</v>
      </c>
      <c r="FL97" s="8">
        <v>99.42</v>
      </c>
      <c r="FM97" s="8">
        <v>97.03</v>
      </c>
      <c r="FN97" s="8">
        <v>93.02</v>
      </c>
      <c r="FO97" s="8">
        <v>98.43</v>
      </c>
      <c r="FP97" s="8">
        <v>89.19</v>
      </c>
      <c r="FQ97" s="8">
        <v>100.42</v>
      </c>
      <c r="FR97" s="8">
        <v>100.83</v>
      </c>
      <c r="FS97" s="8">
        <v>98.53</v>
      </c>
      <c r="FT97" s="8">
        <v>97</v>
      </c>
      <c r="FU97" s="8">
        <v>96.56</v>
      </c>
      <c r="FV97" s="8">
        <v>99.24</v>
      </c>
      <c r="FW97" s="8">
        <v>95.18</v>
      </c>
      <c r="FX97" s="8">
        <v>99.46</v>
      </c>
      <c r="FY97" s="8">
        <v>103.21</v>
      </c>
      <c r="FZ97" s="8">
        <v>97.37</v>
      </c>
      <c r="GA97" s="8">
        <v>96.53</v>
      </c>
      <c r="GB97" s="8">
        <v>92.37</v>
      </c>
      <c r="GC97" s="8">
        <v>97.34</v>
      </c>
      <c r="GD97" s="8">
        <v>98.18</v>
      </c>
      <c r="GE97" s="8">
        <v>101.27</v>
      </c>
      <c r="GF97" s="8">
        <v>93.52</v>
      </c>
      <c r="GG97" s="8">
        <v>99.5</v>
      </c>
      <c r="GH97" s="8">
        <v>89.13</v>
      </c>
      <c r="GI97" s="8">
        <v>87.82</v>
      </c>
      <c r="GJ97" s="8">
        <v>89.52</v>
      </c>
      <c r="GK97" s="8">
        <v>96.22</v>
      </c>
      <c r="GL97" s="8">
        <v>96.38</v>
      </c>
      <c r="GM97" s="8">
        <v>96.06</v>
      </c>
      <c r="GN97" s="8">
        <v>93.21</v>
      </c>
      <c r="GO97" s="8">
        <v>95.42</v>
      </c>
      <c r="GP97" s="8">
        <v>94.33</v>
      </c>
      <c r="GQ97" s="8">
        <v>99.42</v>
      </c>
      <c r="GR97" s="8">
        <v>93.49</v>
      </c>
      <c r="GS97" s="8">
        <v>89.51</v>
      </c>
      <c r="GT97" s="8">
        <v>89.51</v>
      </c>
      <c r="GU97" s="8">
        <v>95.31</v>
      </c>
      <c r="GV97" s="8">
        <v>97.43</v>
      </c>
      <c r="GW97" s="8">
        <v>99.59</v>
      </c>
      <c r="GX97" s="8">
        <v>96.46</v>
      </c>
      <c r="GY97" s="8">
        <v>96.82</v>
      </c>
      <c r="GZ97" s="8">
        <v>98.73</v>
      </c>
      <c r="HA97" s="8">
        <v>98.92</v>
      </c>
      <c r="HB97" s="8">
        <v>96.34</v>
      </c>
      <c r="HC97" s="8">
        <v>101.63</v>
      </c>
      <c r="HD97" s="8">
        <v>82.52</v>
      </c>
      <c r="HE97" s="8">
        <v>81.2</v>
      </c>
      <c r="HF97" s="8">
        <v>94.79</v>
      </c>
      <c r="HG97" s="8">
        <v>96.5</v>
      </c>
      <c r="HH97" s="8">
        <v>98.67</v>
      </c>
      <c r="HI97" s="8">
        <v>98.67</v>
      </c>
      <c r="HJ97" s="8">
        <v>94.04</v>
      </c>
      <c r="HK97" s="8">
        <v>94.04</v>
      </c>
      <c r="HL97" s="8">
        <v>97.24</v>
      </c>
      <c r="HM97" s="8">
        <v>98.33</v>
      </c>
      <c r="HN97" s="8">
        <v>95.8</v>
      </c>
      <c r="HO97" s="8">
        <v>97.25</v>
      </c>
      <c r="HP97" s="8">
        <v>96.79</v>
      </c>
      <c r="HQ97" s="8">
        <v>98.38</v>
      </c>
      <c r="HR97" s="8">
        <v>92.74</v>
      </c>
      <c r="HS97" s="8">
        <v>98.49</v>
      </c>
      <c r="HT97" s="8">
        <v>99.59</v>
      </c>
      <c r="HU97" s="8">
        <v>99.05</v>
      </c>
      <c r="HV97" s="8">
        <v>101.16</v>
      </c>
      <c r="HW97" s="8">
        <v>106.46</v>
      </c>
      <c r="HX97" s="8">
        <v>106.46</v>
      </c>
      <c r="HY97" s="8">
        <v>100.53</v>
      </c>
      <c r="HZ97" s="8">
        <v>100.85</v>
      </c>
      <c r="IA97" s="8">
        <v>102.46</v>
      </c>
      <c r="IB97" s="8">
        <v>101.22</v>
      </c>
      <c r="IC97" s="8">
        <v>98.32</v>
      </c>
      <c r="ID97" s="8">
        <v>99.37</v>
      </c>
      <c r="IE97" s="8">
        <v>98.49</v>
      </c>
      <c r="IF97" s="8">
        <v>97.23</v>
      </c>
      <c r="IG97" s="8">
        <v>100.49</v>
      </c>
      <c r="IH97" s="8">
        <v>93.43</v>
      </c>
      <c r="II97" s="8">
        <v>90.53</v>
      </c>
      <c r="IJ97" s="8">
        <v>95.25</v>
      </c>
      <c r="IK97" s="8">
        <v>92.94</v>
      </c>
      <c r="IL97" s="8">
        <v>97.17</v>
      </c>
      <c r="IM97" s="8">
        <v>100.88</v>
      </c>
      <c r="IN97" s="8">
        <v>101.3</v>
      </c>
      <c r="IO97" s="8">
        <v>98.92</v>
      </c>
      <c r="IP97" s="8">
        <v>96.52</v>
      </c>
      <c r="IQ97" s="8">
        <v>96.5</v>
      </c>
    </row>
    <row r="98" spans="1:251" x14ac:dyDescent="0.2">
      <c r="A98" s="9">
        <v>45627</v>
      </c>
      <c r="B98" s="8">
        <v>102.2</v>
      </c>
      <c r="C98" s="8">
        <v>94.6</v>
      </c>
      <c r="D98" s="8">
        <v>98.13</v>
      </c>
      <c r="E98" s="8">
        <v>91.21</v>
      </c>
      <c r="F98" s="8">
        <v>97.18</v>
      </c>
      <c r="G98" s="8">
        <v>99.45</v>
      </c>
      <c r="H98" s="8">
        <v>96.44</v>
      </c>
      <c r="I98" s="8">
        <v>107.79</v>
      </c>
      <c r="J98" s="8">
        <v>103.59</v>
      </c>
      <c r="K98" s="8">
        <v>112.26</v>
      </c>
      <c r="L98" s="8">
        <v>98.92</v>
      </c>
      <c r="M98" s="8">
        <v>97.31</v>
      </c>
      <c r="N98" s="8">
        <v>94.42</v>
      </c>
      <c r="O98" s="8">
        <v>101.12</v>
      </c>
      <c r="P98" s="8">
        <v>96.94</v>
      </c>
      <c r="Q98" s="8">
        <v>100.51</v>
      </c>
      <c r="R98" s="8">
        <v>101.28</v>
      </c>
      <c r="S98" s="8">
        <v>95.83</v>
      </c>
      <c r="T98" s="8">
        <v>95.83</v>
      </c>
      <c r="U98" s="8">
        <v>95.71</v>
      </c>
      <c r="V98" s="8">
        <v>95.15</v>
      </c>
      <c r="W98" s="8">
        <v>96.4</v>
      </c>
      <c r="X98" s="8">
        <v>99.53</v>
      </c>
      <c r="Y98" s="8">
        <v>97.68</v>
      </c>
      <c r="Z98" s="8">
        <v>97.68</v>
      </c>
      <c r="AA98" s="8">
        <v>100.43</v>
      </c>
      <c r="AB98" s="8">
        <v>95.94</v>
      </c>
      <c r="AC98" s="8">
        <v>100.77</v>
      </c>
      <c r="AD98" s="8">
        <v>96.1</v>
      </c>
      <c r="AE98" s="8">
        <v>97.43</v>
      </c>
      <c r="AF98" s="8">
        <v>99.89</v>
      </c>
      <c r="AG98" s="8">
        <v>100.33</v>
      </c>
      <c r="AH98" s="8">
        <v>98.34</v>
      </c>
      <c r="AI98" s="8">
        <v>103.63</v>
      </c>
      <c r="AJ98" s="8">
        <v>101.53</v>
      </c>
      <c r="AK98" s="8">
        <v>97.51</v>
      </c>
      <c r="AL98" s="8">
        <v>94.91</v>
      </c>
      <c r="AM98" s="8">
        <v>98.96</v>
      </c>
      <c r="AN98" s="8">
        <v>89.14</v>
      </c>
      <c r="AO98" s="8">
        <v>100.47</v>
      </c>
      <c r="AP98" s="8">
        <v>100.67</v>
      </c>
      <c r="AQ98" s="8">
        <v>99.63</v>
      </c>
      <c r="AR98" s="8">
        <v>98.51</v>
      </c>
      <c r="AS98" s="8">
        <v>98.36</v>
      </c>
      <c r="AT98" s="8">
        <v>99.87</v>
      </c>
      <c r="AU98" s="8">
        <v>97.22</v>
      </c>
      <c r="AV98" s="8">
        <v>95.45</v>
      </c>
      <c r="AW98" s="8">
        <v>95.19</v>
      </c>
      <c r="AX98" s="8">
        <v>95.69</v>
      </c>
      <c r="AY98" s="8">
        <v>97.4</v>
      </c>
      <c r="AZ98" s="8">
        <v>93.22</v>
      </c>
      <c r="BA98" s="8">
        <v>97.55</v>
      </c>
      <c r="BB98" s="8">
        <v>98.74</v>
      </c>
      <c r="BC98" s="8">
        <v>99</v>
      </c>
      <c r="BD98" s="8">
        <v>94.59</v>
      </c>
      <c r="BE98" s="8">
        <v>101.56</v>
      </c>
      <c r="BF98" s="8">
        <v>95.68</v>
      </c>
      <c r="BG98" s="8">
        <v>90.05</v>
      </c>
      <c r="BH98" s="8">
        <v>97.64</v>
      </c>
      <c r="BI98" s="8">
        <v>97.66</v>
      </c>
      <c r="BJ98" s="8">
        <v>98.2</v>
      </c>
      <c r="BK98" s="8">
        <v>97.11</v>
      </c>
      <c r="BL98" s="8">
        <v>94.97</v>
      </c>
      <c r="BM98" s="8">
        <v>96.72</v>
      </c>
      <c r="BN98" s="8">
        <v>96.13</v>
      </c>
      <c r="BO98" s="8">
        <v>96.01</v>
      </c>
      <c r="BP98" s="8">
        <v>97.45</v>
      </c>
      <c r="BQ98" s="8">
        <v>90.27</v>
      </c>
      <c r="BR98" s="8">
        <v>90.27</v>
      </c>
      <c r="BS98" s="8">
        <v>96.05</v>
      </c>
      <c r="BT98" s="8">
        <v>98.86</v>
      </c>
      <c r="BU98" s="8">
        <v>100.66</v>
      </c>
      <c r="BV98" s="8">
        <v>98.72</v>
      </c>
      <c r="BW98" s="8">
        <v>96.75</v>
      </c>
      <c r="BX98" s="8">
        <v>98.14</v>
      </c>
      <c r="BY98" s="8">
        <v>102.37</v>
      </c>
      <c r="BZ98" s="8">
        <v>94.14</v>
      </c>
      <c r="CA98" s="8">
        <v>105.94</v>
      </c>
      <c r="CB98" s="8">
        <v>87.55</v>
      </c>
      <c r="CC98" s="8">
        <v>86.32</v>
      </c>
      <c r="CD98" s="8">
        <v>96.75</v>
      </c>
      <c r="CE98" s="8">
        <v>89.79</v>
      </c>
      <c r="CF98" s="8">
        <v>95.38</v>
      </c>
      <c r="CG98" s="8">
        <v>95.38</v>
      </c>
      <c r="CH98" s="8">
        <v>97.14</v>
      </c>
      <c r="CI98" s="8">
        <v>97.14</v>
      </c>
      <c r="CJ98" s="8">
        <v>96.17</v>
      </c>
      <c r="CK98" s="8">
        <v>96.94</v>
      </c>
      <c r="CL98" s="8">
        <v>95.26</v>
      </c>
      <c r="CM98" s="8">
        <v>68.37</v>
      </c>
      <c r="CN98" s="8">
        <v>97.35</v>
      </c>
      <c r="CO98" s="8">
        <v>39.36</v>
      </c>
      <c r="CP98" s="8">
        <v>96.31</v>
      </c>
      <c r="CQ98" s="8">
        <v>97.52</v>
      </c>
      <c r="CR98" s="8">
        <v>97.87</v>
      </c>
      <c r="CS98" s="8">
        <v>98.3</v>
      </c>
      <c r="CT98" s="8">
        <v>96.29</v>
      </c>
      <c r="CU98" s="8">
        <v>91.61</v>
      </c>
      <c r="CV98" s="8">
        <v>91.61</v>
      </c>
      <c r="CW98" s="8">
        <v>98.21</v>
      </c>
      <c r="CX98" s="8">
        <v>99.33</v>
      </c>
      <c r="CY98" s="8">
        <v>94.52</v>
      </c>
      <c r="CZ98" s="8">
        <v>98.08</v>
      </c>
      <c r="DA98" s="8">
        <v>100.1</v>
      </c>
      <c r="DB98" s="8">
        <v>99.29</v>
      </c>
      <c r="DC98" s="8">
        <v>100.03</v>
      </c>
      <c r="DD98" s="8">
        <v>97.94</v>
      </c>
      <c r="DE98" s="8">
        <v>100.09</v>
      </c>
      <c r="DF98" s="8">
        <v>96.31</v>
      </c>
      <c r="DG98" s="8">
        <v>90.74</v>
      </c>
      <c r="DH98" s="8">
        <v>98.11</v>
      </c>
      <c r="DI98" s="8">
        <v>98.12</v>
      </c>
      <c r="DJ98" s="8">
        <v>95.59</v>
      </c>
      <c r="DK98" s="8">
        <v>98.28</v>
      </c>
      <c r="DL98" s="8">
        <v>98.86</v>
      </c>
      <c r="DM98" s="8">
        <v>94.52</v>
      </c>
      <c r="DN98" s="8">
        <v>95.11</v>
      </c>
      <c r="DO98" s="8">
        <v>94.77</v>
      </c>
      <c r="DP98" s="8">
        <v>98.08</v>
      </c>
      <c r="DQ98" s="8">
        <v>97.25</v>
      </c>
      <c r="DR98" s="8">
        <v>97.77</v>
      </c>
      <c r="DS98" s="8">
        <v>99.12</v>
      </c>
      <c r="DT98" s="8">
        <v>101.51</v>
      </c>
      <c r="DU98" s="8">
        <v>98.74</v>
      </c>
      <c r="DV98" s="8">
        <v>93.68</v>
      </c>
      <c r="DW98" s="8">
        <v>96.45</v>
      </c>
      <c r="DX98" s="8">
        <v>69.150000000000006</v>
      </c>
      <c r="DY98" s="8">
        <v>69.150000000000006</v>
      </c>
      <c r="DZ98" s="8">
        <v>98.73</v>
      </c>
      <c r="EA98" s="8">
        <v>98.73</v>
      </c>
      <c r="EB98" s="8">
        <v>95.05</v>
      </c>
      <c r="EC98" s="8">
        <v>98.88</v>
      </c>
      <c r="ED98" s="8">
        <v>101.62</v>
      </c>
      <c r="EE98" s="8">
        <v>94.77</v>
      </c>
      <c r="EF98" s="8">
        <v>97.4</v>
      </c>
      <c r="EG98" s="8">
        <v>91.71</v>
      </c>
      <c r="EH98" s="8">
        <v>95.57</v>
      </c>
      <c r="EI98" s="8">
        <v>101.09</v>
      </c>
      <c r="EJ98" s="8">
        <v>93.61</v>
      </c>
      <c r="EK98" s="8">
        <v>106.71</v>
      </c>
      <c r="EL98" s="8">
        <v>98.08</v>
      </c>
      <c r="EM98" s="8">
        <v>115.55</v>
      </c>
      <c r="EN98" s="8">
        <v>98.84</v>
      </c>
      <c r="EO98" s="8">
        <v>103.45</v>
      </c>
      <c r="EP98" s="8">
        <v>94.75</v>
      </c>
      <c r="EQ98" s="8">
        <v>100.72</v>
      </c>
      <c r="ER98" s="8">
        <v>94.7</v>
      </c>
      <c r="ES98" s="8">
        <v>96.38</v>
      </c>
      <c r="ET98" s="8">
        <v>103.88</v>
      </c>
      <c r="EU98" s="8">
        <v>94.7</v>
      </c>
      <c r="EV98" s="8">
        <v>94.7</v>
      </c>
      <c r="EW98" s="8">
        <v>94</v>
      </c>
      <c r="EX98" s="8">
        <v>93.99</v>
      </c>
      <c r="EY98" s="8">
        <v>96.51</v>
      </c>
      <c r="EZ98" s="8">
        <v>99.49</v>
      </c>
      <c r="FA98" s="8">
        <v>101.68</v>
      </c>
      <c r="FB98" s="8">
        <v>101.68</v>
      </c>
      <c r="FC98" s="8">
        <v>98.59</v>
      </c>
      <c r="FD98" s="8">
        <v>95.94</v>
      </c>
      <c r="FE98" s="8">
        <v>99.1</v>
      </c>
      <c r="FF98" s="8">
        <v>97.47</v>
      </c>
      <c r="FG98" s="8">
        <v>97.01</v>
      </c>
      <c r="FH98" s="8">
        <v>100.4</v>
      </c>
      <c r="FI98" s="8">
        <v>101.04</v>
      </c>
      <c r="FJ98" s="8">
        <v>98.86</v>
      </c>
      <c r="FK98" s="8">
        <v>104.4</v>
      </c>
      <c r="FL98" s="8">
        <v>102.57</v>
      </c>
      <c r="FM98" s="8">
        <v>97.86</v>
      </c>
      <c r="FN98" s="8">
        <v>94.11</v>
      </c>
      <c r="FO98" s="8">
        <v>98.33</v>
      </c>
      <c r="FP98" s="8">
        <v>89.06</v>
      </c>
      <c r="FQ98" s="8">
        <v>101.43</v>
      </c>
      <c r="FR98" s="8">
        <v>102.53</v>
      </c>
      <c r="FS98" s="8">
        <v>99.47</v>
      </c>
      <c r="FT98" s="8">
        <v>97.72</v>
      </c>
      <c r="FU98" s="8">
        <v>97</v>
      </c>
      <c r="FV98" s="8">
        <v>99.31</v>
      </c>
      <c r="FW98" s="8">
        <v>97.07</v>
      </c>
      <c r="FX98" s="8">
        <v>98.34</v>
      </c>
      <c r="FY98" s="8">
        <v>100.49</v>
      </c>
      <c r="FZ98" s="8">
        <v>97.11</v>
      </c>
      <c r="GA98" s="8">
        <v>97.92</v>
      </c>
      <c r="GB98" s="8">
        <v>92.04</v>
      </c>
      <c r="GC98" s="8">
        <v>97.33</v>
      </c>
      <c r="GD98" s="8">
        <v>98.58</v>
      </c>
      <c r="GE98" s="8">
        <v>100.57</v>
      </c>
      <c r="GF98" s="8">
        <v>95.92</v>
      </c>
      <c r="GG98" s="8">
        <v>101.52</v>
      </c>
      <c r="GH98" s="8">
        <v>89.22</v>
      </c>
      <c r="GI98" s="8">
        <v>90.24</v>
      </c>
      <c r="GJ98" s="8">
        <v>88.93</v>
      </c>
      <c r="GK98" s="8">
        <v>96.71</v>
      </c>
      <c r="GL98" s="8">
        <v>97.19</v>
      </c>
      <c r="GM98" s="8">
        <v>96.23</v>
      </c>
      <c r="GN98" s="8">
        <v>92.83</v>
      </c>
      <c r="GO98" s="8">
        <v>94.67</v>
      </c>
      <c r="GP98" s="8">
        <v>94.18</v>
      </c>
      <c r="GQ98" s="8">
        <v>97.71</v>
      </c>
      <c r="GR98" s="8">
        <v>93.08</v>
      </c>
      <c r="GS98" s="8">
        <v>89.66</v>
      </c>
      <c r="GT98" s="8">
        <v>89.66</v>
      </c>
      <c r="GU98" s="8">
        <v>96.35</v>
      </c>
      <c r="GV98" s="8">
        <v>97.82</v>
      </c>
      <c r="GW98" s="8">
        <v>99.35</v>
      </c>
      <c r="GX98" s="8">
        <v>97.61</v>
      </c>
      <c r="GY98" s="8">
        <v>95.98</v>
      </c>
      <c r="GZ98" s="8">
        <v>99.05</v>
      </c>
      <c r="HA98" s="8">
        <v>99.53</v>
      </c>
      <c r="HB98" s="8">
        <v>97.48</v>
      </c>
      <c r="HC98" s="8">
        <v>100.43</v>
      </c>
      <c r="HD98" s="8">
        <v>87.16</v>
      </c>
      <c r="HE98" s="8">
        <v>86.32</v>
      </c>
      <c r="HF98" s="8">
        <v>94.79</v>
      </c>
      <c r="HG98" s="8">
        <v>96.42</v>
      </c>
      <c r="HH98" s="8">
        <v>98.76</v>
      </c>
      <c r="HI98" s="8">
        <v>98.76</v>
      </c>
      <c r="HJ98" s="8">
        <v>93.57</v>
      </c>
      <c r="HK98" s="8">
        <v>93.57</v>
      </c>
      <c r="HL98" s="8">
        <v>97.27</v>
      </c>
      <c r="HM98" s="8">
        <v>98.39</v>
      </c>
      <c r="HN98" s="8">
        <v>95.8</v>
      </c>
      <c r="HO98" s="8">
        <v>97.49</v>
      </c>
      <c r="HP98" s="8">
        <v>96.54</v>
      </c>
      <c r="HQ98" s="8">
        <v>98.38</v>
      </c>
      <c r="HR98" s="8">
        <v>95.03</v>
      </c>
      <c r="HS98" s="8">
        <v>97.98</v>
      </c>
      <c r="HT98" s="8">
        <v>101</v>
      </c>
      <c r="HU98" s="8">
        <v>101.54</v>
      </c>
      <c r="HV98" s="8">
        <v>99.19</v>
      </c>
      <c r="HW98" s="8">
        <v>91.52</v>
      </c>
      <c r="HX98" s="8">
        <v>91.52</v>
      </c>
      <c r="HY98" s="8">
        <v>98.28</v>
      </c>
      <c r="HZ98" s="8">
        <v>95.84</v>
      </c>
      <c r="IA98" s="8">
        <v>98.7</v>
      </c>
      <c r="IB98" s="8">
        <v>100.25</v>
      </c>
      <c r="IC98" s="8">
        <v>98.45</v>
      </c>
      <c r="ID98" s="8">
        <v>100.36</v>
      </c>
      <c r="IE98" s="8">
        <v>100.91</v>
      </c>
      <c r="IF98" s="8">
        <v>98.28</v>
      </c>
      <c r="IG98" s="8">
        <v>101.28</v>
      </c>
      <c r="IH98" s="8">
        <v>94.06</v>
      </c>
      <c r="II98" s="8">
        <v>92.07</v>
      </c>
      <c r="IJ98" s="8">
        <v>95.5</v>
      </c>
      <c r="IK98" s="8">
        <v>93.46</v>
      </c>
      <c r="IL98" s="8">
        <v>96.62</v>
      </c>
      <c r="IM98" s="8">
        <v>100.49</v>
      </c>
      <c r="IN98" s="8">
        <v>100.8</v>
      </c>
      <c r="IO98" s="8">
        <v>99.05</v>
      </c>
      <c r="IP98" s="8">
        <v>95.94</v>
      </c>
      <c r="IQ98" s="8">
        <v>95.89</v>
      </c>
    </row>
    <row r="99" spans="1:251" x14ac:dyDescent="0.2">
      <c r="A99" s="9">
        <v>45658</v>
      </c>
      <c r="B99" s="8">
        <v>99.5</v>
      </c>
      <c r="C99" s="8">
        <v>95.2</v>
      </c>
      <c r="D99" s="8">
        <v>99.15</v>
      </c>
      <c r="E99" s="8">
        <v>91.4</v>
      </c>
      <c r="F99" s="8">
        <v>95.97</v>
      </c>
      <c r="G99" s="8">
        <v>99.2</v>
      </c>
      <c r="H99" s="8">
        <v>94.91</v>
      </c>
      <c r="I99" s="8">
        <v>100.42</v>
      </c>
      <c r="J99" s="8">
        <v>108.04</v>
      </c>
      <c r="K99" s="8">
        <v>92.31</v>
      </c>
      <c r="L99" s="8">
        <v>100.84</v>
      </c>
      <c r="M99" s="8">
        <v>98.16</v>
      </c>
      <c r="N99" s="8">
        <v>101.95</v>
      </c>
      <c r="O99" s="8">
        <v>102.6</v>
      </c>
      <c r="P99" s="8">
        <v>96.94</v>
      </c>
      <c r="Q99" s="8">
        <v>101.07</v>
      </c>
      <c r="R99" s="8">
        <v>102.3</v>
      </c>
      <c r="S99" s="8">
        <v>95.8</v>
      </c>
      <c r="T99" s="8">
        <v>95.8</v>
      </c>
      <c r="U99" s="8">
        <v>95.58</v>
      </c>
      <c r="V99" s="8">
        <v>95.15</v>
      </c>
      <c r="W99" s="8">
        <v>96.4</v>
      </c>
      <c r="X99" s="8">
        <v>100.2</v>
      </c>
      <c r="Y99" s="8">
        <v>99.72</v>
      </c>
      <c r="Z99" s="8">
        <v>99.72</v>
      </c>
      <c r="AA99" s="8">
        <v>100.43</v>
      </c>
      <c r="AB99" s="8">
        <v>95.99</v>
      </c>
      <c r="AC99" s="8">
        <v>100.77</v>
      </c>
      <c r="AD99" s="8">
        <v>95.86</v>
      </c>
      <c r="AE99" s="8">
        <v>98.29</v>
      </c>
      <c r="AF99" s="8">
        <v>100.71</v>
      </c>
      <c r="AG99" s="8">
        <v>100.77</v>
      </c>
      <c r="AH99" s="8">
        <v>100.37</v>
      </c>
      <c r="AI99" s="8">
        <v>102.11</v>
      </c>
      <c r="AJ99" s="8">
        <v>100.87</v>
      </c>
      <c r="AK99" s="8">
        <v>97.77</v>
      </c>
      <c r="AL99" s="8">
        <v>95.58</v>
      </c>
      <c r="AM99" s="8">
        <v>100.21</v>
      </c>
      <c r="AN99" s="8">
        <v>87.49</v>
      </c>
      <c r="AO99" s="8">
        <v>101.47</v>
      </c>
      <c r="AP99" s="8">
        <v>100.65</v>
      </c>
      <c r="AQ99" s="8">
        <v>99.54</v>
      </c>
      <c r="AR99" s="8">
        <v>98.51</v>
      </c>
      <c r="AS99" s="8">
        <v>97.97</v>
      </c>
      <c r="AT99" s="8">
        <v>100.72</v>
      </c>
      <c r="AU99" s="8">
        <v>96.81</v>
      </c>
      <c r="AV99" s="8">
        <v>98.95</v>
      </c>
      <c r="AW99" s="8">
        <v>101.18</v>
      </c>
      <c r="AX99" s="8">
        <v>96.92</v>
      </c>
      <c r="AY99" s="8">
        <v>98.77</v>
      </c>
      <c r="AZ99" s="8">
        <v>93.44</v>
      </c>
      <c r="BA99" s="8">
        <v>97.55</v>
      </c>
      <c r="BB99" s="8">
        <v>100.07</v>
      </c>
      <c r="BC99" s="8">
        <v>100.38</v>
      </c>
      <c r="BD99" s="8">
        <v>97.32</v>
      </c>
      <c r="BE99" s="8">
        <v>101.24</v>
      </c>
      <c r="BF99" s="8">
        <v>96.94</v>
      </c>
      <c r="BG99" s="8">
        <v>89.3</v>
      </c>
      <c r="BH99" s="8">
        <v>99.59</v>
      </c>
      <c r="BI99" s="8">
        <v>97.7</v>
      </c>
      <c r="BJ99" s="8">
        <v>98.21</v>
      </c>
      <c r="BK99" s="8">
        <v>97.18</v>
      </c>
      <c r="BL99" s="8">
        <v>95.97</v>
      </c>
      <c r="BM99" s="8">
        <v>97.92</v>
      </c>
      <c r="BN99" s="8">
        <v>97.98</v>
      </c>
      <c r="BO99" s="8">
        <v>98.5</v>
      </c>
      <c r="BP99" s="8">
        <v>97.5</v>
      </c>
      <c r="BQ99" s="8">
        <v>90.74</v>
      </c>
      <c r="BR99" s="8">
        <v>90.74</v>
      </c>
      <c r="BS99" s="8">
        <v>97.58</v>
      </c>
      <c r="BT99" s="8">
        <v>98.86</v>
      </c>
      <c r="BU99" s="8">
        <v>101.62</v>
      </c>
      <c r="BV99" s="8">
        <v>98.11</v>
      </c>
      <c r="BW99" s="8">
        <v>96.96</v>
      </c>
      <c r="BX99" s="8">
        <v>96.79</v>
      </c>
      <c r="BY99" s="8">
        <v>97.48</v>
      </c>
      <c r="BZ99" s="8">
        <v>93.36</v>
      </c>
      <c r="CA99" s="8">
        <v>107.64</v>
      </c>
      <c r="CB99" s="8">
        <v>94.72</v>
      </c>
      <c r="CC99" s="8">
        <v>94.45</v>
      </c>
      <c r="CD99" s="8">
        <v>96.75</v>
      </c>
      <c r="CE99" s="8">
        <v>88.44</v>
      </c>
      <c r="CF99" s="8">
        <v>95.86</v>
      </c>
      <c r="CG99" s="8">
        <v>95.86</v>
      </c>
      <c r="CH99" s="8">
        <v>97.26</v>
      </c>
      <c r="CI99" s="8">
        <v>97.26</v>
      </c>
      <c r="CJ99" s="8">
        <v>96.47</v>
      </c>
      <c r="CK99" s="8">
        <v>97.47</v>
      </c>
      <c r="CL99" s="8">
        <v>95.26</v>
      </c>
      <c r="CM99" s="8">
        <v>61.69</v>
      </c>
      <c r="CN99" s="8">
        <v>97.35</v>
      </c>
      <c r="CO99" s="8">
        <v>25.71</v>
      </c>
      <c r="CP99" s="8">
        <v>96.91</v>
      </c>
      <c r="CQ99" s="8">
        <v>98.01</v>
      </c>
      <c r="CR99" s="8">
        <v>97.07</v>
      </c>
      <c r="CS99" s="8">
        <v>97.37</v>
      </c>
      <c r="CT99" s="8">
        <v>95.97</v>
      </c>
      <c r="CU99" s="8">
        <v>92.43</v>
      </c>
      <c r="CV99" s="8">
        <v>92.43</v>
      </c>
      <c r="CW99" s="8">
        <v>101.33</v>
      </c>
      <c r="CX99" s="8">
        <v>99.89</v>
      </c>
      <c r="CY99" s="8">
        <v>100.28</v>
      </c>
      <c r="CZ99" s="8">
        <v>104.24</v>
      </c>
      <c r="DA99" s="8">
        <v>100.93</v>
      </c>
      <c r="DB99" s="8">
        <v>99.61</v>
      </c>
      <c r="DC99" s="8">
        <v>98.95</v>
      </c>
      <c r="DD99" s="8">
        <v>99.61</v>
      </c>
      <c r="DE99" s="8">
        <v>99.74</v>
      </c>
      <c r="DF99" s="8">
        <v>96.19</v>
      </c>
      <c r="DG99" s="8">
        <v>90.3</v>
      </c>
      <c r="DH99" s="8">
        <v>98.05</v>
      </c>
      <c r="DI99" s="8">
        <v>98.14</v>
      </c>
      <c r="DJ99" s="8">
        <v>98.02</v>
      </c>
      <c r="DK99" s="8">
        <v>102.87</v>
      </c>
      <c r="DL99" s="8">
        <v>103.78</v>
      </c>
      <c r="DM99" s="8">
        <v>96.91</v>
      </c>
      <c r="DN99" s="8">
        <v>97.15</v>
      </c>
      <c r="DO99" s="8">
        <v>97.05</v>
      </c>
      <c r="DP99" s="8">
        <v>98.07</v>
      </c>
      <c r="DQ99" s="8">
        <v>97.93</v>
      </c>
      <c r="DR99" s="8">
        <v>98.86</v>
      </c>
      <c r="DS99" s="8">
        <v>98.81</v>
      </c>
      <c r="DT99" s="8">
        <v>100.53</v>
      </c>
      <c r="DU99" s="8">
        <v>102.61</v>
      </c>
      <c r="DV99" s="8">
        <v>93.71</v>
      </c>
      <c r="DW99" s="8">
        <v>96.45</v>
      </c>
      <c r="DX99" s="8">
        <v>47.03</v>
      </c>
      <c r="DY99" s="8">
        <v>47.03</v>
      </c>
      <c r="DZ99" s="8">
        <v>98.37</v>
      </c>
      <c r="EA99" s="8">
        <v>98.37</v>
      </c>
      <c r="EB99" s="8">
        <v>95.03</v>
      </c>
      <c r="EC99" s="8">
        <v>98.51</v>
      </c>
      <c r="ED99" s="8">
        <v>97.47</v>
      </c>
      <c r="EE99" s="8">
        <v>95.92</v>
      </c>
      <c r="EF99" s="8">
        <v>99.46</v>
      </c>
      <c r="EG99" s="8">
        <v>91.8</v>
      </c>
      <c r="EH99" s="8">
        <v>96.95</v>
      </c>
      <c r="EI99" s="8">
        <v>101.59</v>
      </c>
      <c r="EJ99" s="8">
        <v>95.3</v>
      </c>
      <c r="EK99" s="8">
        <v>96.04</v>
      </c>
      <c r="EL99" s="8">
        <v>95.91</v>
      </c>
      <c r="EM99" s="8">
        <v>96.18</v>
      </c>
      <c r="EN99" s="8">
        <v>99.99</v>
      </c>
      <c r="EO99" s="8">
        <v>101.94</v>
      </c>
      <c r="EP99" s="8">
        <v>102.6</v>
      </c>
      <c r="EQ99" s="8">
        <v>102.41</v>
      </c>
      <c r="ER99" s="8">
        <v>94.7</v>
      </c>
      <c r="ES99" s="8">
        <v>96.8</v>
      </c>
      <c r="ET99" s="8">
        <v>104.29</v>
      </c>
      <c r="EU99" s="8">
        <v>94.7</v>
      </c>
      <c r="EV99" s="8">
        <v>94.7</v>
      </c>
      <c r="EW99" s="8">
        <v>94</v>
      </c>
      <c r="EX99" s="8">
        <v>93.99</v>
      </c>
      <c r="EY99" s="8">
        <v>96.51</v>
      </c>
      <c r="EZ99" s="8">
        <v>99.62</v>
      </c>
      <c r="FA99" s="8">
        <v>102.08</v>
      </c>
      <c r="FB99" s="8">
        <v>102.08</v>
      </c>
      <c r="FC99" s="8">
        <v>98.6</v>
      </c>
      <c r="FD99" s="8">
        <v>95.99</v>
      </c>
      <c r="FE99" s="8">
        <v>99.1</v>
      </c>
      <c r="FF99" s="8">
        <v>97.73</v>
      </c>
      <c r="FG99" s="8">
        <v>98.13</v>
      </c>
      <c r="FH99" s="8">
        <v>102.31</v>
      </c>
      <c r="FI99" s="8">
        <v>102.68</v>
      </c>
      <c r="FJ99" s="8">
        <v>102.01</v>
      </c>
      <c r="FK99" s="8">
        <v>103.68</v>
      </c>
      <c r="FL99" s="8">
        <v>101.22</v>
      </c>
      <c r="FM99" s="8">
        <v>98.69</v>
      </c>
      <c r="FN99" s="8">
        <v>95.12</v>
      </c>
      <c r="FO99" s="8">
        <v>100.35</v>
      </c>
      <c r="FP99" s="8">
        <v>90.38</v>
      </c>
      <c r="FQ99" s="8">
        <v>102.5</v>
      </c>
      <c r="FR99" s="8">
        <v>102.41</v>
      </c>
      <c r="FS99" s="8">
        <v>99.51</v>
      </c>
      <c r="FT99" s="8">
        <v>97.88</v>
      </c>
      <c r="FU99" s="8">
        <v>96.89</v>
      </c>
      <c r="FV99" s="8">
        <v>100.51</v>
      </c>
      <c r="FW99" s="8">
        <v>96.5</v>
      </c>
      <c r="FX99" s="8">
        <v>100.49</v>
      </c>
      <c r="FY99" s="8">
        <v>101.32</v>
      </c>
      <c r="FZ99" s="8">
        <v>100.02</v>
      </c>
      <c r="GA99" s="8">
        <v>99.78</v>
      </c>
      <c r="GB99" s="8">
        <v>92.34</v>
      </c>
      <c r="GC99" s="8">
        <v>97.38</v>
      </c>
      <c r="GD99" s="8">
        <v>100.51</v>
      </c>
      <c r="GE99" s="8">
        <v>101.6</v>
      </c>
      <c r="GF99" s="8">
        <v>99.42</v>
      </c>
      <c r="GG99" s="8">
        <v>101.36</v>
      </c>
      <c r="GH99" s="8">
        <v>90.67</v>
      </c>
      <c r="GI99" s="8">
        <v>89.97</v>
      </c>
      <c r="GJ99" s="8">
        <v>90.87</v>
      </c>
      <c r="GK99" s="8">
        <v>97.22</v>
      </c>
      <c r="GL99" s="8">
        <v>97.8</v>
      </c>
      <c r="GM99" s="8">
        <v>96.66</v>
      </c>
      <c r="GN99" s="8">
        <v>93.72</v>
      </c>
      <c r="GO99" s="8">
        <v>95.79</v>
      </c>
      <c r="GP99" s="8">
        <v>95.14</v>
      </c>
      <c r="GQ99" s="8">
        <v>99.24</v>
      </c>
      <c r="GR99" s="8">
        <v>94.01</v>
      </c>
      <c r="GS99" s="8">
        <v>90.14</v>
      </c>
      <c r="GT99" s="8">
        <v>90.14</v>
      </c>
      <c r="GU99" s="8">
        <v>96.37</v>
      </c>
      <c r="GV99" s="8">
        <v>97.13</v>
      </c>
      <c r="GW99" s="8">
        <v>99.46</v>
      </c>
      <c r="GX99" s="8">
        <v>97.57</v>
      </c>
      <c r="GY99" s="8">
        <v>92.04</v>
      </c>
      <c r="GZ99" s="8">
        <v>99.23</v>
      </c>
      <c r="HA99" s="8">
        <v>99.19</v>
      </c>
      <c r="HB99" s="8">
        <v>95.86</v>
      </c>
      <c r="HC99" s="8">
        <v>103.74</v>
      </c>
      <c r="HD99" s="8">
        <v>89.79</v>
      </c>
      <c r="HE99" s="8">
        <v>89.21</v>
      </c>
      <c r="HF99" s="8">
        <v>95.06</v>
      </c>
      <c r="HG99" s="8">
        <v>96.57</v>
      </c>
      <c r="HH99" s="8">
        <v>98.88</v>
      </c>
      <c r="HI99" s="8">
        <v>98.88</v>
      </c>
      <c r="HJ99" s="8">
        <v>93.58</v>
      </c>
      <c r="HK99" s="8">
        <v>93.58</v>
      </c>
      <c r="HL99" s="8">
        <v>97.52</v>
      </c>
      <c r="HM99" s="8">
        <v>98.83</v>
      </c>
      <c r="HN99" s="8">
        <v>95.8</v>
      </c>
      <c r="HO99" s="8">
        <v>97.81</v>
      </c>
      <c r="HP99" s="8">
        <v>96.54</v>
      </c>
      <c r="HQ99" s="8">
        <v>98.38</v>
      </c>
      <c r="HR99" s="8">
        <v>97.83</v>
      </c>
      <c r="HS99" s="8">
        <v>97.41</v>
      </c>
      <c r="HT99" s="8">
        <v>95.76</v>
      </c>
      <c r="HU99" s="8">
        <v>94.75</v>
      </c>
      <c r="HV99" s="8">
        <v>99.19</v>
      </c>
      <c r="HW99" s="8">
        <v>92.38</v>
      </c>
      <c r="HX99" s="8">
        <v>92.38</v>
      </c>
      <c r="HY99" s="8">
        <v>99.73</v>
      </c>
      <c r="HZ99" s="8">
        <v>98.85</v>
      </c>
      <c r="IA99" s="8">
        <v>100.45</v>
      </c>
      <c r="IB99" s="8">
        <v>101.06</v>
      </c>
      <c r="IC99" s="8">
        <v>98.9</v>
      </c>
      <c r="ID99" s="8">
        <v>100.65</v>
      </c>
      <c r="IE99" s="8">
        <v>99.42</v>
      </c>
      <c r="IF99" s="8">
        <v>100.16</v>
      </c>
      <c r="IG99" s="8">
        <v>101.03</v>
      </c>
      <c r="IH99" s="8">
        <v>93.78</v>
      </c>
      <c r="II99" s="8">
        <v>91.11</v>
      </c>
      <c r="IJ99" s="8">
        <v>95.79</v>
      </c>
      <c r="IK99" s="8">
        <v>92.87</v>
      </c>
      <c r="IL99" s="8">
        <v>99.02</v>
      </c>
      <c r="IM99" s="8">
        <v>105.46</v>
      </c>
      <c r="IN99" s="8">
        <v>106.96</v>
      </c>
      <c r="IO99" s="8">
        <v>98.5</v>
      </c>
      <c r="IP99" s="8">
        <v>97.89</v>
      </c>
      <c r="IQ99" s="8">
        <v>98.02</v>
      </c>
    </row>
    <row r="100" spans="1:251" x14ac:dyDescent="0.2">
      <c r="A100" s="9">
        <v>45689</v>
      </c>
      <c r="B100" s="8">
        <v>97.43</v>
      </c>
      <c r="C100" s="8">
        <v>95.74</v>
      </c>
      <c r="D100" s="8">
        <v>99.47</v>
      </c>
      <c r="E100" s="8">
        <v>92.16</v>
      </c>
      <c r="F100" s="8">
        <v>97.98</v>
      </c>
      <c r="G100" s="8">
        <v>103.3</v>
      </c>
      <c r="H100" s="8">
        <v>96.24</v>
      </c>
      <c r="I100" s="8">
        <v>95.82</v>
      </c>
      <c r="J100" s="8">
        <v>100.48</v>
      </c>
      <c r="K100" s="8">
        <v>90.85</v>
      </c>
      <c r="L100" s="8">
        <v>100.46</v>
      </c>
      <c r="M100" s="8">
        <v>96.49</v>
      </c>
      <c r="N100" s="8">
        <v>101.12</v>
      </c>
      <c r="O100" s="8">
        <v>101.39</v>
      </c>
      <c r="P100" s="8">
        <v>97.97</v>
      </c>
      <c r="Q100" s="8">
        <v>101.15</v>
      </c>
      <c r="R100" s="8">
        <v>102.19</v>
      </c>
      <c r="S100" s="8">
        <v>99.87</v>
      </c>
      <c r="T100" s="8">
        <v>99.87</v>
      </c>
      <c r="U100" s="8">
        <v>99.37</v>
      </c>
      <c r="V100" s="8">
        <v>100</v>
      </c>
      <c r="W100" s="8">
        <v>100</v>
      </c>
      <c r="X100" s="8">
        <v>100.28</v>
      </c>
      <c r="Y100" s="8">
        <v>99.91</v>
      </c>
      <c r="Z100" s="8">
        <v>99.91</v>
      </c>
      <c r="AA100" s="8">
        <v>100.45</v>
      </c>
      <c r="AB100" s="8">
        <v>96.32</v>
      </c>
      <c r="AC100" s="8">
        <v>100.77</v>
      </c>
      <c r="AD100" s="8">
        <v>96.45</v>
      </c>
      <c r="AE100" s="8">
        <v>98.11</v>
      </c>
      <c r="AF100" s="8">
        <v>99.67</v>
      </c>
      <c r="AG100" s="8">
        <v>100.54</v>
      </c>
      <c r="AH100" s="8">
        <v>98.59</v>
      </c>
      <c r="AI100" s="8">
        <v>100</v>
      </c>
      <c r="AJ100" s="8">
        <v>100.16</v>
      </c>
      <c r="AK100" s="8">
        <v>97.6</v>
      </c>
      <c r="AL100" s="8">
        <v>94.47</v>
      </c>
      <c r="AM100" s="8">
        <v>99.82</v>
      </c>
      <c r="AN100" s="8">
        <v>89.09</v>
      </c>
      <c r="AO100" s="8">
        <v>100.53</v>
      </c>
      <c r="AP100" s="8">
        <v>101.68</v>
      </c>
      <c r="AQ100" s="8">
        <v>99.07</v>
      </c>
      <c r="AR100" s="8">
        <v>97.9</v>
      </c>
      <c r="AS100" s="8">
        <v>97.49</v>
      </c>
      <c r="AT100" s="8">
        <v>100.43</v>
      </c>
      <c r="AU100" s="8">
        <v>95.69</v>
      </c>
      <c r="AV100" s="8">
        <v>98.76</v>
      </c>
      <c r="AW100" s="8">
        <v>100.57</v>
      </c>
      <c r="AX100" s="8">
        <v>97.11</v>
      </c>
      <c r="AY100" s="8">
        <v>97.6</v>
      </c>
      <c r="AZ100" s="8">
        <v>93.56</v>
      </c>
      <c r="BA100" s="8">
        <v>97.1</v>
      </c>
      <c r="BB100" s="8">
        <v>99.46</v>
      </c>
      <c r="BC100" s="8">
        <v>100.37</v>
      </c>
      <c r="BD100" s="8">
        <v>94.92</v>
      </c>
      <c r="BE100" s="8">
        <v>100.71</v>
      </c>
      <c r="BF100" s="8">
        <v>98.7</v>
      </c>
      <c r="BG100" s="8">
        <v>90.81</v>
      </c>
      <c r="BH100" s="8">
        <v>101.44</v>
      </c>
      <c r="BI100" s="8">
        <v>97.81</v>
      </c>
      <c r="BJ100" s="8">
        <v>98.46</v>
      </c>
      <c r="BK100" s="8">
        <v>97.16</v>
      </c>
      <c r="BL100" s="8">
        <v>96.79</v>
      </c>
      <c r="BM100" s="8">
        <v>98.82</v>
      </c>
      <c r="BN100" s="8">
        <v>100.22</v>
      </c>
      <c r="BO100" s="8">
        <v>97.58</v>
      </c>
      <c r="BP100" s="8">
        <v>99.01</v>
      </c>
      <c r="BQ100" s="8">
        <v>91.33</v>
      </c>
      <c r="BR100" s="8">
        <v>91.33</v>
      </c>
      <c r="BS100" s="8">
        <v>101.63</v>
      </c>
      <c r="BT100" s="8">
        <v>103.81</v>
      </c>
      <c r="BU100" s="8">
        <v>104.98</v>
      </c>
      <c r="BV100" s="8">
        <v>104.64</v>
      </c>
      <c r="BW100" s="8">
        <v>100.15</v>
      </c>
      <c r="BX100" s="8">
        <v>103.75</v>
      </c>
      <c r="BY100" s="8">
        <v>104.47</v>
      </c>
      <c r="BZ100" s="8">
        <v>101.96</v>
      </c>
      <c r="CA100" s="8">
        <v>108.91</v>
      </c>
      <c r="CB100" s="8">
        <v>94.74</v>
      </c>
      <c r="CC100" s="8">
        <v>94.48</v>
      </c>
      <c r="CD100" s="8">
        <v>96.75</v>
      </c>
      <c r="CE100" s="8">
        <v>88.64</v>
      </c>
      <c r="CF100" s="8">
        <v>96.51</v>
      </c>
      <c r="CG100" s="8">
        <v>96.51</v>
      </c>
      <c r="CH100" s="8">
        <v>97.31</v>
      </c>
      <c r="CI100" s="8">
        <v>97.31</v>
      </c>
      <c r="CJ100" s="8">
        <v>96.64</v>
      </c>
      <c r="CK100" s="8">
        <v>97.79</v>
      </c>
      <c r="CL100" s="8">
        <v>95.26</v>
      </c>
      <c r="CM100" s="8">
        <v>61.69</v>
      </c>
      <c r="CN100" s="8">
        <v>97.35</v>
      </c>
      <c r="CO100" s="8">
        <v>25.71</v>
      </c>
      <c r="CP100" s="8">
        <v>96.91</v>
      </c>
      <c r="CQ100" s="8">
        <v>98.58</v>
      </c>
      <c r="CR100" s="8">
        <v>98.57</v>
      </c>
      <c r="CS100" s="8">
        <v>99.43</v>
      </c>
      <c r="CT100" s="8">
        <v>95.34</v>
      </c>
      <c r="CU100" s="8">
        <v>99.01</v>
      </c>
      <c r="CV100" s="8">
        <v>99.01</v>
      </c>
      <c r="CW100" s="8">
        <v>100.18</v>
      </c>
      <c r="CX100" s="8">
        <v>100.16</v>
      </c>
      <c r="CY100" s="8">
        <v>99.86</v>
      </c>
      <c r="CZ100" s="8">
        <v>100.18</v>
      </c>
      <c r="DA100" s="8">
        <v>100.45</v>
      </c>
      <c r="DB100" s="8">
        <v>99.57</v>
      </c>
      <c r="DC100" s="8">
        <v>98.92</v>
      </c>
      <c r="DD100" s="8">
        <v>99.28</v>
      </c>
      <c r="DE100" s="8">
        <v>99.93</v>
      </c>
      <c r="DF100" s="8">
        <v>96.44</v>
      </c>
      <c r="DG100" s="8">
        <v>91.29</v>
      </c>
      <c r="DH100" s="8">
        <v>98.12</v>
      </c>
      <c r="DI100" s="8">
        <v>98.1</v>
      </c>
      <c r="DJ100" s="8">
        <v>98.65</v>
      </c>
      <c r="DK100" s="8">
        <v>103.59</v>
      </c>
      <c r="DL100" s="8">
        <v>104.62</v>
      </c>
      <c r="DM100" s="8">
        <v>96.85</v>
      </c>
      <c r="DN100" s="8">
        <v>97.77</v>
      </c>
      <c r="DO100" s="8">
        <v>97.73</v>
      </c>
      <c r="DP100" s="8">
        <v>98.07</v>
      </c>
      <c r="DQ100" s="8">
        <v>98.84</v>
      </c>
      <c r="DR100" s="8">
        <v>98.99</v>
      </c>
      <c r="DS100" s="8">
        <v>98.83</v>
      </c>
      <c r="DT100" s="8">
        <v>103.47</v>
      </c>
      <c r="DU100" s="8">
        <v>102.19</v>
      </c>
      <c r="DV100" s="8">
        <v>93.61</v>
      </c>
      <c r="DW100" s="8">
        <v>96.45</v>
      </c>
      <c r="DX100" s="8">
        <v>90.96</v>
      </c>
      <c r="DY100" s="8">
        <v>90.96</v>
      </c>
      <c r="DZ100" s="8">
        <v>99.1</v>
      </c>
      <c r="EA100" s="8">
        <v>99.1</v>
      </c>
      <c r="EB100" s="8">
        <v>96.36</v>
      </c>
      <c r="EC100" s="8">
        <v>99.22</v>
      </c>
      <c r="ED100" s="8">
        <v>96.88</v>
      </c>
      <c r="EE100" s="8">
        <v>96.43</v>
      </c>
      <c r="EF100" s="8">
        <v>100.08</v>
      </c>
      <c r="EG100" s="8">
        <v>92.17</v>
      </c>
      <c r="EH100" s="8">
        <v>99.75</v>
      </c>
      <c r="EI100" s="8">
        <v>102.07</v>
      </c>
      <c r="EJ100" s="8">
        <v>98.93</v>
      </c>
      <c r="EK100" s="8">
        <v>94.06</v>
      </c>
      <c r="EL100" s="8">
        <v>95.3</v>
      </c>
      <c r="EM100" s="8">
        <v>92.79</v>
      </c>
      <c r="EN100" s="8">
        <v>100.28</v>
      </c>
      <c r="EO100" s="8">
        <v>102.99</v>
      </c>
      <c r="EP100" s="8">
        <v>101.61</v>
      </c>
      <c r="EQ100" s="8">
        <v>100.76</v>
      </c>
      <c r="ER100" s="8">
        <v>94.7</v>
      </c>
      <c r="ES100" s="8">
        <v>97.75</v>
      </c>
      <c r="ET100" s="8">
        <v>105.44</v>
      </c>
      <c r="EU100" s="8">
        <v>99.95</v>
      </c>
      <c r="EV100" s="8">
        <v>99.95</v>
      </c>
      <c r="EW100" s="8">
        <v>99.88</v>
      </c>
      <c r="EX100" s="8">
        <v>100</v>
      </c>
      <c r="EY100" s="8">
        <v>99.9</v>
      </c>
      <c r="EZ100" s="8">
        <v>99.72</v>
      </c>
      <c r="FA100" s="8">
        <v>102.3</v>
      </c>
      <c r="FB100" s="8">
        <v>102.3</v>
      </c>
      <c r="FC100" s="8">
        <v>98.65</v>
      </c>
      <c r="FD100" s="8">
        <v>96.32</v>
      </c>
      <c r="FE100" s="8">
        <v>99.1</v>
      </c>
      <c r="FF100" s="8">
        <v>97.52</v>
      </c>
      <c r="FG100" s="8">
        <v>97.68</v>
      </c>
      <c r="FH100" s="8">
        <v>100.92</v>
      </c>
      <c r="FI100" s="8">
        <v>103.13</v>
      </c>
      <c r="FJ100" s="8">
        <v>99.01</v>
      </c>
      <c r="FK100" s="8">
        <v>100.53</v>
      </c>
      <c r="FL100" s="8">
        <v>100.6</v>
      </c>
      <c r="FM100" s="8">
        <v>98.04</v>
      </c>
      <c r="FN100" s="8">
        <v>93.08</v>
      </c>
      <c r="FO100" s="8">
        <v>100.53</v>
      </c>
      <c r="FP100" s="8">
        <v>89.83</v>
      </c>
      <c r="FQ100" s="8">
        <v>101.53</v>
      </c>
      <c r="FR100" s="8">
        <v>103.13</v>
      </c>
      <c r="FS100" s="8">
        <v>98.54</v>
      </c>
      <c r="FT100" s="8">
        <v>96.99</v>
      </c>
      <c r="FU100" s="8">
        <v>95.87</v>
      </c>
      <c r="FV100" s="8">
        <v>100.56</v>
      </c>
      <c r="FW100" s="8">
        <v>94.78</v>
      </c>
      <c r="FX100" s="8">
        <v>99.79</v>
      </c>
      <c r="FY100" s="8">
        <v>99.23</v>
      </c>
      <c r="FZ100" s="8">
        <v>100.11</v>
      </c>
      <c r="GA100" s="8">
        <v>97.64</v>
      </c>
      <c r="GB100" s="8">
        <v>92.21</v>
      </c>
      <c r="GC100" s="8">
        <v>96.62</v>
      </c>
      <c r="GD100" s="8">
        <v>99.7</v>
      </c>
      <c r="GE100" s="8">
        <v>100.99</v>
      </c>
      <c r="GF100" s="8">
        <v>95.6</v>
      </c>
      <c r="GG100" s="8">
        <v>100.02</v>
      </c>
      <c r="GH100" s="8">
        <v>92.81</v>
      </c>
      <c r="GI100" s="8">
        <v>91.59</v>
      </c>
      <c r="GJ100" s="8">
        <v>93.16</v>
      </c>
      <c r="GK100" s="8">
        <v>97.37</v>
      </c>
      <c r="GL100" s="8">
        <v>97.7</v>
      </c>
      <c r="GM100" s="8">
        <v>97.04</v>
      </c>
      <c r="GN100" s="8">
        <v>94.49</v>
      </c>
      <c r="GO100" s="8">
        <v>96.79</v>
      </c>
      <c r="GP100" s="8">
        <v>97.57</v>
      </c>
      <c r="GQ100" s="8">
        <v>99.9</v>
      </c>
      <c r="GR100" s="8">
        <v>94.75</v>
      </c>
      <c r="GS100" s="8">
        <v>90.52</v>
      </c>
      <c r="GT100" s="8">
        <v>90.52</v>
      </c>
      <c r="GU100" s="8">
        <v>98.66</v>
      </c>
      <c r="GV100" s="8">
        <v>99.18</v>
      </c>
      <c r="GW100" s="8">
        <v>102.86</v>
      </c>
      <c r="GX100" s="8">
        <v>100.52</v>
      </c>
      <c r="GY100" s="8">
        <v>89.19</v>
      </c>
      <c r="GZ100" s="8">
        <v>102.96</v>
      </c>
      <c r="HA100" s="8">
        <v>104.37</v>
      </c>
      <c r="HB100" s="8">
        <v>101.72</v>
      </c>
      <c r="HC100" s="8">
        <v>102.58</v>
      </c>
      <c r="HD100" s="8">
        <v>91.35</v>
      </c>
      <c r="HE100" s="8">
        <v>90.95</v>
      </c>
      <c r="HF100" s="8">
        <v>95.06</v>
      </c>
      <c r="HG100" s="8">
        <v>96.54</v>
      </c>
      <c r="HH100" s="8">
        <v>99.04</v>
      </c>
      <c r="HI100" s="8">
        <v>99.04</v>
      </c>
      <c r="HJ100" s="8">
        <v>93.56</v>
      </c>
      <c r="HK100" s="8">
        <v>93.56</v>
      </c>
      <c r="HL100" s="8">
        <v>97.46</v>
      </c>
      <c r="HM100" s="8">
        <v>98.72</v>
      </c>
      <c r="HN100" s="8">
        <v>95.8</v>
      </c>
      <c r="HO100" s="8">
        <v>97.58</v>
      </c>
      <c r="HP100" s="8">
        <v>96.54</v>
      </c>
      <c r="HQ100" s="8">
        <v>98.38</v>
      </c>
      <c r="HR100" s="8">
        <v>95.78</v>
      </c>
      <c r="HS100" s="8">
        <v>98.65</v>
      </c>
      <c r="HT100" s="8">
        <v>99.45</v>
      </c>
      <c r="HU100" s="8">
        <v>99.63</v>
      </c>
      <c r="HV100" s="8">
        <v>98.84</v>
      </c>
      <c r="HW100" s="8">
        <v>103.49</v>
      </c>
      <c r="HX100" s="8">
        <v>103.49</v>
      </c>
      <c r="HY100" s="8">
        <v>99.63</v>
      </c>
      <c r="HZ100" s="8">
        <v>101.19</v>
      </c>
      <c r="IA100" s="8">
        <v>102.04</v>
      </c>
      <c r="IB100" s="8">
        <v>98.68</v>
      </c>
      <c r="IC100" s="8">
        <v>97.35</v>
      </c>
      <c r="ID100" s="8">
        <v>100.36</v>
      </c>
      <c r="IE100" s="8">
        <v>99.42</v>
      </c>
      <c r="IF100" s="8">
        <v>99.7</v>
      </c>
      <c r="IG100" s="8">
        <v>100.78</v>
      </c>
      <c r="IH100" s="8">
        <v>94.07</v>
      </c>
      <c r="II100" s="8">
        <v>88.29</v>
      </c>
      <c r="IJ100" s="8">
        <v>97</v>
      </c>
      <c r="IK100" s="8">
        <v>94.1</v>
      </c>
      <c r="IL100" s="8">
        <v>98.78</v>
      </c>
      <c r="IM100" s="8">
        <v>106.11</v>
      </c>
      <c r="IN100" s="8">
        <v>107.64</v>
      </c>
      <c r="IO100" s="8">
        <v>99.06</v>
      </c>
      <c r="IP100" s="8">
        <v>97.49</v>
      </c>
      <c r="IQ100" s="8">
        <v>97.5</v>
      </c>
    </row>
    <row r="101" spans="1:251" x14ac:dyDescent="0.2">
      <c r="A101" s="9">
        <v>45717</v>
      </c>
      <c r="B101" s="8">
        <v>96.52</v>
      </c>
      <c r="C101" s="8">
        <v>97.18</v>
      </c>
      <c r="D101" s="8">
        <v>101.4</v>
      </c>
      <c r="E101" s="8">
        <v>93.12</v>
      </c>
      <c r="F101" s="8">
        <v>97.38</v>
      </c>
      <c r="G101" s="8">
        <v>100.59</v>
      </c>
      <c r="H101" s="8">
        <v>96.33</v>
      </c>
      <c r="I101" s="8">
        <v>95.36</v>
      </c>
      <c r="J101" s="8">
        <v>100.73</v>
      </c>
      <c r="K101" s="8">
        <v>89.64</v>
      </c>
      <c r="L101" s="8">
        <v>97.7</v>
      </c>
      <c r="M101" s="8">
        <v>99.12</v>
      </c>
      <c r="N101" s="8">
        <v>99.26</v>
      </c>
      <c r="O101" s="8">
        <v>101.09</v>
      </c>
      <c r="P101" s="8">
        <v>97.97</v>
      </c>
      <c r="Q101" s="8">
        <v>91.5</v>
      </c>
      <c r="R101" s="8">
        <v>100.15</v>
      </c>
      <c r="S101" s="8">
        <v>99.93</v>
      </c>
      <c r="T101" s="8">
        <v>99.93</v>
      </c>
      <c r="U101" s="8">
        <v>99.65</v>
      </c>
      <c r="V101" s="8">
        <v>100</v>
      </c>
      <c r="W101" s="8">
        <v>100</v>
      </c>
      <c r="X101" s="8">
        <v>99.69</v>
      </c>
      <c r="Y101" s="8">
        <v>100.23</v>
      </c>
      <c r="Z101" s="8">
        <v>100.23</v>
      </c>
      <c r="AA101" s="8">
        <v>99.43</v>
      </c>
      <c r="AB101" s="8">
        <v>98.47</v>
      </c>
      <c r="AC101" s="8">
        <v>99.51</v>
      </c>
      <c r="AD101" s="8">
        <v>97.9</v>
      </c>
      <c r="AE101" s="8">
        <v>98.7</v>
      </c>
      <c r="AF101" s="8">
        <v>100.19</v>
      </c>
      <c r="AG101" s="8">
        <v>100.72</v>
      </c>
      <c r="AH101" s="8">
        <v>99.38</v>
      </c>
      <c r="AI101" s="8">
        <v>100.65</v>
      </c>
      <c r="AJ101" s="8">
        <v>100.85</v>
      </c>
      <c r="AK101" s="8">
        <v>98.31</v>
      </c>
      <c r="AL101" s="8">
        <v>96.73</v>
      </c>
      <c r="AM101" s="8">
        <v>100.72</v>
      </c>
      <c r="AN101" s="8">
        <v>89.62</v>
      </c>
      <c r="AO101" s="8">
        <v>100.97</v>
      </c>
      <c r="AP101" s="8">
        <v>101.98</v>
      </c>
      <c r="AQ101" s="8">
        <v>98.44</v>
      </c>
      <c r="AR101" s="8">
        <v>98.6</v>
      </c>
      <c r="AS101" s="8">
        <v>97.31</v>
      </c>
      <c r="AT101" s="8">
        <v>101.02</v>
      </c>
      <c r="AU101" s="8">
        <v>97.59</v>
      </c>
      <c r="AV101" s="8">
        <v>100.29</v>
      </c>
      <c r="AW101" s="8">
        <v>102.2</v>
      </c>
      <c r="AX101" s="8">
        <v>98.55</v>
      </c>
      <c r="AY101" s="8">
        <v>97.76</v>
      </c>
      <c r="AZ101" s="8">
        <v>95.93</v>
      </c>
      <c r="BA101" s="8">
        <v>97.77</v>
      </c>
      <c r="BB101" s="8">
        <v>99.38</v>
      </c>
      <c r="BC101" s="8">
        <v>98.6</v>
      </c>
      <c r="BD101" s="8">
        <v>95.57</v>
      </c>
      <c r="BE101" s="8">
        <v>100.52</v>
      </c>
      <c r="BF101" s="8">
        <v>99.51</v>
      </c>
      <c r="BG101" s="8">
        <v>91.09</v>
      </c>
      <c r="BH101" s="8">
        <v>102.44</v>
      </c>
      <c r="BI101" s="8">
        <v>98.15</v>
      </c>
      <c r="BJ101" s="8">
        <v>99</v>
      </c>
      <c r="BK101" s="8">
        <v>97.29</v>
      </c>
      <c r="BL101" s="8">
        <v>97.64</v>
      </c>
      <c r="BM101" s="8">
        <v>99.51</v>
      </c>
      <c r="BN101" s="8">
        <v>100.01</v>
      </c>
      <c r="BO101" s="8">
        <v>99.86</v>
      </c>
      <c r="BP101" s="8">
        <v>99.06</v>
      </c>
      <c r="BQ101" s="8">
        <v>92.63</v>
      </c>
      <c r="BR101" s="8">
        <v>92.63</v>
      </c>
      <c r="BS101" s="8">
        <v>96.88</v>
      </c>
      <c r="BT101" s="8">
        <v>98.51</v>
      </c>
      <c r="BU101" s="8">
        <v>101.2</v>
      </c>
      <c r="BV101" s="8">
        <v>98.11</v>
      </c>
      <c r="BW101" s="8">
        <v>95.82</v>
      </c>
      <c r="BX101" s="8">
        <v>99.18</v>
      </c>
      <c r="BY101" s="8">
        <v>100.2</v>
      </c>
      <c r="BZ101" s="8">
        <v>96.22</v>
      </c>
      <c r="CA101" s="8">
        <v>107.9</v>
      </c>
      <c r="CB101" s="8">
        <v>91.31</v>
      </c>
      <c r="CC101" s="8">
        <v>90.5</v>
      </c>
      <c r="CD101" s="8">
        <v>97.39</v>
      </c>
      <c r="CE101" s="8">
        <v>95.53</v>
      </c>
      <c r="CF101" s="8">
        <v>97.02</v>
      </c>
      <c r="CG101" s="8">
        <v>97.02</v>
      </c>
      <c r="CH101" s="8">
        <v>97.46</v>
      </c>
      <c r="CI101" s="8">
        <v>97.46</v>
      </c>
      <c r="CJ101" s="8">
        <v>96.72</v>
      </c>
      <c r="CK101" s="8">
        <v>97.94</v>
      </c>
      <c r="CL101" s="8">
        <v>95.26</v>
      </c>
      <c r="CM101" s="8">
        <v>90.22</v>
      </c>
      <c r="CN101" s="8">
        <v>97.35</v>
      </c>
      <c r="CO101" s="8">
        <v>83.91</v>
      </c>
      <c r="CP101" s="8">
        <v>94.8</v>
      </c>
      <c r="CQ101" s="8">
        <v>98.16</v>
      </c>
      <c r="CR101" s="8">
        <v>96.94</v>
      </c>
      <c r="CS101" s="8">
        <v>97.09</v>
      </c>
      <c r="CT101" s="8">
        <v>96.38</v>
      </c>
      <c r="CU101" s="8">
        <v>98.82</v>
      </c>
      <c r="CV101" s="8">
        <v>98.82</v>
      </c>
      <c r="CW101" s="8">
        <v>98.29</v>
      </c>
      <c r="CX101" s="8">
        <v>97.42</v>
      </c>
      <c r="CY101" s="8">
        <v>99.13</v>
      </c>
      <c r="CZ101" s="8">
        <v>96.26</v>
      </c>
      <c r="DA101" s="8">
        <v>100.35</v>
      </c>
      <c r="DB101" s="8">
        <v>99.67</v>
      </c>
      <c r="DC101" s="8">
        <v>99.19</v>
      </c>
      <c r="DD101" s="8">
        <v>99.28</v>
      </c>
      <c r="DE101" s="8">
        <v>100.04</v>
      </c>
      <c r="DF101" s="8">
        <v>97.16</v>
      </c>
      <c r="DG101" s="8">
        <v>92.91</v>
      </c>
      <c r="DH101" s="8">
        <v>98.47</v>
      </c>
      <c r="DI101" s="8">
        <v>98.62</v>
      </c>
      <c r="DJ101" s="8">
        <v>98.72</v>
      </c>
      <c r="DK101" s="8">
        <v>103.03</v>
      </c>
      <c r="DL101" s="8">
        <v>103.81</v>
      </c>
      <c r="DM101" s="8">
        <v>97.92</v>
      </c>
      <c r="DN101" s="8">
        <v>97.95</v>
      </c>
      <c r="DO101" s="8">
        <v>97.86</v>
      </c>
      <c r="DP101" s="8">
        <v>98.75</v>
      </c>
      <c r="DQ101" s="8">
        <v>98.91</v>
      </c>
      <c r="DR101" s="8">
        <v>98.89</v>
      </c>
      <c r="DS101" s="8">
        <v>99.43</v>
      </c>
      <c r="DT101" s="8">
        <v>102.9</v>
      </c>
      <c r="DU101" s="8">
        <v>100.74</v>
      </c>
      <c r="DV101" s="8">
        <v>94.89</v>
      </c>
      <c r="DW101" s="8">
        <v>96.45</v>
      </c>
      <c r="DX101" s="8">
        <v>100.12</v>
      </c>
      <c r="DY101" s="8">
        <v>100.12</v>
      </c>
      <c r="DZ101" s="8">
        <v>98.95</v>
      </c>
      <c r="EA101" s="8">
        <v>98.95</v>
      </c>
      <c r="EB101" s="8">
        <v>96.76</v>
      </c>
      <c r="EC101" s="8">
        <v>99.04</v>
      </c>
      <c r="ED101" s="8">
        <v>97.08</v>
      </c>
      <c r="EE101" s="8">
        <v>96.64</v>
      </c>
      <c r="EF101" s="8">
        <v>99.61</v>
      </c>
      <c r="EG101" s="8">
        <v>93.2</v>
      </c>
      <c r="EH101" s="8">
        <v>95.74</v>
      </c>
      <c r="EI101" s="8">
        <v>98.65</v>
      </c>
      <c r="EJ101" s="8">
        <v>94.71</v>
      </c>
      <c r="EK101" s="8">
        <v>95.34</v>
      </c>
      <c r="EL101" s="8">
        <v>98.21</v>
      </c>
      <c r="EM101" s="8">
        <v>92.41</v>
      </c>
      <c r="EN101" s="8">
        <v>99.59</v>
      </c>
      <c r="EO101" s="8">
        <v>105.11</v>
      </c>
      <c r="EP101" s="8">
        <v>99.75</v>
      </c>
      <c r="EQ101" s="8">
        <v>100.57</v>
      </c>
      <c r="ER101" s="8">
        <v>94.7</v>
      </c>
      <c r="ES101" s="8">
        <v>97.84</v>
      </c>
      <c r="ET101" s="8">
        <v>102.18</v>
      </c>
      <c r="EU101" s="8">
        <v>99.95</v>
      </c>
      <c r="EV101" s="8">
        <v>99.95</v>
      </c>
      <c r="EW101" s="8">
        <v>99.88</v>
      </c>
      <c r="EX101" s="8">
        <v>100</v>
      </c>
      <c r="EY101" s="8">
        <v>99.9</v>
      </c>
      <c r="EZ101" s="8">
        <v>100.86</v>
      </c>
      <c r="FA101" s="8">
        <v>102.4</v>
      </c>
      <c r="FB101" s="8">
        <v>102.4</v>
      </c>
      <c r="FC101" s="8">
        <v>100.22</v>
      </c>
      <c r="FD101" s="8">
        <v>98.47</v>
      </c>
      <c r="FE101" s="8">
        <v>100.56</v>
      </c>
      <c r="FF101" s="8">
        <v>97.87</v>
      </c>
      <c r="FG101" s="8">
        <v>98.17</v>
      </c>
      <c r="FH101" s="8">
        <v>101.37</v>
      </c>
      <c r="FI101" s="8">
        <v>102.87</v>
      </c>
      <c r="FJ101" s="8">
        <v>99.95</v>
      </c>
      <c r="FK101" s="8">
        <v>101.41</v>
      </c>
      <c r="FL101" s="8">
        <v>101.58</v>
      </c>
      <c r="FM101" s="8">
        <v>98.57</v>
      </c>
      <c r="FN101" s="8">
        <v>95.97</v>
      </c>
      <c r="FO101" s="8">
        <v>101.55</v>
      </c>
      <c r="FP101" s="8">
        <v>88.33</v>
      </c>
      <c r="FQ101" s="8">
        <v>101.6</v>
      </c>
      <c r="FR101" s="8">
        <v>103.91</v>
      </c>
      <c r="FS101" s="8">
        <v>97.54</v>
      </c>
      <c r="FT101" s="8">
        <v>97.89</v>
      </c>
      <c r="FU101" s="8">
        <v>96</v>
      </c>
      <c r="FV101" s="8">
        <v>101.11</v>
      </c>
      <c r="FW101" s="8">
        <v>97.21</v>
      </c>
      <c r="FX101" s="8">
        <v>101.67</v>
      </c>
      <c r="FY101" s="8">
        <v>101.29</v>
      </c>
      <c r="FZ101" s="8">
        <v>101.88</v>
      </c>
      <c r="GA101" s="8">
        <v>97.75</v>
      </c>
      <c r="GB101" s="8">
        <v>93.54</v>
      </c>
      <c r="GC101" s="8">
        <v>97.59</v>
      </c>
      <c r="GD101" s="8">
        <v>99.47</v>
      </c>
      <c r="GE101" s="8">
        <v>99.53</v>
      </c>
      <c r="GF101" s="8">
        <v>96.03</v>
      </c>
      <c r="GG101" s="8">
        <v>100.12</v>
      </c>
      <c r="GH101" s="8">
        <v>92.94</v>
      </c>
      <c r="GI101" s="8">
        <v>91.72</v>
      </c>
      <c r="GJ101" s="8">
        <v>93.29</v>
      </c>
      <c r="GK101" s="8">
        <v>97.59</v>
      </c>
      <c r="GL101" s="8">
        <v>98.04</v>
      </c>
      <c r="GM101" s="8">
        <v>97.15</v>
      </c>
      <c r="GN101" s="8">
        <v>94.81</v>
      </c>
      <c r="GO101" s="8">
        <v>96.61</v>
      </c>
      <c r="GP101" s="8">
        <v>96.18</v>
      </c>
      <c r="GQ101" s="8">
        <v>101.11</v>
      </c>
      <c r="GR101" s="8">
        <v>94.16</v>
      </c>
      <c r="GS101" s="8">
        <v>91.71</v>
      </c>
      <c r="GT101" s="8">
        <v>91.71</v>
      </c>
      <c r="GU101" s="8">
        <v>95.76</v>
      </c>
      <c r="GV101" s="8">
        <v>96.79</v>
      </c>
      <c r="GW101" s="8">
        <v>101.19</v>
      </c>
      <c r="GX101" s="8">
        <v>97.41</v>
      </c>
      <c r="GY101" s="8">
        <v>87.79</v>
      </c>
      <c r="GZ101" s="8">
        <v>99.28</v>
      </c>
      <c r="HA101" s="8">
        <v>98.7</v>
      </c>
      <c r="HB101" s="8">
        <v>97.63</v>
      </c>
      <c r="HC101" s="8">
        <v>102.26</v>
      </c>
      <c r="HD101" s="8">
        <v>87.3</v>
      </c>
      <c r="HE101" s="8">
        <v>86.36</v>
      </c>
      <c r="HF101" s="8">
        <v>95.86</v>
      </c>
      <c r="HG101" s="8">
        <v>97.87</v>
      </c>
      <c r="HH101" s="8">
        <v>99.15</v>
      </c>
      <c r="HI101" s="8">
        <v>99.15</v>
      </c>
      <c r="HJ101" s="8">
        <v>97.27</v>
      </c>
      <c r="HK101" s="8">
        <v>97.27</v>
      </c>
      <c r="HL101" s="8">
        <v>97.53</v>
      </c>
      <c r="HM101" s="8">
        <v>98.84</v>
      </c>
      <c r="HN101" s="8">
        <v>95.8</v>
      </c>
      <c r="HO101" s="8">
        <v>97.77</v>
      </c>
      <c r="HP101" s="8">
        <v>96.54</v>
      </c>
      <c r="HQ101" s="8">
        <v>98.38</v>
      </c>
      <c r="HR101" s="8">
        <v>97.53</v>
      </c>
      <c r="HS101" s="8">
        <v>98.32</v>
      </c>
      <c r="HT101" s="8">
        <v>99.69</v>
      </c>
      <c r="HU101" s="8">
        <v>99.35</v>
      </c>
      <c r="HV101" s="8">
        <v>100.85</v>
      </c>
      <c r="HW101" s="8">
        <v>98.47</v>
      </c>
      <c r="HX101" s="8">
        <v>98.47</v>
      </c>
      <c r="HY101" s="8">
        <v>98.11</v>
      </c>
      <c r="HZ101" s="8">
        <v>98.09</v>
      </c>
      <c r="IA101" s="8">
        <v>100.56</v>
      </c>
      <c r="IB101" s="8">
        <v>95.05</v>
      </c>
      <c r="IC101" s="8">
        <v>98.73</v>
      </c>
      <c r="ID101" s="8">
        <v>100.34</v>
      </c>
      <c r="IE101" s="8">
        <v>99.56</v>
      </c>
      <c r="IF101" s="8">
        <v>99.4</v>
      </c>
      <c r="IG101" s="8">
        <v>100.89</v>
      </c>
      <c r="IH101" s="8">
        <v>94.98</v>
      </c>
      <c r="II101" s="8">
        <v>90.87</v>
      </c>
      <c r="IJ101" s="8">
        <v>97.24</v>
      </c>
      <c r="IK101" s="8">
        <v>94.75</v>
      </c>
      <c r="IL101" s="8">
        <v>98.97</v>
      </c>
      <c r="IM101" s="8">
        <v>105.58</v>
      </c>
      <c r="IN101" s="8">
        <v>107</v>
      </c>
      <c r="IO101" s="8">
        <v>99</v>
      </c>
      <c r="IP101" s="8">
        <v>97.81</v>
      </c>
      <c r="IQ101" s="8">
        <v>97.74</v>
      </c>
    </row>
    <row r="102" spans="1:251" x14ac:dyDescent="0.2">
      <c r="A102" s="9">
        <v>45748</v>
      </c>
      <c r="B102" s="8">
        <v>100.2</v>
      </c>
      <c r="C102" s="8">
        <v>96.73</v>
      </c>
      <c r="D102" s="8">
        <v>100.34</v>
      </c>
      <c r="E102" s="8">
        <v>93.26</v>
      </c>
      <c r="F102" s="8">
        <v>97.39</v>
      </c>
      <c r="G102" s="8">
        <v>102.01</v>
      </c>
      <c r="H102" s="8">
        <v>95.88</v>
      </c>
      <c r="I102" s="8">
        <v>102.14</v>
      </c>
      <c r="J102" s="8">
        <v>107.5</v>
      </c>
      <c r="K102" s="8">
        <v>96.42</v>
      </c>
      <c r="L102" s="8">
        <v>99.63</v>
      </c>
      <c r="M102" s="8">
        <v>98.75</v>
      </c>
      <c r="N102" s="8">
        <v>97.69</v>
      </c>
      <c r="O102" s="8">
        <v>101.58</v>
      </c>
      <c r="P102" s="8">
        <v>97.97</v>
      </c>
      <c r="Q102" s="8">
        <v>99.8</v>
      </c>
      <c r="R102" s="8">
        <v>101.11</v>
      </c>
      <c r="S102" s="8">
        <v>99.92</v>
      </c>
      <c r="T102" s="8">
        <v>99.92</v>
      </c>
      <c r="U102" s="8">
        <v>99.62</v>
      </c>
      <c r="V102" s="8">
        <v>100</v>
      </c>
      <c r="W102" s="8">
        <v>100</v>
      </c>
      <c r="X102" s="8">
        <v>99.84</v>
      </c>
      <c r="Y102" s="8">
        <v>100.6</v>
      </c>
      <c r="Z102" s="8">
        <v>100.6</v>
      </c>
      <c r="AA102" s="8">
        <v>99.48</v>
      </c>
      <c r="AB102" s="8">
        <v>99.05</v>
      </c>
      <c r="AC102" s="8">
        <v>99.51</v>
      </c>
      <c r="AD102" s="8">
        <v>98.99</v>
      </c>
      <c r="AE102" s="8">
        <v>98.99</v>
      </c>
      <c r="AF102" s="8">
        <v>99.92</v>
      </c>
      <c r="AG102" s="8">
        <v>100.45</v>
      </c>
      <c r="AH102" s="8">
        <v>99.52</v>
      </c>
      <c r="AI102" s="8">
        <v>99.48</v>
      </c>
      <c r="AJ102" s="8">
        <v>99.74</v>
      </c>
      <c r="AK102" s="8">
        <v>97.77</v>
      </c>
      <c r="AL102" s="8">
        <v>96.42</v>
      </c>
      <c r="AM102" s="8">
        <v>99.01</v>
      </c>
      <c r="AN102" s="8">
        <v>89.79</v>
      </c>
      <c r="AO102" s="8">
        <v>99.3</v>
      </c>
      <c r="AP102" s="8">
        <v>101.59</v>
      </c>
      <c r="AQ102" s="8">
        <v>98.97</v>
      </c>
      <c r="AR102" s="8">
        <v>98.75</v>
      </c>
      <c r="AS102" s="8">
        <v>97.97</v>
      </c>
      <c r="AT102" s="8">
        <v>100.7</v>
      </c>
      <c r="AU102" s="8">
        <v>97.62</v>
      </c>
      <c r="AV102" s="8">
        <v>101.47</v>
      </c>
      <c r="AW102" s="8">
        <v>104.77</v>
      </c>
      <c r="AX102" s="8">
        <v>98.46</v>
      </c>
      <c r="AY102" s="8">
        <v>98.84</v>
      </c>
      <c r="AZ102" s="8">
        <v>101.59</v>
      </c>
      <c r="BA102" s="8">
        <v>97.45</v>
      </c>
      <c r="BB102" s="8">
        <v>98.7</v>
      </c>
      <c r="BC102" s="8">
        <v>99.55</v>
      </c>
      <c r="BD102" s="8">
        <v>98.11</v>
      </c>
      <c r="BE102" s="8">
        <v>99.31</v>
      </c>
      <c r="BF102" s="8">
        <v>99.26</v>
      </c>
      <c r="BG102" s="8">
        <v>92.69</v>
      </c>
      <c r="BH102" s="8">
        <v>101.55</v>
      </c>
      <c r="BI102" s="8">
        <v>98.43</v>
      </c>
      <c r="BJ102" s="8">
        <v>99.13</v>
      </c>
      <c r="BK102" s="8">
        <v>97.73</v>
      </c>
      <c r="BL102" s="8">
        <v>96.89</v>
      </c>
      <c r="BM102" s="8">
        <v>98.27</v>
      </c>
      <c r="BN102" s="8">
        <v>97.64</v>
      </c>
      <c r="BO102" s="8">
        <v>98.36</v>
      </c>
      <c r="BP102" s="8">
        <v>98.48</v>
      </c>
      <c r="BQ102" s="8">
        <v>93.21</v>
      </c>
      <c r="BR102" s="8">
        <v>93.21</v>
      </c>
      <c r="BS102" s="8">
        <v>101.58</v>
      </c>
      <c r="BT102" s="8">
        <v>104.91</v>
      </c>
      <c r="BU102" s="8">
        <v>108.65</v>
      </c>
      <c r="BV102" s="8">
        <v>105.34</v>
      </c>
      <c r="BW102" s="8">
        <v>98.74</v>
      </c>
      <c r="BX102" s="8">
        <v>101.46</v>
      </c>
      <c r="BY102" s="8">
        <v>104.21</v>
      </c>
      <c r="BZ102" s="8">
        <v>99.13</v>
      </c>
      <c r="CA102" s="8">
        <v>105.6</v>
      </c>
      <c r="CB102" s="8">
        <v>93</v>
      </c>
      <c r="CC102" s="8">
        <v>92.43</v>
      </c>
      <c r="CD102" s="8">
        <v>97.26</v>
      </c>
      <c r="CE102" s="8">
        <v>97.34</v>
      </c>
      <c r="CF102" s="8">
        <v>97.49</v>
      </c>
      <c r="CG102" s="8">
        <v>97.49</v>
      </c>
      <c r="CH102" s="8">
        <v>97.74</v>
      </c>
      <c r="CI102" s="8">
        <v>97.74</v>
      </c>
      <c r="CJ102" s="8">
        <v>96.82</v>
      </c>
      <c r="CK102" s="8">
        <v>98.11</v>
      </c>
      <c r="CL102" s="8">
        <v>95.26</v>
      </c>
      <c r="CM102" s="8">
        <v>97</v>
      </c>
      <c r="CN102" s="8">
        <v>97.35</v>
      </c>
      <c r="CO102" s="8">
        <v>97.56</v>
      </c>
      <c r="CP102" s="8">
        <v>94.8</v>
      </c>
      <c r="CQ102" s="8">
        <v>99.1</v>
      </c>
      <c r="CR102" s="8">
        <v>99.16</v>
      </c>
      <c r="CS102" s="8">
        <v>99.58</v>
      </c>
      <c r="CT102" s="8">
        <v>97.6</v>
      </c>
      <c r="CU102" s="8">
        <v>95.29</v>
      </c>
      <c r="CV102" s="8">
        <v>95.29</v>
      </c>
      <c r="CW102" s="8">
        <v>101.63</v>
      </c>
      <c r="CX102" s="8">
        <v>100.36</v>
      </c>
      <c r="CY102" s="8">
        <v>98.9</v>
      </c>
      <c r="CZ102" s="8">
        <v>107.62</v>
      </c>
      <c r="DA102" s="8">
        <v>99.56</v>
      </c>
      <c r="DB102" s="8">
        <v>100.42</v>
      </c>
      <c r="DC102" s="8">
        <v>98.58</v>
      </c>
      <c r="DD102" s="8">
        <v>100.69</v>
      </c>
      <c r="DE102" s="8">
        <v>100.62</v>
      </c>
      <c r="DF102" s="8">
        <v>96.98</v>
      </c>
      <c r="DG102" s="8">
        <v>92.56</v>
      </c>
      <c r="DH102" s="8">
        <v>98.29</v>
      </c>
      <c r="DI102" s="8">
        <v>98.57</v>
      </c>
      <c r="DJ102" s="8">
        <v>100.42</v>
      </c>
      <c r="DK102" s="8">
        <v>101.58</v>
      </c>
      <c r="DL102" s="8">
        <v>102.18</v>
      </c>
      <c r="DM102" s="8">
        <v>97.67</v>
      </c>
      <c r="DN102" s="8">
        <v>100.22</v>
      </c>
      <c r="DO102" s="8">
        <v>100.27</v>
      </c>
      <c r="DP102" s="8">
        <v>99.76</v>
      </c>
      <c r="DQ102" s="8">
        <v>98.89</v>
      </c>
      <c r="DR102" s="8">
        <v>98.89</v>
      </c>
      <c r="DS102" s="8">
        <v>99.23</v>
      </c>
      <c r="DT102" s="8">
        <v>104.41</v>
      </c>
      <c r="DU102" s="8">
        <v>99.37</v>
      </c>
      <c r="DV102" s="8">
        <v>96.23</v>
      </c>
      <c r="DW102" s="8">
        <v>97.02</v>
      </c>
      <c r="DX102" s="8">
        <v>99.4</v>
      </c>
      <c r="DY102" s="8">
        <v>99.4</v>
      </c>
      <c r="DZ102" s="8">
        <v>99.2</v>
      </c>
      <c r="EA102" s="8">
        <v>99.2</v>
      </c>
      <c r="EB102" s="8">
        <v>98.13</v>
      </c>
      <c r="EC102" s="8">
        <v>99.24</v>
      </c>
      <c r="ED102" s="8">
        <v>100.12</v>
      </c>
      <c r="EE102" s="8">
        <v>96.82</v>
      </c>
      <c r="EF102" s="8">
        <v>99.77</v>
      </c>
      <c r="EG102" s="8">
        <v>93.38</v>
      </c>
      <c r="EH102" s="8">
        <v>100</v>
      </c>
      <c r="EI102" s="8">
        <v>101.33</v>
      </c>
      <c r="EJ102" s="8">
        <v>99.52</v>
      </c>
      <c r="EK102" s="8">
        <v>102.53</v>
      </c>
      <c r="EL102" s="8">
        <v>104.99</v>
      </c>
      <c r="EM102" s="8">
        <v>100.01</v>
      </c>
      <c r="EN102" s="8">
        <v>98.51</v>
      </c>
      <c r="EO102" s="8">
        <v>101.13</v>
      </c>
      <c r="EP102" s="8">
        <v>97.71</v>
      </c>
      <c r="EQ102" s="8">
        <v>101.23</v>
      </c>
      <c r="ER102" s="8">
        <v>94.7</v>
      </c>
      <c r="ES102" s="8">
        <v>97.84</v>
      </c>
      <c r="ET102" s="8">
        <v>99.71</v>
      </c>
      <c r="EU102" s="8">
        <v>99.95</v>
      </c>
      <c r="EV102" s="8">
        <v>99.95</v>
      </c>
      <c r="EW102" s="8">
        <v>99.89</v>
      </c>
      <c r="EX102" s="8">
        <v>100</v>
      </c>
      <c r="EY102" s="8">
        <v>99.9</v>
      </c>
      <c r="EZ102" s="8">
        <v>100.51</v>
      </c>
      <c r="FA102" s="8">
        <v>100.96</v>
      </c>
      <c r="FB102" s="8">
        <v>100.96</v>
      </c>
      <c r="FC102" s="8">
        <v>100.32</v>
      </c>
      <c r="FD102" s="8">
        <v>99.05</v>
      </c>
      <c r="FE102" s="8">
        <v>100.56</v>
      </c>
      <c r="FF102" s="8">
        <v>98.41</v>
      </c>
      <c r="FG102" s="8">
        <v>98.34</v>
      </c>
      <c r="FH102" s="8">
        <v>101.13</v>
      </c>
      <c r="FI102" s="8">
        <v>102.81</v>
      </c>
      <c r="FJ102" s="8">
        <v>100.01</v>
      </c>
      <c r="FK102" s="8">
        <v>100.75</v>
      </c>
      <c r="FL102" s="8">
        <v>99.34</v>
      </c>
      <c r="FM102" s="8">
        <v>97.71</v>
      </c>
      <c r="FN102" s="8">
        <v>95.21</v>
      </c>
      <c r="FO102" s="8">
        <v>98.61</v>
      </c>
      <c r="FP102" s="8">
        <v>89.01</v>
      </c>
      <c r="FQ102" s="8">
        <v>100.3</v>
      </c>
      <c r="FR102" s="8">
        <v>103.11</v>
      </c>
      <c r="FS102" s="8">
        <v>97.52</v>
      </c>
      <c r="FT102" s="8">
        <v>97.74</v>
      </c>
      <c r="FU102" s="8">
        <v>96.23</v>
      </c>
      <c r="FV102" s="8">
        <v>100.72</v>
      </c>
      <c r="FW102" s="8">
        <v>96.78</v>
      </c>
      <c r="FX102" s="8">
        <v>102.34</v>
      </c>
      <c r="FY102" s="8">
        <v>102.15</v>
      </c>
      <c r="FZ102" s="8">
        <v>102.46</v>
      </c>
      <c r="GA102" s="8">
        <v>98.93</v>
      </c>
      <c r="GB102" s="8">
        <v>96.86</v>
      </c>
      <c r="GC102" s="8">
        <v>97.18</v>
      </c>
      <c r="GD102" s="8">
        <v>98.42</v>
      </c>
      <c r="GE102" s="8">
        <v>100.26</v>
      </c>
      <c r="GF102" s="8">
        <v>99.11</v>
      </c>
      <c r="GG102" s="8">
        <v>99.07</v>
      </c>
      <c r="GH102" s="8">
        <v>92.04</v>
      </c>
      <c r="GI102" s="8">
        <v>93.3</v>
      </c>
      <c r="GJ102" s="8">
        <v>91.68</v>
      </c>
      <c r="GK102" s="8">
        <v>97.96</v>
      </c>
      <c r="GL102" s="8">
        <v>98.04</v>
      </c>
      <c r="GM102" s="8">
        <v>97.88</v>
      </c>
      <c r="GN102" s="8">
        <v>95.3</v>
      </c>
      <c r="GO102" s="8">
        <v>96.69</v>
      </c>
      <c r="GP102" s="8">
        <v>96.77</v>
      </c>
      <c r="GQ102" s="8">
        <v>100.32</v>
      </c>
      <c r="GR102" s="8">
        <v>94.58</v>
      </c>
      <c r="GS102" s="8">
        <v>92.9</v>
      </c>
      <c r="GT102" s="8">
        <v>92.9</v>
      </c>
      <c r="GU102" s="8">
        <v>101.46</v>
      </c>
      <c r="GV102" s="8">
        <v>103.66</v>
      </c>
      <c r="GW102" s="8">
        <v>107.56</v>
      </c>
      <c r="GX102" s="8">
        <v>103.57</v>
      </c>
      <c r="GY102" s="8">
        <v>97.55</v>
      </c>
      <c r="GZ102" s="8">
        <v>104.7</v>
      </c>
      <c r="HA102" s="8">
        <v>104.53</v>
      </c>
      <c r="HB102" s="8">
        <v>105.72</v>
      </c>
      <c r="HC102" s="8">
        <v>103.59</v>
      </c>
      <c r="HD102" s="8">
        <v>88.66</v>
      </c>
      <c r="HE102" s="8">
        <v>87.91</v>
      </c>
      <c r="HF102" s="8">
        <v>95.46</v>
      </c>
      <c r="HG102" s="8">
        <v>96.62</v>
      </c>
      <c r="HH102" s="8">
        <v>99.22</v>
      </c>
      <c r="HI102" s="8">
        <v>99.22</v>
      </c>
      <c r="HJ102" s="8">
        <v>97.32</v>
      </c>
      <c r="HK102" s="8">
        <v>97.32</v>
      </c>
      <c r="HL102" s="8">
        <v>97.56</v>
      </c>
      <c r="HM102" s="8">
        <v>98.9</v>
      </c>
      <c r="HN102" s="8">
        <v>95.8</v>
      </c>
      <c r="HO102" s="8">
        <v>91.67</v>
      </c>
      <c r="HP102" s="8">
        <v>96.54</v>
      </c>
      <c r="HQ102" s="8">
        <v>88.42</v>
      </c>
      <c r="HR102" s="8">
        <v>97.4</v>
      </c>
      <c r="HS102" s="8">
        <v>98.61</v>
      </c>
      <c r="HT102" s="8">
        <v>97.05</v>
      </c>
      <c r="HU102" s="8">
        <v>96.3</v>
      </c>
      <c r="HV102" s="8">
        <v>99.62</v>
      </c>
      <c r="HW102" s="8">
        <v>93.49</v>
      </c>
      <c r="HX102" s="8">
        <v>93.49</v>
      </c>
      <c r="HY102" s="8">
        <v>101.14</v>
      </c>
      <c r="HZ102" s="8">
        <v>100.43</v>
      </c>
      <c r="IA102" s="8">
        <v>99.99</v>
      </c>
      <c r="IB102" s="8">
        <v>106.19</v>
      </c>
      <c r="IC102" s="8">
        <v>98.61</v>
      </c>
      <c r="ID102" s="8">
        <v>101.4</v>
      </c>
      <c r="IE102" s="8">
        <v>98.64</v>
      </c>
      <c r="IF102" s="8">
        <v>101.02</v>
      </c>
      <c r="IG102" s="8">
        <v>101.93</v>
      </c>
      <c r="IH102" s="8">
        <v>95.33</v>
      </c>
      <c r="II102" s="8">
        <v>91.3</v>
      </c>
      <c r="IJ102" s="8">
        <v>97.8</v>
      </c>
      <c r="IK102" s="8">
        <v>94.75</v>
      </c>
      <c r="IL102" s="8">
        <v>100.6</v>
      </c>
      <c r="IM102" s="8">
        <v>105.51</v>
      </c>
      <c r="IN102" s="8">
        <v>106.76</v>
      </c>
      <c r="IO102" s="8">
        <v>99.72</v>
      </c>
      <c r="IP102" s="8">
        <v>99.74</v>
      </c>
      <c r="IQ102" s="8">
        <v>99.85</v>
      </c>
    </row>
    <row r="103" spans="1:251" x14ac:dyDescent="0.2">
      <c r="A103" s="9">
        <v>45778</v>
      </c>
      <c r="B103" s="8">
        <v>96.74</v>
      </c>
      <c r="C103" s="8">
        <v>97.92</v>
      </c>
      <c r="D103" s="8">
        <v>102.34</v>
      </c>
      <c r="E103" s="8">
        <v>93.67</v>
      </c>
      <c r="F103" s="8">
        <v>98.39</v>
      </c>
      <c r="G103" s="8">
        <v>102.35</v>
      </c>
      <c r="H103" s="8">
        <v>97.1</v>
      </c>
      <c r="I103" s="8">
        <v>93.83</v>
      </c>
      <c r="J103" s="8">
        <v>95.67</v>
      </c>
      <c r="K103" s="8">
        <v>91.87</v>
      </c>
      <c r="L103" s="8">
        <v>99.97</v>
      </c>
      <c r="M103" s="8">
        <v>97.37</v>
      </c>
      <c r="N103" s="8">
        <v>100.89</v>
      </c>
      <c r="O103" s="8">
        <v>99.8</v>
      </c>
      <c r="P103" s="8">
        <v>98.44</v>
      </c>
      <c r="Q103" s="8">
        <v>99.61</v>
      </c>
      <c r="R103" s="8">
        <v>102.18</v>
      </c>
      <c r="S103" s="8">
        <v>99.89</v>
      </c>
      <c r="T103" s="8">
        <v>99.89</v>
      </c>
      <c r="U103" s="8">
        <v>99.46</v>
      </c>
      <c r="V103" s="8">
        <v>100</v>
      </c>
      <c r="W103" s="8">
        <v>100</v>
      </c>
      <c r="X103" s="8">
        <v>99.22</v>
      </c>
      <c r="Y103" s="8">
        <v>98.68</v>
      </c>
      <c r="Z103" s="8">
        <v>98.68</v>
      </c>
      <c r="AA103" s="8">
        <v>99.48</v>
      </c>
      <c r="AB103" s="8">
        <v>99.08</v>
      </c>
      <c r="AC103" s="8">
        <v>99.51</v>
      </c>
      <c r="AD103" s="8">
        <v>98.46</v>
      </c>
      <c r="AE103" s="8">
        <v>99.38</v>
      </c>
      <c r="AF103" s="8">
        <v>99.42</v>
      </c>
      <c r="AG103" s="8">
        <v>100.16</v>
      </c>
      <c r="AH103" s="8">
        <v>98.68</v>
      </c>
      <c r="AI103" s="8">
        <v>98.81</v>
      </c>
      <c r="AJ103" s="8">
        <v>99.75</v>
      </c>
      <c r="AK103" s="8">
        <v>98.54</v>
      </c>
      <c r="AL103" s="8">
        <v>96.7</v>
      </c>
      <c r="AM103" s="8">
        <v>99.89</v>
      </c>
      <c r="AN103" s="8">
        <v>90.77</v>
      </c>
      <c r="AO103" s="8">
        <v>100.18</v>
      </c>
      <c r="AP103" s="8">
        <v>101.58</v>
      </c>
      <c r="AQ103" s="8">
        <v>100.9</v>
      </c>
      <c r="AR103" s="8">
        <v>98.39</v>
      </c>
      <c r="AS103" s="8">
        <v>97.64</v>
      </c>
      <c r="AT103" s="8">
        <v>100.89</v>
      </c>
      <c r="AU103" s="8">
        <v>96.63</v>
      </c>
      <c r="AV103" s="8">
        <v>103.05</v>
      </c>
      <c r="AW103" s="8">
        <v>106.03</v>
      </c>
      <c r="AX103" s="8">
        <v>100.34</v>
      </c>
      <c r="AY103" s="8">
        <v>98.6</v>
      </c>
      <c r="AZ103" s="8">
        <v>101.87</v>
      </c>
      <c r="BA103" s="8">
        <v>97.15</v>
      </c>
      <c r="BB103" s="8">
        <v>99.08</v>
      </c>
      <c r="BC103" s="8">
        <v>100.13</v>
      </c>
      <c r="BD103" s="8">
        <v>97.21</v>
      </c>
      <c r="BE103" s="8">
        <v>99.24</v>
      </c>
      <c r="BF103" s="8">
        <v>101.01</v>
      </c>
      <c r="BG103" s="8">
        <v>93.2</v>
      </c>
      <c r="BH103" s="8">
        <v>103.72</v>
      </c>
      <c r="BI103" s="8">
        <v>98.57</v>
      </c>
      <c r="BJ103" s="8">
        <v>99.05</v>
      </c>
      <c r="BK103" s="8">
        <v>98.08</v>
      </c>
      <c r="BL103" s="8">
        <v>97.09</v>
      </c>
      <c r="BM103" s="8">
        <v>98.63</v>
      </c>
      <c r="BN103" s="8">
        <v>99.12</v>
      </c>
      <c r="BO103" s="8">
        <v>98.58</v>
      </c>
      <c r="BP103" s="8">
        <v>98.44</v>
      </c>
      <c r="BQ103" s="8">
        <v>92.97</v>
      </c>
      <c r="BR103" s="8">
        <v>92.97</v>
      </c>
      <c r="BS103" s="8">
        <v>99.36</v>
      </c>
      <c r="BT103" s="8">
        <v>102.37</v>
      </c>
      <c r="BU103" s="8">
        <v>102.37</v>
      </c>
      <c r="BV103" s="8">
        <v>103.98</v>
      </c>
      <c r="BW103" s="8">
        <v>98.39</v>
      </c>
      <c r="BX103" s="8">
        <v>100.65</v>
      </c>
      <c r="BY103" s="8">
        <v>101.7</v>
      </c>
      <c r="BZ103" s="8">
        <v>100.13</v>
      </c>
      <c r="CA103" s="8">
        <v>100.96</v>
      </c>
      <c r="CB103" s="8">
        <v>90.8</v>
      </c>
      <c r="CC103" s="8">
        <v>89.93</v>
      </c>
      <c r="CD103" s="8">
        <v>97.26</v>
      </c>
      <c r="CE103" s="8">
        <v>97.51</v>
      </c>
      <c r="CF103" s="8">
        <v>98.06</v>
      </c>
      <c r="CG103" s="8">
        <v>98.06</v>
      </c>
      <c r="CH103" s="8">
        <v>97.82</v>
      </c>
      <c r="CI103" s="8">
        <v>97.82</v>
      </c>
      <c r="CJ103" s="8">
        <v>96.86</v>
      </c>
      <c r="CK103" s="8">
        <v>98.18</v>
      </c>
      <c r="CL103" s="8">
        <v>95.26</v>
      </c>
      <c r="CM103" s="8">
        <v>97</v>
      </c>
      <c r="CN103" s="8">
        <v>97.35</v>
      </c>
      <c r="CO103" s="8">
        <v>97.56</v>
      </c>
      <c r="CP103" s="8">
        <v>94.8</v>
      </c>
      <c r="CQ103" s="8">
        <v>99.19</v>
      </c>
      <c r="CR103" s="8">
        <v>101.18</v>
      </c>
      <c r="CS103" s="8">
        <v>101.85</v>
      </c>
      <c r="CT103" s="8">
        <v>98.65</v>
      </c>
      <c r="CU103" s="8">
        <v>97.64</v>
      </c>
      <c r="CV103" s="8">
        <v>97.64</v>
      </c>
      <c r="CW103" s="8">
        <v>100.2</v>
      </c>
      <c r="CX103" s="8">
        <v>100.38</v>
      </c>
      <c r="CY103" s="8">
        <v>99.72</v>
      </c>
      <c r="CZ103" s="8">
        <v>101.43</v>
      </c>
      <c r="DA103" s="8">
        <v>99.29</v>
      </c>
      <c r="DB103" s="8">
        <v>100.04</v>
      </c>
      <c r="DC103" s="8">
        <v>98.71</v>
      </c>
      <c r="DD103" s="8">
        <v>99.19</v>
      </c>
      <c r="DE103" s="8">
        <v>100.93</v>
      </c>
      <c r="DF103" s="8">
        <v>96.67</v>
      </c>
      <c r="DG103" s="8">
        <v>91.46</v>
      </c>
      <c r="DH103" s="8">
        <v>98.19</v>
      </c>
      <c r="DI103" s="8">
        <v>98.57</v>
      </c>
      <c r="DJ103" s="8">
        <v>100.22</v>
      </c>
      <c r="DK103" s="8">
        <v>101.81</v>
      </c>
      <c r="DL103" s="8">
        <v>102.22</v>
      </c>
      <c r="DM103" s="8">
        <v>99.08</v>
      </c>
      <c r="DN103" s="8">
        <v>99.94</v>
      </c>
      <c r="DO103" s="8">
        <v>99.93</v>
      </c>
      <c r="DP103" s="8">
        <v>99.96</v>
      </c>
      <c r="DQ103" s="8">
        <v>98.27</v>
      </c>
      <c r="DR103" s="8">
        <v>98.24</v>
      </c>
      <c r="DS103" s="8">
        <v>99.6</v>
      </c>
      <c r="DT103" s="8">
        <v>101.92</v>
      </c>
      <c r="DU103" s="8">
        <v>97.19</v>
      </c>
      <c r="DV103" s="8">
        <v>97.16</v>
      </c>
      <c r="DW103" s="8">
        <v>97.02</v>
      </c>
      <c r="DX103" s="8">
        <v>99.86</v>
      </c>
      <c r="DY103" s="8">
        <v>99.86</v>
      </c>
      <c r="DZ103" s="8">
        <v>98.86</v>
      </c>
      <c r="EA103" s="8">
        <v>98.86</v>
      </c>
      <c r="EB103" s="8">
        <v>97.98</v>
      </c>
      <c r="EC103" s="8">
        <v>98.89</v>
      </c>
      <c r="ED103" s="8">
        <v>96.55</v>
      </c>
      <c r="EE103" s="8">
        <v>98.27</v>
      </c>
      <c r="EF103" s="8">
        <v>102.22</v>
      </c>
      <c r="EG103" s="8">
        <v>93.67</v>
      </c>
      <c r="EH103" s="8">
        <v>100.43</v>
      </c>
      <c r="EI103" s="8">
        <v>101.78</v>
      </c>
      <c r="EJ103" s="8">
        <v>99.94</v>
      </c>
      <c r="EK103" s="8">
        <v>93.59</v>
      </c>
      <c r="EL103" s="8">
        <v>92.18</v>
      </c>
      <c r="EM103" s="8">
        <v>95.03</v>
      </c>
      <c r="EN103" s="8">
        <v>99.1</v>
      </c>
      <c r="EO103" s="8">
        <v>103.76</v>
      </c>
      <c r="EP103" s="8">
        <v>101.14</v>
      </c>
      <c r="EQ103" s="8">
        <v>99.66</v>
      </c>
      <c r="ER103" s="8">
        <v>94.7</v>
      </c>
      <c r="ES103" s="8">
        <v>97.98</v>
      </c>
      <c r="ET103" s="8">
        <v>100.2</v>
      </c>
      <c r="EU103" s="8">
        <v>99.95</v>
      </c>
      <c r="EV103" s="8">
        <v>99.95</v>
      </c>
      <c r="EW103" s="8">
        <v>99.88</v>
      </c>
      <c r="EX103" s="8">
        <v>100</v>
      </c>
      <c r="EY103" s="8">
        <v>99.9</v>
      </c>
      <c r="EZ103" s="8">
        <v>100.03</v>
      </c>
      <c r="FA103" s="8">
        <v>99.31</v>
      </c>
      <c r="FB103" s="8">
        <v>99.31</v>
      </c>
      <c r="FC103" s="8">
        <v>100.32</v>
      </c>
      <c r="FD103" s="8">
        <v>99.08</v>
      </c>
      <c r="FE103" s="8">
        <v>100.56</v>
      </c>
      <c r="FF103" s="8">
        <v>97.6</v>
      </c>
      <c r="FG103" s="8">
        <v>98.95</v>
      </c>
      <c r="FH103" s="8">
        <v>99.97</v>
      </c>
      <c r="FI103" s="8">
        <v>101.48</v>
      </c>
      <c r="FJ103" s="8">
        <v>98.82</v>
      </c>
      <c r="FK103" s="8">
        <v>99.14</v>
      </c>
      <c r="FL103" s="8">
        <v>99.35</v>
      </c>
      <c r="FM103" s="8">
        <v>98.55</v>
      </c>
      <c r="FN103" s="8">
        <v>94.73</v>
      </c>
      <c r="FO103" s="8">
        <v>100.35</v>
      </c>
      <c r="FP103" s="8">
        <v>90.63</v>
      </c>
      <c r="FQ103" s="8">
        <v>101.04</v>
      </c>
      <c r="FR103" s="8">
        <v>103.26</v>
      </c>
      <c r="FS103" s="8">
        <v>99.64</v>
      </c>
      <c r="FT103" s="8">
        <v>97.4</v>
      </c>
      <c r="FU103" s="8">
        <v>96.04</v>
      </c>
      <c r="FV103" s="8">
        <v>100.71</v>
      </c>
      <c r="FW103" s="8">
        <v>95.83</v>
      </c>
      <c r="FX103" s="8">
        <v>102.26</v>
      </c>
      <c r="FY103" s="8">
        <v>100.96</v>
      </c>
      <c r="FZ103" s="8">
        <v>103</v>
      </c>
      <c r="GA103" s="8">
        <v>98.32</v>
      </c>
      <c r="GB103" s="8">
        <v>97.49</v>
      </c>
      <c r="GC103" s="8">
        <v>96.55</v>
      </c>
      <c r="GD103" s="8">
        <v>98.88</v>
      </c>
      <c r="GE103" s="8">
        <v>100.43</v>
      </c>
      <c r="GF103" s="8">
        <v>97.41</v>
      </c>
      <c r="GG103" s="8">
        <v>99.21</v>
      </c>
      <c r="GH103" s="8">
        <v>98.62</v>
      </c>
      <c r="GI103" s="8">
        <v>93.73</v>
      </c>
      <c r="GJ103" s="8">
        <v>100.01</v>
      </c>
      <c r="GK103" s="8">
        <v>98.47</v>
      </c>
      <c r="GL103" s="8">
        <v>98.4</v>
      </c>
      <c r="GM103" s="8">
        <v>98.55</v>
      </c>
      <c r="GN103" s="8">
        <v>95.61</v>
      </c>
      <c r="GO103" s="8">
        <v>97.24</v>
      </c>
      <c r="GP103" s="8">
        <v>96.59</v>
      </c>
      <c r="GQ103" s="8">
        <v>100.41</v>
      </c>
      <c r="GR103" s="8">
        <v>95.62</v>
      </c>
      <c r="GS103" s="8">
        <v>92.81</v>
      </c>
      <c r="GT103" s="8">
        <v>92.81</v>
      </c>
      <c r="GU103" s="8">
        <v>99.13</v>
      </c>
      <c r="GV103" s="8">
        <v>100.88</v>
      </c>
      <c r="GW103" s="8">
        <v>102.24</v>
      </c>
      <c r="GX103" s="8">
        <v>101.48</v>
      </c>
      <c r="GY103" s="8">
        <v>96.88</v>
      </c>
      <c r="GZ103" s="8">
        <v>100.82</v>
      </c>
      <c r="HA103" s="8">
        <v>102.13</v>
      </c>
      <c r="HB103" s="8">
        <v>100.72</v>
      </c>
      <c r="HC103" s="8">
        <v>99.09</v>
      </c>
      <c r="HD103" s="8">
        <v>90.05</v>
      </c>
      <c r="HE103" s="8">
        <v>89.06</v>
      </c>
      <c r="HF103" s="8">
        <v>99</v>
      </c>
      <c r="HG103" s="8">
        <v>95.45</v>
      </c>
      <c r="HH103" s="8">
        <v>99.52</v>
      </c>
      <c r="HI103" s="8">
        <v>99.52</v>
      </c>
      <c r="HJ103" s="8">
        <v>97.35</v>
      </c>
      <c r="HK103" s="8">
        <v>97.35</v>
      </c>
      <c r="HL103" s="8">
        <v>97.61</v>
      </c>
      <c r="HM103" s="8">
        <v>98.98</v>
      </c>
      <c r="HN103" s="8">
        <v>95.8</v>
      </c>
      <c r="HO103" s="8">
        <v>85.65</v>
      </c>
      <c r="HP103" s="8">
        <v>96.54</v>
      </c>
      <c r="HQ103" s="8">
        <v>78.55</v>
      </c>
      <c r="HR103" s="8">
        <v>97.4</v>
      </c>
      <c r="HS103" s="8">
        <v>97.94</v>
      </c>
      <c r="HT103" s="8">
        <v>94.87</v>
      </c>
      <c r="HU103" s="8">
        <v>93.68</v>
      </c>
      <c r="HV103" s="8">
        <v>98.9</v>
      </c>
      <c r="HW103" s="8">
        <v>102.53</v>
      </c>
      <c r="HX103" s="8">
        <v>102.53</v>
      </c>
      <c r="HY103" s="8">
        <v>99.4</v>
      </c>
      <c r="HZ103" s="8">
        <v>100.89</v>
      </c>
      <c r="IA103" s="8">
        <v>100.22</v>
      </c>
      <c r="IB103" s="8">
        <v>98.3</v>
      </c>
      <c r="IC103" s="8">
        <v>98.43</v>
      </c>
      <c r="ID103" s="8">
        <v>100.53</v>
      </c>
      <c r="IE103" s="8">
        <v>99.04</v>
      </c>
      <c r="IF103" s="8">
        <v>99.05</v>
      </c>
      <c r="IG103" s="8">
        <v>101.42</v>
      </c>
      <c r="IH103" s="8">
        <v>94.72</v>
      </c>
      <c r="II103" s="8">
        <v>87.78</v>
      </c>
      <c r="IJ103" s="8">
        <v>98.01</v>
      </c>
      <c r="IK103" s="8">
        <v>95.09</v>
      </c>
      <c r="IL103" s="8">
        <v>100.57</v>
      </c>
      <c r="IM103" s="8">
        <v>104.36</v>
      </c>
      <c r="IN103" s="8">
        <v>105.37</v>
      </c>
      <c r="IO103" s="8">
        <v>99.72</v>
      </c>
      <c r="IP103" s="8">
        <v>99.91</v>
      </c>
      <c r="IQ103" s="8">
        <v>100.04</v>
      </c>
    </row>
    <row r="104" spans="1:251" x14ac:dyDescent="0.2">
      <c r="A104" s="9">
        <v>45809</v>
      </c>
      <c r="B104" s="8">
        <v>96.81</v>
      </c>
      <c r="C104" s="8">
        <v>97.37</v>
      </c>
      <c r="D104" s="8">
        <v>100.49</v>
      </c>
      <c r="E104" s="8">
        <v>94.37</v>
      </c>
      <c r="F104" s="8">
        <v>96.72</v>
      </c>
      <c r="G104" s="8">
        <v>99.11</v>
      </c>
      <c r="H104" s="8">
        <v>95.94</v>
      </c>
      <c r="I104" s="8">
        <v>94.7</v>
      </c>
      <c r="J104" s="8">
        <v>93.58</v>
      </c>
      <c r="K104" s="8">
        <v>95.91</v>
      </c>
      <c r="L104" s="8">
        <v>99.45</v>
      </c>
      <c r="M104" s="8">
        <v>96.35</v>
      </c>
      <c r="N104" s="8">
        <v>99.1</v>
      </c>
      <c r="O104" s="8">
        <v>100.98</v>
      </c>
      <c r="P104" s="8">
        <v>98.72</v>
      </c>
      <c r="Q104" s="8">
        <v>99.11</v>
      </c>
      <c r="R104" s="8">
        <v>101.11</v>
      </c>
      <c r="S104" s="8">
        <v>99.95</v>
      </c>
      <c r="T104" s="8">
        <v>99.95</v>
      </c>
      <c r="U104" s="8">
        <v>99.77</v>
      </c>
      <c r="V104" s="8">
        <v>100</v>
      </c>
      <c r="W104" s="8">
        <v>100</v>
      </c>
      <c r="X104" s="8">
        <v>100.51</v>
      </c>
      <c r="Y104" s="8">
        <v>98.81</v>
      </c>
      <c r="Z104" s="8">
        <v>98.81</v>
      </c>
      <c r="AA104" s="8">
        <v>101.33</v>
      </c>
      <c r="AB104" s="8">
        <v>100.3</v>
      </c>
      <c r="AC104" s="8">
        <v>101.41</v>
      </c>
      <c r="AD104" s="8">
        <v>98.49</v>
      </c>
      <c r="AE104" s="8">
        <v>99.64</v>
      </c>
      <c r="AF104" s="8">
        <v>99.41</v>
      </c>
      <c r="AG104" s="8">
        <v>99.96</v>
      </c>
      <c r="AH104" s="8">
        <v>99.17</v>
      </c>
      <c r="AI104" s="8">
        <v>98.96</v>
      </c>
      <c r="AJ104" s="8">
        <v>98.73</v>
      </c>
      <c r="AK104" s="8">
        <v>98.3</v>
      </c>
      <c r="AL104" s="8">
        <v>98.3</v>
      </c>
      <c r="AM104" s="8">
        <v>99.25</v>
      </c>
      <c r="AN104" s="8">
        <v>90.33</v>
      </c>
      <c r="AO104" s="8">
        <v>99.29</v>
      </c>
      <c r="AP104" s="8">
        <v>101.15</v>
      </c>
      <c r="AQ104" s="8">
        <v>99.57</v>
      </c>
      <c r="AR104" s="8">
        <v>98.47</v>
      </c>
      <c r="AS104" s="8">
        <v>98.37</v>
      </c>
      <c r="AT104" s="8">
        <v>100.18</v>
      </c>
      <c r="AU104" s="8">
        <v>96.75</v>
      </c>
      <c r="AV104" s="8">
        <v>105.07</v>
      </c>
      <c r="AW104" s="8">
        <v>107.19</v>
      </c>
      <c r="AX104" s="8">
        <v>103.14</v>
      </c>
      <c r="AY104" s="8">
        <v>98.6</v>
      </c>
      <c r="AZ104" s="8">
        <v>101.6</v>
      </c>
      <c r="BA104" s="8">
        <v>97.79</v>
      </c>
      <c r="BB104" s="8">
        <v>98.82</v>
      </c>
      <c r="BC104" s="8">
        <v>98.81</v>
      </c>
      <c r="BD104" s="8">
        <v>97.82</v>
      </c>
      <c r="BE104" s="8">
        <v>99.01</v>
      </c>
      <c r="BF104" s="8">
        <v>101.34</v>
      </c>
      <c r="BG104" s="8">
        <v>95.61</v>
      </c>
      <c r="BH104" s="8">
        <v>103.34</v>
      </c>
      <c r="BI104" s="8">
        <v>98.64</v>
      </c>
      <c r="BJ104" s="8">
        <v>98.95</v>
      </c>
      <c r="BK104" s="8">
        <v>98.33</v>
      </c>
      <c r="BL104" s="8">
        <v>96.98</v>
      </c>
      <c r="BM104" s="8">
        <v>98.48</v>
      </c>
      <c r="BN104" s="8">
        <v>99.16</v>
      </c>
      <c r="BO104" s="8">
        <v>98.58</v>
      </c>
      <c r="BP104" s="8">
        <v>98.11</v>
      </c>
      <c r="BQ104" s="8">
        <v>92.96</v>
      </c>
      <c r="BR104" s="8">
        <v>92.96</v>
      </c>
      <c r="BS104" s="8">
        <v>97.27</v>
      </c>
      <c r="BT104" s="8">
        <v>98.41</v>
      </c>
      <c r="BU104" s="8">
        <v>97.31</v>
      </c>
      <c r="BV104" s="8">
        <v>100.9</v>
      </c>
      <c r="BW104" s="8">
        <v>93.76</v>
      </c>
      <c r="BX104" s="8">
        <v>100.52</v>
      </c>
      <c r="BY104" s="8">
        <v>103</v>
      </c>
      <c r="BZ104" s="8">
        <v>99.82</v>
      </c>
      <c r="CA104" s="8">
        <v>99.43</v>
      </c>
      <c r="CB104" s="8">
        <v>92.39</v>
      </c>
      <c r="CC104" s="8">
        <v>91.74</v>
      </c>
      <c r="CD104" s="8">
        <v>97.26</v>
      </c>
      <c r="CE104" s="8">
        <v>97.76</v>
      </c>
      <c r="CF104" s="8">
        <v>98.57</v>
      </c>
      <c r="CG104" s="8">
        <v>98.57</v>
      </c>
      <c r="CH104" s="8">
        <v>98.14</v>
      </c>
      <c r="CI104" s="8">
        <v>98.14</v>
      </c>
      <c r="CJ104" s="8">
        <v>96.91</v>
      </c>
      <c r="CK104" s="8">
        <v>98.28</v>
      </c>
      <c r="CL104" s="8">
        <v>95.26</v>
      </c>
      <c r="CM104" s="8">
        <v>97</v>
      </c>
      <c r="CN104" s="8">
        <v>97.35</v>
      </c>
      <c r="CO104" s="8">
        <v>97.56</v>
      </c>
      <c r="CP104" s="8">
        <v>94.8</v>
      </c>
      <c r="CQ104" s="8">
        <v>97.76</v>
      </c>
      <c r="CR104" s="8">
        <v>96.93</v>
      </c>
      <c r="CS104" s="8">
        <v>96.62</v>
      </c>
      <c r="CT104" s="8">
        <v>98.08</v>
      </c>
      <c r="CU104" s="8">
        <v>93</v>
      </c>
      <c r="CV104" s="8">
        <v>93</v>
      </c>
      <c r="CW104" s="8">
        <v>97.96</v>
      </c>
      <c r="CX104" s="8">
        <v>100.69</v>
      </c>
      <c r="CY104" s="8">
        <v>98.24</v>
      </c>
      <c r="CZ104" s="8">
        <v>93.8</v>
      </c>
      <c r="DA104" s="8">
        <v>98.82</v>
      </c>
      <c r="DB104" s="8">
        <v>99.66</v>
      </c>
      <c r="DC104" s="8">
        <v>99.21</v>
      </c>
      <c r="DD104" s="8">
        <v>98.73</v>
      </c>
      <c r="DE104" s="8">
        <v>100.41</v>
      </c>
      <c r="DF104" s="8">
        <v>97.25</v>
      </c>
      <c r="DG104" s="8">
        <v>93.66</v>
      </c>
      <c r="DH104" s="8">
        <v>98.28</v>
      </c>
      <c r="DI104" s="8">
        <v>98.59</v>
      </c>
      <c r="DJ104" s="8">
        <v>100.3</v>
      </c>
      <c r="DK104" s="8">
        <v>100.67</v>
      </c>
      <c r="DL104" s="8">
        <v>100.88</v>
      </c>
      <c r="DM104" s="8">
        <v>99.27</v>
      </c>
      <c r="DN104" s="8">
        <v>100.23</v>
      </c>
      <c r="DO104" s="8">
        <v>100.26</v>
      </c>
      <c r="DP104" s="8">
        <v>99.96</v>
      </c>
      <c r="DQ104" s="8">
        <v>98.63</v>
      </c>
      <c r="DR104" s="8">
        <v>98.6</v>
      </c>
      <c r="DS104" s="8">
        <v>99.15</v>
      </c>
      <c r="DT104" s="8">
        <v>101.47</v>
      </c>
      <c r="DU104" s="8">
        <v>98.76</v>
      </c>
      <c r="DV104" s="8">
        <v>97.24</v>
      </c>
      <c r="DW104" s="8">
        <v>97.02</v>
      </c>
      <c r="DX104" s="8">
        <v>100</v>
      </c>
      <c r="DY104" s="8">
        <v>100</v>
      </c>
      <c r="DZ104" s="8">
        <v>98</v>
      </c>
      <c r="EA104" s="8">
        <v>98</v>
      </c>
      <c r="EB104" s="8">
        <v>98.29</v>
      </c>
      <c r="EC104" s="8">
        <v>97.99</v>
      </c>
      <c r="ED104" s="8">
        <v>97.83</v>
      </c>
      <c r="EE104" s="8">
        <v>97.7</v>
      </c>
      <c r="EF104" s="8">
        <v>100.51</v>
      </c>
      <c r="EG104" s="8">
        <v>94.43</v>
      </c>
      <c r="EH104" s="8">
        <v>98.96</v>
      </c>
      <c r="EI104" s="8">
        <v>98.86</v>
      </c>
      <c r="EJ104" s="8">
        <v>99</v>
      </c>
      <c r="EK104" s="8">
        <v>96.88</v>
      </c>
      <c r="EL104" s="8">
        <v>94.34</v>
      </c>
      <c r="EM104" s="8">
        <v>99.48</v>
      </c>
      <c r="EN104" s="8">
        <v>98.95</v>
      </c>
      <c r="EO104" s="8">
        <v>101.99</v>
      </c>
      <c r="EP104" s="8">
        <v>99.2</v>
      </c>
      <c r="EQ104" s="8">
        <v>100.97</v>
      </c>
      <c r="ER104" s="8">
        <v>94.7</v>
      </c>
      <c r="ES104" s="8">
        <v>98.04</v>
      </c>
      <c r="ET104" s="8">
        <v>100.47</v>
      </c>
      <c r="EU104" s="8">
        <v>99.95</v>
      </c>
      <c r="EV104" s="8">
        <v>99.95</v>
      </c>
      <c r="EW104" s="8">
        <v>99.91</v>
      </c>
      <c r="EX104" s="8">
        <v>100</v>
      </c>
      <c r="EY104" s="8">
        <v>99.9</v>
      </c>
      <c r="EZ104" s="8">
        <v>98.71</v>
      </c>
      <c r="FA104" s="8">
        <v>99.31</v>
      </c>
      <c r="FB104" s="8">
        <v>99.31</v>
      </c>
      <c r="FC104" s="8">
        <v>98.46</v>
      </c>
      <c r="FD104" s="8">
        <v>100.3</v>
      </c>
      <c r="FE104" s="8">
        <v>98.11</v>
      </c>
      <c r="FF104" s="8">
        <v>98.16</v>
      </c>
      <c r="FG104" s="8">
        <v>99.64</v>
      </c>
      <c r="FH104" s="8">
        <v>99.96</v>
      </c>
      <c r="FI104" s="8">
        <v>100.96</v>
      </c>
      <c r="FJ104" s="8">
        <v>99.21</v>
      </c>
      <c r="FK104" s="8">
        <v>99.71</v>
      </c>
      <c r="FL104" s="8">
        <v>99.33</v>
      </c>
      <c r="FM104" s="8">
        <v>98.32</v>
      </c>
      <c r="FN104" s="8">
        <v>96.85</v>
      </c>
      <c r="FO104" s="8">
        <v>98.56</v>
      </c>
      <c r="FP104" s="8">
        <v>90.09</v>
      </c>
      <c r="FQ104" s="8">
        <v>100.82</v>
      </c>
      <c r="FR104" s="8">
        <v>101.81</v>
      </c>
      <c r="FS104" s="8">
        <v>99.49</v>
      </c>
      <c r="FT104" s="8">
        <v>97.79</v>
      </c>
      <c r="FU104" s="8">
        <v>97.23</v>
      </c>
      <c r="FV104" s="8">
        <v>100.3</v>
      </c>
      <c r="FW104" s="8">
        <v>95.91</v>
      </c>
      <c r="FX104" s="8">
        <v>105.89</v>
      </c>
      <c r="FY104" s="8">
        <v>104.67</v>
      </c>
      <c r="FZ104" s="8">
        <v>106.59</v>
      </c>
      <c r="GA104" s="8">
        <v>98.31</v>
      </c>
      <c r="GB104" s="8">
        <v>98.39</v>
      </c>
      <c r="GC104" s="8">
        <v>97.51</v>
      </c>
      <c r="GD104" s="8">
        <v>98.81</v>
      </c>
      <c r="GE104" s="8">
        <v>98.75</v>
      </c>
      <c r="GF104" s="8">
        <v>97.84</v>
      </c>
      <c r="GG104" s="8">
        <v>98.9</v>
      </c>
      <c r="GH104" s="8">
        <v>101.65</v>
      </c>
      <c r="GI104" s="8">
        <v>96.86</v>
      </c>
      <c r="GJ104" s="8">
        <v>103.01</v>
      </c>
      <c r="GK104" s="8">
        <v>98.62</v>
      </c>
      <c r="GL104" s="8">
        <v>98.47</v>
      </c>
      <c r="GM104" s="8">
        <v>98.77</v>
      </c>
      <c r="GN104" s="8">
        <v>96.76</v>
      </c>
      <c r="GO104" s="8">
        <v>99.4</v>
      </c>
      <c r="GP104" s="8">
        <v>98.58</v>
      </c>
      <c r="GQ104" s="8">
        <v>101.01</v>
      </c>
      <c r="GR104" s="8">
        <v>98.74</v>
      </c>
      <c r="GS104" s="8">
        <v>92.21</v>
      </c>
      <c r="GT104" s="8">
        <v>92.21</v>
      </c>
      <c r="GU104" s="8">
        <v>97.86</v>
      </c>
      <c r="GV104" s="8">
        <v>99.17</v>
      </c>
      <c r="GW104" s="8">
        <v>101.15</v>
      </c>
      <c r="GX104" s="8">
        <v>99.53</v>
      </c>
      <c r="GY104" s="8">
        <v>94.85</v>
      </c>
      <c r="GZ104" s="8">
        <v>98.65</v>
      </c>
      <c r="HA104" s="8">
        <v>98.76</v>
      </c>
      <c r="HB104" s="8">
        <v>99.84</v>
      </c>
      <c r="HC104" s="8">
        <v>96.93</v>
      </c>
      <c r="HD104" s="8">
        <v>91.65</v>
      </c>
      <c r="HE104" s="8">
        <v>90.84</v>
      </c>
      <c r="HF104" s="8">
        <v>99</v>
      </c>
      <c r="HG104" s="8">
        <v>95.64</v>
      </c>
      <c r="HH104" s="8">
        <v>99.69</v>
      </c>
      <c r="HI104" s="8">
        <v>99.69</v>
      </c>
      <c r="HJ104" s="8">
        <v>97.66</v>
      </c>
      <c r="HK104" s="8">
        <v>97.66</v>
      </c>
      <c r="HL104" s="8">
        <v>97.8</v>
      </c>
      <c r="HM104" s="8">
        <v>99.31</v>
      </c>
      <c r="HN104" s="8">
        <v>95.8</v>
      </c>
      <c r="HO104" s="8">
        <v>85.71</v>
      </c>
      <c r="HP104" s="8">
        <v>96.54</v>
      </c>
      <c r="HQ104" s="8">
        <v>78.55</v>
      </c>
      <c r="HR104" s="8">
        <v>97.93</v>
      </c>
      <c r="HS104" s="8">
        <v>97.21</v>
      </c>
      <c r="HT104" s="8">
        <v>93.67</v>
      </c>
      <c r="HU104" s="8">
        <v>92.78</v>
      </c>
      <c r="HV104" s="8">
        <v>96.68</v>
      </c>
      <c r="HW104" s="8">
        <v>92.06</v>
      </c>
      <c r="HX104" s="8">
        <v>92.06</v>
      </c>
      <c r="HY104" s="8">
        <v>98.1</v>
      </c>
      <c r="HZ104" s="8">
        <v>101.1</v>
      </c>
      <c r="IA104" s="8">
        <v>97.17</v>
      </c>
      <c r="IB104" s="8">
        <v>93.75</v>
      </c>
      <c r="IC104" s="8">
        <v>99.7</v>
      </c>
      <c r="ID104" s="8">
        <v>100.28</v>
      </c>
      <c r="IE104" s="8">
        <v>98.84</v>
      </c>
      <c r="IF104" s="8">
        <v>98.81</v>
      </c>
      <c r="IG104" s="8">
        <v>101.16</v>
      </c>
      <c r="IH104" s="8">
        <v>96.34</v>
      </c>
      <c r="II104" s="8">
        <v>92.5</v>
      </c>
      <c r="IJ104" s="8">
        <v>98.68</v>
      </c>
      <c r="IK104" s="8">
        <v>95.79</v>
      </c>
      <c r="IL104" s="8">
        <v>100.15</v>
      </c>
      <c r="IM104" s="8">
        <v>102.81</v>
      </c>
      <c r="IN104" s="8">
        <v>103.42</v>
      </c>
      <c r="IO104" s="8">
        <v>100</v>
      </c>
      <c r="IP104" s="8">
        <v>99.68</v>
      </c>
      <c r="IQ104" s="8">
        <v>99.79</v>
      </c>
    </row>
    <row r="105" spans="1:251" x14ac:dyDescent="0.2">
      <c r="A105" s="9">
        <v>45839</v>
      </c>
      <c r="B105" s="8">
        <v>99.08</v>
      </c>
      <c r="C105" s="8">
        <v>97.21</v>
      </c>
      <c r="D105" s="8">
        <v>100.39</v>
      </c>
      <c r="E105" s="8">
        <v>94.16</v>
      </c>
      <c r="F105" s="8">
        <v>99.35</v>
      </c>
      <c r="G105" s="8">
        <v>101.79</v>
      </c>
      <c r="H105" s="8">
        <v>98.54</v>
      </c>
      <c r="I105" s="8">
        <v>99.19</v>
      </c>
      <c r="J105" s="8">
        <v>100.16</v>
      </c>
      <c r="K105" s="8">
        <v>98.16</v>
      </c>
      <c r="L105" s="8">
        <v>99.83</v>
      </c>
      <c r="M105" s="8">
        <v>98.57</v>
      </c>
      <c r="N105" s="8">
        <v>97.56</v>
      </c>
      <c r="O105" s="8">
        <v>100.52</v>
      </c>
      <c r="P105" s="8">
        <v>98.72</v>
      </c>
      <c r="Q105" s="8">
        <v>99.93</v>
      </c>
      <c r="R105" s="8">
        <v>102.5</v>
      </c>
      <c r="S105" s="8">
        <v>99.95</v>
      </c>
      <c r="T105" s="8">
        <v>99.95</v>
      </c>
      <c r="U105" s="8">
        <v>99.77</v>
      </c>
      <c r="V105" s="8">
        <v>100</v>
      </c>
      <c r="W105" s="8">
        <v>100</v>
      </c>
      <c r="X105" s="8">
        <v>101.13</v>
      </c>
      <c r="Y105" s="8">
        <v>100.63</v>
      </c>
      <c r="Z105" s="8">
        <v>100.63</v>
      </c>
      <c r="AA105" s="8">
        <v>101.37</v>
      </c>
      <c r="AB105" s="8">
        <v>100.79</v>
      </c>
      <c r="AC105" s="8">
        <v>101.41</v>
      </c>
      <c r="AD105" s="8">
        <v>99.52</v>
      </c>
      <c r="AE105" s="8">
        <v>99.85</v>
      </c>
      <c r="AF105" s="8">
        <v>99.98</v>
      </c>
      <c r="AG105" s="8">
        <v>100</v>
      </c>
      <c r="AH105" s="8">
        <v>100.49</v>
      </c>
      <c r="AI105" s="8">
        <v>98.74</v>
      </c>
      <c r="AJ105" s="8">
        <v>99</v>
      </c>
      <c r="AK105" s="8">
        <v>98.5</v>
      </c>
      <c r="AL105" s="8">
        <v>97.77</v>
      </c>
      <c r="AM105" s="8">
        <v>99.63</v>
      </c>
      <c r="AN105" s="8">
        <v>92.49</v>
      </c>
      <c r="AO105" s="8">
        <v>99.69</v>
      </c>
      <c r="AP105" s="8">
        <v>100.75</v>
      </c>
      <c r="AQ105" s="8">
        <v>99.48</v>
      </c>
      <c r="AR105" s="8">
        <v>98.61</v>
      </c>
      <c r="AS105" s="8">
        <v>98.32</v>
      </c>
      <c r="AT105" s="8">
        <v>99.88</v>
      </c>
      <c r="AU105" s="8">
        <v>97.6</v>
      </c>
      <c r="AV105" s="8">
        <v>103.82</v>
      </c>
      <c r="AW105" s="8">
        <v>104.69</v>
      </c>
      <c r="AX105" s="8">
        <v>103.02</v>
      </c>
      <c r="AY105" s="8">
        <v>98.96</v>
      </c>
      <c r="AZ105" s="8">
        <v>101.56</v>
      </c>
      <c r="BA105" s="8">
        <v>97.71</v>
      </c>
      <c r="BB105" s="8">
        <v>99.13</v>
      </c>
      <c r="BC105" s="8">
        <v>99.36</v>
      </c>
      <c r="BD105" s="8">
        <v>98.15</v>
      </c>
      <c r="BE105" s="8">
        <v>99.53</v>
      </c>
      <c r="BF105" s="8">
        <v>101.59</v>
      </c>
      <c r="BG105" s="8">
        <v>97.71</v>
      </c>
      <c r="BH105" s="8">
        <v>102.94</v>
      </c>
      <c r="BI105" s="8">
        <v>99.19</v>
      </c>
      <c r="BJ105" s="8">
        <v>99.49</v>
      </c>
      <c r="BK105" s="8">
        <v>98.89</v>
      </c>
      <c r="BL105" s="8">
        <v>98.5</v>
      </c>
      <c r="BM105" s="8">
        <v>99.71</v>
      </c>
      <c r="BN105" s="8">
        <v>99.93</v>
      </c>
      <c r="BO105" s="8">
        <v>100.22</v>
      </c>
      <c r="BP105" s="8">
        <v>99.29</v>
      </c>
      <c r="BQ105" s="8">
        <v>95.24</v>
      </c>
      <c r="BR105" s="8">
        <v>95.24</v>
      </c>
      <c r="BS105" s="8">
        <v>100.7</v>
      </c>
      <c r="BT105" s="8">
        <v>101.58</v>
      </c>
      <c r="BU105" s="8">
        <v>99.9</v>
      </c>
      <c r="BV105" s="8">
        <v>103.58</v>
      </c>
      <c r="BW105" s="8">
        <v>98.94</v>
      </c>
      <c r="BX105" s="8">
        <v>99.82</v>
      </c>
      <c r="BY105" s="8">
        <v>101.5</v>
      </c>
      <c r="BZ105" s="8">
        <v>98.52</v>
      </c>
      <c r="CA105" s="8">
        <v>101.92</v>
      </c>
      <c r="CB105" s="8">
        <v>98.9</v>
      </c>
      <c r="CC105" s="8">
        <v>98.88</v>
      </c>
      <c r="CD105" s="8">
        <v>99.08</v>
      </c>
      <c r="CE105" s="8">
        <v>98.79</v>
      </c>
      <c r="CF105" s="8">
        <v>99.1</v>
      </c>
      <c r="CG105" s="8">
        <v>99.1</v>
      </c>
      <c r="CH105" s="8">
        <v>98.49</v>
      </c>
      <c r="CI105" s="8">
        <v>98.49</v>
      </c>
      <c r="CJ105" s="8">
        <v>97.35</v>
      </c>
      <c r="CK105" s="8">
        <v>99.09</v>
      </c>
      <c r="CL105" s="8">
        <v>95.26</v>
      </c>
      <c r="CM105" s="8">
        <v>100</v>
      </c>
      <c r="CN105" s="8">
        <v>100</v>
      </c>
      <c r="CO105" s="8">
        <v>100</v>
      </c>
      <c r="CP105" s="8">
        <v>100</v>
      </c>
      <c r="CQ105" s="8">
        <v>99.86</v>
      </c>
      <c r="CR105" s="8">
        <v>101.39</v>
      </c>
      <c r="CS105" s="8">
        <v>102.11</v>
      </c>
      <c r="CT105" s="8">
        <v>98.72</v>
      </c>
      <c r="CU105" s="8">
        <v>100.64</v>
      </c>
      <c r="CV105" s="8">
        <v>100.64</v>
      </c>
      <c r="CW105" s="8">
        <v>100.01</v>
      </c>
      <c r="CX105" s="8">
        <v>100.67</v>
      </c>
      <c r="CY105" s="8">
        <v>97.64</v>
      </c>
      <c r="CZ105" s="8">
        <v>101.75</v>
      </c>
      <c r="DA105" s="8">
        <v>99.63</v>
      </c>
      <c r="DB105" s="8">
        <v>100.33</v>
      </c>
      <c r="DC105" s="8">
        <v>100.97</v>
      </c>
      <c r="DD105" s="8">
        <v>100.18</v>
      </c>
      <c r="DE105" s="8">
        <v>100.29</v>
      </c>
      <c r="DF105" s="8">
        <v>98.06</v>
      </c>
      <c r="DG105" s="8">
        <v>94.13</v>
      </c>
      <c r="DH105" s="8">
        <v>99.03</v>
      </c>
      <c r="DI105" s="8">
        <v>99.71</v>
      </c>
      <c r="DJ105" s="8">
        <v>100.41</v>
      </c>
      <c r="DK105" s="8">
        <v>101.19</v>
      </c>
      <c r="DL105" s="8">
        <v>101.37</v>
      </c>
      <c r="DM105" s="8">
        <v>99.96</v>
      </c>
      <c r="DN105" s="8">
        <v>100.27</v>
      </c>
      <c r="DO105" s="8">
        <v>100.3</v>
      </c>
      <c r="DP105" s="8">
        <v>100</v>
      </c>
      <c r="DQ105" s="8">
        <v>99.67</v>
      </c>
      <c r="DR105" s="8">
        <v>99.66</v>
      </c>
      <c r="DS105" s="8">
        <v>100.13</v>
      </c>
      <c r="DT105" s="8">
        <v>101.13</v>
      </c>
      <c r="DU105" s="8">
        <v>100.08</v>
      </c>
      <c r="DV105" s="8">
        <v>97.63</v>
      </c>
      <c r="DW105" s="8">
        <v>99.99</v>
      </c>
      <c r="DX105" s="8">
        <v>100</v>
      </c>
      <c r="DY105" s="8">
        <v>100</v>
      </c>
      <c r="DZ105" s="8">
        <v>99.49</v>
      </c>
      <c r="EA105" s="8">
        <v>99.49</v>
      </c>
      <c r="EB105" s="8">
        <v>99.4</v>
      </c>
      <c r="EC105" s="8">
        <v>99.5</v>
      </c>
      <c r="ED105" s="8">
        <v>99.54</v>
      </c>
      <c r="EE105" s="8">
        <v>98.75</v>
      </c>
      <c r="EF105" s="8">
        <v>102.58</v>
      </c>
      <c r="EG105" s="8">
        <v>94.3</v>
      </c>
      <c r="EH105" s="8">
        <v>99.95</v>
      </c>
      <c r="EI105" s="8">
        <v>100.63</v>
      </c>
      <c r="EJ105" s="8">
        <v>99.7</v>
      </c>
      <c r="EK105" s="8">
        <v>99.31</v>
      </c>
      <c r="EL105" s="8">
        <v>98.57</v>
      </c>
      <c r="EM105" s="8">
        <v>100.06</v>
      </c>
      <c r="EN105" s="8">
        <v>100.13</v>
      </c>
      <c r="EO105" s="8">
        <v>101.62</v>
      </c>
      <c r="EP105" s="8">
        <v>97.29</v>
      </c>
      <c r="EQ105" s="8">
        <v>100.55</v>
      </c>
      <c r="ER105" s="8">
        <v>99.62</v>
      </c>
      <c r="ES105" s="8">
        <v>99.29</v>
      </c>
      <c r="ET105" s="8">
        <v>102.13</v>
      </c>
      <c r="EU105" s="8">
        <v>99.96</v>
      </c>
      <c r="EV105" s="8">
        <v>99.96</v>
      </c>
      <c r="EW105" s="8">
        <v>99.92</v>
      </c>
      <c r="EX105" s="8">
        <v>100</v>
      </c>
      <c r="EY105" s="8">
        <v>99.9</v>
      </c>
      <c r="EZ105" s="8">
        <v>99.1</v>
      </c>
      <c r="FA105" s="8">
        <v>100.48</v>
      </c>
      <c r="FB105" s="8">
        <v>100.48</v>
      </c>
      <c r="FC105" s="8">
        <v>98.54</v>
      </c>
      <c r="FD105" s="8">
        <v>100.79</v>
      </c>
      <c r="FE105" s="8">
        <v>98.11</v>
      </c>
      <c r="FF105" s="8">
        <v>99.2</v>
      </c>
      <c r="FG105" s="8">
        <v>100.23</v>
      </c>
      <c r="FH105" s="8">
        <v>100.72</v>
      </c>
      <c r="FI105" s="8">
        <v>100.55</v>
      </c>
      <c r="FJ105" s="8">
        <v>101.38</v>
      </c>
      <c r="FK105" s="8">
        <v>99.61</v>
      </c>
      <c r="FL105" s="8">
        <v>98.93</v>
      </c>
      <c r="FM105" s="8">
        <v>98.41</v>
      </c>
      <c r="FN105" s="8">
        <v>96.04</v>
      </c>
      <c r="FO105" s="8">
        <v>99.38</v>
      </c>
      <c r="FP105" s="8">
        <v>91.11</v>
      </c>
      <c r="FQ105" s="8">
        <v>101.08</v>
      </c>
      <c r="FR105" s="8">
        <v>101.52</v>
      </c>
      <c r="FS105" s="8">
        <v>99.57</v>
      </c>
      <c r="FT105" s="8">
        <v>98.16</v>
      </c>
      <c r="FU105" s="8">
        <v>97.55</v>
      </c>
      <c r="FV105" s="8">
        <v>100.18</v>
      </c>
      <c r="FW105" s="8">
        <v>96.88</v>
      </c>
      <c r="FX105" s="8">
        <v>107.5</v>
      </c>
      <c r="FY105" s="8">
        <v>109.05</v>
      </c>
      <c r="FZ105" s="8">
        <v>106.62</v>
      </c>
      <c r="GA105" s="8">
        <v>98.6</v>
      </c>
      <c r="GB105" s="8">
        <v>99</v>
      </c>
      <c r="GC105" s="8">
        <v>97.54</v>
      </c>
      <c r="GD105" s="8">
        <v>98.91</v>
      </c>
      <c r="GE105" s="8">
        <v>99.44</v>
      </c>
      <c r="GF105" s="8">
        <v>98.03</v>
      </c>
      <c r="GG105" s="8">
        <v>99.26</v>
      </c>
      <c r="GH105" s="8">
        <v>101.69</v>
      </c>
      <c r="GI105" s="8">
        <v>98.13</v>
      </c>
      <c r="GJ105" s="8">
        <v>102.7</v>
      </c>
      <c r="GK105" s="8">
        <v>99.33</v>
      </c>
      <c r="GL105" s="8">
        <v>99.67</v>
      </c>
      <c r="GM105" s="8">
        <v>98.99</v>
      </c>
      <c r="GN105" s="8">
        <v>97.41</v>
      </c>
      <c r="GO105" s="8">
        <v>99.73</v>
      </c>
      <c r="GP105" s="8">
        <v>99.43</v>
      </c>
      <c r="GQ105" s="8">
        <v>101.31</v>
      </c>
      <c r="GR105" s="8">
        <v>98.91</v>
      </c>
      <c r="GS105" s="8">
        <v>93.43</v>
      </c>
      <c r="GT105" s="8">
        <v>93.43</v>
      </c>
      <c r="GU105" s="8">
        <v>99.31</v>
      </c>
      <c r="GV105" s="8">
        <v>100.18</v>
      </c>
      <c r="GW105" s="8">
        <v>101.43</v>
      </c>
      <c r="GX105" s="8">
        <v>100.92</v>
      </c>
      <c r="GY105" s="8">
        <v>95.93</v>
      </c>
      <c r="GZ105" s="8">
        <v>98.34</v>
      </c>
      <c r="HA105" s="8">
        <v>99.62</v>
      </c>
      <c r="HB105" s="8">
        <v>97.99</v>
      </c>
      <c r="HC105" s="8">
        <v>97</v>
      </c>
      <c r="HD105" s="8">
        <v>97.02</v>
      </c>
      <c r="HE105" s="8">
        <v>96.69</v>
      </c>
      <c r="HF105" s="8">
        <v>100</v>
      </c>
      <c r="HG105" s="8">
        <v>97.77</v>
      </c>
      <c r="HH105" s="8">
        <v>99.83</v>
      </c>
      <c r="HI105" s="8">
        <v>99.83</v>
      </c>
      <c r="HJ105" s="8">
        <v>98.66</v>
      </c>
      <c r="HK105" s="8">
        <v>98.66</v>
      </c>
      <c r="HL105" s="8">
        <v>98.02</v>
      </c>
      <c r="HM105" s="8">
        <v>99.7</v>
      </c>
      <c r="HN105" s="8">
        <v>95.8</v>
      </c>
      <c r="HO105" s="8">
        <v>93.82</v>
      </c>
      <c r="HP105" s="8">
        <v>100</v>
      </c>
      <c r="HQ105" s="8">
        <v>90.13</v>
      </c>
      <c r="HR105" s="8">
        <v>98.66</v>
      </c>
      <c r="HS105" s="8">
        <v>99.34</v>
      </c>
      <c r="HT105" s="8">
        <v>99.25</v>
      </c>
      <c r="HU105" s="8">
        <v>99.34</v>
      </c>
      <c r="HV105" s="8">
        <v>98.95</v>
      </c>
      <c r="HW105" s="8">
        <v>101.1</v>
      </c>
      <c r="HX105" s="8">
        <v>101.1</v>
      </c>
      <c r="HY105" s="8">
        <v>99.47</v>
      </c>
      <c r="HZ105" s="8">
        <v>101.92</v>
      </c>
      <c r="IA105" s="8">
        <v>97.63</v>
      </c>
      <c r="IB105" s="8">
        <v>100.66</v>
      </c>
      <c r="IC105" s="8">
        <v>97.88</v>
      </c>
      <c r="ID105" s="8">
        <v>100.79</v>
      </c>
      <c r="IE105" s="8">
        <v>101.13</v>
      </c>
      <c r="IF105" s="8">
        <v>99.94</v>
      </c>
      <c r="IG105" s="8">
        <v>101.16</v>
      </c>
      <c r="IH105" s="8">
        <v>97.09</v>
      </c>
      <c r="II105" s="8">
        <v>92.56</v>
      </c>
      <c r="IJ105" s="8">
        <v>98.69</v>
      </c>
      <c r="IK105" s="8">
        <v>98.09</v>
      </c>
      <c r="IL105" s="8">
        <v>100.28</v>
      </c>
      <c r="IM105" s="8">
        <v>102.22</v>
      </c>
      <c r="IN105" s="8">
        <v>102.7</v>
      </c>
      <c r="IO105" s="8">
        <v>100</v>
      </c>
      <c r="IP105" s="8">
        <v>99.93</v>
      </c>
      <c r="IQ105" s="8">
        <v>99.93</v>
      </c>
    </row>
    <row r="106" spans="1:251" x14ac:dyDescent="0.2">
      <c r="A106" s="9">
        <v>45870</v>
      </c>
      <c r="B106" s="8">
        <v>98.05</v>
      </c>
      <c r="C106" s="8">
        <v>100.87</v>
      </c>
      <c r="D106" s="8">
        <v>102.56</v>
      </c>
      <c r="E106" s="8">
        <v>99.24</v>
      </c>
      <c r="F106" s="8">
        <v>99.34</v>
      </c>
      <c r="G106" s="8">
        <v>100.09</v>
      </c>
      <c r="H106" s="8">
        <v>99.09</v>
      </c>
      <c r="I106" s="8">
        <v>95.38</v>
      </c>
      <c r="J106" s="8">
        <v>96</v>
      </c>
      <c r="K106" s="8">
        <v>94.71</v>
      </c>
      <c r="L106" s="8">
        <v>100.17</v>
      </c>
      <c r="M106" s="8">
        <v>100.22</v>
      </c>
      <c r="N106" s="8">
        <v>97.33</v>
      </c>
      <c r="O106" s="8">
        <v>100.8</v>
      </c>
      <c r="P106" s="8">
        <v>100</v>
      </c>
      <c r="Q106" s="8">
        <v>99.93</v>
      </c>
      <c r="R106" s="8">
        <v>102.4</v>
      </c>
      <c r="S106" s="8">
        <v>99.97</v>
      </c>
      <c r="T106" s="8">
        <v>99.97</v>
      </c>
      <c r="U106" s="8">
        <v>99.86</v>
      </c>
      <c r="V106" s="8">
        <v>100</v>
      </c>
      <c r="W106" s="8">
        <v>100</v>
      </c>
      <c r="X106" s="8">
        <v>100.9</v>
      </c>
      <c r="Y106" s="8">
        <v>99.89</v>
      </c>
      <c r="Z106" s="8">
        <v>99.89</v>
      </c>
      <c r="AA106" s="8">
        <v>101.38</v>
      </c>
      <c r="AB106" s="8">
        <v>101.03</v>
      </c>
      <c r="AC106" s="8">
        <v>101.41</v>
      </c>
      <c r="AD106" s="8">
        <v>99.65</v>
      </c>
      <c r="AE106" s="8">
        <v>99.99</v>
      </c>
      <c r="AF106" s="8">
        <v>100.11</v>
      </c>
      <c r="AG106" s="8">
        <v>100.07</v>
      </c>
      <c r="AH106" s="8">
        <v>100.5</v>
      </c>
      <c r="AI106" s="8">
        <v>99.34</v>
      </c>
      <c r="AJ106" s="8">
        <v>99.42</v>
      </c>
      <c r="AK106" s="8">
        <v>99.59</v>
      </c>
      <c r="AL106" s="8">
        <v>99.18</v>
      </c>
      <c r="AM106" s="8">
        <v>99.87</v>
      </c>
      <c r="AN106" s="8">
        <v>95.54</v>
      </c>
      <c r="AO106" s="8">
        <v>100.67</v>
      </c>
      <c r="AP106" s="8">
        <v>100.98</v>
      </c>
      <c r="AQ106" s="8">
        <v>100.29</v>
      </c>
      <c r="AR106" s="8">
        <v>99.47</v>
      </c>
      <c r="AS106" s="8">
        <v>99.78</v>
      </c>
      <c r="AT106" s="8">
        <v>100.01</v>
      </c>
      <c r="AU106" s="8">
        <v>98.5</v>
      </c>
      <c r="AV106" s="8">
        <v>102.3</v>
      </c>
      <c r="AW106" s="8">
        <v>102.09</v>
      </c>
      <c r="AX106" s="8">
        <v>102.49</v>
      </c>
      <c r="AY106" s="8">
        <v>99.45</v>
      </c>
      <c r="AZ106" s="8">
        <v>101.06</v>
      </c>
      <c r="BA106" s="8">
        <v>99.07</v>
      </c>
      <c r="BB106" s="8">
        <v>99.87</v>
      </c>
      <c r="BC106" s="8">
        <v>99.29</v>
      </c>
      <c r="BD106" s="8">
        <v>99.04</v>
      </c>
      <c r="BE106" s="8">
        <v>99.59</v>
      </c>
      <c r="BF106" s="8">
        <v>100.6</v>
      </c>
      <c r="BG106" s="8">
        <v>97.89</v>
      </c>
      <c r="BH106" s="8">
        <v>101.54</v>
      </c>
      <c r="BI106" s="8">
        <v>99.5</v>
      </c>
      <c r="BJ106" s="8">
        <v>99.49</v>
      </c>
      <c r="BK106" s="8">
        <v>99.52</v>
      </c>
      <c r="BL106" s="8">
        <v>99.19</v>
      </c>
      <c r="BM106" s="8">
        <v>100.45</v>
      </c>
      <c r="BN106" s="8">
        <v>99.32</v>
      </c>
      <c r="BO106" s="8">
        <v>101.52</v>
      </c>
      <c r="BP106" s="8">
        <v>100.24</v>
      </c>
      <c r="BQ106" s="8">
        <v>95.8</v>
      </c>
      <c r="BR106" s="8">
        <v>95.8</v>
      </c>
      <c r="BS106" s="8">
        <v>101.45</v>
      </c>
      <c r="BT106" s="8">
        <v>103.66</v>
      </c>
      <c r="BU106" s="8">
        <v>105.09</v>
      </c>
      <c r="BV106" s="8">
        <v>103.63</v>
      </c>
      <c r="BW106" s="8">
        <v>101.78</v>
      </c>
      <c r="BX106" s="8">
        <v>97.95</v>
      </c>
      <c r="BY106" s="8">
        <v>100.52</v>
      </c>
      <c r="BZ106" s="8">
        <v>96.75</v>
      </c>
      <c r="CA106" s="8">
        <v>98.43</v>
      </c>
      <c r="CB106" s="8">
        <v>97.73</v>
      </c>
      <c r="CC106" s="8">
        <v>97.53</v>
      </c>
      <c r="CD106" s="8">
        <v>99.26</v>
      </c>
      <c r="CE106" s="8">
        <v>99.04</v>
      </c>
      <c r="CF106" s="8">
        <v>99.61</v>
      </c>
      <c r="CG106" s="8">
        <v>99.61</v>
      </c>
      <c r="CH106" s="8">
        <v>98.66</v>
      </c>
      <c r="CI106" s="8">
        <v>98.66</v>
      </c>
      <c r="CJ106" s="8">
        <v>97.77</v>
      </c>
      <c r="CK106" s="8">
        <v>99.86</v>
      </c>
      <c r="CL106" s="8">
        <v>95.26</v>
      </c>
      <c r="CM106" s="8">
        <v>100</v>
      </c>
      <c r="CN106" s="8">
        <v>100</v>
      </c>
      <c r="CO106" s="8">
        <v>100</v>
      </c>
      <c r="CP106" s="8">
        <v>100</v>
      </c>
      <c r="CQ106" s="8">
        <v>100.29</v>
      </c>
      <c r="CR106" s="8">
        <v>98.62</v>
      </c>
      <c r="CS106" s="8">
        <v>98.42</v>
      </c>
      <c r="CT106" s="8">
        <v>99.35</v>
      </c>
      <c r="CU106" s="8">
        <v>100.17</v>
      </c>
      <c r="CV106" s="8">
        <v>100.17</v>
      </c>
      <c r="CW106" s="8">
        <v>103.28</v>
      </c>
      <c r="CX106" s="8">
        <v>98.1</v>
      </c>
      <c r="CY106" s="8">
        <v>104.35</v>
      </c>
      <c r="CZ106" s="8">
        <v>111.41</v>
      </c>
      <c r="DA106" s="8">
        <v>100.22</v>
      </c>
      <c r="DB106" s="8">
        <v>100.42</v>
      </c>
      <c r="DC106" s="8">
        <v>99.87</v>
      </c>
      <c r="DD106" s="8">
        <v>100.46</v>
      </c>
      <c r="DE106" s="8">
        <v>100.51</v>
      </c>
      <c r="DF106" s="8">
        <v>99.48</v>
      </c>
      <c r="DG106" s="8">
        <v>98.45</v>
      </c>
      <c r="DH106" s="8">
        <v>99.37</v>
      </c>
      <c r="DI106" s="8">
        <v>100.38</v>
      </c>
      <c r="DJ106" s="8">
        <v>100.14</v>
      </c>
      <c r="DK106" s="8">
        <v>100.77</v>
      </c>
      <c r="DL106" s="8">
        <v>100.83</v>
      </c>
      <c r="DM106" s="8">
        <v>100.37</v>
      </c>
      <c r="DN106" s="8">
        <v>100.03</v>
      </c>
      <c r="DO106" s="8">
        <v>100.03</v>
      </c>
      <c r="DP106" s="8">
        <v>100</v>
      </c>
      <c r="DQ106" s="8">
        <v>100.27</v>
      </c>
      <c r="DR106" s="8">
        <v>100.27</v>
      </c>
      <c r="DS106" s="8">
        <v>100.35</v>
      </c>
      <c r="DT106" s="8">
        <v>99.01</v>
      </c>
      <c r="DU106" s="8">
        <v>101.11</v>
      </c>
      <c r="DV106" s="8">
        <v>99.6</v>
      </c>
      <c r="DW106" s="8">
        <v>99.99</v>
      </c>
      <c r="DX106" s="8">
        <v>100</v>
      </c>
      <c r="DY106" s="8">
        <v>100</v>
      </c>
      <c r="DZ106" s="8">
        <v>100.22</v>
      </c>
      <c r="EA106" s="8">
        <v>100.22</v>
      </c>
      <c r="EB106" s="8">
        <v>99.59</v>
      </c>
      <c r="EC106" s="8">
        <v>100.25</v>
      </c>
      <c r="ED106" s="8">
        <v>98.72</v>
      </c>
      <c r="EE106" s="8">
        <v>100.15</v>
      </c>
      <c r="EF106" s="8">
        <v>100.93</v>
      </c>
      <c r="EG106" s="8">
        <v>99.25</v>
      </c>
      <c r="EH106" s="8">
        <v>100.11</v>
      </c>
      <c r="EI106" s="8">
        <v>100.08</v>
      </c>
      <c r="EJ106" s="8">
        <v>100.12</v>
      </c>
      <c r="EK106" s="8">
        <v>96.94</v>
      </c>
      <c r="EL106" s="8">
        <v>96.15</v>
      </c>
      <c r="EM106" s="8">
        <v>97.76</v>
      </c>
      <c r="EN106" s="8">
        <v>100.18</v>
      </c>
      <c r="EO106" s="8">
        <v>100.5</v>
      </c>
      <c r="EP106" s="8">
        <v>97.29</v>
      </c>
      <c r="EQ106" s="8">
        <v>100.48</v>
      </c>
      <c r="ER106" s="8">
        <v>99.62</v>
      </c>
      <c r="ES106" s="8">
        <v>99.37</v>
      </c>
      <c r="ET106" s="8">
        <v>102.83</v>
      </c>
      <c r="EU106" s="8">
        <v>100</v>
      </c>
      <c r="EV106" s="8">
        <v>100</v>
      </c>
      <c r="EW106" s="8">
        <v>99.98</v>
      </c>
      <c r="EX106" s="8">
        <v>100</v>
      </c>
      <c r="EY106" s="8">
        <v>100</v>
      </c>
      <c r="EZ106" s="8">
        <v>98.98</v>
      </c>
      <c r="FA106" s="8">
        <v>99.98</v>
      </c>
      <c r="FB106" s="8">
        <v>99.98</v>
      </c>
      <c r="FC106" s="8">
        <v>98.58</v>
      </c>
      <c r="FD106" s="8">
        <v>101.03</v>
      </c>
      <c r="FE106" s="8">
        <v>98.11</v>
      </c>
      <c r="FF106" s="8">
        <v>99.44</v>
      </c>
      <c r="FG106" s="8">
        <v>100.18</v>
      </c>
      <c r="FH106" s="8">
        <v>100.63</v>
      </c>
      <c r="FI106" s="8">
        <v>100.39</v>
      </c>
      <c r="FJ106" s="8">
        <v>101.05</v>
      </c>
      <c r="FK106" s="8">
        <v>100.21</v>
      </c>
      <c r="FL106" s="8">
        <v>99.86</v>
      </c>
      <c r="FM106" s="8">
        <v>99.31</v>
      </c>
      <c r="FN106" s="8">
        <v>98.08</v>
      </c>
      <c r="FO106" s="8">
        <v>99.94</v>
      </c>
      <c r="FP106" s="8">
        <v>93.75</v>
      </c>
      <c r="FQ106" s="8">
        <v>100.33</v>
      </c>
      <c r="FR106" s="8">
        <v>102.24</v>
      </c>
      <c r="FS106" s="8">
        <v>100.12</v>
      </c>
      <c r="FT106" s="8">
        <v>99.48</v>
      </c>
      <c r="FU106" s="8">
        <v>100.14</v>
      </c>
      <c r="FV106" s="8">
        <v>100.11</v>
      </c>
      <c r="FW106" s="8">
        <v>97.8</v>
      </c>
      <c r="FX106" s="8">
        <v>103.63</v>
      </c>
      <c r="FY106" s="8">
        <v>105.92</v>
      </c>
      <c r="FZ106" s="8">
        <v>102.33</v>
      </c>
      <c r="GA106" s="8">
        <v>99.03</v>
      </c>
      <c r="GB106" s="8">
        <v>99.72</v>
      </c>
      <c r="GC106" s="8">
        <v>98.57</v>
      </c>
      <c r="GD106" s="8">
        <v>99.93</v>
      </c>
      <c r="GE106" s="8">
        <v>99.15</v>
      </c>
      <c r="GF106" s="8">
        <v>98.76</v>
      </c>
      <c r="GG106" s="8">
        <v>98.92</v>
      </c>
      <c r="GH106" s="8">
        <v>100.92</v>
      </c>
      <c r="GI106" s="8">
        <v>98.34</v>
      </c>
      <c r="GJ106" s="8">
        <v>101.66</v>
      </c>
      <c r="GK106" s="8">
        <v>99.77</v>
      </c>
      <c r="GL106" s="8">
        <v>100</v>
      </c>
      <c r="GM106" s="8">
        <v>99.54</v>
      </c>
      <c r="GN106" s="8">
        <v>97.66</v>
      </c>
      <c r="GO106" s="8">
        <v>100.09</v>
      </c>
      <c r="GP106" s="8">
        <v>99.85</v>
      </c>
      <c r="GQ106" s="8">
        <v>100.65</v>
      </c>
      <c r="GR106" s="8">
        <v>99.85</v>
      </c>
      <c r="GS106" s="8">
        <v>93.48</v>
      </c>
      <c r="GT106" s="8">
        <v>93.48</v>
      </c>
      <c r="GU106" s="8">
        <v>101.27</v>
      </c>
      <c r="GV106" s="8">
        <v>102.49</v>
      </c>
      <c r="GW106" s="8">
        <v>104.66</v>
      </c>
      <c r="GX106" s="8">
        <v>101.88</v>
      </c>
      <c r="GY106" s="8">
        <v>100.74</v>
      </c>
      <c r="GZ106" s="8">
        <v>99.28</v>
      </c>
      <c r="HA106" s="8">
        <v>99.32</v>
      </c>
      <c r="HB106" s="8">
        <v>99.64</v>
      </c>
      <c r="HC106" s="8">
        <v>98.74</v>
      </c>
      <c r="HD106" s="8">
        <v>98.81</v>
      </c>
      <c r="HE106" s="8">
        <v>98.68</v>
      </c>
      <c r="HF106" s="8">
        <v>100</v>
      </c>
      <c r="HG106" s="8">
        <v>99.27</v>
      </c>
      <c r="HH106" s="8">
        <v>100.02</v>
      </c>
      <c r="HI106" s="8">
        <v>100.02</v>
      </c>
      <c r="HJ106" s="8">
        <v>99.01</v>
      </c>
      <c r="HK106" s="8">
        <v>99.01</v>
      </c>
      <c r="HL106" s="8">
        <v>98.26</v>
      </c>
      <c r="HM106" s="8">
        <v>100.12</v>
      </c>
      <c r="HN106" s="8">
        <v>95.8</v>
      </c>
      <c r="HO106" s="8">
        <v>99.91</v>
      </c>
      <c r="HP106" s="8">
        <v>100</v>
      </c>
      <c r="HQ106" s="8">
        <v>100</v>
      </c>
      <c r="HR106" s="8">
        <v>99.17</v>
      </c>
      <c r="HS106" s="8">
        <v>100.1</v>
      </c>
      <c r="HT106" s="8">
        <v>100.83</v>
      </c>
      <c r="HU106" s="8">
        <v>101.21</v>
      </c>
      <c r="HV106" s="8">
        <v>99.56</v>
      </c>
      <c r="HW106" s="8">
        <v>98.19</v>
      </c>
      <c r="HX106" s="8">
        <v>98.19</v>
      </c>
      <c r="HY106" s="8">
        <v>100.91</v>
      </c>
      <c r="HZ106" s="8">
        <v>99.55</v>
      </c>
      <c r="IA106" s="8">
        <v>101.58</v>
      </c>
      <c r="IB106" s="8">
        <v>103.2</v>
      </c>
      <c r="IC106" s="8">
        <v>99.77</v>
      </c>
      <c r="ID106" s="8">
        <v>100.81</v>
      </c>
      <c r="IE106" s="8">
        <v>99.78</v>
      </c>
      <c r="IF106" s="8">
        <v>100.49</v>
      </c>
      <c r="IG106" s="8">
        <v>101.08</v>
      </c>
      <c r="IH106" s="8">
        <v>98.46</v>
      </c>
      <c r="II106" s="8">
        <v>96.79</v>
      </c>
      <c r="IJ106" s="8">
        <v>98.77</v>
      </c>
      <c r="IK106" s="8">
        <v>99.24</v>
      </c>
      <c r="IL106" s="8">
        <v>100.18</v>
      </c>
      <c r="IM106" s="8">
        <v>101.97</v>
      </c>
      <c r="IN106" s="8">
        <v>102.4</v>
      </c>
      <c r="IO106" s="8">
        <v>100</v>
      </c>
      <c r="IP106" s="8">
        <v>99.86</v>
      </c>
      <c r="IQ106" s="8">
        <v>99.85</v>
      </c>
    </row>
    <row r="107" spans="1:251" x14ac:dyDescent="0.2">
      <c r="A107" s="9">
        <v>45901</v>
      </c>
      <c r="B107" s="8">
        <v>100</v>
      </c>
      <c r="C107" s="8">
        <v>100</v>
      </c>
      <c r="D107" s="8">
        <v>100</v>
      </c>
      <c r="E107" s="8">
        <v>100</v>
      </c>
      <c r="F107" s="8">
        <v>100</v>
      </c>
      <c r="G107" s="8">
        <v>100</v>
      </c>
      <c r="H107" s="8">
        <v>100</v>
      </c>
      <c r="I107" s="8">
        <v>100</v>
      </c>
      <c r="J107" s="8">
        <v>100</v>
      </c>
      <c r="K107" s="8">
        <v>100</v>
      </c>
      <c r="L107" s="8">
        <v>100</v>
      </c>
      <c r="M107" s="8">
        <v>100</v>
      </c>
      <c r="N107" s="8">
        <v>100</v>
      </c>
      <c r="O107" s="8">
        <v>100</v>
      </c>
      <c r="P107" s="8">
        <v>100</v>
      </c>
      <c r="Q107" s="8">
        <v>100</v>
      </c>
      <c r="R107" s="8">
        <v>100</v>
      </c>
      <c r="S107" s="8">
        <v>100</v>
      </c>
      <c r="T107" s="8">
        <v>100</v>
      </c>
      <c r="U107" s="8">
        <v>100</v>
      </c>
      <c r="V107" s="8">
        <v>100</v>
      </c>
      <c r="W107" s="8">
        <v>100</v>
      </c>
      <c r="X107" s="8">
        <v>100</v>
      </c>
      <c r="Y107" s="8">
        <v>100</v>
      </c>
      <c r="Z107" s="8">
        <v>100</v>
      </c>
      <c r="AA107" s="8">
        <v>100</v>
      </c>
      <c r="AB107" s="8">
        <v>100</v>
      </c>
      <c r="AC107" s="8">
        <v>100</v>
      </c>
      <c r="AD107" s="8">
        <v>100</v>
      </c>
      <c r="AE107" s="8">
        <v>100</v>
      </c>
      <c r="AF107" s="8">
        <v>100</v>
      </c>
      <c r="AG107" s="8">
        <v>100</v>
      </c>
      <c r="AH107" s="8">
        <v>100</v>
      </c>
      <c r="AI107" s="8">
        <v>100</v>
      </c>
      <c r="AJ107" s="8">
        <v>100</v>
      </c>
      <c r="AK107" s="8">
        <v>100</v>
      </c>
      <c r="AL107" s="8">
        <v>100</v>
      </c>
      <c r="AM107" s="8">
        <v>100</v>
      </c>
      <c r="AN107" s="8">
        <v>100</v>
      </c>
      <c r="AO107" s="8">
        <v>100</v>
      </c>
      <c r="AP107" s="8">
        <v>100</v>
      </c>
      <c r="AQ107" s="8">
        <v>100</v>
      </c>
      <c r="AR107" s="8">
        <v>100</v>
      </c>
      <c r="AS107" s="8">
        <v>100</v>
      </c>
      <c r="AT107" s="8">
        <v>100</v>
      </c>
      <c r="AU107" s="8">
        <v>100</v>
      </c>
      <c r="AV107" s="8">
        <v>100</v>
      </c>
      <c r="AW107" s="8">
        <v>100</v>
      </c>
      <c r="AX107" s="8">
        <v>100</v>
      </c>
      <c r="AY107" s="8">
        <v>100</v>
      </c>
      <c r="AZ107" s="8">
        <v>100</v>
      </c>
      <c r="BA107" s="8">
        <v>100</v>
      </c>
      <c r="BB107" s="8">
        <v>100</v>
      </c>
      <c r="BC107" s="8">
        <v>100</v>
      </c>
      <c r="BD107" s="8">
        <v>100</v>
      </c>
      <c r="BE107" s="8">
        <v>100</v>
      </c>
      <c r="BF107" s="8">
        <v>100</v>
      </c>
      <c r="BG107" s="8">
        <v>100</v>
      </c>
      <c r="BH107" s="8">
        <v>100</v>
      </c>
      <c r="BI107" s="8">
        <v>100</v>
      </c>
      <c r="BJ107" s="8">
        <v>100</v>
      </c>
      <c r="BK107" s="8">
        <v>100</v>
      </c>
      <c r="BL107" s="8">
        <v>100</v>
      </c>
      <c r="BM107" s="8">
        <v>100</v>
      </c>
      <c r="BN107" s="8">
        <v>100</v>
      </c>
      <c r="BO107" s="8">
        <v>100</v>
      </c>
      <c r="BP107" s="8">
        <v>100</v>
      </c>
      <c r="BQ107" s="8">
        <v>100</v>
      </c>
      <c r="BR107" s="8">
        <v>100</v>
      </c>
      <c r="BS107" s="8">
        <v>100</v>
      </c>
      <c r="BT107" s="8">
        <v>100</v>
      </c>
      <c r="BU107" s="8">
        <v>100</v>
      </c>
      <c r="BV107" s="8">
        <v>100</v>
      </c>
      <c r="BW107" s="8">
        <v>100</v>
      </c>
      <c r="BX107" s="8">
        <v>100</v>
      </c>
      <c r="BY107" s="8">
        <v>100</v>
      </c>
      <c r="BZ107" s="8">
        <v>100</v>
      </c>
      <c r="CA107" s="8">
        <v>100</v>
      </c>
      <c r="CB107" s="8">
        <v>100</v>
      </c>
      <c r="CC107" s="8">
        <v>100</v>
      </c>
      <c r="CD107" s="8">
        <v>100</v>
      </c>
      <c r="CE107" s="8">
        <v>100</v>
      </c>
      <c r="CF107" s="8">
        <v>100</v>
      </c>
      <c r="CG107" s="8">
        <v>100</v>
      </c>
      <c r="CH107" s="8">
        <v>100</v>
      </c>
      <c r="CI107" s="8">
        <v>100</v>
      </c>
      <c r="CJ107" s="8">
        <v>100</v>
      </c>
      <c r="CK107" s="8">
        <v>100</v>
      </c>
      <c r="CL107" s="8">
        <v>100</v>
      </c>
      <c r="CM107" s="8">
        <v>100</v>
      </c>
      <c r="CN107" s="8">
        <v>100</v>
      </c>
      <c r="CO107" s="8">
        <v>100</v>
      </c>
      <c r="CP107" s="8">
        <v>100</v>
      </c>
      <c r="CQ107" s="8">
        <v>100</v>
      </c>
      <c r="CR107" s="8">
        <v>100</v>
      </c>
      <c r="CS107" s="8">
        <v>100</v>
      </c>
      <c r="CT107" s="8">
        <v>100</v>
      </c>
      <c r="CU107" s="8">
        <v>100</v>
      </c>
      <c r="CV107" s="8">
        <v>100</v>
      </c>
      <c r="CW107" s="8">
        <v>100</v>
      </c>
      <c r="CX107" s="8">
        <v>100</v>
      </c>
      <c r="CY107" s="8">
        <v>100</v>
      </c>
      <c r="CZ107" s="8">
        <v>100</v>
      </c>
      <c r="DA107" s="8">
        <v>100</v>
      </c>
      <c r="DB107" s="8">
        <v>100</v>
      </c>
      <c r="DC107" s="8">
        <v>100</v>
      </c>
      <c r="DD107" s="8">
        <v>100</v>
      </c>
      <c r="DE107" s="8">
        <v>100</v>
      </c>
      <c r="DF107" s="8">
        <v>100</v>
      </c>
      <c r="DG107" s="8">
        <v>100</v>
      </c>
      <c r="DH107" s="8">
        <v>100</v>
      </c>
      <c r="DI107" s="8">
        <v>100</v>
      </c>
      <c r="DJ107" s="8">
        <v>100</v>
      </c>
      <c r="DK107" s="8">
        <v>100</v>
      </c>
      <c r="DL107" s="8">
        <v>100</v>
      </c>
      <c r="DM107" s="8">
        <v>100</v>
      </c>
      <c r="DN107" s="8">
        <v>100</v>
      </c>
      <c r="DO107" s="8">
        <v>100</v>
      </c>
      <c r="DP107" s="8">
        <v>100</v>
      </c>
      <c r="DQ107" s="8">
        <v>100</v>
      </c>
      <c r="DR107" s="8">
        <v>100</v>
      </c>
      <c r="DS107" s="8">
        <v>100</v>
      </c>
      <c r="DT107" s="8">
        <v>100</v>
      </c>
      <c r="DU107" s="8">
        <v>100</v>
      </c>
      <c r="DV107" s="8">
        <v>100</v>
      </c>
      <c r="DW107" s="8">
        <v>100</v>
      </c>
      <c r="DX107" s="8">
        <v>100</v>
      </c>
      <c r="DY107" s="8">
        <v>100</v>
      </c>
      <c r="DZ107" s="8">
        <v>100</v>
      </c>
      <c r="EA107" s="8">
        <v>100</v>
      </c>
      <c r="EB107" s="8">
        <v>100</v>
      </c>
      <c r="EC107" s="8">
        <v>100</v>
      </c>
      <c r="ED107" s="8">
        <v>100</v>
      </c>
      <c r="EE107" s="8">
        <v>100</v>
      </c>
      <c r="EF107" s="8">
        <v>100</v>
      </c>
      <c r="EG107" s="8">
        <v>100</v>
      </c>
      <c r="EH107" s="8">
        <v>100</v>
      </c>
      <c r="EI107" s="8">
        <v>100</v>
      </c>
      <c r="EJ107" s="8">
        <v>100</v>
      </c>
      <c r="EK107" s="8">
        <v>100</v>
      </c>
      <c r="EL107" s="8">
        <v>100</v>
      </c>
      <c r="EM107" s="8">
        <v>100</v>
      </c>
      <c r="EN107" s="8">
        <v>100</v>
      </c>
      <c r="EO107" s="8">
        <v>100</v>
      </c>
      <c r="EP107" s="8">
        <v>100</v>
      </c>
      <c r="EQ107" s="8">
        <v>100</v>
      </c>
      <c r="ER107" s="8">
        <v>100</v>
      </c>
      <c r="ES107" s="8">
        <v>100</v>
      </c>
      <c r="ET107" s="8">
        <v>100</v>
      </c>
      <c r="EU107" s="8">
        <v>100</v>
      </c>
      <c r="EV107" s="8">
        <v>100</v>
      </c>
      <c r="EW107" s="8">
        <v>100</v>
      </c>
      <c r="EX107" s="8">
        <v>100</v>
      </c>
      <c r="EY107" s="8">
        <v>100</v>
      </c>
      <c r="EZ107" s="8">
        <v>100</v>
      </c>
      <c r="FA107" s="8">
        <v>100</v>
      </c>
      <c r="FB107" s="8">
        <v>100</v>
      </c>
      <c r="FC107" s="8">
        <v>100</v>
      </c>
      <c r="FD107" s="8">
        <v>100</v>
      </c>
      <c r="FE107" s="8">
        <v>100</v>
      </c>
      <c r="FF107" s="8">
        <v>100</v>
      </c>
      <c r="FG107" s="8">
        <v>100</v>
      </c>
      <c r="FH107" s="8">
        <v>100</v>
      </c>
      <c r="FI107" s="8">
        <v>100</v>
      </c>
      <c r="FJ107" s="8">
        <v>100</v>
      </c>
      <c r="FK107" s="8">
        <v>100</v>
      </c>
      <c r="FL107" s="8">
        <v>100</v>
      </c>
      <c r="FM107" s="8">
        <v>100</v>
      </c>
      <c r="FN107" s="8">
        <v>100</v>
      </c>
      <c r="FO107" s="8">
        <v>100</v>
      </c>
      <c r="FP107" s="8">
        <v>100</v>
      </c>
      <c r="FQ107" s="8">
        <v>100</v>
      </c>
      <c r="FR107" s="8">
        <v>100</v>
      </c>
      <c r="FS107" s="8">
        <v>100</v>
      </c>
      <c r="FT107" s="8">
        <v>100</v>
      </c>
      <c r="FU107" s="8">
        <v>100</v>
      </c>
      <c r="FV107" s="8">
        <v>100</v>
      </c>
      <c r="FW107" s="8">
        <v>100</v>
      </c>
      <c r="FX107" s="8">
        <v>100</v>
      </c>
      <c r="FY107" s="8">
        <v>100</v>
      </c>
      <c r="FZ107" s="8">
        <v>100</v>
      </c>
      <c r="GA107" s="8">
        <v>100</v>
      </c>
      <c r="GB107" s="8">
        <v>100</v>
      </c>
      <c r="GC107" s="8">
        <v>100</v>
      </c>
      <c r="GD107" s="8">
        <v>100</v>
      </c>
      <c r="GE107" s="8">
        <v>100</v>
      </c>
      <c r="GF107" s="8">
        <v>100</v>
      </c>
      <c r="GG107" s="8">
        <v>100</v>
      </c>
      <c r="GH107" s="8">
        <v>100</v>
      </c>
      <c r="GI107" s="8">
        <v>100</v>
      </c>
      <c r="GJ107" s="8">
        <v>100</v>
      </c>
      <c r="GK107" s="8">
        <v>100</v>
      </c>
      <c r="GL107" s="8">
        <v>100</v>
      </c>
      <c r="GM107" s="8">
        <v>100</v>
      </c>
      <c r="GN107" s="8">
        <v>100</v>
      </c>
      <c r="GO107" s="8">
        <v>100</v>
      </c>
      <c r="GP107" s="8">
        <v>100</v>
      </c>
      <c r="GQ107" s="8">
        <v>100</v>
      </c>
      <c r="GR107" s="8">
        <v>100</v>
      </c>
      <c r="GS107" s="8">
        <v>100</v>
      </c>
      <c r="GT107" s="8">
        <v>100</v>
      </c>
      <c r="GU107" s="8">
        <v>100</v>
      </c>
      <c r="GV107" s="8">
        <v>100</v>
      </c>
      <c r="GW107" s="8">
        <v>100</v>
      </c>
      <c r="GX107" s="8">
        <v>100</v>
      </c>
      <c r="GY107" s="8">
        <v>100</v>
      </c>
      <c r="GZ107" s="8">
        <v>100</v>
      </c>
      <c r="HA107" s="8">
        <v>100</v>
      </c>
      <c r="HB107" s="8">
        <v>100</v>
      </c>
      <c r="HC107" s="8">
        <v>100</v>
      </c>
      <c r="HD107" s="8">
        <v>100</v>
      </c>
      <c r="HE107" s="8">
        <v>100</v>
      </c>
      <c r="HF107" s="8">
        <v>100</v>
      </c>
      <c r="HG107" s="8">
        <v>100</v>
      </c>
      <c r="HH107" s="8">
        <v>100</v>
      </c>
      <c r="HI107" s="8">
        <v>100</v>
      </c>
      <c r="HJ107" s="8">
        <v>100</v>
      </c>
      <c r="HK107" s="8">
        <v>100</v>
      </c>
      <c r="HL107" s="8">
        <v>100</v>
      </c>
      <c r="HM107" s="8">
        <v>100</v>
      </c>
      <c r="HN107" s="8">
        <v>100</v>
      </c>
      <c r="HO107" s="8">
        <v>100</v>
      </c>
      <c r="HP107" s="8">
        <v>100</v>
      </c>
      <c r="HQ107" s="8">
        <v>100</v>
      </c>
      <c r="HR107" s="8">
        <v>100</v>
      </c>
      <c r="HS107" s="8">
        <v>100</v>
      </c>
      <c r="HT107" s="8">
        <v>100</v>
      </c>
      <c r="HU107" s="8">
        <v>100</v>
      </c>
      <c r="HV107" s="8">
        <v>100</v>
      </c>
      <c r="HW107" s="8">
        <v>100</v>
      </c>
      <c r="HX107" s="8">
        <v>100</v>
      </c>
      <c r="HY107" s="8">
        <v>100</v>
      </c>
      <c r="HZ107" s="8">
        <v>100</v>
      </c>
      <c r="IA107" s="8">
        <v>100</v>
      </c>
      <c r="IB107" s="8">
        <v>100</v>
      </c>
      <c r="IC107" s="8">
        <v>100</v>
      </c>
      <c r="ID107" s="8">
        <v>100</v>
      </c>
      <c r="IE107" s="8">
        <v>100</v>
      </c>
      <c r="IF107" s="8">
        <v>100</v>
      </c>
      <c r="IG107" s="8">
        <v>100</v>
      </c>
      <c r="IH107" s="8">
        <v>100</v>
      </c>
      <c r="II107" s="8">
        <v>100</v>
      </c>
      <c r="IJ107" s="8">
        <v>100</v>
      </c>
      <c r="IK107" s="8">
        <v>100</v>
      </c>
      <c r="IL107" s="8">
        <v>100</v>
      </c>
      <c r="IM107" s="8">
        <v>100</v>
      </c>
      <c r="IN107" s="8">
        <v>100</v>
      </c>
      <c r="IO107" s="8">
        <v>100</v>
      </c>
      <c r="IP107" s="8">
        <v>100</v>
      </c>
      <c r="IQ107" s="8">
        <v>100</v>
      </c>
    </row>
    <row r="108" spans="1:251" x14ac:dyDescent="0.2">
      <c r="A108" s="9">
        <v>45931</v>
      </c>
      <c r="B108" s="8">
        <v>100.13</v>
      </c>
      <c r="C108" s="8">
        <v>100</v>
      </c>
      <c r="D108" s="8">
        <v>99.92</v>
      </c>
      <c r="E108" s="8">
        <v>100.07</v>
      </c>
      <c r="F108" s="8">
        <v>100.41</v>
      </c>
      <c r="G108" s="8">
        <v>102.05</v>
      </c>
      <c r="H108" s="8">
        <v>99.87</v>
      </c>
      <c r="I108" s="8">
        <v>99.93</v>
      </c>
      <c r="J108" s="8">
        <v>107.47</v>
      </c>
      <c r="K108" s="8">
        <v>91.9</v>
      </c>
      <c r="L108" s="8">
        <v>100.43</v>
      </c>
      <c r="M108" s="8">
        <v>101.63</v>
      </c>
      <c r="N108" s="8">
        <v>101.46</v>
      </c>
      <c r="O108" s="8">
        <v>99.52</v>
      </c>
      <c r="P108" s="8">
        <v>99.86</v>
      </c>
      <c r="Q108" s="8">
        <v>100</v>
      </c>
      <c r="R108" s="8">
        <v>100.52</v>
      </c>
      <c r="S108" s="8">
        <v>100.01</v>
      </c>
      <c r="T108" s="8">
        <v>100.01</v>
      </c>
      <c r="U108" s="8">
        <v>100.06</v>
      </c>
      <c r="V108" s="8">
        <v>100</v>
      </c>
      <c r="W108" s="8">
        <v>100</v>
      </c>
      <c r="X108" s="8">
        <v>100.12</v>
      </c>
      <c r="Y108" s="8">
        <v>100.2</v>
      </c>
      <c r="Z108" s="8">
        <v>100.2</v>
      </c>
      <c r="AA108" s="8">
        <v>100.08</v>
      </c>
      <c r="AB108" s="8">
        <v>101.1</v>
      </c>
      <c r="AC108" s="8">
        <v>100</v>
      </c>
      <c r="AD108" s="8">
        <v>99.82</v>
      </c>
      <c r="AE108" s="8">
        <v>99.65</v>
      </c>
      <c r="AF108" s="8">
        <v>99.99</v>
      </c>
      <c r="AG108" s="8">
        <v>100.51</v>
      </c>
      <c r="AH108" s="8">
        <v>99.95</v>
      </c>
      <c r="AI108" s="8">
        <v>100.28</v>
      </c>
      <c r="AJ108" s="8">
        <v>98.43</v>
      </c>
      <c r="AK108" s="8">
        <v>101.09</v>
      </c>
      <c r="AL108" s="8">
        <v>103.35</v>
      </c>
      <c r="AM108" s="8">
        <v>99.28</v>
      </c>
      <c r="AN108" s="8">
        <v>102.39</v>
      </c>
      <c r="AO108" s="8">
        <v>100.05</v>
      </c>
      <c r="AP108" s="8">
        <v>100.69</v>
      </c>
      <c r="AQ108" s="8">
        <v>99.98</v>
      </c>
      <c r="AR108" s="8">
        <v>99.39</v>
      </c>
      <c r="AS108" s="8">
        <v>99.4</v>
      </c>
      <c r="AT108" s="8">
        <v>99.98</v>
      </c>
      <c r="AU108" s="8">
        <v>98.74</v>
      </c>
      <c r="AV108" s="8">
        <v>98.04</v>
      </c>
      <c r="AW108" s="8">
        <v>97.11</v>
      </c>
      <c r="AX108" s="8">
        <v>98.89</v>
      </c>
      <c r="AY108" s="8">
        <v>99.64</v>
      </c>
      <c r="AZ108" s="8">
        <v>98.85</v>
      </c>
      <c r="BA108" s="8">
        <v>99.6</v>
      </c>
      <c r="BB108" s="8">
        <v>100.74</v>
      </c>
      <c r="BC108" s="8">
        <v>98.52</v>
      </c>
      <c r="BD108" s="8">
        <v>99.08</v>
      </c>
      <c r="BE108" s="8">
        <v>100.69</v>
      </c>
      <c r="BF108" s="8">
        <v>99.59</v>
      </c>
      <c r="BG108" s="8">
        <v>99.6</v>
      </c>
      <c r="BH108" s="8">
        <v>99.59</v>
      </c>
      <c r="BI108" s="8">
        <v>99.63</v>
      </c>
      <c r="BJ108" s="8">
        <v>100</v>
      </c>
      <c r="BK108" s="8">
        <v>99.25</v>
      </c>
      <c r="BL108" s="8">
        <v>99.78</v>
      </c>
      <c r="BM108" s="8">
        <v>99.29</v>
      </c>
      <c r="BN108" s="8">
        <v>99.85</v>
      </c>
      <c r="BO108" s="8">
        <v>98.35</v>
      </c>
      <c r="BP108" s="8">
        <v>99.66</v>
      </c>
      <c r="BQ108" s="8">
        <v>101.12</v>
      </c>
      <c r="BR108" s="8">
        <v>101.12</v>
      </c>
      <c r="BS108" s="8">
        <v>103.23</v>
      </c>
      <c r="BT108" s="8">
        <v>103.17</v>
      </c>
      <c r="BU108" s="8">
        <v>103.73</v>
      </c>
      <c r="BV108" s="8">
        <v>103.18</v>
      </c>
      <c r="BW108" s="8">
        <v>102.35</v>
      </c>
      <c r="BX108" s="8">
        <v>104.54</v>
      </c>
      <c r="BY108" s="8">
        <v>101.52</v>
      </c>
      <c r="BZ108" s="8">
        <v>105.1</v>
      </c>
      <c r="CA108" s="8">
        <v>106.89</v>
      </c>
      <c r="CB108" s="8">
        <v>102.64</v>
      </c>
      <c r="CC108" s="8">
        <v>102.89</v>
      </c>
      <c r="CD108" s="8">
        <v>100.77</v>
      </c>
      <c r="CE108" s="8">
        <v>97.73</v>
      </c>
      <c r="CF108" s="8">
        <v>100.35</v>
      </c>
      <c r="CG108" s="8">
        <v>100.35</v>
      </c>
      <c r="CH108" s="8">
        <v>100.04</v>
      </c>
      <c r="CI108" s="8">
        <v>100.04</v>
      </c>
      <c r="CJ108" s="8">
        <v>100.33</v>
      </c>
      <c r="CK108" s="8">
        <v>100.6</v>
      </c>
      <c r="CL108" s="8">
        <v>100</v>
      </c>
      <c r="CM108" s="8">
        <v>89.64</v>
      </c>
      <c r="CN108" s="8">
        <v>100</v>
      </c>
      <c r="CO108" s="8">
        <v>79.14</v>
      </c>
      <c r="CP108" s="8">
        <v>100</v>
      </c>
      <c r="CQ108" s="8">
        <v>100.43</v>
      </c>
      <c r="CR108" s="8">
        <v>99.67</v>
      </c>
      <c r="CS108" s="8">
        <v>99.65</v>
      </c>
      <c r="CT108" s="8">
        <v>99.74</v>
      </c>
      <c r="CU108" s="8">
        <v>98.18</v>
      </c>
      <c r="CV108" s="8">
        <v>98.18</v>
      </c>
      <c r="CW108" s="8">
        <v>103.41</v>
      </c>
      <c r="CX108" s="8">
        <v>102.47</v>
      </c>
      <c r="CY108" s="8">
        <v>103.57</v>
      </c>
      <c r="CZ108" s="8">
        <v>108.84</v>
      </c>
      <c r="DA108" s="8">
        <v>99.31</v>
      </c>
      <c r="DB108" s="8">
        <v>99.67</v>
      </c>
      <c r="DC108" s="8">
        <v>100.32</v>
      </c>
      <c r="DD108" s="8">
        <v>99.27</v>
      </c>
      <c r="DE108" s="8">
        <v>99.8</v>
      </c>
      <c r="DF108" s="8">
        <v>100.44</v>
      </c>
      <c r="DG108" s="8">
        <v>101.04</v>
      </c>
      <c r="DH108" s="8">
        <v>100.09</v>
      </c>
      <c r="DI108" s="8">
        <v>100.45</v>
      </c>
      <c r="DJ108" s="8">
        <v>100.02</v>
      </c>
      <c r="DK108" s="8">
        <v>99.65</v>
      </c>
      <c r="DL108" s="8">
        <v>99.81</v>
      </c>
      <c r="DM108" s="8">
        <v>98.57</v>
      </c>
      <c r="DN108" s="8">
        <v>100.09</v>
      </c>
      <c r="DO108" s="8">
        <v>100.1</v>
      </c>
      <c r="DP108" s="8">
        <v>100</v>
      </c>
      <c r="DQ108" s="8">
        <v>99.98</v>
      </c>
      <c r="DR108" s="8">
        <v>99.98</v>
      </c>
      <c r="DS108" s="8">
        <v>100.33</v>
      </c>
      <c r="DT108" s="8">
        <v>100.95</v>
      </c>
      <c r="DU108" s="8">
        <v>99.48</v>
      </c>
      <c r="DV108" s="8">
        <v>99.88</v>
      </c>
      <c r="DW108" s="8">
        <v>100</v>
      </c>
      <c r="DX108" s="8">
        <v>100</v>
      </c>
      <c r="DY108" s="8">
        <v>100</v>
      </c>
      <c r="DZ108" s="8">
        <v>99.77</v>
      </c>
      <c r="EA108" s="8">
        <v>99.77</v>
      </c>
      <c r="EB108" s="8">
        <v>100.56</v>
      </c>
      <c r="EC108" s="8">
        <v>99.73</v>
      </c>
      <c r="ED108" s="8">
        <v>101.66</v>
      </c>
      <c r="EE108" s="8">
        <v>100.75</v>
      </c>
      <c r="EF108" s="8">
        <v>101.46</v>
      </c>
      <c r="EG108" s="8">
        <v>99.92</v>
      </c>
      <c r="EH108" s="8">
        <v>100.8</v>
      </c>
      <c r="EI108" s="8">
        <v>101.25</v>
      </c>
      <c r="EJ108" s="8">
        <v>100.64</v>
      </c>
      <c r="EK108" s="8">
        <v>102.42</v>
      </c>
      <c r="EL108" s="8">
        <v>109.71</v>
      </c>
      <c r="EM108" s="8">
        <v>94.97</v>
      </c>
      <c r="EN108" s="8">
        <v>101.2</v>
      </c>
      <c r="EO108" s="8">
        <v>101.07</v>
      </c>
      <c r="EP108" s="8">
        <v>101.91</v>
      </c>
      <c r="EQ108" s="8">
        <v>99.52</v>
      </c>
      <c r="ER108" s="8">
        <v>100</v>
      </c>
      <c r="ES108" s="8">
        <v>100.29</v>
      </c>
      <c r="ET108" s="8">
        <v>104.01</v>
      </c>
      <c r="EU108" s="8">
        <v>100</v>
      </c>
      <c r="EV108" s="8">
        <v>100</v>
      </c>
      <c r="EW108" s="8">
        <v>100.02</v>
      </c>
      <c r="EX108" s="8">
        <v>100</v>
      </c>
      <c r="EY108" s="8">
        <v>100</v>
      </c>
      <c r="EZ108" s="8">
        <v>99.99</v>
      </c>
      <c r="FA108" s="8">
        <v>99.55</v>
      </c>
      <c r="FB108" s="8">
        <v>99.55</v>
      </c>
      <c r="FC108" s="8">
        <v>100.18</v>
      </c>
      <c r="FD108" s="8">
        <v>101.1</v>
      </c>
      <c r="FE108" s="8">
        <v>100</v>
      </c>
      <c r="FF108" s="8">
        <v>100.46</v>
      </c>
      <c r="FG108" s="8">
        <v>100.3</v>
      </c>
      <c r="FH108" s="8">
        <v>100.62</v>
      </c>
      <c r="FI108" s="8">
        <v>100.59</v>
      </c>
      <c r="FJ108" s="8">
        <v>100.87</v>
      </c>
      <c r="FK108" s="8">
        <v>101.41</v>
      </c>
      <c r="FL108" s="8">
        <v>99.08</v>
      </c>
      <c r="FM108" s="8">
        <v>101.04</v>
      </c>
      <c r="FN108" s="8">
        <v>103.21</v>
      </c>
      <c r="FO108" s="8">
        <v>99.09</v>
      </c>
      <c r="FP108" s="8">
        <v>101.95</v>
      </c>
      <c r="FQ108" s="8">
        <v>100.39</v>
      </c>
      <c r="FR108" s="8">
        <v>101.37</v>
      </c>
      <c r="FS108" s="8">
        <v>99.5</v>
      </c>
      <c r="FT108" s="8">
        <v>99.22</v>
      </c>
      <c r="FU108" s="8">
        <v>99.32</v>
      </c>
      <c r="FV108" s="8">
        <v>99.78</v>
      </c>
      <c r="FW108" s="8">
        <v>98.46</v>
      </c>
      <c r="FX108" s="8">
        <v>100.86</v>
      </c>
      <c r="FY108" s="8">
        <v>104.75</v>
      </c>
      <c r="FZ108" s="8">
        <v>98.65</v>
      </c>
      <c r="GA108" s="8">
        <v>99.76</v>
      </c>
      <c r="GB108" s="8">
        <v>99.7</v>
      </c>
      <c r="GC108" s="8">
        <v>99.32</v>
      </c>
      <c r="GD108" s="8">
        <v>100.7</v>
      </c>
      <c r="GE108" s="8">
        <v>98.29</v>
      </c>
      <c r="GF108" s="8">
        <v>99.48</v>
      </c>
      <c r="GG108" s="8">
        <v>100.76</v>
      </c>
      <c r="GH108" s="8">
        <v>99.43</v>
      </c>
      <c r="GI108" s="8">
        <v>99.64</v>
      </c>
      <c r="GJ108" s="8">
        <v>99.37</v>
      </c>
      <c r="GK108" s="8">
        <v>100.45</v>
      </c>
      <c r="GL108" s="8">
        <v>100.18</v>
      </c>
      <c r="GM108" s="8">
        <v>100.71</v>
      </c>
      <c r="GN108" s="8">
        <v>99.69</v>
      </c>
      <c r="GO108" s="8">
        <v>99.6</v>
      </c>
      <c r="GP108" s="8">
        <v>99.35</v>
      </c>
      <c r="GQ108" s="8">
        <v>100.16</v>
      </c>
      <c r="GR108" s="8">
        <v>99.36</v>
      </c>
      <c r="GS108" s="8">
        <v>99.86</v>
      </c>
      <c r="GT108" s="8">
        <v>99.86</v>
      </c>
      <c r="GU108" s="8">
        <v>103.55</v>
      </c>
      <c r="GV108" s="8">
        <v>104.1</v>
      </c>
      <c r="GW108" s="8">
        <v>104.39</v>
      </c>
      <c r="GX108" s="8">
        <v>103.12</v>
      </c>
      <c r="GY108" s="8">
        <v>106.48</v>
      </c>
      <c r="GZ108" s="8">
        <v>101.88</v>
      </c>
      <c r="HA108" s="8">
        <v>99.54</v>
      </c>
      <c r="HB108" s="8">
        <v>104.82</v>
      </c>
      <c r="HC108" s="8">
        <v>101.32</v>
      </c>
      <c r="HD108" s="8">
        <v>103.38</v>
      </c>
      <c r="HE108" s="8">
        <v>103.76</v>
      </c>
      <c r="HF108" s="8">
        <v>100</v>
      </c>
      <c r="HG108" s="8">
        <v>100.18</v>
      </c>
      <c r="HH108" s="8">
        <v>99.94</v>
      </c>
      <c r="HI108" s="8">
        <v>99.94</v>
      </c>
      <c r="HJ108" s="8">
        <v>99.98</v>
      </c>
      <c r="HK108" s="8">
        <v>99.98</v>
      </c>
      <c r="HL108" s="8">
        <v>100.62</v>
      </c>
      <c r="HM108" s="8">
        <v>101.09</v>
      </c>
      <c r="HN108" s="8">
        <v>100</v>
      </c>
      <c r="HO108" s="8">
        <v>100.31</v>
      </c>
      <c r="HP108" s="8">
        <v>100</v>
      </c>
      <c r="HQ108" s="8">
        <v>100</v>
      </c>
      <c r="HR108" s="8">
        <v>102.75</v>
      </c>
      <c r="HS108" s="8">
        <v>101.28</v>
      </c>
      <c r="HT108" s="8">
        <v>103.22</v>
      </c>
      <c r="HU108" s="8">
        <v>103.88</v>
      </c>
      <c r="HV108" s="8">
        <v>100.98</v>
      </c>
      <c r="HW108" s="8">
        <v>100.69</v>
      </c>
      <c r="HX108" s="8">
        <v>100.69</v>
      </c>
      <c r="HY108" s="8">
        <v>102.37</v>
      </c>
      <c r="HZ108" s="8">
        <v>100.53</v>
      </c>
      <c r="IA108" s="8">
        <v>104.1</v>
      </c>
      <c r="IB108" s="8">
        <v>106.05</v>
      </c>
      <c r="IC108" s="8">
        <v>99.77</v>
      </c>
      <c r="ID108" s="8">
        <v>100.13</v>
      </c>
      <c r="IE108" s="8">
        <v>100.53</v>
      </c>
      <c r="IF108" s="8">
        <v>99.27</v>
      </c>
      <c r="IG108" s="8">
        <v>100.48</v>
      </c>
      <c r="IH108" s="8">
        <v>100.55</v>
      </c>
      <c r="II108" s="8">
        <v>101.49</v>
      </c>
      <c r="IJ108" s="8">
        <v>100.47</v>
      </c>
      <c r="IK108" s="8">
        <v>100</v>
      </c>
      <c r="IL108" s="8">
        <v>99.63</v>
      </c>
      <c r="IM108" s="8">
        <v>99.87</v>
      </c>
      <c r="IN108" s="8">
        <v>99.84</v>
      </c>
      <c r="IO108" s="8">
        <v>100</v>
      </c>
      <c r="IP108" s="8">
        <v>99.59</v>
      </c>
      <c r="IQ108" s="8">
        <v>99.51</v>
      </c>
    </row>
    <row r="109" spans="1:251" x14ac:dyDescent="0.2">
      <c r="A109" s="9">
        <v>45962</v>
      </c>
      <c r="B109" s="8">
        <v>99.9</v>
      </c>
      <c r="C109" s="8">
        <v>100.5</v>
      </c>
      <c r="D109" s="8">
        <v>100.23</v>
      </c>
      <c r="E109" s="8">
        <v>100.77</v>
      </c>
      <c r="F109" s="8">
        <v>101.53</v>
      </c>
      <c r="G109" s="8">
        <v>102.13</v>
      </c>
      <c r="H109" s="8">
        <v>101.33</v>
      </c>
      <c r="I109" s="8">
        <v>98.78</v>
      </c>
      <c r="J109" s="8">
        <v>105.25</v>
      </c>
      <c r="K109" s="8">
        <v>91.9</v>
      </c>
      <c r="L109" s="8">
        <v>100.96</v>
      </c>
      <c r="M109" s="8">
        <v>101.16</v>
      </c>
      <c r="N109" s="8">
        <v>99.85</v>
      </c>
      <c r="O109" s="8">
        <v>101.69</v>
      </c>
      <c r="P109" s="8">
        <v>99.86</v>
      </c>
      <c r="Q109" s="8">
        <v>100.06</v>
      </c>
      <c r="R109" s="8">
        <v>102.98</v>
      </c>
      <c r="S109" s="8">
        <v>100.02</v>
      </c>
      <c r="T109" s="8">
        <v>100.02</v>
      </c>
      <c r="U109" s="8">
        <v>100.08</v>
      </c>
      <c r="V109" s="8">
        <v>100</v>
      </c>
      <c r="W109" s="8">
        <v>100</v>
      </c>
      <c r="X109" s="8">
        <v>100.23</v>
      </c>
      <c r="Y109" s="8">
        <v>100.68</v>
      </c>
      <c r="Z109" s="8">
        <v>100.68</v>
      </c>
      <c r="AA109" s="8">
        <v>100.01</v>
      </c>
      <c r="AB109" s="8">
        <v>100.09</v>
      </c>
      <c r="AC109" s="8">
        <v>100</v>
      </c>
      <c r="AD109" s="8">
        <v>99.56</v>
      </c>
      <c r="AE109" s="8">
        <v>100.02</v>
      </c>
      <c r="AF109" s="8">
        <v>100.77</v>
      </c>
      <c r="AG109" s="8">
        <v>100.97</v>
      </c>
      <c r="AH109" s="8">
        <v>100.42</v>
      </c>
      <c r="AI109" s="8">
        <v>103.73</v>
      </c>
      <c r="AJ109" s="8">
        <v>99.84</v>
      </c>
      <c r="AK109" s="8">
        <v>101.65</v>
      </c>
      <c r="AL109" s="8">
        <v>105.14</v>
      </c>
      <c r="AM109" s="8">
        <v>100.28</v>
      </c>
      <c r="AN109" s="8">
        <v>100.73</v>
      </c>
      <c r="AO109" s="8">
        <v>100.13</v>
      </c>
      <c r="AP109" s="8">
        <v>101.89</v>
      </c>
      <c r="AQ109" s="8">
        <v>100.11</v>
      </c>
      <c r="AR109" s="8">
        <v>100.41</v>
      </c>
      <c r="AS109" s="8">
        <v>101.26</v>
      </c>
      <c r="AT109" s="8">
        <v>99.75</v>
      </c>
      <c r="AU109" s="8">
        <v>100.06</v>
      </c>
      <c r="AV109" s="8">
        <v>97.27</v>
      </c>
      <c r="AW109" s="8">
        <v>95.59</v>
      </c>
      <c r="AX109" s="8">
        <v>98.8</v>
      </c>
      <c r="AY109" s="8">
        <v>99.82</v>
      </c>
      <c r="AZ109" s="8">
        <v>97.13</v>
      </c>
      <c r="BA109" s="8">
        <v>100.38</v>
      </c>
      <c r="BB109" s="8">
        <v>100.71</v>
      </c>
      <c r="BC109" s="8">
        <v>98.57</v>
      </c>
      <c r="BD109" s="8">
        <v>99.31</v>
      </c>
      <c r="BE109" s="8">
        <v>101.42</v>
      </c>
      <c r="BF109" s="8">
        <v>99.92</v>
      </c>
      <c r="BG109" s="8">
        <v>100.48</v>
      </c>
      <c r="BH109" s="8">
        <v>99.73</v>
      </c>
      <c r="BI109" s="8">
        <v>100.18</v>
      </c>
      <c r="BJ109" s="8">
        <v>101.06</v>
      </c>
      <c r="BK109" s="8">
        <v>99.28</v>
      </c>
      <c r="BL109" s="8">
        <v>99.8</v>
      </c>
      <c r="BM109" s="8">
        <v>99.04</v>
      </c>
      <c r="BN109" s="8">
        <v>99.18</v>
      </c>
      <c r="BO109" s="8">
        <v>98.67</v>
      </c>
      <c r="BP109" s="8">
        <v>99.22</v>
      </c>
      <c r="BQ109" s="8">
        <v>101.84</v>
      </c>
      <c r="BR109" s="8">
        <v>101.84</v>
      </c>
      <c r="BS109" s="8">
        <v>101.07</v>
      </c>
      <c r="BT109" s="8">
        <v>101.69</v>
      </c>
      <c r="BU109" s="8">
        <v>102.86</v>
      </c>
      <c r="BV109" s="8">
        <v>101.77</v>
      </c>
      <c r="BW109" s="8">
        <v>99.91</v>
      </c>
      <c r="BX109" s="8">
        <v>100.05</v>
      </c>
      <c r="BY109" s="8">
        <v>98.6</v>
      </c>
      <c r="BZ109" s="8">
        <v>99.95</v>
      </c>
      <c r="CA109" s="8">
        <v>102.45</v>
      </c>
      <c r="CB109" s="8">
        <v>100.03</v>
      </c>
      <c r="CC109" s="8">
        <v>99.93</v>
      </c>
      <c r="CD109" s="8">
        <v>100.77</v>
      </c>
      <c r="CE109" s="8">
        <v>97.09</v>
      </c>
      <c r="CF109" s="8">
        <v>100.88</v>
      </c>
      <c r="CG109" s="8">
        <v>100.88</v>
      </c>
      <c r="CH109" s="8">
        <v>101.03</v>
      </c>
      <c r="CI109" s="8">
        <v>101.03</v>
      </c>
      <c r="CJ109" s="8">
        <v>100.34</v>
      </c>
      <c r="CK109" s="8">
        <v>100.61</v>
      </c>
      <c r="CL109" s="8">
        <v>100</v>
      </c>
      <c r="CM109" s="8">
        <v>84.91</v>
      </c>
      <c r="CN109" s="8">
        <v>100</v>
      </c>
      <c r="CO109" s="8">
        <v>69.209999999999994</v>
      </c>
      <c r="CP109" s="8">
        <v>101.15</v>
      </c>
      <c r="CQ109" s="8">
        <v>99.95</v>
      </c>
      <c r="CR109" s="8">
        <v>100.04</v>
      </c>
      <c r="CS109" s="8">
        <v>100.37</v>
      </c>
      <c r="CT109" s="8">
        <v>98.77</v>
      </c>
      <c r="CU109" s="8">
        <v>98.52</v>
      </c>
      <c r="CV109" s="8">
        <v>98.52</v>
      </c>
      <c r="CW109" s="8">
        <v>101.12</v>
      </c>
      <c r="CX109" s="8">
        <v>100.99</v>
      </c>
      <c r="CY109" s="8">
        <v>102.98</v>
      </c>
      <c r="CZ109" s="8">
        <v>101.83</v>
      </c>
      <c r="DA109" s="8">
        <v>99.16</v>
      </c>
      <c r="DB109" s="8">
        <v>98.8</v>
      </c>
      <c r="DC109" s="8">
        <v>99.24</v>
      </c>
      <c r="DD109" s="8">
        <v>98.42</v>
      </c>
      <c r="DE109" s="8">
        <v>98.97</v>
      </c>
      <c r="DF109" s="8">
        <v>100.71</v>
      </c>
      <c r="DG109" s="8">
        <v>101.53</v>
      </c>
      <c r="DH109" s="8">
        <v>100.23</v>
      </c>
      <c r="DI109" s="8">
        <v>100.72</v>
      </c>
      <c r="DJ109" s="8">
        <v>99.66</v>
      </c>
      <c r="DK109" s="8">
        <v>98.97</v>
      </c>
      <c r="DL109" s="8">
        <v>99.03</v>
      </c>
      <c r="DM109" s="8">
        <v>98.57</v>
      </c>
      <c r="DN109" s="8">
        <v>99.78</v>
      </c>
      <c r="DO109" s="8">
        <v>99.73</v>
      </c>
      <c r="DP109" s="8">
        <v>100.25</v>
      </c>
      <c r="DQ109" s="8">
        <v>100.45</v>
      </c>
      <c r="DR109" s="8">
        <v>100.46</v>
      </c>
      <c r="DS109" s="8">
        <v>99.29</v>
      </c>
      <c r="DT109" s="8">
        <v>101.68</v>
      </c>
      <c r="DU109" s="8">
        <v>101.28</v>
      </c>
      <c r="DV109" s="8">
        <v>100.33</v>
      </c>
      <c r="DW109" s="8">
        <v>100</v>
      </c>
      <c r="DX109" s="8">
        <v>100</v>
      </c>
      <c r="DY109" s="8">
        <v>100</v>
      </c>
      <c r="DZ109" s="8">
        <v>100.22</v>
      </c>
      <c r="EA109" s="8">
        <v>100.22</v>
      </c>
      <c r="EB109" s="8">
        <v>100.63</v>
      </c>
      <c r="EC109" s="8">
        <v>100.2</v>
      </c>
      <c r="ED109" s="8">
        <v>100.69</v>
      </c>
      <c r="EE109" s="8">
        <v>99.84</v>
      </c>
      <c r="EF109" s="8">
        <v>99.21</v>
      </c>
      <c r="EG109" s="8">
        <v>100.59</v>
      </c>
      <c r="EH109" s="8">
        <v>101.69</v>
      </c>
      <c r="EI109" s="8">
        <v>101.06</v>
      </c>
      <c r="EJ109" s="8">
        <v>101.92</v>
      </c>
      <c r="EK109" s="8">
        <v>100.36</v>
      </c>
      <c r="EL109" s="8">
        <v>105.75</v>
      </c>
      <c r="EM109" s="8">
        <v>94.85</v>
      </c>
      <c r="EN109" s="8">
        <v>101.34</v>
      </c>
      <c r="EO109" s="8">
        <v>100.78</v>
      </c>
      <c r="EP109" s="8">
        <v>100.23</v>
      </c>
      <c r="EQ109" s="8">
        <v>101.61</v>
      </c>
      <c r="ER109" s="8">
        <v>100</v>
      </c>
      <c r="ES109" s="8">
        <v>100.56</v>
      </c>
      <c r="ET109" s="8">
        <v>104.02</v>
      </c>
      <c r="EU109" s="8">
        <v>100.01</v>
      </c>
      <c r="EV109" s="8">
        <v>100.01</v>
      </c>
      <c r="EW109" s="8">
        <v>100.03</v>
      </c>
      <c r="EX109" s="8">
        <v>100</v>
      </c>
      <c r="EY109" s="8">
        <v>100</v>
      </c>
      <c r="EZ109" s="8">
        <v>99.96</v>
      </c>
      <c r="FA109" s="8">
        <v>99.82</v>
      </c>
      <c r="FB109" s="8">
        <v>99.82</v>
      </c>
      <c r="FC109" s="8">
        <v>100.01</v>
      </c>
      <c r="FD109" s="8">
        <v>100.09</v>
      </c>
      <c r="FE109" s="8">
        <v>100</v>
      </c>
      <c r="FF109" s="8">
        <v>100.32</v>
      </c>
      <c r="FG109" s="8">
        <v>100.79</v>
      </c>
      <c r="FH109" s="8">
        <v>101.46</v>
      </c>
      <c r="FI109" s="8">
        <v>101.04</v>
      </c>
      <c r="FJ109" s="8">
        <v>101.7</v>
      </c>
      <c r="FK109" s="8">
        <v>104.04</v>
      </c>
      <c r="FL109" s="8">
        <v>100.56</v>
      </c>
      <c r="FM109" s="8">
        <v>101.32</v>
      </c>
      <c r="FN109" s="8">
        <v>103.96</v>
      </c>
      <c r="FO109" s="8">
        <v>99.65</v>
      </c>
      <c r="FP109" s="8">
        <v>100.28</v>
      </c>
      <c r="FQ109" s="8">
        <v>100.27</v>
      </c>
      <c r="FR109" s="8">
        <v>102.61</v>
      </c>
      <c r="FS109" s="8">
        <v>99.86</v>
      </c>
      <c r="FT109" s="8">
        <v>100.62</v>
      </c>
      <c r="FU109" s="8">
        <v>101.69</v>
      </c>
      <c r="FV109" s="8">
        <v>99.6</v>
      </c>
      <c r="FW109" s="8">
        <v>100.14</v>
      </c>
      <c r="FX109" s="8">
        <v>101.67</v>
      </c>
      <c r="FY109" s="8">
        <v>107.6</v>
      </c>
      <c r="FZ109" s="8">
        <v>98.31</v>
      </c>
      <c r="GA109" s="8">
        <v>100.04</v>
      </c>
      <c r="GB109" s="8">
        <v>98.76</v>
      </c>
      <c r="GC109" s="8">
        <v>99.85</v>
      </c>
      <c r="GD109" s="8">
        <v>100.69</v>
      </c>
      <c r="GE109" s="8">
        <v>98.42</v>
      </c>
      <c r="GF109" s="8">
        <v>99.6</v>
      </c>
      <c r="GG109" s="8">
        <v>101.87</v>
      </c>
      <c r="GH109" s="8">
        <v>99.4</v>
      </c>
      <c r="GI109" s="8">
        <v>100.55</v>
      </c>
      <c r="GJ109" s="8">
        <v>99.07</v>
      </c>
      <c r="GK109" s="8">
        <v>100.83</v>
      </c>
      <c r="GL109" s="8">
        <v>100.18</v>
      </c>
      <c r="GM109" s="8">
        <v>101.47</v>
      </c>
      <c r="GN109" s="8">
        <v>100.19</v>
      </c>
      <c r="GO109" s="8">
        <v>99.7</v>
      </c>
      <c r="GP109" s="8">
        <v>99.33</v>
      </c>
      <c r="GQ109" s="8">
        <v>99.8</v>
      </c>
      <c r="GR109" s="8">
        <v>99.77</v>
      </c>
      <c r="GS109" s="8">
        <v>101.03</v>
      </c>
      <c r="GT109" s="8">
        <v>101.03</v>
      </c>
      <c r="GU109" s="8">
        <v>100.41</v>
      </c>
      <c r="GV109" s="8">
        <v>101.23</v>
      </c>
      <c r="GW109" s="8">
        <v>99.82</v>
      </c>
      <c r="GX109" s="8">
        <v>100.57</v>
      </c>
      <c r="GY109" s="8">
        <v>105.47</v>
      </c>
      <c r="GZ109" s="8">
        <v>98.49</v>
      </c>
      <c r="HA109" s="8">
        <v>96.69</v>
      </c>
      <c r="HB109" s="8">
        <v>100.1</v>
      </c>
      <c r="HC109" s="8">
        <v>98.91</v>
      </c>
      <c r="HD109" s="8">
        <v>99.45</v>
      </c>
      <c r="HE109" s="8">
        <v>99.39</v>
      </c>
      <c r="HF109" s="8">
        <v>100</v>
      </c>
      <c r="HG109" s="8">
        <v>100.35</v>
      </c>
      <c r="HH109" s="8">
        <v>100.64</v>
      </c>
      <c r="HI109" s="8">
        <v>100.64</v>
      </c>
      <c r="HJ109" s="8">
        <v>100.22</v>
      </c>
      <c r="HK109" s="8">
        <v>100.22</v>
      </c>
      <c r="HL109" s="8">
        <v>100.6</v>
      </c>
      <c r="HM109" s="8">
        <v>101.05</v>
      </c>
      <c r="HN109" s="8">
        <v>100</v>
      </c>
      <c r="HO109" s="8">
        <v>99.99</v>
      </c>
      <c r="HP109" s="8">
        <v>100</v>
      </c>
      <c r="HQ109" s="8">
        <v>100</v>
      </c>
      <c r="HR109" s="8">
        <v>99.89</v>
      </c>
      <c r="HS109" s="8">
        <v>99.42</v>
      </c>
      <c r="HT109" s="8">
        <v>98.3</v>
      </c>
      <c r="HU109" s="8">
        <v>97.77</v>
      </c>
      <c r="HV109" s="8">
        <v>100.07</v>
      </c>
      <c r="HW109" s="8">
        <v>97.48</v>
      </c>
      <c r="HX109" s="8">
        <v>97.48</v>
      </c>
      <c r="HY109" s="8">
        <v>100.35</v>
      </c>
      <c r="HZ109" s="8">
        <v>101.54</v>
      </c>
      <c r="IA109" s="8">
        <v>101.21</v>
      </c>
      <c r="IB109" s="8">
        <v>98.45</v>
      </c>
      <c r="IC109" s="8">
        <v>100.24</v>
      </c>
      <c r="ID109" s="8">
        <v>99.03</v>
      </c>
      <c r="IE109" s="8">
        <v>99.45</v>
      </c>
      <c r="IF109" s="8">
        <v>98.58</v>
      </c>
      <c r="IG109" s="8">
        <v>99.19</v>
      </c>
      <c r="IH109" s="8">
        <v>100.36</v>
      </c>
      <c r="II109" s="8">
        <v>100.35</v>
      </c>
      <c r="IJ109" s="8">
        <v>100.63</v>
      </c>
      <c r="IK109" s="8">
        <v>100</v>
      </c>
      <c r="IL109" s="8">
        <v>99.46</v>
      </c>
      <c r="IM109" s="8">
        <v>98.91</v>
      </c>
      <c r="IN109" s="8">
        <v>98.67</v>
      </c>
      <c r="IO109" s="8">
        <v>100</v>
      </c>
      <c r="IP109" s="8">
        <v>99.55</v>
      </c>
      <c r="IQ109" s="8">
        <v>99.4</v>
      </c>
    </row>
    <row r="110" spans="1:251" x14ac:dyDescent="0.2">
      <c r="A110" s="9">
        <v>45992</v>
      </c>
      <c r="B110" s="8">
        <v>107.59</v>
      </c>
      <c r="C110" s="8">
        <v>99.1</v>
      </c>
      <c r="D110" s="8">
        <v>97.19</v>
      </c>
      <c r="E110" s="8">
        <v>100.93</v>
      </c>
      <c r="F110" s="8">
        <v>100.48</v>
      </c>
      <c r="G110" s="8">
        <v>99.61</v>
      </c>
      <c r="H110" s="8">
        <v>100.77</v>
      </c>
      <c r="I110" s="8">
        <v>115.9</v>
      </c>
      <c r="J110" s="8">
        <v>116.87</v>
      </c>
      <c r="K110" s="8">
        <v>114.88</v>
      </c>
      <c r="L110" s="8">
        <v>101.24</v>
      </c>
      <c r="M110" s="8">
        <v>98.4</v>
      </c>
      <c r="N110" s="8">
        <v>99.56</v>
      </c>
      <c r="O110" s="8">
        <v>102.78</v>
      </c>
      <c r="P110" s="8">
        <v>99.86</v>
      </c>
      <c r="Q110" s="8">
        <v>100.05</v>
      </c>
      <c r="R110" s="8">
        <v>105.3</v>
      </c>
      <c r="S110" s="8">
        <v>100.03</v>
      </c>
      <c r="T110" s="8">
        <v>100.03</v>
      </c>
      <c r="U110" s="8">
        <v>100.13</v>
      </c>
      <c r="V110" s="8">
        <v>100</v>
      </c>
      <c r="W110" s="8">
        <v>100</v>
      </c>
      <c r="X110" s="8">
        <v>101.13</v>
      </c>
      <c r="Y110" s="8">
        <v>101.13</v>
      </c>
      <c r="Z110" s="8">
        <v>101.13</v>
      </c>
      <c r="AA110" s="8">
        <v>101.13</v>
      </c>
      <c r="AB110" s="8">
        <v>99.92</v>
      </c>
      <c r="AC110" s="8">
        <v>101.22</v>
      </c>
      <c r="AD110" s="8">
        <v>100.29</v>
      </c>
      <c r="AE110" s="8">
        <v>100.57</v>
      </c>
      <c r="AF110" s="8">
        <v>101.75</v>
      </c>
      <c r="AG110" s="8">
        <v>101.39</v>
      </c>
      <c r="AH110" s="8">
        <v>100.99</v>
      </c>
      <c r="AI110" s="8">
        <v>110.84</v>
      </c>
      <c r="AJ110" s="8">
        <v>100.84</v>
      </c>
      <c r="AK110" s="8">
        <v>102.54</v>
      </c>
      <c r="AL110" s="8">
        <v>105.3</v>
      </c>
      <c r="AM110" s="8">
        <v>100.28</v>
      </c>
      <c r="AN110" s="8">
        <v>101.32</v>
      </c>
      <c r="AO110" s="8">
        <v>100.56</v>
      </c>
      <c r="AP110" s="8">
        <v>104.37</v>
      </c>
      <c r="AQ110" s="8">
        <v>101.67</v>
      </c>
      <c r="AR110" s="8">
        <v>101.13</v>
      </c>
      <c r="AS110" s="8">
        <v>101.6</v>
      </c>
      <c r="AT110" s="8">
        <v>100.35</v>
      </c>
      <c r="AU110" s="8">
        <v>101.37</v>
      </c>
      <c r="AV110" s="8">
        <v>96.86</v>
      </c>
      <c r="AW110" s="8">
        <v>94.74</v>
      </c>
      <c r="AX110" s="8">
        <v>98.78</v>
      </c>
      <c r="AY110" s="8">
        <v>100.68</v>
      </c>
      <c r="AZ110" s="8">
        <v>95.37</v>
      </c>
      <c r="BA110" s="8">
        <v>100.31</v>
      </c>
      <c r="BB110" s="8">
        <v>100.11</v>
      </c>
      <c r="BC110" s="8">
        <v>97.77</v>
      </c>
      <c r="BD110" s="8">
        <v>101.16</v>
      </c>
      <c r="BE110" s="8">
        <v>103.27</v>
      </c>
      <c r="BF110" s="8">
        <v>99.82</v>
      </c>
      <c r="BG110" s="8">
        <v>103.24</v>
      </c>
      <c r="BH110" s="8">
        <v>98.63</v>
      </c>
      <c r="BI110" s="8">
        <v>100.79</v>
      </c>
      <c r="BJ110" s="8">
        <v>102.38</v>
      </c>
      <c r="BK110" s="8">
        <v>99.19</v>
      </c>
      <c r="BL110" s="8">
        <v>100.39</v>
      </c>
      <c r="BM110" s="8">
        <v>99.63</v>
      </c>
      <c r="BN110" s="8">
        <v>99.29</v>
      </c>
      <c r="BO110" s="8">
        <v>98.56</v>
      </c>
      <c r="BP110" s="8">
        <v>100.49</v>
      </c>
      <c r="BQ110" s="8">
        <v>102.42</v>
      </c>
      <c r="BR110" s="8">
        <v>102.42</v>
      </c>
      <c r="BS110" s="8">
        <v>99.35</v>
      </c>
      <c r="BT110" s="8">
        <v>99.86</v>
      </c>
      <c r="BU110" s="8">
        <v>99.44</v>
      </c>
      <c r="BV110" s="8">
        <v>100.29</v>
      </c>
      <c r="BW110" s="8">
        <v>99.39</v>
      </c>
      <c r="BX110" s="8">
        <v>100.28</v>
      </c>
      <c r="BY110" s="8">
        <v>98.6</v>
      </c>
      <c r="BZ110" s="8">
        <v>98.49</v>
      </c>
      <c r="CA110" s="8">
        <v>108.86</v>
      </c>
      <c r="CB110" s="8">
        <v>97.47</v>
      </c>
      <c r="CC110" s="8">
        <v>97.03</v>
      </c>
      <c r="CD110" s="8">
        <v>100.77</v>
      </c>
      <c r="CE110" s="8">
        <v>97.5</v>
      </c>
      <c r="CF110" s="8">
        <v>101.26</v>
      </c>
      <c r="CG110" s="8">
        <v>101.26</v>
      </c>
      <c r="CH110" s="8">
        <v>102.13</v>
      </c>
      <c r="CI110" s="8">
        <v>102.13</v>
      </c>
      <c r="CJ110" s="8">
        <v>100</v>
      </c>
      <c r="CK110" s="8">
        <v>99.99</v>
      </c>
      <c r="CL110" s="8">
        <v>100</v>
      </c>
      <c r="CM110" s="8">
        <v>84.91</v>
      </c>
      <c r="CN110" s="8">
        <v>100</v>
      </c>
      <c r="CO110" s="8">
        <v>69.209999999999994</v>
      </c>
      <c r="CP110" s="8">
        <v>101.15</v>
      </c>
      <c r="CQ110" s="8">
        <v>99.24</v>
      </c>
      <c r="CR110" s="8">
        <v>98.26</v>
      </c>
      <c r="CS110" s="8">
        <v>97.96</v>
      </c>
      <c r="CT110" s="8">
        <v>99.4</v>
      </c>
      <c r="CU110" s="8">
        <v>96.84</v>
      </c>
      <c r="CV110" s="8">
        <v>96.84</v>
      </c>
      <c r="CW110" s="8">
        <v>96.5</v>
      </c>
      <c r="CX110" s="8">
        <v>98</v>
      </c>
      <c r="CY110" s="8">
        <v>94.6</v>
      </c>
      <c r="CZ110" s="8">
        <v>94.65</v>
      </c>
      <c r="DA110" s="8">
        <v>98.17</v>
      </c>
      <c r="DB110" s="8">
        <v>100.16</v>
      </c>
      <c r="DC110" s="8">
        <v>102.32</v>
      </c>
      <c r="DD110" s="8">
        <v>101.21</v>
      </c>
      <c r="DE110" s="8">
        <v>98.94</v>
      </c>
      <c r="DF110" s="8">
        <v>101.15</v>
      </c>
      <c r="DG110" s="8">
        <v>101.75</v>
      </c>
      <c r="DH110" s="8">
        <v>100.85</v>
      </c>
      <c r="DI110" s="8">
        <v>101.1</v>
      </c>
      <c r="DJ110" s="8">
        <v>99.01</v>
      </c>
      <c r="DK110" s="8">
        <v>99.22</v>
      </c>
      <c r="DL110" s="8">
        <v>99.32</v>
      </c>
      <c r="DM110" s="8">
        <v>98.57</v>
      </c>
      <c r="DN110" s="8">
        <v>98.98</v>
      </c>
      <c r="DO110" s="8">
        <v>98.83</v>
      </c>
      <c r="DP110" s="8">
        <v>100.25</v>
      </c>
      <c r="DQ110" s="8">
        <v>100.15</v>
      </c>
      <c r="DR110" s="8">
        <v>100.15</v>
      </c>
      <c r="DS110" s="8">
        <v>99.84</v>
      </c>
      <c r="DT110" s="8">
        <v>100.7</v>
      </c>
      <c r="DU110" s="8">
        <v>100.31</v>
      </c>
      <c r="DV110" s="8">
        <v>100.13</v>
      </c>
      <c r="DW110" s="8">
        <v>100</v>
      </c>
      <c r="DX110" s="8">
        <v>100</v>
      </c>
      <c r="DY110" s="8">
        <v>100</v>
      </c>
      <c r="DZ110" s="8">
        <v>99.77</v>
      </c>
      <c r="EA110" s="8">
        <v>99.77</v>
      </c>
      <c r="EB110" s="8">
        <v>100.87</v>
      </c>
      <c r="EC110" s="8">
        <v>99.72</v>
      </c>
      <c r="ED110" s="8">
        <v>105.96</v>
      </c>
      <c r="EE110" s="8">
        <v>99.14</v>
      </c>
      <c r="EF110" s="8">
        <v>97.71</v>
      </c>
      <c r="EG110" s="8">
        <v>100.8</v>
      </c>
      <c r="EH110" s="8">
        <v>99.05</v>
      </c>
      <c r="EI110" s="8">
        <v>99.05</v>
      </c>
      <c r="EJ110" s="8">
        <v>99.05</v>
      </c>
      <c r="EK110" s="8">
        <v>112.33</v>
      </c>
      <c r="EL110" s="8">
        <v>106.33</v>
      </c>
      <c r="EM110" s="8">
        <v>118.47</v>
      </c>
      <c r="EN110" s="8">
        <v>101.64</v>
      </c>
      <c r="EO110" s="8">
        <v>99.83</v>
      </c>
      <c r="EP110" s="8">
        <v>99.96</v>
      </c>
      <c r="EQ110" s="8">
        <v>102.69</v>
      </c>
      <c r="ER110" s="8">
        <v>100</v>
      </c>
      <c r="ES110" s="8">
        <v>100.79</v>
      </c>
      <c r="ET110" s="8">
        <v>105.04</v>
      </c>
      <c r="EU110" s="8">
        <v>100.01</v>
      </c>
      <c r="EV110" s="8">
        <v>100.01</v>
      </c>
      <c r="EW110" s="8">
        <v>100.04</v>
      </c>
      <c r="EX110" s="8">
        <v>100</v>
      </c>
      <c r="EY110" s="8">
        <v>100</v>
      </c>
      <c r="EZ110" s="8">
        <v>100.87</v>
      </c>
      <c r="FA110" s="8">
        <v>99.89</v>
      </c>
      <c r="FB110" s="8">
        <v>99.89</v>
      </c>
      <c r="FC110" s="8">
        <v>101.27</v>
      </c>
      <c r="FD110" s="8">
        <v>99.92</v>
      </c>
      <c r="FE110" s="8">
        <v>101.53</v>
      </c>
      <c r="FF110" s="8">
        <v>101.17</v>
      </c>
      <c r="FG110" s="8">
        <v>101.5</v>
      </c>
      <c r="FH110" s="8">
        <v>102.25</v>
      </c>
      <c r="FI110" s="8">
        <v>101.22</v>
      </c>
      <c r="FJ110" s="8">
        <v>101.96</v>
      </c>
      <c r="FK110" s="8">
        <v>112.29</v>
      </c>
      <c r="FL110" s="8">
        <v>101.99</v>
      </c>
      <c r="FM110" s="8">
        <v>102.26</v>
      </c>
      <c r="FN110" s="8">
        <v>103.98</v>
      </c>
      <c r="FO110" s="8">
        <v>99.24</v>
      </c>
      <c r="FP110" s="8">
        <v>99.87</v>
      </c>
      <c r="FQ110" s="8">
        <v>101.73</v>
      </c>
      <c r="FR110" s="8">
        <v>105.09</v>
      </c>
      <c r="FS110" s="8">
        <v>101.71</v>
      </c>
      <c r="FT110" s="8">
        <v>101.58</v>
      </c>
      <c r="FU110" s="8">
        <v>102.7</v>
      </c>
      <c r="FV110" s="8">
        <v>100.2</v>
      </c>
      <c r="FW110" s="8">
        <v>101.4</v>
      </c>
      <c r="FX110" s="8">
        <v>101.56</v>
      </c>
      <c r="FY110" s="8">
        <v>103.66</v>
      </c>
      <c r="FZ110" s="8">
        <v>100.36</v>
      </c>
      <c r="GA110" s="8">
        <v>101.29</v>
      </c>
      <c r="GB110" s="8">
        <v>98.47</v>
      </c>
      <c r="GC110" s="8">
        <v>100.18</v>
      </c>
      <c r="GD110" s="8">
        <v>99.7</v>
      </c>
      <c r="GE110" s="8">
        <v>97.17</v>
      </c>
      <c r="GF110" s="8">
        <v>102.28</v>
      </c>
      <c r="GG110" s="8">
        <v>103.71</v>
      </c>
      <c r="GH110" s="8">
        <v>98.92</v>
      </c>
      <c r="GI110" s="8">
        <v>103.61</v>
      </c>
      <c r="GJ110" s="8">
        <v>97.58</v>
      </c>
      <c r="GK110" s="8">
        <v>101.69</v>
      </c>
      <c r="GL110" s="8">
        <v>100.89</v>
      </c>
      <c r="GM110" s="8">
        <v>102.47</v>
      </c>
      <c r="GN110" s="8">
        <v>100.5</v>
      </c>
      <c r="GO110" s="8">
        <v>99.75</v>
      </c>
      <c r="GP110" s="8">
        <v>97.61</v>
      </c>
      <c r="GQ110" s="8">
        <v>99.73</v>
      </c>
      <c r="GR110" s="8">
        <v>100.46</v>
      </c>
      <c r="GS110" s="8">
        <v>101.79</v>
      </c>
      <c r="GT110" s="8">
        <v>101.79</v>
      </c>
      <c r="GU110" s="8">
        <v>101.54</v>
      </c>
      <c r="GV110" s="8">
        <v>102.67</v>
      </c>
      <c r="GW110" s="8">
        <v>102.42</v>
      </c>
      <c r="GX110" s="8">
        <v>101.76</v>
      </c>
      <c r="GY110" s="8">
        <v>105.78</v>
      </c>
      <c r="GZ110" s="8">
        <v>99.02</v>
      </c>
      <c r="HA110" s="8">
        <v>98.01</v>
      </c>
      <c r="HB110" s="8">
        <v>98.61</v>
      </c>
      <c r="HC110" s="8">
        <v>100.99</v>
      </c>
      <c r="HD110" s="8">
        <v>100.08</v>
      </c>
      <c r="HE110" s="8">
        <v>100.09</v>
      </c>
      <c r="HF110" s="8">
        <v>100</v>
      </c>
      <c r="HG110" s="8">
        <v>100.42</v>
      </c>
      <c r="HH110" s="8">
        <v>100.84</v>
      </c>
      <c r="HI110" s="8">
        <v>100.84</v>
      </c>
      <c r="HJ110" s="8">
        <v>100.21</v>
      </c>
      <c r="HK110" s="8">
        <v>100.21</v>
      </c>
      <c r="HL110" s="8">
        <v>100.79</v>
      </c>
      <c r="HM110" s="8">
        <v>101.38</v>
      </c>
      <c r="HN110" s="8">
        <v>100</v>
      </c>
      <c r="HO110" s="8">
        <v>99.93</v>
      </c>
      <c r="HP110" s="8">
        <v>100</v>
      </c>
      <c r="HQ110" s="8">
        <v>100</v>
      </c>
      <c r="HR110" s="8">
        <v>99.36</v>
      </c>
      <c r="HS110" s="8">
        <v>99.05</v>
      </c>
      <c r="HT110" s="8">
        <v>98.75</v>
      </c>
      <c r="HU110" s="8">
        <v>97.92</v>
      </c>
      <c r="HV110" s="8">
        <v>101.54</v>
      </c>
      <c r="HW110" s="8">
        <v>93.01</v>
      </c>
      <c r="HX110" s="8">
        <v>93.01</v>
      </c>
      <c r="HY110" s="8">
        <v>96.92</v>
      </c>
      <c r="HZ110" s="8">
        <v>97.88</v>
      </c>
      <c r="IA110" s="8">
        <v>97.43</v>
      </c>
      <c r="IB110" s="8">
        <v>92.91</v>
      </c>
      <c r="IC110" s="8">
        <v>98.89</v>
      </c>
      <c r="ID110" s="8">
        <v>100.57</v>
      </c>
      <c r="IE110" s="8">
        <v>102.34</v>
      </c>
      <c r="IF110" s="8">
        <v>101.23</v>
      </c>
      <c r="IG110" s="8">
        <v>100.03</v>
      </c>
      <c r="IH110" s="8">
        <v>100.46</v>
      </c>
      <c r="II110" s="8">
        <v>101.05</v>
      </c>
      <c r="IJ110" s="8">
        <v>100.63</v>
      </c>
      <c r="IK110" s="8">
        <v>99.81</v>
      </c>
      <c r="IL110" s="8">
        <v>99.18</v>
      </c>
      <c r="IM110" s="8">
        <v>98.24</v>
      </c>
      <c r="IN110" s="8">
        <v>97.86</v>
      </c>
      <c r="IO110" s="8">
        <v>100</v>
      </c>
      <c r="IP110" s="8">
        <v>99.34</v>
      </c>
      <c r="IQ110" s="8">
        <v>99.18</v>
      </c>
    </row>
    <row r="111" spans="1:251" x14ac:dyDescent="0.2">
      <c r="A111" s="9">
        <v>46023</v>
      </c>
      <c r="B111" s="8">
        <v>103.1</v>
      </c>
      <c r="C111" s="8">
        <v>100.13</v>
      </c>
      <c r="D111" s="8">
        <v>99.45</v>
      </c>
      <c r="E111" s="8">
        <v>100.79</v>
      </c>
      <c r="F111" s="8">
        <v>100.3</v>
      </c>
      <c r="G111" s="8">
        <v>105.2</v>
      </c>
      <c r="H111" s="8">
        <v>98.7</v>
      </c>
      <c r="I111" s="8">
        <v>104.56</v>
      </c>
      <c r="J111" s="8">
        <v>114.47</v>
      </c>
      <c r="K111" s="8">
        <v>94.02</v>
      </c>
      <c r="L111" s="8">
        <v>102.92</v>
      </c>
      <c r="M111" s="8">
        <v>100.5</v>
      </c>
      <c r="N111" s="8">
        <v>104.66</v>
      </c>
      <c r="O111" s="8">
        <v>102.43</v>
      </c>
      <c r="P111" s="8">
        <v>102.38</v>
      </c>
      <c r="Q111" s="8">
        <v>100.89</v>
      </c>
      <c r="R111" s="8">
        <v>105.89</v>
      </c>
      <c r="S111" s="8">
        <v>100.01</v>
      </c>
      <c r="T111" s="8">
        <v>100.01</v>
      </c>
      <c r="U111" s="8">
        <v>100.05</v>
      </c>
      <c r="V111" s="8">
        <v>100</v>
      </c>
      <c r="W111" s="8">
        <v>100</v>
      </c>
      <c r="X111" s="8">
        <v>101.61</v>
      </c>
      <c r="Y111" s="8">
        <v>102.59</v>
      </c>
      <c r="Z111" s="8">
        <v>102.59</v>
      </c>
      <c r="AA111" s="8">
        <v>101.13</v>
      </c>
      <c r="AB111" s="8">
        <v>99.96</v>
      </c>
      <c r="AC111" s="8">
        <v>101.22</v>
      </c>
      <c r="AD111" s="8">
        <v>100.57</v>
      </c>
      <c r="AE111" s="8">
        <v>101.16</v>
      </c>
      <c r="AF111" s="8">
        <v>101.85</v>
      </c>
      <c r="AG111" s="8">
        <v>101.63</v>
      </c>
      <c r="AH111" s="8">
        <v>102.28</v>
      </c>
      <c r="AI111" s="8">
        <v>105.16</v>
      </c>
      <c r="AJ111" s="8">
        <v>99.63</v>
      </c>
      <c r="AK111" s="8">
        <v>102.65</v>
      </c>
      <c r="AL111" s="8">
        <v>106.85</v>
      </c>
      <c r="AM111" s="8">
        <v>101.1</v>
      </c>
      <c r="AN111" s="8">
        <v>99.9</v>
      </c>
      <c r="AO111" s="8">
        <v>100.62</v>
      </c>
      <c r="AP111" s="8">
        <v>103.37</v>
      </c>
      <c r="AQ111" s="8">
        <v>101.79</v>
      </c>
      <c r="AR111" s="8">
        <v>100.86</v>
      </c>
      <c r="AS111" s="8">
        <v>101.39</v>
      </c>
      <c r="AT111" s="8">
        <v>100.85</v>
      </c>
      <c r="AU111" s="8">
        <v>100.21</v>
      </c>
      <c r="AV111" s="8">
        <v>98.29</v>
      </c>
      <c r="AW111" s="8">
        <v>96.89</v>
      </c>
      <c r="AX111" s="8">
        <v>99.57</v>
      </c>
      <c r="AY111" s="8">
        <v>101.62</v>
      </c>
      <c r="AZ111" s="8">
        <v>93.1</v>
      </c>
      <c r="BA111" s="8">
        <v>101.14</v>
      </c>
      <c r="BB111" s="8">
        <v>101.85</v>
      </c>
      <c r="BC111" s="8">
        <v>98.84</v>
      </c>
      <c r="BD111" s="8">
        <v>103.17</v>
      </c>
      <c r="BE111" s="8">
        <v>102.78</v>
      </c>
      <c r="BF111" s="8">
        <v>100.37</v>
      </c>
      <c r="BG111" s="8">
        <v>100.84</v>
      </c>
      <c r="BH111" s="8">
        <v>100.21</v>
      </c>
      <c r="BI111" s="8">
        <v>101.42</v>
      </c>
      <c r="BJ111" s="8">
        <v>102.53</v>
      </c>
      <c r="BK111" s="8">
        <v>100.31</v>
      </c>
      <c r="BL111" s="8">
        <v>100.74</v>
      </c>
      <c r="BM111" s="8">
        <v>100.14</v>
      </c>
      <c r="BN111" s="8">
        <v>100.71</v>
      </c>
      <c r="BO111" s="8">
        <v>100.06</v>
      </c>
      <c r="BP111" s="8">
        <v>99.94</v>
      </c>
      <c r="BQ111" s="8">
        <v>102.35</v>
      </c>
      <c r="BR111" s="8">
        <v>102.35</v>
      </c>
      <c r="BS111" s="8">
        <v>102.9</v>
      </c>
      <c r="BT111" s="8">
        <v>103.54</v>
      </c>
      <c r="BU111" s="8">
        <v>102.16</v>
      </c>
      <c r="BV111" s="8">
        <v>104.36</v>
      </c>
      <c r="BW111" s="8">
        <v>103.38</v>
      </c>
      <c r="BX111" s="8">
        <v>100.53</v>
      </c>
      <c r="BY111" s="8">
        <v>101.41</v>
      </c>
      <c r="BZ111" s="8">
        <v>97.65</v>
      </c>
      <c r="CA111" s="8">
        <v>109.18</v>
      </c>
      <c r="CB111" s="8">
        <v>102.63</v>
      </c>
      <c r="CC111" s="8">
        <v>102.88</v>
      </c>
      <c r="CD111" s="8">
        <v>100.77</v>
      </c>
      <c r="CE111" s="8">
        <v>100.34</v>
      </c>
      <c r="CF111" s="8">
        <v>101.65</v>
      </c>
      <c r="CG111" s="8">
        <v>101.65</v>
      </c>
      <c r="CH111" s="8">
        <v>102.96</v>
      </c>
      <c r="CI111" s="8">
        <v>102.96</v>
      </c>
      <c r="CJ111" s="8">
        <v>100.04</v>
      </c>
      <c r="CK111" s="8">
        <v>100.07</v>
      </c>
      <c r="CL111" s="8">
        <v>100</v>
      </c>
      <c r="CM111" s="8">
        <v>95.39</v>
      </c>
      <c r="CN111" s="8">
        <v>100</v>
      </c>
      <c r="CO111" s="8">
        <v>90.07</v>
      </c>
      <c r="CP111" s="8">
        <v>101.81</v>
      </c>
      <c r="CQ111" s="8">
        <v>99.24</v>
      </c>
      <c r="CR111" s="8">
        <v>95.69</v>
      </c>
      <c r="CS111" s="8">
        <v>94.56</v>
      </c>
      <c r="CT111" s="8">
        <v>99.91</v>
      </c>
      <c r="CU111" s="8">
        <v>97.9</v>
      </c>
      <c r="CV111" s="8">
        <v>97.9</v>
      </c>
      <c r="CW111" s="8">
        <v>99.48</v>
      </c>
      <c r="CX111" s="8">
        <v>98.77</v>
      </c>
      <c r="CY111" s="8">
        <v>96.41</v>
      </c>
      <c r="CZ111" s="8">
        <v>103.86</v>
      </c>
      <c r="DA111" s="8">
        <v>98.58</v>
      </c>
      <c r="DB111" s="8">
        <v>99.57</v>
      </c>
      <c r="DC111" s="8">
        <v>100.27</v>
      </c>
      <c r="DD111" s="8">
        <v>101</v>
      </c>
      <c r="DE111" s="8">
        <v>98.4</v>
      </c>
      <c r="DF111" s="8">
        <v>101.48</v>
      </c>
      <c r="DG111" s="8">
        <v>102.29</v>
      </c>
      <c r="DH111" s="8">
        <v>101.05</v>
      </c>
      <c r="DI111" s="8">
        <v>101.44</v>
      </c>
      <c r="DJ111" s="8">
        <v>101.72</v>
      </c>
      <c r="DK111" s="8">
        <v>102.45</v>
      </c>
      <c r="DL111" s="8">
        <v>103.25</v>
      </c>
      <c r="DM111" s="8">
        <v>97.29</v>
      </c>
      <c r="DN111" s="8">
        <v>101.59</v>
      </c>
      <c r="DO111" s="8">
        <v>101.74</v>
      </c>
      <c r="DP111" s="8">
        <v>100.25</v>
      </c>
      <c r="DQ111" s="8">
        <v>99.05</v>
      </c>
      <c r="DR111" s="8">
        <v>99.3</v>
      </c>
      <c r="DS111" s="8">
        <v>100.75</v>
      </c>
      <c r="DT111" s="8">
        <v>99.6</v>
      </c>
      <c r="DU111" s="8">
        <v>97.21</v>
      </c>
      <c r="DV111" s="8">
        <v>100.25</v>
      </c>
      <c r="DW111" s="8">
        <v>100</v>
      </c>
      <c r="DX111" s="8">
        <v>85.38</v>
      </c>
      <c r="DY111" s="8">
        <v>85.38</v>
      </c>
      <c r="DZ111" s="8">
        <v>99.68</v>
      </c>
      <c r="EA111" s="8">
        <v>99.68</v>
      </c>
      <c r="EB111" s="8">
        <v>100.78</v>
      </c>
      <c r="EC111" s="8">
        <v>99.63</v>
      </c>
      <c r="ED111" s="8">
        <v>101.43</v>
      </c>
      <c r="EE111" s="8">
        <v>100.82</v>
      </c>
      <c r="EF111" s="8">
        <v>100.65</v>
      </c>
      <c r="EG111" s="8">
        <v>101.03</v>
      </c>
      <c r="EH111" s="8">
        <v>99.34</v>
      </c>
      <c r="EI111" s="8">
        <v>102.46</v>
      </c>
      <c r="EJ111" s="8">
        <v>98.23</v>
      </c>
      <c r="EK111" s="8">
        <v>100.84</v>
      </c>
      <c r="EL111" s="8">
        <v>103.12</v>
      </c>
      <c r="EM111" s="8">
        <v>98.51</v>
      </c>
      <c r="EN111" s="8">
        <v>102.65</v>
      </c>
      <c r="EO111" s="8">
        <v>100.91</v>
      </c>
      <c r="EP111" s="8">
        <v>105.35</v>
      </c>
      <c r="EQ111" s="8">
        <v>102.27</v>
      </c>
      <c r="ER111" s="8">
        <v>101.79</v>
      </c>
      <c r="ES111" s="8">
        <v>100.79</v>
      </c>
      <c r="ET111" s="8">
        <v>105.4</v>
      </c>
      <c r="EU111" s="8">
        <v>100.01</v>
      </c>
      <c r="EV111" s="8">
        <v>100.01</v>
      </c>
      <c r="EW111" s="8">
        <v>100.05</v>
      </c>
      <c r="EX111" s="8">
        <v>100</v>
      </c>
      <c r="EY111" s="8">
        <v>100</v>
      </c>
      <c r="EZ111" s="8">
        <v>100.43</v>
      </c>
      <c r="FA111" s="8">
        <v>98.36</v>
      </c>
      <c r="FB111" s="8">
        <v>98.36</v>
      </c>
      <c r="FC111" s="8">
        <v>101.28</v>
      </c>
      <c r="FD111" s="8">
        <v>99.96</v>
      </c>
      <c r="FE111" s="8">
        <v>101.53</v>
      </c>
      <c r="FF111" s="8">
        <v>101.28</v>
      </c>
      <c r="FG111" s="8">
        <v>101.85</v>
      </c>
      <c r="FH111" s="8">
        <v>102.81</v>
      </c>
      <c r="FI111" s="8">
        <v>101.16</v>
      </c>
      <c r="FJ111" s="8">
        <v>104.42</v>
      </c>
      <c r="FK111" s="8">
        <v>106.51</v>
      </c>
      <c r="FL111" s="8">
        <v>99.96</v>
      </c>
      <c r="FM111" s="8">
        <v>102.49</v>
      </c>
      <c r="FN111" s="8">
        <v>105.36</v>
      </c>
      <c r="FO111" s="8">
        <v>100.6</v>
      </c>
      <c r="FP111" s="8">
        <v>98.4</v>
      </c>
      <c r="FQ111" s="8">
        <v>101.48</v>
      </c>
      <c r="FR111" s="8">
        <v>104.79</v>
      </c>
      <c r="FS111" s="8">
        <v>102.17</v>
      </c>
      <c r="FT111" s="8">
        <v>101.37</v>
      </c>
      <c r="FU111" s="8">
        <v>102.38</v>
      </c>
      <c r="FV111" s="8">
        <v>100.84</v>
      </c>
      <c r="FW111" s="8">
        <v>100.44</v>
      </c>
      <c r="FX111" s="8">
        <v>101.75</v>
      </c>
      <c r="FY111" s="8">
        <v>100.36</v>
      </c>
      <c r="FZ111" s="8">
        <v>102.54</v>
      </c>
      <c r="GA111" s="8">
        <v>102.78</v>
      </c>
      <c r="GB111" s="8">
        <v>99.17</v>
      </c>
      <c r="GC111" s="8">
        <v>100.91</v>
      </c>
      <c r="GD111" s="8">
        <v>101.97</v>
      </c>
      <c r="GE111" s="8">
        <v>98.69</v>
      </c>
      <c r="GF111" s="8">
        <v>104.5</v>
      </c>
      <c r="GG111" s="8">
        <v>103.62</v>
      </c>
      <c r="GH111" s="8">
        <v>99.41</v>
      </c>
      <c r="GI111" s="8">
        <v>101.45</v>
      </c>
      <c r="GJ111" s="8">
        <v>98.83</v>
      </c>
      <c r="GK111" s="8">
        <v>101.69</v>
      </c>
      <c r="GL111" s="8">
        <v>100.89</v>
      </c>
      <c r="GM111" s="8">
        <v>102.47</v>
      </c>
      <c r="GN111" s="8">
        <v>100.56</v>
      </c>
      <c r="GO111" s="8">
        <v>99.95</v>
      </c>
      <c r="GP111" s="8">
        <v>99.17</v>
      </c>
      <c r="GQ111" s="8">
        <v>99.29</v>
      </c>
      <c r="GR111" s="8">
        <v>100.57</v>
      </c>
      <c r="GS111" s="8">
        <v>101.62</v>
      </c>
      <c r="GT111" s="8">
        <v>101.62</v>
      </c>
      <c r="GU111" s="8">
        <v>101.6</v>
      </c>
      <c r="GV111" s="8">
        <v>101.35</v>
      </c>
      <c r="GW111" s="8">
        <v>100.76</v>
      </c>
      <c r="GX111" s="8">
        <v>100.06</v>
      </c>
      <c r="GY111" s="8">
        <v>106.09</v>
      </c>
      <c r="GZ111" s="8">
        <v>101.01</v>
      </c>
      <c r="HA111" s="8">
        <v>102.49</v>
      </c>
      <c r="HB111" s="8">
        <v>97.64</v>
      </c>
      <c r="HC111" s="8">
        <v>103.36</v>
      </c>
      <c r="HD111" s="8">
        <v>103.33</v>
      </c>
      <c r="HE111" s="8">
        <v>103.61</v>
      </c>
      <c r="HF111" s="8">
        <v>100.79</v>
      </c>
      <c r="HG111" s="8">
        <v>102.38</v>
      </c>
      <c r="HH111" s="8">
        <v>101.11</v>
      </c>
      <c r="HI111" s="8">
        <v>101.11</v>
      </c>
      <c r="HJ111" s="8">
        <v>101.05</v>
      </c>
      <c r="HK111" s="8">
        <v>101.05</v>
      </c>
      <c r="HL111" s="8">
        <v>100.73</v>
      </c>
      <c r="HM111" s="8">
        <v>101.29</v>
      </c>
      <c r="HN111" s="8">
        <v>100</v>
      </c>
      <c r="HO111" s="8">
        <v>107.62</v>
      </c>
      <c r="HP111" s="8">
        <v>100</v>
      </c>
      <c r="HQ111" s="8">
        <v>112.33</v>
      </c>
      <c r="HR111" s="8">
        <v>100.79</v>
      </c>
      <c r="HS111" s="8">
        <v>99.26</v>
      </c>
      <c r="HT111" s="8">
        <v>96.63</v>
      </c>
      <c r="HU111" s="8">
        <v>95.1</v>
      </c>
      <c r="HV111" s="8">
        <v>101.79</v>
      </c>
      <c r="HW111" s="8">
        <v>95.41</v>
      </c>
      <c r="HX111" s="8">
        <v>95.41</v>
      </c>
      <c r="HY111" s="8">
        <v>99.97</v>
      </c>
      <c r="HZ111" s="8">
        <v>101.38</v>
      </c>
      <c r="IA111" s="8">
        <v>100.51</v>
      </c>
      <c r="IB111" s="8">
        <v>100.16</v>
      </c>
      <c r="IC111" s="8">
        <v>98.28</v>
      </c>
      <c r="ID111" s="8">
        <v>99.71</v>
      </c>
      <c r="IE111" s="8">
        <v>100.46</v>
      </c>
      <c r="IF111" s="8">
        <v>101.09</v>
      </c>
      <c r="IG111" s="8">
        <v>98.97</v>
      </c>
      <c r="IH111" s="8">
        <v>100.85</v>
      </c>
      <c r="II111" s="8">
        <v>101.37</v>
      </c>
      <c r="IJ111" s="8">
        <v>101.38</v>
      </c>
      <c r="IK111" s="8">
        <v>99.74</v>
      </c>
      <c r="IL111" s="8">
        <v>101.54</v>
      </c>
      <c r="IM111" s="8">
        <v>103.23</v>
      </c>
      <c r="IN111" s="8">
        <v>103.92</v>
      </c>
      <c r="IO111" s="8">
        <v>100</v>
      </c>
      <c r="IP111" s="8">
        <v>101.25</v>
      </c>
      <c r="IQ111" s="8">
        <v>101.24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Q111"/>
  <sheetViews>
    <sheetView workbookViewId="0">
      <pane xSplit="1" ySplit="10" topLeftCell="B7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51" s="2" customFormat="1" ht="99.95" customHeight="1" x14ac:dyDescent="0.2">
      <c r="B1" s="3" t="s">
        <v>1469</v>
      </c>
      <c r="C1" s="3" t="s">
        <v>1470</v>
      </c>
      <c r="D1" s="3" t="s">
        <v>1471</v>
      </c>
      <c r="E1" s="3" t="s">
        <v>1472</v>
      </c>
      <c r="F1" s="3" t="s">
        <v>1473</v>
      </c>
      <c r="G1" s="3" t="s">
        <v>1474</v>
      </c>
      <c r="H1" s="3" t="s">
        <v>1475</v>
      </c>
      <c r="I1" s="3" t="s">
        <v>1476</v>
      </c>
      <c r="J1" s="3" t="s">
        <v>1477</v>
      </c>
      <c r="K1" s="3" t="s">
        <v>1477</v>
      </c>
      <c r="L1" s="3" t="s">
        <v>1478</v>
      </c>
      <c r="M1" s="3" t="s">
        <v>1478</v>
      </c>
      <c r="N1" s="3" t="s">
        <v>1479</v>
      </c>
      <c r="O1" s="3" t="s">
        <v>1480</v>
      </c>
      <c r="P1" s="3" t="s">
        <v>1481</v>
      </c>
      <c r="Q1" s="3" t="s">
        <v>1482</v>
      </c>
      <c r="R1" s="3" t="s">
        <v>1483</v>
      </c>
      <c r="S1" s="3" t="s">
        <v>1484</v>
      </c>
      <c r="T1" s="3" t="s">
        <v>1485</v>
      </c>
      <c r="U1" s="3" t="s">
        <v>1486</v>
      </c>
      <c r="V1" s="3" t="s">
        <v>1487</v>
      </c>
      <c r="W1" s="3" t="s">
        <v>1488</v>
      </c>
      <c r="X1" s="3" t="s">
        <v>1489</v>
      </c>
      <c r="Y1" s="3" t="s">
        <v>1490</v>
      </c>
      <c r="Z1" s="3" t="s">
        <v>1491</v>
      </c>
      <c r="AA1" s="3" t="s">
        <v>1492</v>
      </c>
      <c r="AB1" s="3" t="s">
        <v>1493</v>
      </c>
      <c r="AC1" s="3" t="s">
        <v>1494</v>
      </c>
      <c r="AD1" s="3" t="s">
        <v>1495</v>
      </c>
      <c r="AE1" s="3" t="s">
        <v>1496</v>
      </c>
      <c r="AF1" s="3" t="s">
        <v>1497</v>
      </c>
      <c r="AG1" s="3" t="s">
        <v>1498</v>
      </c>
      <c r="AH1" s="3" t="s">
        <v>1498</v>
      </c>
      <c r="AI1" s="3" t="s">
        <v>1499</v>
      </c>
      <c r="AJ1" s="3" t="s">
        <v>1500</v>
      </c>
      <c r="AK1" s="3" t="s">
        <v>1501</v>
      </c>
      <c r="AL1" s="3" t="s">
        <v>1502</v>
      </c>
      <c r="AM1" s="3" t="s">
        <v>1503</v>
      </c>
      <c r="AN1" s="3" t="s">
        <v>1503</v>
      </c>
      <c r="AO1" s="3" t="s">
        <v>1504</v>
      </c>
      <c r="AP1" s="3" t="s">
        <v>1505</v>
      </c>
      <c r="AQ1" s="3" t="s">
        <v>1506</v>
      </c>
      <c r="AR1" s="3" t="s">
        <v>1507</v>
      </c>
      <c r="AS1" s="3" t="s">
        <v>1508</v>
      </c>
      <c r="AT1" s="3" t="s">
        <v>1509</v>
      </c>
      <c r="AU1" s="3" t="s">
        <v>1510</v>
      </c>
      <c r="AV1" s="3" t="s">
        <v>1511</v>
      </c>
      <c r="AW1" s="3" t="s">
        <v>1512</v>
      </c>
      <c r="AX1" s="3" t="s">
        <v>1513</v>
      </c>
      <c r="AY1" s="3" t="s">
        <v>1514</v>
      </c>
      <c r="AZ1" s="3" t="s">
        <v>1515</v>
      </c>
      <c r="BA1" s="3" t="s">
        <v>1516</v>
      </c>
      <c r="BB1" s="3" t="s">
        <v>1517</v>
      </c>
      <c r="BC1" s="3" t="s">
        <v>1518</v>
      </c>
      <c r="BD1" s="3" t="s">
        <v>1519</v>
      </c>
      <c r="BE1" s="3" t="s">
        <v>1520</v>
      </c>
      <c r="BF1" s="3" t="s">
        <v>1521</v>
      </c>
      <c r="BG1" s="3" t="s">
        <v>1522</v>
      </c>
      <c r="BH1" s="3" t="s">
        <v>1523</v>
      </c>
      <c r="BI1" s="3" t="s">
        <v>1524</v>
      </c>
      <c r="BJ1" s="3" t="s">
        <v>1525</v>
      </c>
      <c r="BK1" s="3" t="s">
        <v>1526</v>
      </c>
      <c r="BL1" s="3" t="s">
        <v>1527</v>
      </c>
      <c r="BM1" s="3" t="s">
        <v>1528</v>
      </c>
      <c r="BN1" s="3" t="s">
        <v>1529</v>
      </c>
      <c r="BO1" s="3" t="s">
        <v>1530</v>
      </c>
      <c r="BP1" s="3" t="s">
        <v>1531</v>
      </c>
      <c r="BQ1" s="3" t="s">
        <v>1532</v>
      </c>
      <c r="BR1" s="3" t="s">
        <v>1533</v>
      </c>
      <c r="BS1" s="3" t="s">
        <v>1534</v>
      </c>
      <c r="BT1" s="3" t="s">
        <v>1535</v>
      </c>
      <c r="BU1" s="3" t="s">
        <v>1536</v>
      </c>
      <c r="BV1" s="3" t="s">
        <v>1537</v>
      </c>
      <c r="BW1" s="3" t="s">
        <v>1538</v>
      </c>
      <c r="BX1" s="3" t="s">
        <v>1539</v>
      </c>
      <c r="BY1" s="3" t="s">
        <v>1540</v>
      </c>
      <c r="BZ1" s="3" t="s">
        <v>1541</v>
      </c>
      <c r="CA1" s="3" t="s">
        <v>1542</v>
      </c>
      <c r="CB1" s="3" t="s">
        <v>1543</v>
      </c>
      <c r="CC1" s="3" t="s">
        <v>1544</v>
      </c>
      <c r="CD1" s="3" t="s">
        <v>1545</v>
      </c>
      <c r="CE1" s="3" t="s">
        <v>1546</v>
      </c>
      <c r="CF1" s="3" t="s">
        <v>1546</v>
      </c>
      <c r="CG1" s="3" t="s">
        <v>1547</v>
      </c>
      <c r="CH1" s="3" t="s">
        <v>1548</v>
      </c>
      <c r="CI1" s="3" t="s">
        <v>1549</v>
      </c>
      <c r="CJ1" s="3" t="s">
        <v>1550</v>
      </c>
      <c r="CK1" s="3" t="s">
        <v>1551</v>
      </c>
      <c r="CL1" s="3" t="s">
        <v>1552</v>
      </c>
      <c r="CM1" s="3" t="s">
        <v>1553</v>
      </c>
      <c r="CN1" s="3" t="s">
        <v>1554</v>
      </c>
      <c r="CO1" s="3" t="s">
        <v>1555</v>
      </c>
      <c r="CP1" s="3" t="s">
        <v>1556</v>
      </c>
      <c r="CQ1" s="3" t="s">
        <v>1557</v>
      </c>
      <c r="CR1" s="3" t="s">
        <v>1558</v>
      </c>
      <c r="CS1" s="3" t="s">
        <v>1559</v>
      </c>
      <c r="CT1" s="3" t="s">
        <v>1560</v>
      </c>
      <c r="CU1" s="3" t="s">
        <v>1560</v>
      </c>
      <c r="CV1" s="3" t="s">
        <v>1561</v>
      </c>
      <c r="CW1" s="3" t="s">
        <v>1561</v>
      </c>
      <c r="CX1" s="3" t="s">
        <v>1562</v>
      </c>
      <c r="CY1" s="3" t="s">
        <v>1563</v>
      </c>
      <c r="CZ1" s="3" t="s">
        <v>1564</v>
      </c>
      <c r="DA1" s="3" t="s">
        <v>1565</v>
      </c>
      <c r="DB1" s="3" t="s">
        <v>1566</v>
      </c>
      <c r="DC1" s="3" t="s">
        <v>1567</v>
      </c>
      <c r="DD1" s="3" t="s">
        <v>1568</v>
      </c>
      <c r="DE1" s="3" t="s">
        <v>1569</v>
      </c>
      <c r="DF1" s="3" t="s">
        <v>1570</v>
      </c>
      <c r="DG1" s="3" t="s">
        <v>1571</v>
      </c>
      <c r="DH1" s="3" t="s">
        <v>1572</v>
      </c>
      <c r="DI1" s="3" t="s">
        <v>1573</v>
      </c>
      <c r="DJ1" s="3" t="s">
        <v>1573</v>
      </c>
      <c r="DK1" s="3" t="s">
        <v>1574</v>
      </c>
      <c r="DL1" s="3" t="s">
        <v>1575</v>
      </c>
      <c r="DM1" s="3" t="s">
        <v>1576</v>
      </c>
      <c r="DN1" s="3" t="s">
        <v>1577</v>
      </c>
      <c r="DO1" s="3" t="s">
        <v>1578</v>
      </c>
      <c r="DP1" s="3" t="s">
        <v>1579</v>
      </c>
      <c r="DQ1" s="3" t="s">
        <v>1580</v>
      </c>
      <c r="DR1" s="3" t="s">
        <v>1581</v>
      </c>
      <c r="DS1" s="3" t="s">
        <v>1582</v>
      </c>
      <c r="DT1" s="3" t="s">
        <v>1583</v>
      </c>
      <c r="DU1" s="3" t="s">
        <v>1584</v>
      </c>
      <c r="DV1" s="3" t="s">
        <v>1585</v>
      </c>
      <c r="DW1" s="3" t="s">
        <v>1586</v>
      </c>
      <c r="DX1" s="3" t="s">
        <v>1587</v>
      </c>
      <c r="DY1" s="3" t="s">
        <v>1588</v>
      </c>
      <c r="DZ1" s="3" t="s">
        <v>1589</v>
      </c>
      <c r="EA1" s="3" t="s">
        <v>1590</v>
      </c>
      <c r="EB1" s="3" t="s">
        <v>1591</v>
      </c>
      <c r="EC1" s="3" t="s">
        <v>1592</v>
      </c>
      <c r="ED1" s="3" t="s">
        <v>1593</v>
      </c>
      <c r="EE1" s="3" t="s">
        <v>1594</v>
      </c>
      <c r="EF1" s="3" t="s">
        <v>1595</v>
      </c>
      <c r="EG1" s="3" t="s">
        <v>1596</v>
      </c>
      <c r="EH1" s="3" t="s">
        <v>1597</v>
      </c>
      <c r="EI1" s="3" t="s">
        <v>1598</v>
      </c>
      <c r="EJ1" s="3" t="s">
        <v>1599</v>
      </c>
      <c r="EK1" s="3" t="s">
        <v>1600</v>
      </c>
      <c r="EL1" s="3" t="s">
        <v>1601</v>
      </c>
      <c r="EM1" s="3" t="s">
        <v>1601</v>
      </c>
      <c r="EN1" s="3" t="s">
        <v>1602</v>
      </c>
      <c r="EO1" s="3" t="s">
        <v>1602</v>
      </c>
      <c r="EP1" s="3" t="s">
        <v>1603</v>
      </c>
      <c r="EQ1" s="3" t="s">
        <v>1604</v>
      </c>
      <c r="ER1" s="3" t="s">
        <v>1605</v>
      </c>
      <c r="ES1" s="3" t="s">
        <v>1606</v>
      </c>
      <c r="ET1" s="3" t="s">
        <v>1607</v>
      </c>
      <c r="EU1" s="3" t="s">
        <v>1608</v>
      </c>
      <c r="EV1" s="3" t="s">
        <v>1609</v>
      </c>
      <c r="EW1" s="3" t="s">
        <v>1610</v>
      </c>
      <c r="EX1" s="3" t="s">
        <v>1611</v>
      </c>
      <c r="EY1" s="3" t="s">
        <v>1612</v>
      </c>
      <c r="EZ1" s="3" t="s">
        <v>1613</v>
      </c>
      <c r="FA1" s="3" t="s">
        <v>1614</v>
      </c>
      <c r="FB1" s="3" t="s">
        <v>1615</v>
      </c>
      <c r="FC1" s="3" t="s">
        <v>1616</v>
      </c>
      <c r="FD1" s="3" t="s">
        <v>1617</v>
      </c>
      <c r="FE1" s="3" t="s">
        <v>1618</v>
      </c>
      <c r="FF1" s="3" t="s">
        <v>1619</v>
      </c>
      <c r="FG1" s="3" t="s">
        <v>1620</v>
      </c>
      <c r="FH1" s="3" t="s">
        <v>1621</v>
      </c>
      <c r="FI1" s="3" t="s">
        <v>1622</v>
      </c>
      <c r="FJ1" s="3" t="s">
        <v>1622</v>
      </c>
      <c r="FK1" s="3" t="s">
        <v>1623</v>
      </c>
      <c r="FL1" s="3" t="s">
        <v>1624</v>
      </c>
      <c r="FM1" s="3" t="s">
        <v>1625</v>
      </c>
      <c r="FN1" s="3" t="s">
        <v>1626</v>
      </c>
      <c r="FO1" s="3" t="s">
        <v>1627</v>
      </c>
      <c r="FP1" s="3" t="s">
        <v>1627</v>
      </c>
      <c r="FQ1" s="3" t="s">
        <v>1628</v>
      </c>
      <c r="FR1" s="3" t="s">
        <v>1629</v>
      </c>
      <c r="FS1" s="3" t="s">
        <v>1630</v>
      </c>
      <c r="FT1" s="3" t="s">
        <v>1631</v>
      </c>
      <c r="FU1" s="3" t="s">
        <v>1632</v>
      </c>
      <c r="FV1" s="3" t="s">
        <v>1633</v>
      </c>
      <c r="FW1" s="3" t="s">
        <v>1634</v>
      </c>
      <c r="FX1" s="3" t="s">
        <v>1635</v>
      </c>
      <c r="FY1" s="3" t="s">
        <v>1636</v>
      </c>
      <c r="FZ1" s="3" t="s">
        <v>1637</v>
      </c>
      <c r="GA1" s="3" t="s">
        <v>1638</v>
      </c>
      <c r="GB1" s="3" t="s">
        <v>1639</v>
      </c>
      <c r="GC1" s="3" t="s">
        <v>1640</v>
      </c>
      <c r="GD1" s="3" t="s">
        <v>1641</v>
      </c>
      <c r="GE1" s="3" t="s">
        <v>1642</v>
      </c>
      <c r="GF1" s="3" t="s">
        <v>1643</v>
      </c>
      <c r="GG1" s="3" t="s">
        <v>1644</v>
      </c>
      <c r="GH1" s="3" t="s">
        <v>1645</v>
      </c>
      <c r="GI1" s="3" t="s">
        <v>1646</v>
      </c>
      <c r="GJ1" s="3" t="s">
        <v>1647</v>
      </c>
      <c r="GK1" s="3" t="s">
        <v>1648</v>
      </c>
      <c r="GL1" s="3" t="s">
        <v>1649</v>
      </c>
      <c r="GM1" s="3" t="s">
        <v>1650</v>
      </c>
      <c r="GN1" s="3" t="s">
        <v>1651</v>
      </c>
      <c r="GO1" s="3" t="s">
        <v>1652</v>
      </c>
      <c r="GP1" s="3" t="s">
        <v>1653</v>
      </c>
      <c r="GQ1" s="3" t="s">
        <v>1654</v>
      </c>
      <c r="GR1" s="3" t="s">
        <v>1655</v>
      </c>
      <c r="GS1" s="3" t="s">
        <v>1656</v>
      </c>
      <c r="GT1" s="3" t="s">
        <v>1657</v>
      </c>
      <c r="GU1" s="3" t="s">
        <v>1658</v>
      </c>
      <c r="GV1" s="3" t="s">
        <v>1659</v>
      </c>
      <c r="GW1" s="3" t="s">
        <v>1660</v>
      </c>
      <c r="GX1" s="3" t="s">
        <v>1661</v>
      </c>
      <c r="GY1" s="3" t="s">
        <v>1662</v>
      </c>
      <c r="GZ1" s="3" t="s">
        <v>1663</v>
      </c>
      <c r="HA1" s="3" t="s">
        <v>1664</v>
      </c>
      <c r="HB1" s="3" t="s">
        <v>1665</v>
      </c>
      <c r="HC1" s="3" t="s">
        <v>1666</v>
      </c>
      <c r="HD1" s="3" t="s">
        <v>1667</v>
      </c>
      <c r="HE1" s="3" t="s">
        <v>1668</v>
      </c>
      <c r="HF1" s="3" t="s">
        <v>1669</v>
      </c>
      <c r="HG1" s="3" t="s">
        <v>1670</v>
      </c>
      <c r="HH1" s="3" t="s">
        <v>1670</v>
      </c>
      <c r="HI1" s="3" t="s">
        <v>1671</v>
      </c>
      <c r="HJ1" s="3" t="s">
        <v>1672</v>
      </c>
      <c r="HK1" s="3" t="s">
        <v>1673</v>
      </c>
      <c r="HL1" s="3" t="s">
        <v>1674</v>
      </c>
      <c r="HM1" s="3" t="s">
        <v>1675</v>
      </c>
      <c r="HN1" s="3" t="s">
        <v>1676</v>
      </c>
      <c r="HO1" s="3" t="s">
        <v>1677</v>
      </c>
      <c r="HP1" s="3" t="s">
        <v>1678</v>
      </c>
      <c r="HQ1" s="3" t="s">
        <v>1679</v>
      </c>
      <c r="HR1" s="3" t="s">
        <v>1680</v>
      </c>
      <c r="HS1" s="3" t="s">
        <v>1681</v>
      </c>
      <c r="HT1" s="3" t="s">
        <v>1682</v>
      </c>
      <c r="HU1" s="3" t="s">
        <v>1683</v>
      </c>
      <c r="HV1" s="3" t="s">
        <v>1684</v>
      </c>
      <c r="HW1" s="3" t="s">
        <v>1684</v>
      </c>
      <c r="HX1" s="3" t="s">
        <v>1685</v>
      </c>
      <c r="HY1" s="3" t="s">
        <v>1685</v>
      </c>
      <c r="HZ1" s="3" t="s">
        <v>1686</v>
      </c>
      <c r="IA1" s="3" t="s">
        <v>1687</v>
      </c>
      <c r="IB1" s="3" t="s">
        <v>1688</v>
      </c>
      <c r="IC1" s="3" t="s">
        <v>1689</v>
      </c>
      <c r="ID1" s="3" t="s">
        <v>1690</v>
      </c>
      <c r="IE1" s="3" t="s">
        <v>1691</v>
      </c>
      <c r="IF1" s="3" t="s">
        <v>1692</v>
      </c>
      <c r="IG1" s="3" t="s">
        <v>1693</v>
      </c>
      <c r="IH1" s="3" t="s">
        <v>1694</v>
      </c>
      <c r="II1" s="3" t="s">
        <v>1695</v>
      </c>
      <c r="IJ1" s="3" t="s">
        <v>1696</v>
      </c>
      <c r="IK1" s="3" t="s">
        <v>1697</v>
      </c>
      <c r="IL1" s="3" t="s">
        <v>1697</v>
      </c>
      <c r="IM1" s="3" t="s">
        <v>1698</v>
      </c>
      <c r="IN1" s="3" t="s">
        <v>1699</v>
      </c>
      <c r="IO1" s="3" t="s">
        <v>1700</v>
      </c>
      <c r="IP1" s="3" t="s">
        <v>1701</v>
      </c>
      <c r="IQ1" s="3" t="s">
        <v>1702</v>
      </c>
    </row>
    <row r="2" spans="1:251" x14ac:dyDescent="0.2">
      <c r="A2" s="4" t="s">
        <v>236</v>
      </c>
      <c r="B2" s="7" t="s">
        <v>245</v>
      </c>
      <c r="C2" s="7" t="s">
        <v>245</v>
      </c>
      <c r="D2" s="7" t="s">
        <v>245</v>
      </c>
      <c r="E2" s="7" t="s">
        <v>245</v>
      </c>
      <c r="F2" s="7" t="s">
        <v>245</v>
      </c>
      <c r="G2" s="7" t="s">
        <v>245</v>
      </c>
      <c r="H2" s="7" t="s">
        <v>245</v>
      </c>
      <c r="I2" s="7" t="s">
        <v>245</v>
      </c>
      <c r="J2" s="7" t="s">
        <v>245</v>
      </c>
      <c r="K2" s="7" t="s">
        <v>245</v>
      </c>
      <c r="L2" s="7" t="s">
        <v>245</v>
      </c>
      <c r="M2" s="7" t="s">
        <v>245</v>
      </c>
      <c r="N2" s="7" t="s">
        <v>245</v>
      </c>
      <c r="O2" s="7" t="s">
        <v>245</v>
      </c>
      <c r="P2" s="7" t="s">
        <v>245</v>
      </c>
      <c r="Q2" s="7" t="s">
        <v>245</v>
      </c>
      <c r="R2" s="7" t="s">
        <v>245</v>
      </c>
      <c r="S2" s="7" t="s">
        <v>245</v>
      </c>
      <c r="T2" s="7" t="s">
        <v>245</v>
      </c>
      <c r="U2" s="7" t="s">
        <v>245</v>
      </c>
      <c r="V2" s="7" t="s">
        <v>245</v>
      </c>
      <c r="W2" s="7" t="s">
        <v>245</v>
      </c>
      <c r="X2" s="7" t="s">
        <v>245</v>
      </c>
      <c r="Y2" s="7" t="s">
        <v>245</v>
      </c>
      <c r="Z2" s="7" t="s">
        <v>245</v>
      </c>
      <c r="AA2" s="7" t="s">
        <v>245</v>
      </c>
      <c r="AB2" s="7" t="s">
        <v>245</v>
      </c>
      <c r="AC2" s="7" t="s">
        <v>245</v>
      </c>
      <c r="AD2" s="7" t="s">
        <v>245</v>
      </c>
      <c r="AE2" s="7" t="s">
        <v>245</v>
      </c>
      <c r="AF2" s="7" t="s">
        <v>245</v>
      </c>
      <c r="AG2" s="7" t="s">
        <v>245</v>
      </c>
      <c r="AH2" s="7" t="s">
        <v>245</v>
      </c>
      <c r="AI2" s="7" t="s">
        <v>245</v>
      </c>
      <c r="AJ2" s="7" t="s">
        <v>245</v>
      </c>
      <c r="AK2" s="7" t="s">
        <v>245</v>
      </c>
      <c r="AL2" s="7" t="s">
        <v>245</v>
      </c>
      <c r="AM2" s="7" t="s">
        <v>245</v>
      </c>
      <c r="AN2" s="7" t="s">
        <v>245</v>
      </c>
      <c r="AO2" s="7" t="s">
        <v>245</v>
      </c>
      <c r="AP2" s="7" t="s">
        <v>245</v>
      </c>
      <c r="AQ2" s="7" t="s">
        <v>245</v>
      </c>
      <c r="AR2" s="7" t="s">
        <v>245</v>
      </c>
      <c r="AS2" s="7" t="s">
        <v>245</v>
      </c>
      <c r="AT2" s="7" t="s">
        <v>245</v>
      </c>
      <c r="AU2" s="7" t="s">
        <v>245</v>
      </c>
      <c r="AV2" s="7" t="s">
        <v>245</v>
      </c>
      <c r="AW2" s="7" t="s">
        <v>245</v>
      </c>
      <c r="AX2" s="7" t="s">
        <v>245</v>
      </c>
      <c r="AY2" s="7" t="s">
        <v>245</v>
      </c>
      <c r="AZ2" s="7" t="s">
        <v>245</v>
      </c>
      <c r="BA2" s="7" t="s">
        <v>245</v>
      </c>
      <c r="BB2" s="7" t="s">
        <v>245</v>
      </c>
      <c r="BC2" s="7" t="s">
        <v>245</v>
      </c>
      <c r="BD2" s="7" t="s">
        <v>245</v>
      </c>
      <c r="BE2" s="7" t="s">
        <v>245</v>
      </c>
      <c r="BF2" s="7" t="s">
        <v>245</v>
      </c>
      <c r="BG2" s="7" t="s">
        <v>245</v>
      </c>
      <c r="BH2" s="7" t="s">
        <v>245</v>
      </c>
      <c r="BI2" s="7" t="s">
        <v>245</v>
      </c>
      <c r="BJ2" s="7" t="s">
        <v>245</v>
      </c>
      <c r="BK2" s="7" t="s">
        <v>245</v>
      </c>
      <c r="BL2" s="7" t="s">
        <v>245</v>
      </c>
      <c r="BM2" s="7" t="s">
        <v>245</v>
      </c>
      <c r="BN2" s="7" t="s">
        <v>245</v>
      </c>
      <c r="BO2" s="7" t="s">
        <v>245</v>
      </c>
      <c r="BP2" s="7" t="s">
        <v>245</v>
      </c>
      <c r="BQ2" s="7" t="s">
        <v>245</v>
      </c>
      <c r="BR2" s="7" t="s">
        <v>245</v>
      </c>
      <c r="BS2" s="7" t="s">
        <v>245</v>
      </c>
      <c r="BT2" s="7" t="s">
        <v>245</v>
      </c>
      <c r="BU2" s="7" t="s">
        <v>245</v>
      </c>
      <c r="BV2" s="7" t="s">
        <v>245</v>
      </c>
      <c r="BW2" s="7" t="s">
        <v>245</v>
      </c>
      <c r="BX2" s="7" t="s">
        <v>245</v>
      </c>
      <c r="BY2" s="7" t="s">
        <v>245</v>
      </c>
      <c r="BZ2" s="7" t="s">
        <v>245</v>
      </c>
      <c r="CA2" s="7" t="s">
        <v>245</v>
      </c>
      <c r="CB2" s="7" t="s">
        <v>245</v>
      </c>
      <c r="CC2" s="7" t="s">
        <v>245</v>
      </c>
      <c r="CD2" s="7" t="s">
        <v>245</v>
      </c>
      <c r="CE2" s="7" t="s">
        <v>245</v>
      </c>
      <c r="CF2" s="7" t="s">
        <v>245</v>
      </c>
      <c r="CG2" s="7" t="s">
        <v>245</v>
      </c>
      <c r="CH2" s="7" t="s">
        <v>245</v>
      </c>
      <c r="CI2" s="7" t="s">
        <v>245</v>
      </c>
      <c r="CJ2" s="7" t="s">
        <v>245</v>
      </c>
      <c r="CK2" s="7" t="s">
        <v>245</v>
      </c>
      <c r="CL2" s="7" t="s">
        <v>245</v>
      </c>
      <c r="CM2" s="7" t="s">
        <v>245</v>
      </c>
      <c r="CN2" s="7" t="s">
        <v>245</v>
      </c>
      <c r="CO2" s="7" t="s">
        <v>245</v>
      </c>
      <c r="CP2" s="7" t="s">
        <v>245</v>
      </c>
      <c r="CQ2" s="7" t="s">
        <v>245</v>
      </c>
      <c r="CR2" s="7" t="s">
        <v>245</v>
      </c>
      <c r="CS2" s="7" t="s">
        <v>245</v>
      </c>
      <c r="CT2" s="7" t="s">
        <v>245</v>
      </c>
      <c r="CU2" s="7" t="s">
        <v>245</v>
      </c>
      <c r="CV2" s="7" t="s">
        <v>245</v>
      </c>
      <c r="CW2" s="7" t="s">
        <v>245</v>
      </c>
      <c r="CX2" s="7" t="s">
        <v>245</v>
      </c>
      <c r="CY2" s="7" t="s">
        <v>245</v>
      </c>
      <c r="CZ2" s="7" t="s">
        <v>245</v>
      </c>
      <c r="DA2" s="7" t="s">
        <v>245</v>
      </c>
      <c r="DB2" s="7" t="s">
        <v>245</v>
      </c>
      <c r="DC2" s="7" t="s">
        <v>245</v>
      </c>
      <c r="DD2" s="7" t="s">
        <v>245</v>
      </c>
      <c r="DE2" s="7" t="s">
        <v>245</v>
      </c>
      <c r="DF2" s="7" t="s">
        <v>245</v>
      </c>
      <c r="DG2" s="7" t="s">
        <v>245</v>
      </c>
      <c r="DH2" s="7" t="s">
        <v>245</v>
      </c>
      <c r="DI2" s="7" t="s">
        <v>245</v>
      </c>
      <c r="DJ2" s="7" t="s">
        <v>245</v>
      </c>
      <c r="DK2" s="7" t="s">
        <v>245</v>
      </c>
      <c r="DL2" s="7" t="s">
        <v>245</v>
      </c>
      <c r="DM2" s="7" t="s">
        <v>245</v>
      </c>
      <c r="DN2" s="7" t="s">
        <v>245</v>
      </c>
      <c r="DO2" s="7" t="s">
        <v>245</v>
      </c>
      <c r="DP2" s="7" t="s">
        <v>245</v>
      </c>
      <c r="DQ2" s="7" t="s">
        <v>245</v>
      </c>
      <c r="DR2" s="7" t="s">
        <v>245</v>
      </c>
      <c r="DS2" s="7" t="s">
        <v>245</v>
      </c>
      <c r="DT2" s="7" t="s">
        <v>245</v>
      </c>
      <c r="DU2" s="7" t="s">
        <v>245</v>
      </c>
      <c r="DV2" s="7" t="s">
        <v>245</v>
      </c>
      <c r="DW2" s="7" t="s">
        <v>245</v>
      </c>
      <c r="DX2" s="7" t="s">
        <v>245</v>
      </c>
      <c r="DY2" s="7" t="s">
        <v>245</v>
      </c>
      <c r="DZ2" s="7" t="s">
        <v>245</v>
      </c>
      <c r="EA2" s="7" t="s">
        <v>245</v>
      </c>
      <c r="EB2" s="7" t="s">
        <v>245</v>
      </c>
      <c r="EC2" s="7" t="s">
        <v>245</v>
      </c>
      <c r="ED2" s="7" t="s">
        <v>245</v>
      </c>
      <c r="EE2" s="7" t="s">
        <v>245</v>
      </c>
      <c r="EF2" s="7" t="s">
        <v>245</v>
      </c>
      <c r="EG2" s="7" t="s">
        <v>245</v>
      </c>
      <c r="EH2" s="7" t="s">
        <v>245</v>
      </c>
      <c r="EI2" s="7" t="s">
        <v>245</v>
      </c>
      <c r="EJ2" s="7" t="s">
        <v>245</v>
      </c>
      <c r="EK2" s="7" t="s">
        <v>245</v>
      </c>
      <c r="EL2" s="7" t="s">
        <v>245</v>
      </c>
      <c r="EM2" s="7" t="s">
        <v>245</v>
      </c>
      <c r="EN2" s="7" t="s">
        <v>245</v>
      </c>
      <c r="EO2" s="7" t="s">
        <v>245</v>
      </c>
      <c r="EP2" s="7" t="s">
        <v>245</v>
      </c>
      <c r="EQ2" s="7" t="s">
        <v>245</v>
      </c>
      <c r="ER2" s="7" t="s">
        <v>245</v>
      </c>
      <c r="ES2" s="7" t="s">
        <v>245</v>
      </c>
      <c r="ET2" s="7" t="s">
        <v>245</v>
      </c>
      <c r="EU2" s="7" t="s">
        <v>245</v>
      </c>
      <c r="EV2" s="7" t="s">
        <v>245</v>
      </c>
      <c r="EW2" s="7" t="s">
        <v>245</v>
      </c>
      <c r="EX2" s="7" t="s">
        <v>245</v>
      </c>
      <c r="EY2" s="7" t="s">
        <v>245</v>
      </c>
      <c r="EZ2" s="7" t="s">
        <v>245</v>
      </c>
      <c r="FA2" s="7" t="s">
        <v>245</v>
      </c>
      <c r="FB2" s="7" t="s">
        <v>245</v>
      </c>
      <c r="FC2" s="7" t="s">
        <v>245</v>
      </c>
      <c r="FD2" s="7" t="s">
        <v>245</v>
      </c>
      <c r="FE2" s="7" t="s">
        <v>245</v>
      </c>
      <c r="FF2" s="7" t="s">
        <v>245</v>
      </c>
      <c r="FG2" s="7" t="s">
        <v>245</v>
      </c>
      <c r="FH2" s="7" t="s">
        <v>245</v>
      </c>
      <c r="FI2" s="7" t="s">
        <v>245</v>
      </c>
      <c r="FJ2" s="7" t="s">
        <v>245</v>
      </c>
      <c r="FK2" s="7" t="s">
        <v>245</v>
      </c>
      <c r="FL2" s="7" t="s">
        <v>245</v>
      </c>
      <c r="FM2" s="7" t="s">
        <v>245</v>
      </c>
      <c r="FN2" s="7" t="s">
        <v>245</v>
      </c>
      <c r="FO2" s="7" t="s">
        <v>245</v>
      </c>
      <c r="FP2" s="7" t="s">
        <v>245</v>
      </c>
      <c r="FQ2" s="7" t="s">
        <v>245</v>
      </c>
      <c r="FR2" s="7" t="s">
        <v>245</v>
      </c>
      <c r="FS2" s="7" t="s">
        <v>245</v>
      </c>
      <c r="FT2" s="7" t="s">
        <v>245</v>
      </c>
      <c r="FU2" s="7" t="s">
        <v>245</v>
      </c>
      <c r="FV2" s="7" t="s">
        <v>245</v>
      </c>
      <c r="FW2" s="7" t="s">
        <v>245</v>
      </c>
      <c r="FX2" s="7" t="s">
        <v>245</v>
      </c>
      <c r="FY2" s="7" t="s">
        <v>245</v>
      </c>
      <c r="FZ2" s="7" t="s">
        <v>245</v>
      </c>
      <c r="GA2" s="7" t="s">
        <v>245</v>
      </c>
      <c r="GB2" s="7" t="s">
        <v>245</v>
      </c>
      <c r="GC2" s="7" t="s">
        <v>245</v>
      </c>
      <c r="GD2" s="7" t="s">
        <v>245</v>
      </c>
      <c r="GE2" s="7" t="s">
        <v>245</v>
      </c>
      <c r="GF2" s="7" t="s">
        <v>245</v>
      </c>
      <c r="GG2" s="7" t="s">
        <v>245</v>
      </c>
      <c r="GH2" s="7" t="s">
        <v>245</v>
      </c>
      <c r="GI2" s="7" t="s">
        <v>245</v>
      </c>
      <c r="GJ2" s="7" t="s">
        <v>245</v>
      </c>
      <c r="GK2" s="7" t="s">
        <v>245</v>
      </c>
      <c r="GL2" s="7" t="s">
        <v>245</v>
      </c>
      <c r="GM2" s="7" t="s">
        <v>245</v>
      </c>
      <c r="GN2" s="7" t="s">
        <v>245</v>
      </c>
      <c r="GO2" s="7" t="s">
        <v>245</v>
      </c>
      <c r="GP2" s="7" t="s">
        <v>245</v>
      </c>
      <c r="GQ2" s="7" t="s">
        <v>245</v>
      </c>
      <c r="GR2" s="7" t="s">
        <v>245</v>
      </c>
      <c r="GS2" s="7" t="s">
        <v>245</v>
      </c>
      <c r="GT2" s="7" t="s">
        <v>245</v>
      </c>
      <c r="GU2" s="7" t="s">
        <v>245</v>
      </c>
      <c r="GV2" s="7" t="s">
        <v>245</v>
      </c>
      <c r="GW2" s="7" t="s">
        <v>245</v>
      </c>
      <c r="GX2" s="7" t="s">
        <v>245</v>
      </c>
      <c r="GY2" s="7" t="s">
        <v>245</v>
      </c>
      <c r="GZ2" s="7" t="s">
        <v>245</v>
      </c>
      <c r="HA2" s="7" t="s">
        <v>245</v>
      </c>
      <c r="HB2" s="7" t="s">
        <v>245</v>
      </c>
      <c r="HC2" s="7" t="s">
        <v>245</v>
      </c>
      <c r="HD2" s="7" t="s">
        <v>245</v>
      </c>
      <c r="HE2" s="7" t="s">
        <v>245</v>
      </c>
      <c r="HF2" s="7" t="s">
        <v>245</v>
      </c>
      <c r="HG2" s="7" t="s">
        <v>245</v>
      </c>
      <c r="HH2" s="7" t="s">
        <v>245</v>
      </c>
      <c r="HI2" s="7" t="s">
        <v>245</v>
      </c>
      <c r="HJ2" s="7" t="s">
        <v>245</v>
      </c>
      <c r="HK2" s="7" t="s">
        <v>245</v>
      </c>
      <c r="HL2" s="7" t="s">
        <v>245</v>
      </c>
      <c r="HM2" s="7" t="s">
        <v>245</v>
      </c>
      <c r="HN2" s="7" t="s">
        <v>245</v>
      </c>
      <c r="HO2" s="7" t="s">
        <v>245</v>
      </c>
      <c r="HP2" s="7" t="s">
        <v>245</v>
      </c>
      <c r="HQ2" s="7" t="s">
        <v>245</v>
      </c>
      <c r="HR2" s="7" t="s">
        <v>245</v>
      </c>
      <c r="HS2" s="7" t="s">
        <v>245</v>
      </c>
      <c r="HT2" s="7" t="s">
        <v>245</v>
      </c>
      <c r="HU2" s="7" t="s">
        <v>245</v>
      </c>
      <c r="HV2" s="7" t="s">
        <v>245</v>
      </c>
      <c r="HW2" s="7" t="s">
        <v>245</v>
      </c>
      <c r="HX2" s="7" t="s">
        <v>245</v>
      </c>
      <c r="HY2" s="7" t="s">
        <v>245</v>
      </c>
      <c r="HZ2" s="7" t="s">
        <v>245</v>
      </c>
      <c r="IA2" s="7" t="s">
        <v>245</v>
      </c>
      <c r="IB2" s="7" t="s">
        <v>245</v>
      </c>
      <c r="IC2" s="7" t="s">
        <v>245</v>
      </c>
      <c r="ID2" s="7" t="s">
        <v>245</v>
      </c>
      <c r="IE2" s="7" t="s">
        <v>245</v>
      </c>
      <c r="IF2" s="7" t="s">
        <v>245</v>
      </c>
      <c r="IG2" s="7" t="s">
        <v>245</v>
      </c>
      <c r="IH2" s="7" t="s">
        <v>245</v>
      </c>
      <c r="II2" s="7" t="s">
        <v>245</v>
      </c>
      <c r="IJ2" s="7" t="s">
        <v>245</v>
      </c>
      <c r="IK2" s="7" t="s">
        <v>245</v>
      </c>
      <c r="IL2" s="7" t="s">
        <v>245</v>
      </c>
      <c r="IM2" s="7" t="s">
        <v>245</v>
      </c>
      <c r="IN2" s="7" t="s">
        <v>245</v>
      </c>
      <c r="IO2" s="7" t="s">
        <v>245</v>
      </c>
      <c r="IP2" s="7" t="s">
        <v>245</v>
      </c>
      <c r="IQ2" s="7" t="s">
        <v>245</v>
      </c>
    </row>
    <row r="3" spans="1:251" x14ac:dyDescent="0.2">
      <c r="A3" s="4" t="s">
        <v>237</v>
      </c>
      <c r="B3" s="7" t="s">
        <v>246</v>
      </c>
      <c r="C3" s="7" t="s">
        <v>246</v>
      </c>
      <c r="D3" s="7" t="s">
        <v>246</v>
      </c>
      <c r="E3" s="7" t="s">
        <v>246</v>
      </c>
      <c r="F3" s="7" t="s">
        <v>246</v>
      </c>
      <c r="G3" s="7" t="s">
        <v>246</v>
      </c>
      <c r="H3" s="7" t="s">
        <v>246</v>
      </c>
      <c r="I3" s="7" t="s">
        <v>246</v>
      </c>
      <c r="J3" s="7" t="s">
        <v>246</v>
      </c>
      <c r="K3" s="7" t="s">
        <v>246</v>
      </c>
      <c r="L3" s="7" t="s">
        <v>246</v>
      </c>
      <c r="M3" s="7" t="s">
        <v>246</v>
      </c>
      <c r="N3" s="7" t="s">
        <v>246</v>
      </c>
      <c r="O3" s="7" t="s">
        <v>246</v>
      </c>
      <c r="P3" s="7" t="s">
        <v>246</v>
      </c>
      <c r="Q3" s="7" t="s">
        <v>246</v>
      </c>
      <c r="R3" s="7" t="s">
        <v>246</v>
      </c>
      <c r="S3" s="7" t="s">
        <v>246</v>
      </c>
      <c r="T3" s="7" t="s">
        <v>246</v>
      </c>
      <c r="U3" s="7" t="s">
        <v>246</v>
      </c>
      <c r="V3" s="7" t="s">
        <v>246</v>
      </c>
      <c r="W3" s="7" t="s">
        <v>246</v>
      </c>
      <c r="X3" s="7" t="s">
        <v>246</v>
      </c>
      <c r="Y3" s="7" t="s">
        <v>246</v>
      </c>
      <c r="Z3" s="7" t="s">
        <v>246</v>
      </c>
      <c r="AA3" s="7" t="s">
        <v>246</v>
      </c>
      <c r="AB3" s="7" t="s">
        <v>246</v>
      </c>
      <c r="AC3" s="7" t="s">
        <v>246</v>
      </c>
      <c r="AD3" s="7" t="s">
        <v>246</v>
      </c>
      <c r="AE3" s="7" t="s">
        <v>246</v>
      </c>
      <c r="AF3" s="7" t="s">
        <v>246</v>
      </c>
      <c r="AG3" s="7" t="s">
        <v>246</v>
      </c>
      <c r="AH3" s="7" t="s">
        <v>246</v>
      </c>
      <c r="AI3" s="7" t="s">
        <v>246</v>
      </c>
      <c r="AJ3" s="7" t="s">
        <v>246</v>
      </c>
      <c r="AK3" s="7" t="s">
        <v>246</v>
      </c>
      <c r="AL3" s="7" t="s">
        <v>246</v>
      </c>
      <c r="AM3" s="7" t="s">
        <v>246</v>
      </c>
      <c r="AN3" s="7" t="s">
        <v>246</v>
      </c>
      <c r="AO3" s="7" t="s">
        <v>246</v>
      </c>
      <c r="AP3" s="7" t="s">
        <v>246</v>
      </c>
      <c r="AQ3" s="7" t="s">
        <v>246</v>
      </c>
      <c r="AR3" s="7" t="s">
        <v>246</v>
      </c>
      <c r="AS3" s="7" t="s">
        <v>246</v>
      </c>
      <c r="AT3" s="7" t="s">
        <v>246</v>
      </c>
      <c r="AU3" s="7" t="s">
        <v>246</v>
      </c>
      <c r="AV3" s="7" t="s">
        <v>246</v>
      </c>
      <c r="AW3" s="7" t="s">
        <v>246</v>
      </c>
      <c r="AX3" s="7" t="s">
        <v>246</v>
      </c>
      <c r="AY3" s="7" t="s">
        <v>246</v>
      </c>
      <c r="AZ3" s="7" t="s">
        <v>246</v>
      </c>
      <c r="BA3" s="7" t="s">
        <v>246</v>
      </c>
      <c r="BB3" s="7" t="s">
        <v>246</v>
      </c>
      <c r="BC3" s="7" t="s">
        <v>246</v>
      </c>
      <c r="BD3" s="7" t="s">
        <v>246</v>
      </c>
      <c r="BE3" s="7" t="s">
        <v>246</v>
      </c>
      <c r="BF3" s="7" t="s">
        <v>246</v>
      </c>
      <c r="BG3" s="7" t="s">
        <v>246</v>
      </c>
      <c r="BH3" s="7" t="s">
        <v>246</v>
      </c>
      <c r="BI3" s="7" t="s">
        <v>246</v>
      </c>
      <c r="BJ3" s="7" t="s">
        <v>246</v>
      </c>
      <c r="BK3" s="7" t="s">
        <v>246</v>
      </c>
      <c r="BL3" s="7" t="s">
        <v>246</v>
      </c>
      <c r="BM3" s="7" t="s">
        <v>246</v>
      </c>
      <c r="BN3" s="7" t="s">
        <v>246</v>
      </c>
      <c r="BO3" s="7" t="s">
        <v>246</v>
      </c>
      <c r="BP3" s="7" t="s">
        <v>246</v>
      </c>
      <c r="BQ3" s="7" t="s">
        <v>246</v>
      </c>
      <c r="BR3" s="7" t="s">
        <v>246</v>
      </c>
      <c r="BS3" s="7" t="s">
        <v>246</v>
      </c>
      <c r="BT3" s="7" t="s">
        <v>246</v>
      </c>
      <c r="BU3" s="7" t="s">
        <v>246</v>
      </c>
      <c r="BV3" s="7" t="s">
        <v>246</v>
      </c>
      <c r="BW3" s="7" t="s">
        <v>246</v>
      </c>
      <c r="BX3" s="7" t="s">
        <v>246</v>
      </c>
      <c r="BY3" s="7" t="s">
        <v>246</v>
      </c>
      <c r="BZ3" s="7" t="s">
        <v>246</v>
      </c>
      <c r="CA3" s="7" t="s">
        <v>246</v>
      </c>
      <c r="CB3" s="7" t="s">
        <v>246</v>
      </c>
      <c r="CC3" s="7" t="s">
        <v>246</v>
      </c>
      <c r="CD3" s="7" t="s">
        <v>246</v>
      </c>
      <c r="CE3" s="7" t="s">
        <v>246</v>
      </c>
      <c r="CF3" s="7" t="s">
        <v>246</v>
      </c>
      <c r="CG3" s="7" t="s">
        <v>246</v>
      </c>
      <c r="CH3" s="7" t="s">
        <v>246</v>
      </c>
      <c r="CI3" s="7" t="s">
        <v>246</v>
      </c>
      <c r="CJ3" s="7" t="s">
        <v>246</v>
      </c>
      <c r="CK3" s="7" t="s">
        <v>246</v>
      </c>
      <c r="CL3" s="7" t="s">
        <v>246</v>
      </c>
      <c r="CM3" s="7" t="s">
        <v>246</v>
      </c>
      <c r="CN3" s="7" t="s">
        <v>246</v>
      </c>
      <c r="CO3" s="7" t="s">
        <v>246</v>
      </c>
      <c r="CP3" s="7" t="s">
        <v>246</v>
      </c>
      <c r="CQ3" s="7" t="s">
        <v>246</v>
      </c>
      <c r="CR3" s="7" t="s">
        <v>246</v>
      </c>
      <c r="CS3" s="7" t="s">
        <v>246</v>
      </c>
      <c r="CT3" s="7" t="s">
        <v>246</v>
      </c>
      <c r="CU3" s="7" t="s">
        <v>246</v>
      </c>
      <c r="CV3" s="7" t="s">
        <v>246</v>
      </c>
      <c r="CW3" s="7" t="s">
        <v>246</v>
      </c>
      <c r="CX3" s="7" t="s">
        <v>246</v>
      </c>
      <c r="CY3" s="7" t="s">
        <v>246</v>
      </c>
      <c r="CZ3" s="7" t="s">
        <v>246</v>
      </c>
      <c r="DA3" s="7" t="s">
        <v>246</v>
      </c>
      <c r="DB3" s="7" t="s">
        <v>246</v>
      </c>
      <c r="DC3" s="7" t="s">
        <v>246</v>
      </c>
      <c r="DD3" s="7" t="s">
        <v>246</v>
      </c>
      <c r="DE3" s="7" t="s">
        <v>246</v>
      </c>
      <c r="DF3" s="7" t="s">
        <v>246</v>
      </c>
      <c r="DG3" s="7" t="s">
        <v>246</v>
      </c>
      <c r="DH3" s="7" t="s">
        <v>246</v>
      </c>
      <c r="DI3" s="7" t="s">
        <v>246</v>
      </c>
      <c r="DJ3" s="7" t="s">
        <v>246</v>
      </c>
      <c r="DK3" s="7" t="s">
        <v>246</v>
      </c>
      <c r="DL3" s="7" t="s">
        <v>246</v>
      </c>
      <c r="DM3" s="7" t="s">
        <v>246</v>
      </c>
      <c r="DN3" s="7" t="s">
        <v>246</v>
      </c>
      <c r="DO3" s="7" t="s">
        <v>246</v>
      </c>
      <c r="DP3" s="7" t="s">
        <v>246</v>
      </c>
      <c r="DQ3" s="7" t="s">
        <v>246</v>
      </c>
      <c r="DR3" s="7" t="s">
        <v>246</v>
      </c>
      <c r="DS3" s="7" t="s">
        <v>246</v>
      </c>
      <c r="DT3" s="7" t="s">
        <v>246</v>
      </c>
      <c r="DU3" s="7" t="s">
        <v>246</v>
      </c>
      <c r="DV3" s="7" t="s">
        <v>246</v>
      </c>
      <c r="DW3" s="7" t="s">
        <v>246</v>
      </c>
      <c r="DX3" s="7" t="s">
        <v>246</v>
      </c>
      <c r="DY3" s="7" t="s">
        <v>246</v>
      </c>
      <c r="DZ3" s="7" t="s">
        <v>246</v>
      </c>
      <c r="EA3" s="7" t="s">
        <v>246</v>
      </c>
      <c r="EB3" s="7" t="s">
        <v>246</v>
      </c>
      <c r="EC3" s="7" t="s">
        <v>246</v>
      </c>
      <c r="ED3" s="7" t="s">
        <v>246</v>
      </c>
      <c r="EE3" s="7" t="s">
        <v>246</v>
      </c>
      <c r="EF3" s="7" t="s">
        <v>246</v>
      </c>
      <c r="EG3" s="7" t="s">
        <v>246</v>
      </c>
      <c r="EH3" s="7" t="s">
        <v>246</v>
      </c>
      <c r="EI3" s="7" t="s">
        <v>246</v>
      </c>
      <c r="EJ3" s="7" t="s">
        <v>246</v>
      </c>
      <c r="EK3" s="7" t="s">
        <v>246</v>
      </c>
      <c r="EL3" s="7" t="s">
        <v>246</v>
      </c>
      <c r="EM3" s="7" t="s">
        <v>246</v>
      </c>
      <c r="EN3" s="7" t="s">
        <v>246</v>
      </c>
      <c r="EO3" s="7" t="s">
        <v>246</v>
      </c>
      <c r="EP3" s="7" t="s">
        <v>246</v>
      </c>
      <c r="EQ3" s="7" t="s">
        <v>246</v>
      </c>
      <c r="ER3" s="7" t="s">
        <v>246</v>
      </c>
      <c r="ES3" s="7" t="s">
        <v>246</v>
      </c>
      <c r="ET3" s="7" t="s">
        <v>246</v>
      </c>
      <c r="EU3" s="7" t="s">
        <v>246</v>
      </c>
      <c r="EV3" s="7" t="s">
        <v>246</v>
      </c>
      <c r="EW3" s="7" t="s">
        <v>246</v>
      </c>
      <c r="EX3" s="7" t="s">
        <v>246</v>
      </c>
      <c r="EY3" s="7" t="s">
        <v>246</v>
      </c>
      <c r="EZ3" s="7" t="s">
        <v>246</v>
      </c>
      <c r="FA3" s="7" t="s">
        <v>246</v>
      </c>
      <c r="FB3" s="7" t="s">
        <v>246</v>
      </c>
      <c r="FC3" s="7" t="s">
        <v>246</v>
      </c>
      <c r="FD3" s="7" t="s">
        <v>246</v>
      </c>
      <c r="FE3" s="7" t="s">
        <v>246</v>
      </c>
      <c r="FF3" s="7" t="s">
        <v>246</v>
      </c>
      <c r="FG3" s="7" t="s">
        <v>246</v>
      </c>
      <c r="FH3" s="7" t="s">
        <v>246</v>
      </c>
      <c r="FI3" s="7" t="s">
        <v>246</v>
      </c>
      <c r="FJ3" s="7" t="s">
        <v>246</v>
      </c>
      <c r="FK3" s="7" t="s">
        <v>246</v>
      </c>
      <c r="FL3" s="7" t="s">
        <v>246</v>
      </c>
      <c r="FM3" s="7" t="s">
        <v>246</v>
      </c>
      <c r="FN3" s="7" t="s">
        <v>246</v>
      </c>
      <c r="FO3" s="7" t="s">
        <v>246</v>
      </c>
      <c r="FP3" s="7" t="s">
        <v>246</v>
      </c>
      <c r="FQ3" s="7" t="s">
        <v>246</v>
      </c>
      <c r="FR3" s="7" t="s">
        <v>246</v>
      </c>
      <c r="FS3" s="7" t="s">
        <v>246</v>
      </c>
      <c r="FT3" s="7" t="s">
        <v>246</v>
      </c>
      <c r="FU3" s="7" t="s">
        <v>246</v>
      </c>
      <c r="FV3" s="7" t="s">
        <v>246</v>
      </c>
      <c r="FW3" s="7" t="s">
        <v>246</v>
      </c>
      <c r="FX3" s="7" t="s">
        <v>246</v>
      </c>
      <c r="FY3" s="7" t="s">
        <v>246</v>
      </c>
      <c r="FZ3" s="7" t="s">
        <v>246</v>
      </c>
      <c r="GA3" s="7" t="s">
        <v>246</v>
      </c>
      <c r="GB3" s="7" t="s">
        <v>246</v>
      </c>
      <c r="GC3" s="7" t="s">
        <v>246</v>
      </c>
      <c r="GD3" s="7" t="s">
        <v>246</v>
      </c>
      <c r="GE3" s="7" t="s">
        <v>246</v>
      </c>
      <c r="GF3" s="7" t="s">
        <v>246</v>
      </c>
      <c r="GG3" s="7" t="s">
        <v>246</v>
      </c>
      <c r="GH3" s="7" t="s">
        <v>246</v>
      </c>
      <c r="GI3" s="7" t="s">
        <v>246</v>
      </c>
      <c r="GJ3" s="7" t="s">
        <v>246</v>
      </c>
      <c r="GK3" s="7" t="s">
        <v>246</v>
      </c>
      <c r="GL3" s="7" t="s">
        <v>246</v>
      </c>
      <c r="GM3" s="7" t="s">
        <v>246</v>
      </c>
      <c r="GN3" s="7" t="s">
        <v>246</v>
      </c>
      <c r="GO3" s="7" t="s">
        <v>246</v>
      </c>
      <c r="GP3" s="7" t="s">
        <v>246</v>
      </c>
      <c r="GQ3" s="7" t="s">
        <v>246</v>
      </c>
      <c r="GR3" s="7" t="s">
        <v>246</v>
      </c>
      <c r="GS3" s="7" t="s">
        <v>246</v>
      </c>
      <c r="GT3" s="7" t="s">
        <v>246</v>
      </c>
      <c r="GU3" s="7" t="s">
        <v>246</v>
      </c>
      <c r="GV3" s="7" t="s">
        <v>246</v>
      </c>
      <c r="GW3" s="7" t="s">
        <v>246</v>
      </c>
      <c r="GX3" s="7" t="s">
        <v>246</v>
      </c>
      <c r="GY3" s="7" t="s">
        <v>246</v>
      </c>
      <c r="GZ3" s="7" t="s">
        <v>246</v>
      </c>
      <c r="HA3" s="7" t="s">
        <v>246</v>
      </c>
      <c r="HB3" s="7" t="s">
        <v>246</v>
      </c>
      <c r="HC3" s="7" t="s">
        <v>246</v>
      </c>
      <c r="HD3" s="7" t="s">
        <v>246</v>
      </c>
      <c r="HE3" s="7" t="s">
        <v>246</v>
      </c>
      <c r="HF3" s="7" t="s">
        <v>246</v>
      </c>
      <c r="HG3" s="7" t="s">
        <v>246</v>
      </c>
      <c r="HH3" s="7" t="s">
        <v>246</v>
      </c>
      <c r="HI3" s="7" t="s">
        <v>246</v>
      </c>
      <c r="HJ3" s="7" t="s">
        <v>246</v>
      </c>
      <c r="HK3" s="7" t="s">
        <v>246</v>
      </c>
      <c r="HL3" s="7" t="s">
        <v>246</v>
      </c>
      <c r="HM3" s="7" t="s">
        <v>246</v>
      </c>
      <c r="HN3" s="7" t="s">
        <v>246</v>
      </c>
      <c r="HO3" s="7" t="s">
        <v>246</v>
      </c>
      <c r="HP3" s="7" t="s">
        <v>246</v>
      </c>
      <c r="HQ3" s="7" t="s">
        <v>246</v>
      </c>
      <c r="HR3" s="7" t="s">
        <v>246</v>
      </c>
      <c r="HS3" s="7" t="s">
        <v>246</v>
      </c>
      <c r="HT3" s="7" t="s">
        <v>246</v>
      </c>
      <c r="HU3" s="7" t="s">
        <v>246</v>
      </c>
      <c r="HV3" s="7" t="s">
        <v>246</v>
      </c>
      <c r="HW3" s="7" t="s">
        <v>246</v>
      </c>
      <c r="HX3" s="7" t="s">
        <v>246</v>
      </c>
      <c r="HY3" s="7" t="s">
        <v>246</v>
      </c>
      <c r="HZ3" s="7" t="s">
        <v>246</v>
      </c>
      <c r="IA3" s="7" t="s">
        <v>246</v>
      </c>
      <c r="IB3" s="7" t="s">
        <v>246</v>
      </c>
      <c r="IC3" s="7" t="s">
        <v>246</v>
      </c>
      <c r="ID3" s="7" t="s">
        <v>246</v>
      </c>
      <c r="IE3" s="7" t="s">
        <v>246</v>
      </c>
      <c r="IF3" s="7" t="s">
        <v>246</v>
      </c>
      <c r="IG3" s="7" t="s">
        <v>246</v>
      </c>
      <c r="IH3" s="7" t="s">
        <v>246</v>
      </c>
      <c r="II3" s="7" t="s">
        <v>246</v>
      </c>
      <c r="IJ3" s="7" t="s">
        <v>246</v>
      </c>
      <c r="IK3" s="7" t="s">
        <v>246</v>
      </c>
      <c r="IL3" s="7" t="s">
        <v>246</v>
      </c>
      <c r="IM3" s="7" t="s">
        <v>246</v>
      </c>
      <c r="IN3" s="7" t="s">
        <v>246</v>
      </c>
      <c r="IO3" s="7" t="s">
        <v>246</v>
      </c>
      <c r="IP3" s="7" t="s">
        <v>246</v>
      </c>
      <c r="IQ3" s="7" t="s">
        <v>246</v>
      </c>
    </row>
    <row r="4" spans="1:251" x14ac:dyDescent="0.2">
      <c r="A4" s="4" t="s">
        <v>238</v>
      </c>
      <c r="B4" s="7" t="s">
        <v>247</v>
      </c>
      <c r="C4" s="7" t="s">
        <v>247</v>
      </c>
      <c r="D4" s="7" t="s">
        <v>247</v>
      </c>
      <c r="E4" s="7" t="s">
        <v>247</v>
      </c>
      <c r="F4" s="7" t="s">
        <v>247</v>
      </c>
      <c r="G4" s="7" t="s">
        <v>247</v>
      </c>
      <c r="H4" s="7" t="s">
        <v>247</v>
      </c>
      <c r="I4" s="7" t="s">
        <v>247</v>
      </c>
      <c r="J4" s="7" t="s">
        <v>247</v>
      </c>
      <c r="K4" s="7" t="s">
        <v>247</v>
      </c>
      <c r="L4" s="7" t="s">
        <v>247</v>
      </c>
      <c r="M4" s="7" t="s">
        <v>247</v>
      </c>
      <c r="N4" s="7" t="s">
        <v>247</v>
      </c>
      <c r="O4" s="7" t="s">
        <v>247</v>
      </c>
      <c r="P4" s="7" t="s">
        <v>247</v>
      </c>
      <c r="Q4" s="7" t="s">
        <v>247</v>
      </c>
      <c r="R4" s="7" t="s">
        <v>247</v>
      </c>
      <c r="S4" s="7" t="s">
        <v>247</v>
      </c>
      <c r="T4" s="7" t="s">
        <v>247</v>
      </c>
      <c r="U4" s="7" t="s">
        <v>247</v>
      </c>
      <c r="V4" s="7" t="s">
        <v>247</v>
      </c>
      <c r="W4" s="7" t="s">
        <v>247</v>
      </c>
      <c r="X4" s="7" t="s">
        <v>247</v>
      </c>
      <c r="Y4" s="7" t="s">
        <v>247</v>
      </c>
      <c r="Z4" s="7" t="s">
        <v>247</v>
      </c>
      <c r="AA4" s="7" t="s">
        <v>247</v>
      </c>
      <c r="AB4" s="7" t="s">
        <v>247</v>
      </c>
      <c r="AC4" s="7" t="s">
        <v>247</v>
      </c>
      <c r="AD4" s="7" t="s">
        <v>247</v>
      </c>
      <c r="AE4" s="7" t="s">
        <v>247</v>
      </c>
      <c r="AF4" s="7" t="s">
        <v>247</v>
      </c>
      <c r="AG4" s="7" t="s">
        <v>247</v>
      </c>
      <c r="AH4" s="7" t="s">
        <v>247</v>
      </c>
      <c r="AI4" s="7" t="s">
        <v>247</v>
      </c>
      <c r="AJ4" s="7" t="s">
        <v>247</v>
      </c>
      <c r="AK4" s="7" t="s">
        <v>247</v>
      </c>
      <c r="AL4" s="7" t="s">
        <v>247</v>
      </c>
      <c r="AM4" s="7" t="s">
        <v>247</v>
      </c>
      <c r="AN4" s="7" t="s">
        <v>247</v>
      </c>
      <c r="AO4" s="7" t="s">
        <v>247</v>
      </c>
      <c r="AP4" s="7" t="s">
        <v>247</v>
      </c>
      <c r="AQ4" s="7" t="s">
        <v>247</v>
      </c>
      <c r="AR4" s="7" t="s">
        <v>247</v>
      </c>
      <c r="AS4" s="7" t="s">
        <v>247</v>
      </c>
      <c r="AT4" s="7" t="s">
        <v>247</v>
      </c>
      <c r="AU4" s="7" t="s">
        <v>247</v>
      </c>
      <c r="AV4" s="7" t="s">
        <v>247</v>
      </c>
      <c r="AW4" s="7" t="s">
        <v>247</v>
      </c>
      <c r="AX4" s="7" t="s">
        <v>247</v>
      </c>
      <c r="AY4" s="7" t="s">
        <v>247</v>
      </c>
      <c r="AZ4" s="7" t="s">
        <v>247</v>
      </c>
      <c r="BA4" s="7" t="s">
        <v>247</v>
      </c>
      <c r="BB4" s="7" t="s">
        <v>247</v>
      </c>
      <c r="BC4" s="7" t="s">
        <v>247</v>
      </c>
      <c r="BD4" s="7" t="s">
        <v>247</v>
      </c>
      <c r="BE4" s="7" t="s">
        <v>247</v>
      </c>
      <c r="BF4" s="7" t="s">
        <v>247</v>
      </c>
      <c r="BG4" s="7" t="s">
        <v>247</v>
      </c>
      <c r="BH4" s="7" t="s">
        <v>247</v>
      </c>
      <c r="BI4" s="7" t="s">
        <v>247</v>
      </c>
      <c r="BJ4" s="7" t="s">
        <v>247</v>
      </c>
      <c r="BK4" s="7" t="s">
        <v>247</v>
      </c>
      <c r="BL4" s="7" t="s">
        <v>247</v>
      </c>
      <c r="BM4" s="7" t="s">
        <v>247</v>
      </c>
      <c r="BN4" s="7" t="s">
        <v>247</v>
      </c>
      <c r="BO4" s="7" t="s">
        <v>247</v>
      </c>
      <c r="BP4" s="7" t="s">
        <v>247</v>
      </c>
      <c r="BQ4" s="7" t="s">
        <v>247</v>
      </c>
      <c r="BR4" s="7" t="s">
        <v>247</v>
      </c>
      <c r="BS4" s="7" t="s">
        <v>247</v>
      </c>
      <c r="BT4" s="7" t="s">
        <v>247</v>
      </c>
      <c r="BU4" s="7" t="s">
        <v>247</v>
      </c>
      <c r="BV4" s="7" t="s">
        <v>247</v>
      </c>
      <c r="BW4" s="7" t="s">
        <v>247</v>
      </c>
      <c r="BX4" s="7" t="s">
        <v>247</v>
      </c>
      <c r="BY4" s="7" t="s">
        <v>247</v>
      </c>
      <c r="BZ4" s="7" t="s">
        <v>247</v>
      </c>
      <c r="CA4" s="7" t="s">
        <v>247</v>
      </c>
      <c r="CB4" s="7" t="s">
        <v>247</v>
      </c>
      <c r="CC4" s="7" t="s">
        <v>247</v>
      </c>
      <c r="CD4" s="7" t="s">
        <v>247</v>
      </c>
      <c r="CE4" s="7" t="s">
        <v>247</v>
      </c>
      <c r="CF4" s="7" t="s">
        <v>247</v>
      </c>
      <c r="CG4" s="7" t="s">
        <v>247</v>
      </c>
      <c r="CH4" s="7" t="s">
        <v>247</v>
      </c>
      <c r="CI4" s="7" t="s">
        <v>247</v>
      </c>
      <c r="CJ4" s="7" t="s">
        <v>247</v>
      </c>
      <c r="CK4" s="7" t="s">
        <v>247</v>
      </c>
      <c r="CL4" s="7" t="s">
        <v>247</v>
      </c>
      <c r="CM4" s="7" t="s">
        <v>247</v>
      </c>
      <c r="CN4" s="7" t="s">
        <v>247</v>
      </c>
      <c r="CO4" s="7" t="s">
        <v>247</v>
      </c>
      <c r="CP4" s="7" t="s">
        <v>247</v>
      </c>
      <c r="CQ4" s="7" t="s">
        <v>247</v>
      </c>
      <c r="CR4" s="7" t="s">
        <v>247</v>
      </c>
      <c r="CS4" s="7" t="s">
        <v>247</v>
      </c>
      <c r="CT4" s="7" t="s">
        <v>247</v>
      </c>
      <c r="CU4" s="7" t="s">
        <v>247</v>
      </c>
      <c r="CV4" s="7" t="s">
        <v>247</v>
      </c>
      <c r="CW4" s="7" t="s">
        <v>247</v>
      </c>
      <c r="CX4" s="7" t="s">
        <v>247</v>
      </c>
      <c r="CY4" s="7" t="s">
        <v>247</v>
      </c>
      <c r="CZ4" s="7" t="s">
        <v>247</v>
      </c>
      <c r="DA4" s="7" t="s">
        <v>247</v>
      </c>
      <c r="DB4" s="7" t="s">
        <v>247</v>
      </c>
      <c r="DC4" s="7" t="s">
        <v>247</v>
      </c>
      <c r="DD4" s="7" t="s">
        <v>247</v>
      </c>
      <c r="DE4" s="7" t="s">
        <v>247</v>
      </c>
      <c r="DF4" s="7" t="s">
        <v>247</v>
      </c>
      <c r="DG4" s="7" t="s">
        <v>247</v>
      </c>
      <c r="DH4" s="7" t="s">
        <v>247</v>
      </c>
      <c r="DI4" s="7" t="s">
        <v>247</v>
      </c>
      <c r="DJ4" s="7" t="s">
        <v>247</v>
      </c>
      <c r="DK4" s="7" t="s">
        <v>247</v>
      </c>
      <c r="DL4" s="7" t="s">
        <v>247</v>
      </c>
      <c r="DM4" s="7" t="s">
        <v>247</v>
      </c>
      <c r="DN4" s="7" t="s">
        <v>247</v>
      </c>
      <c r="DO4" s="7" t="s">
        <v>247</v>
      </c>
      <c r="DP4" s="7" t="s">
        <v>247</v>
      </c>
      <c r="DQ4" s="7" t="s">
        <v>247</v>
      </c>
      <c r="DR4" s="7" t="s">
        <v>247</v>
      </c>
      <c r="DS4" s="7" t="s">
        <v>247</v>
      </c>
      <c r="DT4" s="7" t="s">
        <v>247</v>
      </c>
      <c r="DU4" s="7" t="s">
        <v>247</v>
      </c>
      <c r="DV4" s="7" t="s">
        <v>247</v>
      </c>
      <c r="DW4" s="7" t="s">
        <v>247</v>
      </c>
      <c r="DX4" s="7" t="s">
        <v>247</v>
      </c>
      <c r="DY4" s="7" t="s">
        <v>247</v>
      </c>
      <c r="DZ4" s="7" t="s">
        <v>247</v>
      </c>
      <c r="EA4" s="7" t="s">
        <v>247</v>
      </c>
      <c r="EB4" s="7" t="s">
        <v>247</v>
      </c>
      <c r="EC4" s="7" t="s">
        <v>247</v>
      </c>
      <c r="ED4" s="7" t="s">
        <v>247</v>
      </c>
      <c r="EE4" s="7" t="s">
        <v>247</v>
      </c>
      <c r="EF4" s="7" t="s">
        <v>247</v>
      </c>
      <c r="EG4" s="7" t="s">
        <v>247</v>
      </c>
      <c r="EH4" s="7" t="s">
        <v>247</v>
      </c>
      <c r="EI4" s="7" t="s">
        <v>247</v>
      </c>
      <c r="EJ4" s="7" t="s">
        <v>247</v>
      </c>
      <c r="EK4" s="7" t="s">
        <v>247</v>
      </c>
      <c r="EL4" s="7" t="s">
        <v>247</v>
      </c>
      <c r="EM4" s="7" t="s">
        <v>247</v>
      </c>
      <c r="EN4" s="7" t="s">
        <v>247</v>
      </c>
      <c r="EO4" s="7" t="s">
        <v>247</v>
      </c>
      <c r="EP4" s="7" t="s">
        <v>247</v>
      </c>
      <c r="EQ4" s="7" t="s">
        <v>247</v>
      </c>
      <c r="ER4" s="7" t="s">
        <v>247</v>
      </c>
      <c r="ES4" s="7" t="s">
        <v>247</v>
      </c>
      <c r="ET4" s="7" t="s">
        <v>247</v>
      </c>
      <c r="EU4" s="7" t="s">
        <v>247</v>
      </c>
      <c r="EV4" s="7" t="s">
        <v>247</v>
      </c>
      <c r="EW4" s="7" t="s">
        <v>247</v>
      </c>
      <c r="EX4" s="7" t="s">
        <v>247</v>
      </c>
      <c r="EY4" s="7" t="s">
        <v>247</v>
      </c>
      <c r="EZ4" s="7" t="s">
        <v>247</v>
      </c>
      <c r="FA4" s="7" t="s">
        <v>247</v>
      </c>
      <c r="FB4" s="7" t="s">
        <v>247</v>
      </c>
      <c r="FC4" s="7" t="s">
        <v>247</v>
      </c>
      <c r="FD4" s="7" t="s">
        <v>247</v>
      </c>
      <c r="FE4" s="7" t="s">
        <v>247</v>
      </c>
      <c r="FF4" s="7" t="s">
        <v>247</v>
      </c>
      <c r="FG4" s="7" t="s">
        <v>247</v>
      </c>
      <c r="FH4" s="7" t="s">
        <v>247</v>
      </c>
      <c r="FI4" s="7" t="s">
        <v>247</v>
      </c>
      <c r="FJ4" s="7" t="s">
        <v>247</v>
      </c>
      <c r="FK4" s="7" t="s">
        <v>247</v>
      </c>
      <c r="FL4" s="7" t="s">
        <v>247</v>
      </c>
      <c r="FM4" s="7" t="s">
        <v>247</v>
      </c>
      <c r="FN4" s="7" t="s">
        <v>247</v>
      </c>
      <c r="FO4" s="7" t="s">
        <v>247</v>
      </c>
      <c r="FP4" s="7" t="s">
        <v>247</v>
      </c>
      <c r="FQ4" s="7" t="s">
        <v>247</v>
      </c>
      <c r="FR4" s="7" t="s">
        <v>247</v>
      </c>
      <c r="FS4" s="7" t="s">
        <v>247</v>
      </c>
      <c r="FT4" s="7" t="s">
        <v>247</v>
      </c>
      <c r="FU4" s="7" t="s">
        <v>247</v>
      </c>
      <c r="FV4" s="7" t="s">
        <v>247</v>
      </c>
      <c r="FW4" s="7" t="s">
        <v>247</v>
      </c>
      <c r="FX4" s="7" t="s">
        <v>247</v>
      </c>
      <c r="FY4" s="7" t="s">
        <v>247</v>
      </c>
      <c r="FZ4" s="7" t="s">
        <v>247</v>
      </c>
      <c r="GA4" s="7" t="s">
        <v>247</v>
      </c>
      <c r="GB4" s="7" t="s">
        <v>247</v>
      </c>
      <c r="GC4" s="7" t="s">
        <v>247</v>
      </c>
      <c r="GD4" s="7" t="s">
        <v>247</v>
      </c>
      <c r="GE4" s="7" t="s">
        <v>247</v>
      </c>
      <c r="GF4" s="7" t="s">
        <v>247</v>
      </c>
      <c r="GG4" s="7" t="s">
        <v>247</v>
      </c>
      <c r="GH4" s="7" t="s">
        <v>247</v>
      </c>
      <c r="GI4" s="7" t="s">
        <v>247</v>
      </c>
      <c r="GJ4" s="7" t="s">
        <v>247</v>
      </c>
      <c r="GK4" s="7" t="s">
        <v>247</v>
      </c>
      <c r="GL4" s="7" t="s">
        <v>247</v>
      </c>
      <c r="GM4" s="7" t="s">
        <v>247</v>
      </c>
      <c r="GN4" s="7" t="s">
        <v>247</v>
      </c>
      <c r="GO4" s="7" t="s">
        <v>247</v>
      </c>
      <c r="GP4" s="7" t="s">
        <v>247</v>
      </c>
      <c r="GQ4" s="7" t="s">
        <v>247</v>
      </c>
      <c r="GR4" s="7" t="s">
        <v>247</v>
      </c>
      <c r="GS4" s="7" t="s">
        <v>247</v>
      </c>
      <c r="GT4" s="7" t="s">
        <v>247</v>
      </c>
      <c r="GU4" s="7" t="s">
        <v>247</v>
      </c>
      <c r="GV4" s="7" t="s">
        <v>247</v>
      </c>
      <c r="GW4" s="7" t="s">
        <v>247</v>
      </c>
      <c r="GX4" s="7" t="s">
        <v>247</v>
      </c>
      <c r="GY4" s="7" t="s">
        <v>247</v>
      </c>
      <c r="GZ4" s="7" t="s">
        <v>247</v>
      </c>
      <c r="HA4" s="7" t="s">
        <v>247</v>
      </c>
      <c r="HB4" s="7" t="s">
        <v>247</v>
      </c>
      <c r="HC4" s="7" t="s">
        <v>247</v>
      </c>
      <c r="HD4" s="7" t="s">
        <v>247</v>
      </c>
      <c r="HE4" s="7" t="s">
        <v>247</v>
      </c>
      <c r="HF4" s="7" t="s">
        <v>247</v>
      </c>
      <c r="HG4" s="7" t="s">
        <v>247</v>
      </c>
      <c r="HH4" s="7" t="s">
        <v>247</v>
      </c>
      <c r="HI4" s="7" t="s">
        <v>247</v>
      </c>
      <c r="HJ4" s="7" t="s">
        <v>247</v>
      </c>
      <c r="HK4" s="7" t="s">
        <v>247</v>
      </c>
      <c r="HL4" s="7" t="s">
        <v>247</v>
      </c>
      <c r="HM4" s="7" t="s">
        <v>247</v>
      </c>
      <c r="HN4" s="7" t="s">
        <v>247</v>
      </c>
      <c r="HO4" s="7" t="s">
        <v>247</v>
      </c>
      <c r="HP4" s="7" t="s">
        <v>247</v>
      </c>
      <c r="HQ4" s="7" t="s">
        <v>247</v>
      </c>
      <c r="HR4" s="7" t="s">
        <v>247</v>
      </c>
      <c r="HS4" s="7" t="s">
        <v>247</v>
      </c>
      <c r="HT4" s="7" t="s">
        <v>247</v>
      </c>
      <c r="HU4" s="7" t="s">
        <v>247</v>
      </c>
      <c r="HV4" s="7" t="s">
        <v>247</v>
      </c>
      <c r="HW4" s="7" t="s">
        <v>247</v>
      </c>
      <c r="HX4" s="7" t="s">
        <v>247</v>
      </c>
      <c r="HY4" s="7" t="s">
        <v>247</v>
      </c>
      <c r="HZ4" s="7" t="s">
        <v>247</v>
      </c>
      <c r="IA4" s="7" t="s">
        <v>247</v>
      </c>
      <c r="IB4" s="7" t="s">
        <v>247</v>
      </c>
      <c r="IC4" s="7" t="s">
        <v>247</v>
      </c>
      <c r="ID4" s="7" t="s">
        <v>247</v>
      </c>
      <c r="IE4" s="7" t="s">
        <v>247</v>
      </c>
      <c r="IF4" s="7" t="s">
        <v>247</v>
      </c>
      <c r="IG4" s="7" t="s">
        <v>247</v>
      </c>
      <c r="IH4" s="7" t="s">
        <v>247</v>
      </c>
      <c r="II4" s="7" t="s">
        <v>247</v>
      </c>
      <c r="IJ4" s="7" t="s">
        <v>247</v>
      </c>
      <c r="IK4" s="7" t="s">
        <v>247</v>
      </c>
      <c r="IL4" s="7" t="s">
        <v>247</v>
      </c>
      <c r="IM4" s="7" t="s">
        <v>247</v>
      </c>
      <c r="IN4" s="7" t="s">
        <v>247</v>
      </c>
      <c r="IO4" s="7" t="s">
        <v>247</v>
      </c>
      <c r="IP4" s="7" t="s">
        <v>247</v>
      </c>
      <c r="IQ4" s="7" t="s">
        <v>247</v>
      </c>
    </row>
    <row r="5" spans="1:251" x14ac:dyDescent="0.2">
      <c r="A5" s="4" t="s">
        <v>239</v>
      </c>
      <c r="B5" s="7" t="s">
        <v>248</v>
      </c>
      <c r="C5" s="7" t="s">
        <v>248</v>
      </c>
      <c r="D5" s="7" t="s">
        <v>248</v>
      </c>
      <c r="E5" s="7" t="s">
        <v>248</v>
      </c>
      <c r="F5" s="7" t="s">
        <v>248</v>
      </c>
      <c r="G5" s="7" t="s">
        <v>248</v>
      </c>
      <c r="H5" s="7" t="s">
        <v>248</v>
      </c>
      <c r="I5" s="7" t="s">
        <v>248</v>
      </c>
      <c r="J5" s="7" t="s">
        <v>248</v>
      </c>
      <c r="K5" s="7" t="s">
        <v>248</v>
      </c>
      <c r="L5" s="7" t="s">
        <v>248</v>
      </c>
      <c r="M5" s="7" t="s">
        <v>248</v>
      </c>
      <c r="N5" s="7" t="s">
        <v>248</v>
      </c>
      <c r="O5" s="7" t="s">
        <v>248</v>
      </c>
      <c r="P5" s="7" t="s">
        <v>248</v>
      </c>
      <c r="Q5" s="7" t="s">
        <v>248</v>
      </c>
      <c r="R5" s="7" t="s">
        <v>248</v>
      </c>
      <c r="S5" s="7" t="s">
        <v>248</v>
      </c>
      <c r="T5" s="7" t="s">
        <v>248</v>
      </c>
      <c r="U5" s="7" t="s">
        <v>248</v>
      </c>
      <c r="V5" s="7" t="s">
        <v>248</v>
      </c>
      <c r="W5" s="7" t="s">
        <v>248</v>
      </c>
      <c r="X5" s="7" t="s">
        <v>248</v>
      </c>
      <c r="Y5" s="7" t="s">
        <v>248</v>
      </c>
      <c r="Z5" s="7" t="s">
        <v>248</v>
      </c>
      <c r="AA5" s="7" t="s">
        <v>248</v>
      </c>
      <c r="AB5" s="7" t="s">
        <v>248</v>
      </c>
      <c r="AC5" s="7" t="s">
        <v>248</v>
      </c>
      <c r="AD5" s="7" t="s">
        <v>248</v>
      </c>
      <c r="AE5" s="7" t="s">
        <v>248</v>
      </c>
      <c r="AF5" s="7" t="s">
        <v>248</v>
      </c>
      <c r="AG5" s="7" t="s">
        <v>248</v>
      </c>
      <c r="AH5" s="7" t="s">
        <v>248</v>
      </c>
      <c r="AI5" s="7" t="s">
        <v>248</v>
      </c>
      <c r="AJ5" s="7" t="s">
        <v>248</v>
      </c>
      <c r="AK5" s="7" t="s">
        <v>248</v>
      </c>
      <c r="AL5" s="7" t="s">
        <v>248</v>
      </c>
      <c r="AM5" s="7" t="s">
        <v>248</v>
      </c>
      <c r="AN5" s="7" t="s">
        <v>248</v>
      </c>
      <c r="AO5" s="7" t="s">
        <v>248</v>
      </c>
      <c r="AP5" s="7" t="s">
        <v>248</v>
      </c>
      <c r="AQ5" s="7" t="s">
        <v>248</v>
      </c>
      <c r="AR5" s="7" t="s">
        <v>248</v>
      </c>
      <c r="AS5" s="7" t="s">
        <v>248</v>
      </c>
      <c r="AT5" s="7" t="s">
        <v>248</v>
      </c>
      <c r="AU5" s="7" t="s">
        <v>248</v>
      </c>
      <c r="AV5" s="7" t="s">
        <v>248</v>
      </c>
      <c r="AW5" s="7" t="s">
        <v>248</v>
      </c>
      <c r="AX5" s="7" t="s">
        <v>248</v>
      </c>
      <c r="AY5" s="7" t="s">
        <v>248</v>
      </c>
      <c r="AZ5" s="7" t="s">
        <v>248</v>
      </c>
      <c r="BA5" s="7" t="s">
        <v>248</v>
      </c>
      <c r="BB5" s="7" t="s">
        <v>248</v>
      </c>
      <c r="BC5" s="7" t="s">
        <v>248</v>
      </c>
      <c r="BD5" s="7" t="s">
        <v>248</v>
      </c>
      <c r="BE5" s="7" t="s">
        <v>248</v>
      </c>
      <c r="BF5" s="7" t="s">
        <v>248</v>
      </c>
      <c r="BG5" s="7" t="s">
        <v>248</v>
      </c>
      <c r="BH5" s="7" t="s">
        <v>248</v>
      </c>
      <c r="BI5" s="7" t="s">
        <v>248</v>
      </c>
      <c r="BJ5" s="7" t="s">
        <v>248</v>
      </c>
      <c r="BK5" s="7" t="s">
        <v>248</v>
      </c>
      <c r="BL5" s="7" t="s">
        <v>248</v>
      </c>
      <c r="BM5" s="7" t="s">
        <v>248</v>
      </c>
      <c r="BN5" s="7" t="s">
        <v>248</v>
      </c>
      <c r="BO5" s="7" t="s">
        <v>248</v>
      </c>
      <c r="BP5" s="7" t="s">
        <v>248</v>
      </c>
      <c r="BQ5" s="7" t="s">
        <v>248</v>
      </c>
      <c r="BR5" s="7" t="s">
        <v>248</v>
      </c>
      <c r="BS5" s="7" t="s">
        <v>248</v>
      </c>
      <c r="BT5" s="7" t="s">
        <v>248</v>
      </c>
      <c r="BU5" s="7" t="s">
        <v>248</v>
      </c>
      <c r="BV5" s="7" t="s">
        <v>248</v>
      </c>
      <c r="BW5" s="7" t="s">
        <v>248</v>
      </c>
      <c r="BX5" s="7" t="s">
        <v>248</v>
      </c>
      <c r="BY5" s="7" t="s">
        <v>248</v>
      </c>
      <c r="BZ5" s="7" t="s">
        <v>248</v>
      </c>
      <c r="CA5" s="7" t="s">
        <v>248</v>
      </c>
      <c r="CB5" s="7" t="s">
        <v>248</v>
      </c>
      <c r="CC5" s="7" t="s">
        <v>248</v>
      </c>
      <c r="CD5" s="7" t="s">
        <v>248</v>
      </c>
      <c r="CE5" s="7" t="s">
        <v>248</v>
      </c>
      <c r="CF5" s="7" t="s">
        <v>248</v>
      </c>
      <c r="CG5" s="7" t="s">
        <v>248</v>
      </c>
      <c r="CH5" s="7" t="s">
        <v>248</v>
      </c>
      <c r="CI5" s="7" t="s">
        <v>248</v>
      </c>
      <c r="CJ5" s="7" t="s">
        <v>248</v>
      </c>
      <c r="CK5" s="7" t="s">
        <v>248</v>
      </c>
      <c r="CL5" s="7" t="s">
        <v>248</v>
      </c>
      <c r="CM5" s="7" t="s">
        <v>248</v>
      </c>
      <c r="CN5" s="7" t="s">
        <v>248</v>
      </c>
      <c r="CO5" s="7" t="s">
        <v>248</v>
      </c>
      <c r="CP5" s="7" t="s">
        <v>248</v>
      </c>
      <c r="CQ5" s="7" t="s">
        <v>248</v>
      </c>
      <c r="CR5" s="7" t="s">
        <v>248</v>
      </c>
      <c r="CS5" s="7" t="s">
        <v>248</v>
      </c>
      <c r="CT5" s="7" t="s">
        <v>248</v>
      </c>
      <c r="CU5" s="7" t="s">
        <v>248</v>
      </c>
      <c r="CV5" s="7" t="s">
        <v>248</v>
      </c>
      <c r="CW5" s="7" t="s">
        <v>248</v>
      </c>
      <c r="CX5" s="7" t="s">
        <v>248</v>
      </c>
      <c r="CY5" s="7" t="s">
        <v>248</v>
      </c>
      <c r="CZ5" s="7" t="s">
        <v>248</v>
      </c>
      <c r="DA5" s="7" t="s">
        <v>248</v>
      </c>
      <c r="DB5" s="7" t="s">
        <v>248</v>
      </c>
      <c r="DC5" s="7" t="s">
        <v>248</v>
      </c>
      <c r="DD5" s="7" t="s">
        <v>248</v>
      </c>
      <c r="DE5" s="7" t="s">
        <v>248</v>
      </c>
      <c r="DF5" s="7" t="s">
        <v>248</v>
      </c>
      <c r="DG5" s="7" t="s">
        <v>248</v>
      </c>
      <c r="DH5" s="7" t="s">
        <v>248</v>
      </c>
      <c r="DI5" s="7" t="s">
        <v>248</v>
      </c>
      <c r="DJ5" s="7" t="s">
        <v>248</v>
      </c>
      <c r="DK5" s="7" t="s">
        <v>248</v>
      </c>
      <c r="DL5" s="7" t="s">
        <v>248</v>
      </c>
      <c r="DM5" s="7" t="s">
        <v>248</v>
      </c>
      <c r="DN5" s="7" t="s">
        <v>248</v>
      </c>
      <c r="DO5" s="7" t="s">
        <v>248</v>
      </c>
      <c r="DP5" s="7" t="s">
        <v>248</v>
      </c>
      <c r="DQ5" s="7" t="s">
        <v>248</v>
      </c>
      <c r="DR5" s="7" t="s">
        <v>248</v>
      </c>
      <c r="DS5" s="7" t="s">
        <v>248</v>
      </c>
      <c r="DT5" s="7" t="s">
        <v>248</v>
      </c>
      <c r="DU5" s="7" t="s">
        <v>248</v>
      </c>
      <c r="DV5" s="7" t="s">
        <v>248</v>
      </c>
      <c r="DW5" s="7" t="s">
        <v>248</v>
      </c>
      <c r="DX5" s="7" t="s">
        <v>248</v>
      </c>
      <c r="DY5" s="7" t="s">
        <v>248</v>
      </c>
      <c r="DZ5" s="7" t="s">
        <v>248</v>
      </c>
      <c r="EA5" s="7" t="s">
        <v>248</v>
      </c>
      <c r="EB5" s="7" t="s">
        <v>248</v>
      </c>
      <c r="EC5" s="7" t="s">
        <v>248</v>
      </c>
      <c r="ED5" s="7" t="s">
        <v>248</v>
      </c>
      <c r="EE5" s="7" t="s">
        <v>248</v>
      </c>
      <c r="EF5" s="7" t="s">
        <v>248</v>
      </c>
      <c r="EG5" s="7" t="s">
        <v>248</v>
      </c>
      <c r="EH5" s="7" t="s">
        <v>248</v>
      </c>
      <c r="EI5" s="7" t="s">
        <v>248</v>
      </c>
      <c r="EJ5" s="7" t="s">
        <v>248</v>
      </c>
      <c r="EK5" s="7" t="s">
        <v>248</v>
      </c>
      <c r="EL5" s="7" t="s">
        <v>248</v>
      </c>
      <c r="EM5" s="7" t="s">
        <v>248</v>
      </c>
      <c r="EN5" s="7" t="s">
        <v>248</v>
      </c>
      <c r="EO5" s="7" t="s">
        <v>248</v>
      </c>
      <c r="EP5" s="7" t="s">
        <v>248</v>
      </c>
      <c r="EQ5" s="7" t="s">
        <v>248</v>
      </c>
      <c r="ER5" s="7" t="s">
        <v>248</v>
      </c>
      <c r="ES5" s="7" t="s">
        <v>248</v>
      </c>
      <c r="ET5" s="7" t="s">
        <v>248</v>
      </c>
      <c r="EU5" s="7" t="s">
        <v>248</v>
      </c>
      <c r="EV5" s="7" t="s">
        <v>248</v>
      </c>
      <c r="EW5" s="7" t="s">
        <v>248</v>
      </c>
      <c r="EX5" s="7" t="s">
        <v>248</v>
      </c>
      <c r="EY5" s="7" t="s">
        <v>248</v>
      </c>
      <c r="EZ5" s="7" t="s">
        <v>248</v>
      </c>
      <c r="FA5" s="7" t="s">
        <v>248</v>
      </c>
      <c r="FB5" s="7" t="s">
        <v>248</v>
      </c>
      <c r="FC5" s="7" t="s">
        <v>248</v>
      </c>
      <c r="FD5" s="7" t="s">
        <v>248</v>
      </c>
      <c r="FE5" s="7" t="s">
        <v>248</v>
      </c>
      <c r="FF5" s="7" t="s">
        <v>248</v>
      </c>
      <c r="FG5" s="7" t="s">
        <v>248</v>
      </c>
      <c r="FH5" s="7" t="s">
        <v>248</v>
      </c>
      <c r="FI5" s="7" t="s">
        <v>248</v>
      </c>
      <c r="FJ5" s="7" t="s">
        <v>248</v>
      </c>
      <c r="FK5" s="7" t="s">
        <v>248</v>
      </c>
      <c r="FL5" s="7" t="s">
        <v>248</v>
      </c>
      <c r="FM5" s="7" t="s">
        <v>248</v>
      </c>
      <c r="FN5" s="7" t="s">
        <v>248</v>
      </c>
      <c r="FO5" s="7" t="s">
        <v>248</v>
      </c>
      <c r="FP5" s="7" t="s">
        <v>248</v>
      </c>
      <c r="FQ5" s="7" t="s">
        <v>248</v>
      </c>
      <c r="FR5" s="7" t="s">
        <v>248</v>
      </c>
      <c r="FS5" s="7" t="s">
        <v>248</v>
      </c>
      <c r="FT5" s="7" t="s">
        <v>248</v>
      </c>
      <c r="FU5" s="7" t="s">
        <v>248</v>
      </c>
      <c r="FV5" s="7" t="s">
        <v>248</v>
      </c>
      <c r="FW5" s="7" t="s">
        <v>248</v>
      </c>
      <c r="FX5" s="7" t="s">
        <v>248</v>
      </c>
      <c r="FY5" s="7" t="s">
        <v>248</v>
      </c>
      <c r="FZ5" s="7" t="s">
        <v>248</v>
      </c>
      <c r="GA5" s="7" t="s">
        <v>248</v>
      </c>
      <c r="GB5" s="7" t="s">
        <v>248</v>
      </c>
      <c r="GC5" s="7" t="s">
        <v>248</v>
      </c>
      <c r="GD5" s="7" t="s">
        <v>248</v>
      </c>
      <c r="GE5" s="7" t="s">
        <v>248</v>
      </c>
      <c r="GF5" s="7" t="s">
        <v>248</v>
      </c>
      <c r="GG5" s="7" t="s">
        <v>248</v>
      </c>
      <c r="GH5" s="7" t="s">
        <v>248</v>
      </c>
      <c r="GI5" s="7" t="s">
        <v>248</v>
      </c>
      <c r="GJ5" s="7" t="s">
        <v>248</v>
      </c>
      <c r="GK5" s="7" t="s">
        <v>248</v>
      </c>
      <c r="GL5" s="7" t="s">
        <v>248</v>
      </c>
      <c r="GM5" s="7" t="s">
        <v>248</v>
      </c>
      <c r="GN5" s="7" t="s">
        <v>248</v>
      </c>
      <c r="GO5" s="7" t="s">
        <v>248</v>
      </c>
      <c r="GP5" s="7" t="s">
        <v>248</v>
      </c>
      <c r="GQ5" s="7" t="s">
        <v>248</v>
      </c>
      <c r="GR5" s="7" t="s">
        <v>248</v>
      </c>
      <c r="GS5" s="7" t="s">
        <v>248</v>
      </c>
      <c r="GT5" s="7" t="s">
        <v>248</v>
      </c>
      <c r="GU5" s="7" t="s">
        <v>248</v>
      </c>
      <c r="GV5" s="7" t="s">
        <v>248</v>
      </c>
      <c r="GW5" s="7" t="s">
        <v>248</v>
      </c>
      <c r="GX5" s="7" t="s">
        <v>248</v>
      </c>
      <c r="GY5" s="7" t="s">
        <v>248</v>
      </c>
      <c r="GZ5" s="7" t="s">
        <v>248</v>
      </c>
      <c r="HA5" s="7" t="s">
        <v>248</v>
      </c>
      <c r="HB5" s="7" t="s">
        <v>248</v>
      </c>
      <c r="HC5" s="7" t="s">
        <v>248</v>
      </c>
      <c r="HD5" s="7" t="s">
        <v>248</v>
      </c>
      <c r="HE5" s="7" t="s">
        <v>248</v>
      </c>
      <c r="HF5" s="7" t="s">
        <v>248</v>
      </c>
      <c r="HG5" s="7" t="s">
        <v>248</v>
      </c>
      <c r="HH5" s="7" t="s">
        <v>248</v>
      </c>
      <c r="HI5" s="7" t="s">
        <v>248</v>
      </c>
      <c r="HJ5" s="7" t="s">
        <v>248</v>
      </c>
      <c r="HK5" s="7" t="s">
        <v>248</v>
      </c>
      <c r="HL5" s="7" t="s">
        <v>248</v>
      </c>
      <c r="HM5" s="7" t="s">
        <v>248</v>
      </c>
      <c r="HN5" s="7" t="s">
        <v>248</v>
      </c>
      <c r="HO5" s="7" t="s">
        <v>248</v>
      </c>
      <c r="HP5" s="7" t="s">
        <v>248</v>
      </c>
      <c r="HQ5" s="7" t="s">
        <v>248</v>
      </c>
      <c r="HR5" s="7" t="s">
        <v>248</v>
      </c>
      <c r="HS5" s="7" t="s">
        <v>248</v>
      </c>
      <c r="HT5" s="7" t="s">
        <v>248</v>
      </c>
      <c r="HU5" s="7" t="s">
        <v>248</v>
      </c>
      <c r="HV5" s="7" t="s">
        <v>248</v>
      </c>
      <c r="HW5" s="7" t="s">
        <v>248</v>
      </c>
      <c r="HX5" s="7" t="s">
        <v>248</v>
      </c>
      <c r="HY5" s="7" t="s">
        <v>248</v>
      </c>
      <c r="HZ5" s="7" t="s">
        <v>248</v>
      </c>
      <c r="IA5" s="7" t="s">
        <v>248</v>
      </c>
      <c r="IB5" s="7" t="s">
        <v>248</v>
      </c>
      <c r="IC5" s="7" t="s">
        <v>248</v>
      </c>
      <c r="ID5" s="7" t="s">
        <v>248</v>
      </c>
      <c r="IE5" s="7" t="s">
        <v>248</v>
      </c>
      <c r="IF5" s="7" t="s">
        <v>248</v>
      </c>
      <c r="IG5" s="7" t="s">
        <v>248</v>
      </c>
      <c r="IH5" s="7" t="s">
        <v>248</v>
      </c>
      <c r="II5" s="7" t="s">
        <v>248</v>
      </c>
      <c r="IJ5" s="7" t="s">
        <v>248</v>
      </c>
      <c r="IK5" s="7" t="s">
        <v>248</v>
      </c>
      <c r="IL5" s="7" t="s">
        <v>248</v>
      </c>
      <c r="IM5" s="7" t="s">
        <v>248</v>
      </c>
      <c r="IN5" s="7" t="s">
        <v>248</v>
      </c>
      <c r="IO5" s="7" t="s">
        <v>248</v>
      </c>
      <c r="IP5" s="7" t="s">
        <v>248</v>
      </c>
      <c r="IQ5" s="7" t="s">
        <v>248</v>
      </c>
    </row>
    <row r="6" spans="1:251" x14ac:dyDescent="0.2">
      <c r="A6" s="4" t="s">
        <v>240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>
        <v>1</v>
      </c>
      <c r="DU6" s="1">
        <v>1</v>
      </c>
      <c r="DV6" s="1">
        <v>1</v>
      </c>
      <c r="DW6" s="1">
        <v>1</v>
      </c>
      <c r="DX6" s="1">
        <v>1</v>
      </c>
      <c r="DY6" s="1">
        <v>1</v>
      </c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1</v>
      </c>
      <c r="EH6" s="1">
        <v>1</v>
      </c>
      <c r="EI6" s="1">
        <v>1</v>
      </c>
      <c r="EJ6" s="1">
        <v>1</v>
      </c>
      <c r="EK6" s="1">
        <v>1</v>
      </c>
      <c r="EL6" s="1">
        <v>1</v>
      </c>
      <c r="EM6" s="1">
        <v>1</v>
      </c>
      <c r="EN6" s="1">
        <v>1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>
        <v>1</v>
      </c>
      <c r="EU6" s="1">
        <v>1</v>
      </c>
      <c r="EV6" s="1">
        <v>1</v>
      </c>
      <c r="EW6" s="1">
        <v>1</v>
      </c>
      <c r="EX6" s="1">
        <v>1</v>
      </c>
      <c r="EY6" s="1">
        <v>1</v>
      </c>
      <c r="EZ6" s="1">
        <v>1</v>
      </c>
      <c r="FA6" s="1">
        <v>1</v>
      </c>
      <c r="FB6" s="1">
        <v>1</v>
      </c>
      <c r="FC6" s="1">
        <v>1</v>
      </c>
      <c r="FD6" s="1">
        <v>1</v>
      </c>
      <c r="FE6" s="1">
        <v>1</v>
      </c>
      <c r="FF6" s="1">
        <v>1</v>
      </c>
      <c r="FG6" s="1">
        <v>1</v>
      </c>
      <c r="FH6" s="1">
        <v>1</v>
      </c>
      <c r="FI6" s="1">
        <v>1</v>
      </c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1</v>
      </c>
      <c r="FP6" s="1">
        <v>1</v>
      </c>
      <c r="FQ6" s="1">
        <v>1</v>
      </c>
      <c r="FR6" s="1">
        <v>1</v>
      </c>
      <c r="FS6" s="1">
        <v>1</v>
      </c>
      <c r="FT6" s="1">
        <v>1</v>
      </c>
      <c r="FU6" s="1">
        <v>1</v>
      </c>
      <c r="FV6" s="1">
        <v>1</v>
      </c>
      <c r="FW6" s="1">
        <v>1</v>
      </c>
      <c r="FX6" s="1">
        <v>1</v>
      </c>
      <c r="FY6" s="1">
        <v>1</v>
      </c>
      <c r="FZ6" s="1">
        <v>1</v>
      </c>
      <c r="GA6" s="1">
        <v>1</v>
      </c>
      <c r="GB6" s="1">
        <v>1</v>
      </c>
      <c r="GC6" s="1">
        <v>1</v>
      </c>
      <c r="GD6" s="1">
        <v>1</v>
      </c>
      <c r="GE6" s="1">
        <v>1</v>
      </c>
      <c r="GF6" s="1">
        <v>1</v>
      </c>
      <c r="GG6" s="1">
        <v>1</v>
      </c>
      <c r="GH6" s="1">
        <v>1</v>
      </c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 s="1">
        <v>1</v>
      </c>
      <c r="HH6" s="1">
        <v>1</v>
      </c>
      <c r="HI6" s="1">
        <v>1</v>
      </c>
      <c r="HJ6" s="1">
        <v>1</v>
      </c>
      <c r="HK6" s="1">
        <v>1</v>
      </c>
      <c r="HL6" s="1">
        <v>1</v>
      </c>
      <c r="HM6" s="1">
        <v>1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1</v>
      </c>
      <c r="HX6" s="1">
        <v>1</v>
      </c>
      <c r="HY6" s="1">
        <v>1</v>
      </c>
      <c r="HZ6" s="1">
        <v>1</v>
      </c>
      <c r="IA6" s="1">
        <v>1</v>
      </c>
      <c r="IB6" s="1">
        <v>1</v>
      </c>
      <c r="IC6" s="1">
        <v>1</v>
      </c>
      <c r="ID6" s="1">
        <v>1</v>
      </c>
      <c r="IE6" s="1">
        <v>1</v>
      </c>
      <c r="IF6" s="1">
        <v>1</v>
      </c>
      <c r="IG6" s="1">
        <v>1</v>
      </c>
      <c r="IH6" s="1">
        <v>1</v>
      </c>
      <c r="II6" s="1">
        <v>1</v>
      </c>
      <c r="IJ6" s="1">
        <v>1</v>
      </c>
      <c r="IK6" s="1">
        <v>1</v>
      </c>
      <c r="IL6" s="1">
        <v>1</v>
      </c>
      <c r="IM6" s="1">
        <v>1</v>
      </c>
      <c r="IN6" s="1">
        <v>1</v>
      </c>
      <c r="IO6" s="1">
        <v>1</v>
      </c>
      <c r="IP6" s="1">
        <v>1</v>
      </c>
      <c r="IQ6" s="1">
        <v>1</v>
      </c>
    </row>
    <row r="7" spans="1:251" s="6" customFormat="1" x14ac:dyDescent="0.2">
      <c r="A7" s="5" t="s">
        <v>241</v>
      </c>
      <c r="B7" s="6">
        <v>45383</v>
      </c>
      <c r="C7" s="6">
        <v>45383</v>
      </c>
      <c r="D7" s="6">
        <v>45383</v>
      </c>
      <c r="E7" s="6">
        <v>45383</v>
      </c>
      <c r="F7" s="6">
        <v>45383</v>
      </c>
      <c r="G7" s="6">
        <v>42979</v>
      </c>
      <c r="H7" s="6">
        <v>45383</v>
      </c>
      <c r="I7" s="6">
        <v>45383</v>
      </c>
      <c r="J7" s="6">
        <v>45383</v>
      </c>
      <c r="K7" s="6">
        <v>45383</v>
      </c>
      <c r="L7" s="6">
        <v>45383</v>
      </c>
      <c r="M7" s="6">
        <v>45383</v>
      </c>
      <c r="N7" s="6">
        <v>44743</v>
      </c>
      <c r="O7" s="6">
        <v>45383</v>
      </c>
      <c r="P7" s="6">
        <v>45383</v>
      </c>
      <c r="Q7" s="6">
        <v>45383</v>
      </c>
      <c r="R7" s="6">
        <v>45383</v>
      </c>
      <c r="S7" s="6">
        <v>45383</v>
      </c>
      <c r="T7" s="6">
        <v>45383</v>
      </c>
      <c r="U7" s="6">
        <v>45383</v>
      </c>
      <c r="V7" s="6">
        <v>45383</v>
      </c>
      <c r="W7" s="6">
        <v>42979</v>
      </c>
      <c r="X7" s="6">
        <v>42979</v>
      </c>
      <c r="Y7" s="6">
        <v>42979</v>
      </c>
      <c r="Z7" s="6">
        <v>45383</v>
      </c>
      <c r="AA7" s="6">
        <v>45383</v>
      </c>
      <c r="AB7" s="6">
        <v>45383</v>
      </c>
      <c r="AC7" s="6">
        <v>42979</v>
      </c>
      <c r="AD7" s="6">
        <v>45383</v>
      </c>
      <c r="AE7" s="6">
        <v>45383</v>
      </c>
      <c r="AF7" s="6">
        <v>45383</v>
      </c>
      <c r="AG7" s="6">
        <v>45383</v>
      </c>
      <c r="AH7" s="6">
        <v>45383</v>
      </c>
      <c r="AI7" s="6">
        <v>45383</v>
      </c>
      <c r="AJ7" s="6">
        <v>42979</v>
      </c>
      <c r="AK7" s="6">
        <v>42979</v>
      </c>
      <c r="AL7" s="6">
        <v>45383</v>
      </c>
      <c r="AM7" s="6">
        <v>45383</v>
      </c>
      <c r="AN7" s="6">
        <v>45383</v>
      </c>
      <c r="AO7" s="6">
        <v>42979</v>
      </c>
      <c r="AP7" s="6">
        <v>42979</v>
      </c>
      <c r="AQ7" s="6">
        <v>42979</v>
      </c>
      <c r="AR7" s="6">
        <v>45383</v>
      </c>
      <c r="AS7" s="6">
        <v>45383</v>
      </c>
      <c r="AT7" s="6">
        <v>42979</v>
      </c>
      <c r="AU7" s="6">
        <v>42979</v>
      </c>
      <c r="AV7" s="6">
        <v>42979</v>
      </c>
      <c r="AW7" s="6">
        <v>42979</v>
      </c>
      <c r="AX7" s="6">
        <v>42979</v>
      </c>
      <c r="AY7" s="6">
        <v>42979</v>
      </c>
      <c r="AZ7" s="6">
        <v>42979</v>
      </c>
      <c r="BA7" s="6">
        <v>42979</v>
      </c>
      <c r="BB7" s="6">
        <v>42979</v>
      </c>
      <c r="BC7" s="6">
        <v>42979</v>
      </c>
      <c r="BD7" s="6">
        <v>42979</v>
      </c>
      <c r="BE7" s="6">
        <v>42979</v>
      </c>
      <c r="BF7" s="6">
        <v>42979</v>
      </c>
      <c r="BG7" s="6">
        <v>42979</v>
      </c>
      <c r="BH7" s="6">
        <v>42979</v>
      </c>
      <c r="BI7" s="6">
        <v>42979</v>
      </c>
      <c r="BJ7" s="6">
        <v>42979</v>
      </c>
      <c r="BK7" s="6">
        <v>42979</v>
      </c>
      <c r="BL7" s="6">
        <v>42979</v>
      </c>
      <c r="BM7" s="6">
        <v>42979</v>
      </c>
      <c r="BN7" s="6">
        <v>42979</v>
      </c>
      <c r="BO7" s="6">
        <v>42979</v>
      </c>
      <c r="BP7" s="6">
        <v>42979</v>
      </c>
      <c r="BQ7" s="6">
        <v>42979</v>
      </c>
      <c r="BR7" s="6">
        <v>42979</v>
      </c>
      <c r="BS7" s="6">
        <v>42979</v>
      </c>
      <c r="BT7" s="6">
        <v>42979</v>
      </c>
      <c r="BU7" s="6">
        <v>42979</v>
      </c>
      <c r="BV7" s="6">
        <v>42979</v>
      </c>
      <c r="BW7" s="6">
        <v>45383</v>
      </c>
      <c r="BX7" s="6">
        <v>45383</v>
      </c>
      <c r="BY7" s="6">
        <v>45383</v>
      </c>
      <c r="BZ7" s="6">
        <v>45383</v>
      </c>
      <c r="CA7" s="6">
        <v>45383</v>
      </c>
      <c r="CB7" s="6">
        <v>42979</v>
      </c>
      <c r="CC7" s="6">
        <v>45383</v>
      </c>
      <c r="CD7" s="6">
        <v>42979</v>
      </c>
      <c r="CE7" s="6">
        <v>42979</v>
      </c>
      <c r="CF7" s="6">
        <v>42979</v>
      </c>
      <c r="CG7" s="6">
        <v>45383</v>
      </c>
      <c r="CH7" s="6">
        <v>45383</v>
      </c>
      <c r="CI7" s="6">
        <v>45383</v>
      </c>
      <c r="CJ7" s="6">
        <v>45383</v>
      </c>
      <c r="CK7" s="6">
        <v>45383</v>
      </c>
      <c r="CL7" s="6">
        <v>45383</v>
      </c>
      <c r="CM7" s="6">
        <v>45383</v>
      </c>
      <c r="CN7" s="6">
        <v>45383</v>
      </c>
      <c r="CO7" s="6">
        <v>45383</v>
      </c>
      <c r="CP7" s="6">
        <v>45383</v>
      </c>
      <c r="CQ7" s="6">
        <v>45383</v>
      </c>
      <c r="CR7" s="6">
        <v>45383</v>
      </c>
      <c r="CS7" s="6">
        <v>45383</v>
      </c>
      <c r="CT7" s="6">
        <v>44743</v>
      </c>
      <c r="CU7" s="6">
        <v>44743</v>
      </c>
      <c r="CV7" s="6">
        <v>42979</v>
      </c>
      <c r="CW7" s="6">
        <v>42979</v>
      </c>
      <c r="CX7" s="6">
        <v>45383</v>
      </c>
      <c r="CY7" s="6">
        <v>45383</v>
      </c>
      <c r="CZ7" s="6">
        <v>42979</v>
      </c>
      <c r="DA7" s="6">
        <v>45383</v>
      </c>
      <c r="DB7" s="6">
        <v>45383</v>
      </c>
      <c r="DC7" s="6">
        <v>44470</v>
      </c>
      <c r="DD7" s="6">
        <v>44470</v>
      </c>
      <c r="DE7" s="6">
        <v>45383</v>
      </c>
      <c r="DF7" s="6">
        <v>45383</v>
      </c>
      <c r="DG7" s="6">
        <v>45383</v>
      </c>
      <c r="DH7" s="6">
        <v>45383</v>
      </c>
      <c r="DI7" s="6">
        <v>45383</v>
      </c>
      <c r="DJ7" s="6">
        <v>45383</v>
      </c>
      <c r="DK7" s="6">
        <v>45383</v>
      </c>
      <c r="DL7" s="6">
        <v>45383</v>
      </c>
      <c r="DM7" s="6">
        <v>45383</v>
      </c>
      <c r="DN7" s="6">
        <v>45383</v>
      </c>
      <c r="DO7" s="6">
        <v>45383</v>
      </c>
      <c r="DP7" s="6">
        <v>42979</v>
      </c>
      <c r="DQ7" s="6">
        <v>42979</v>
      </c>
      <c r="DR7" s="6">
        <v>42979</v>
      </c>
      <c r="DS7" s="6">
        <v>42979</v>
      </c>
      <c r="DT7" s="6">
        <v>45383</v>
      </c>
      <c r="DU7" s="6">
        <v>45383</v>
      </c>
      <c r="DV7" s="6">
        <v>45383</v>
      </c>
      <c r="DW7" s="6">
        <v>45383</v>
      </c>
      <c r="DX7" s="6">
        <v>45383</v>
      </c>
      <c r="DY7" s="6">
        <v>45383</v>
      </c>
      <c r="DZ7" s="6">
        <v>45383</v>
      </c>
      <c r="EA7" s="6">
        <v>45383</v>
      </c>
      <c r="EB7" s="6">
        <v>45383</v>
      </c>
      <c r="EC7" s="6">
        <v>45383</v>
      </c>
      <c r="ED7" s="6">
        <v>45383</v>
      </c>
      <c r="EE7" s="6">
        <v>45383</v>
      </c>
      <c r="EF7" s="6">
        <v>45383</v>
      </c>
      <c r="EG7" s="6">
        <v>45383</v>
      </c>
      <c r="EH7" s="6">
        <v>45383</v>
      </c>
      <c r="EI7" s="6">
        <v>42979</v>
      </c>
      <c r="EJ7" s="6">
        <v>45383</v>
      </c>
      <c r="EK7" s="6">
        <v>45383</v>
      </c>
      <c r="EL7" s="6">
        <v>45383</v>
      </c>
      <c r="EM7" s="6">
        <v>45383</v>
      </c>
      <c r="EN7" s="6">
        <v>45383</v>
      </c>
      <c r="EO7" s="6">
        <v>45383</v>
      </c>
      <c r="EP7" s="6">
        <v>44743</v>
      </c>
      <c r="EQ7" s="6">
        <v>45383</v>
      </c>
      <c r="ER7" s="6">
        <v>45383</v>
      </c>
      <c r="ES7" s="6">
        <v>45383</v>
      </c>
      <c r="ET7" s="6">
        <v>45383</v>
      </c>
      <c r="EU7" s="6">
        <v>45383</v>
      </c>
      <c r="EV7" s="6">
        <v>45383</v>
      </c>
      <c r="EW7" s="6">
        <v>45383</v>
      </c>
      <c r="EX7" s="6">
        <v>45383</v>
      </c>
      <c r="EY7" s="6">
        <v>42979</v>
      </c>
      <c r="EZ7" s="6">
        <v>42979</v>
      </c>
      <c r="FA7" s="6">
        <v>42979</v>
      </c>
      <c r="FB7" s="6">
        <v>45383</v>
      </c>
      <c r="FC7" s="6">
        <v>45383</v>
      </c>
      <c r="FD7" s="6">
        <v>45383</v>
      </c>
      <c r="FE7" s="6">
        <v>42979</v>
      </c>
      <c r="FF7" s="6">
        <v>45383</v>
      </c>
      <c r="FG7" s="6">
        <v>45383</v>
      </c>
      <c r="FH7" s="6">
        <v>45383</v>
      </c>
      <c r="FI7" s="6">
        <v>45383</v>
      </c>
      <c r="FJ7" s="6">
        <v>45383</v>
      </c>
      <c r="FK7" s="6">
        <v>45383</v>
      </c>
      <c r="FL7" s="6">
        <v>42979</v>
      </c>
      <c r="FM7" s="6">
        <v>42979</v>
      </c>
      <c r="FN7" s="6">
        <v>45383</v>
      </c>
      <c r="FO7" s="6">
        <v>45383</v>
      </c>
      <c r="FP7" s="6">
        <v>45383</v>
      </c>
      <c r="FQ7" s="6">
        <v>42979</v>
      </c>
      <c r="FR7" s="6">
        <v>42979</v>
      </c>
      <c r="FS7" s="6">
        <v>42979</v>
      </c>
      <c r="FT7" s="6">
        <v>45383</v>
      </c>
      <c r="FU7" s="6">
        <v>45383</v>
      </c>
      <c r="FV7" s="6">
        <v>42979</v>
      </c>
      <c r="FW7" s="6">
        <v>42979</v>
      </c>
      <c r="FX7" s="6">
        <v>42979</v>
      </c>
      <c r="FY7" s="6">
        <v>42979</v>
      </c>
      <c r="FZ7" s="6">
        <v>42979</v>
      </c>
      <c r="GA7" s="6">
        <v>42979</v>
      </c>
      <c r="GB7" s="6">
        <v>42979</v>
      </c>
      <c r="GC7" s="6">
        <v>42979</v>
      </c>
      <c r="GD7" s="6">
        <v>42979</v>
      </c>
      <c r="GE7" s="6">
        <v>42979</v>
      </c>
      <c r="GF7" s="6">
        <v>42979</v>
      </c>
      <c r="GG7" s="6">
        <v>42979</v>
      </c>
      <c r="GH7" s="6">
        <v>42979</v>
      </c>
      <c r="GI7" s="6">
        <v>42979</v>
      </c>
      <c r="GJ7" s="6">
        <v>42979</v>
      </c>
      <c r="GK7" s="6">
        <v>42979</v>
      </c>
      <c r="GL7" s="6">
        <v>42979</v>
      </c>
      <c r="GM7" s="6">
        <v>42979</v>
      </c>
      <c r="GN7" s="6">
        <v>42979</v>
      </c>
      <c r="GO7" s="6">
        <v>42979</v>
      </c>
      <c r="GP7" s="6">
        <v>42979</v>
      </c>
      <c r="GQ7" s="6">
        <v>42979</v>
      </c>
      <c r="GR7" s="6">
        <v>42979</v>
      </c>
      <c r="GS7" s="6">
        <v>42979</v>
      </c>
      <c r="GT7" s="6">
        <v>42979</v>
      </c>
      <c r="GU7" s="6">
        <v>42979</v>
      </c>
      <c r="GV7" s="6">
        <v>42979</v>
      </c>
      <c r="GW7" s="6">
        <v>42979</v>
      </c>
      <c r="GX7" s="6">
        <v>42979</v>
      </c>
      <c r="GY7" s="6">
        <v>45383</v>
      </c>
      <c r="GZ7" s="6">
        <v>45383</v>
      </c>
      <c r="HA7" s="6">
        <v>45383</v>
      </c>
      <c r="HB7" s="6">
        <v>45383</v>
      </c>
      <c r="HC7" s="6">
        <v>45383</v>
      </c>
      <c r="HD7" s="6">
        <v>42979</v>
      </c>
      <c r="HE7" s="6">
        <v>45383</v>
      </c>
      <c r="HF7" s="6">
        <v>42979</v>
      </c>
      <c r="HG7" s="6">
        <v>42979</v>
      </c>
      <c r="HH7" s="6">
        <v>42979</v>
      </c>
      <c r="HI7" s="6">
        <v>45383</v>
      </c>
      <c r="HJ7" s="6">
        <v>45383</v>
      </c>
      <c r="HK7" s="6">
        <v>45383</v>
      </c>
      <c r="HL7" s="6">
        <v>45383</v>
      </c>
      <c r="HM7" s="6">
        <v>45383</v>
      </c>
      <c r="HN7" s="6">
        <v>45383</v>
      </c>
      <c r="HO7" s="6">
        <v>45383</v>
      </c>
      <c r="HP7" s="6">
        <v>45383</v>
      </c>
      <c r="HQ7" s="6">
        <v>45383</v>
      </c>
      <c r="HR7" s="6">
        <v>45383</v>
      </c>
      <c r="HS7" s="6">
        <v>45383</v>
      </c>
      <c r="HT7" s="6">
        <v>45383</v>
      </c>
      <c r="HU7" s="6">
        <v>45383</v>
      </c>
      <c r="HV7" s="6">
        <v>44743</v>
      </c>
      <c r="HW7" s="6">
        <v>44743</v>
      </c>
      <c r="HX7" s="6">
        <v>42979</v>
      </c>
      <c r="HY7" s="6">
        <v>42979</v>
      </c>
      <c r="HZ7" s="6">
        <v>45383</v>
      </c>
      <c r="IA7" s="6">
        <v>45383</v>
      </c>
      <c r="IB7" s="6">
        <v>42979</v>
      </c>
      <c r="IC7" s="6">
        <v>45383</v>
      </c>
      <c r="ID7" s="6">
        <v>45383</v>
      </c>
      <c r="IE7" s="6">
        <v>44470</v>
      </c>
      <c r="IF7" s="6">
        <v>44470</v>
      </c>
      <c r="IG7" s="6">
        <v>45383</v>
      </c>
      <c r="IH7" s="6">
        <v>45383</v>
      </c>
      <c r="II7" s="6">
        <v>45383</v>
      </c>
      <c r="IJ7" s="6">
        <v>45383</v>
      </c>
      <c r="IK7" s="6">
        <v>45383</v>
      </c>
      <c r="IL7" s="6">
        <v>45383</v>
      </c>
      <c r="IM7" s="6">
        <v>45383</v>
      </c>
      <c r="IN7" s="6">
        <v>45383</v>
      </c>
      <c r="IO7" s="6">
        <v>45383</v>
      </c>
      <c r="IP7" s="6">
        <v>45383</v>
      </c>
      <c r="IQ7" s="6">
        <v>45383</v>
      </c>
    </row>
    <row r="8" spans="1:251" s="6" customFormat="1" x14ac:dyDescent="0.2">
      <c r="A8" s="5" t="s">
        <v>242</v>
      </c>
      <c r="B8" s="6">
        <v>46023</v>
      </c>
      <c r="C8" s="6">
        <v>46023</v>
      </c>
      <c r="D8" s="6">
        <v>46023</v>
      </c>
      <c r="E8" s="6">
        <v>46023</v>
      </c>
      <c r="F8" s="6">
        <v>46023</v>
      </c>
      <c r="G8" s="6">
        <v>46023</v>
      </c>
      <c r="H8" s="6">
        <v>46023</v>
      </c>
      <c r="I8" s="6">
        <v>46023</v>
      </c>
      <c r="J8" s="6">
        <v>46023</v>
      </c>
      <c r="K8" s="6">
        <v>46023</v>
      </c>
      <c r="L8" s="6">
        <v>46023</v>
      </c>
      <c r="M8" s="6">
        <v>46023</v>
      </c>
      <c r="N8" s="6">
        <v>46023</v>
      </c>
      <c r="O8" s="6">
        <v>46023</v>
      </c>
      <c r="P8" s="6">
        <v>46023</v>
      </c>
      <c r="Q8" s="6">
        <v>46023</v>
      </c>
      <c r="R8" s="6">
        <v>46023</v>
      </c>
      <c r="S8" s="6">
        <v>46023</v>
      </c>
      <c r="T8" s="6">
        <v>46023</v>
      </c>
      <c r="U8" s="6">
        <v>46023</v>
      </c>
      <c r="V8" s="6">
        <v>46023</v>
      </c>
      <c r="W8" s="6">
        <v>46023</v>
      </c>
      <c r="X8" s="6">
        <v>46023</v>
      </c>
      <c r="Y8" s="6">
        <v>46023</v>
      </c>
      <c r="Z8" s="6">
        <v>46023</v>
      </c>
      <c r="AA8" s="6">
        <v>46023</v>
      </c>
      <c r="AB8" s="6">
        <v>46023</v>
      </c>
      <c r="AC8" s="6">
        <v>46023</v>
      </c>
      <c r="AD8" s="6">
        <v>46023</v>
      </c>
      <c r="AE8" s="6">
        <v>46023</v>
      </c>
      <c r="AF8" s="6">
        <v>46023</v>
      </c>
      <c r="AG8" s="6">
        <v>46023</v>
      </c>
      <c r="AH8" s="6">
        <v>46023</v>
      </c>
      <c r="AI8" s="6">
        <v>46023</v>
      </c>
      <c r="AJ8" s="6">
        <v>46023</v>
      </c>
      <c r="AK8" s="6">
        <v>46023</v>
      </c>
      <c r="AL8" s="6">
        <v>46023</v>
      </c>
      <c r="AM8" s="6">
        <v>46023</v>
      </c>
      <c r="AN8" s="6">
        <v>46023</v>
      </c>
      <c r="AO8" s="6">
        <v>46023</v>
      </c>
      <c r="AP8" s="6">
        <v>46023</v>
      </c>
      <c r="AQ8" s="6">
        <v>46023</v>
      </c>
      <c r="AR8" s="6">
        <v>46023</v>
      </c>
      <c r="AS8" s="6">
        <v>46023</v>
      </c>
      <c r="AT8" s="6">
        <v>46023</v>
      </c>
      <c r="AU8" s="6">
        <v>46023</v>
      </c>
      <c r="AV8" s="6">
        <v>46023</v>
      </c>
      <c r="AW8" s="6">
        <v>46023</v>
      </c>
      <c r="AX8" s="6">
        <v>46023</v>
      </c>
      <c r="AY8" s="6">
        <v>46023</v>
      </c>
      <c r="AZ8" s="6">
        <v>46023</v>
      </c>
      <c r="BA8" s="6">
        <v>46023</v>
      </c>
      <c r="BB8" s="6">
        <v>46023</v>
      </c>
      <c r="BC8" s="6">
        <v>46023</v>
      </c>
      <c r="BD8" s="6">
        <v>46023</v>
      </c>
      <c r="BE8" s="6">
        <v>46023</v>
      </c>
      <c r="BF8" s="6">
        <v>46023</v>
      </c>
      <c r="BG8" s="6">
        <v>46023</v>
      </c>
      <c r="BH8" s="6">
        <v>46023</v>
      </c>
      <c r="BI8" s="6">
        <v>46023</v>
      </c>
      <c r="BJ8" s="6">
        <v>46023</v>
      </c>
      <c r="BK8" s="6">
        <v>46023</v>
      </c>
      <c r="BL8" s="6">
        <v>46023</v>
      </c>
      <c r="BM8" s="6">
        <v>46023</v>
      </c>
      <c r="BN8" s="6">
        <v>46023</v>
      </c>
      <c r="BO8" s="6">
        <v>46023</v>
      </c>
      <c r="BP8" s="6">
        <v>46023</v>
      </c>
      <c r="BQ8" s="6">
        <v>46023</v>
      </c>
      <c r="BR8" s="6">
        <v>46023</v>
      </c>
      <c r="BS8" s="6">
        <v>46023</v>
      </c>
      <c r="BT8" s="6">
        <v>46023</v>
      </c>
      <c r="BU8" s="6">
        <v>46023</v>
      </c>
      <c r="BV8" s="6">
        <v>46023</v>
      </c>
      <c r="BW8" s="6">
        <v>46023</v>
      </c>
      <c r="BX8" s="6">
        <v>46023</v>
      </c>
      <c r="BY8" s="6">
        <v>46023</v>
      </c>
      <c r="BZ8" s="6">
        <v>46023</v>
      </c>
      <c r="CA8" s="6">
        <v>46023</v>
      </c>
      <c r="CB8" s="6">
        <v>46023</v>
      </c>
      <c r="CC8" s="6">
        <v>46023</v>
      </c>
      <c r="CD8" s="6">
        <v>46023</v>
      </c>
      <c r="CE8" s="6">
        <v>46023</v>
      </c>
      <c r="CF8" s="6">
        <v>46023</v>
      </c>
      <c r="CG8" s="6">
        <v>46023</v>
      </c>
      <c r="CH8" s="6">
        <v>46023</v>
      </c>
      <c r="CI8" s="6">
        <v>46023</v>
      </c>
      <c r="CJ8" s="6">
        <v>46023</v>
      </c>
      <c r="CK8" s="6">
        <v>46023</v>
      </c>
      <c r="CL8" s="6">
        <v>46023</v>
      </c>
      <c r="CM8" s="6">
        <v>46023</v>
      </c>
      <c r="CN8" s="6">
        <v>46023</v>
      </c>
      <c r="CO8" s="6">
        <v>46023</v>
      </c>
      <c r="CP8" s="6">
        <v>46023</v>
      </c>
      <c r="CQ8" s="6">
        <v>46023</v>
      </c>
      <c r="CR8" s="6">
        <v>46023</v>
      </c>
      <c r="CS8" s="6">
        <v>46023</v>
      </c>
      <c r="CT8" s="6">
        <v>46023</v>
      </c>
      <c r="CU8" s="6">
        <v>46023</v>
      </c>
      <c r="CV8" s="6">
        <v>46023</v>
      </c>
      <c r="CW8" s="6">
        <v>46023</v>
      </c>
      <c r="CX8" s="6">
        <v>46023</v>
      </c>
      <c r="CY8" s="6">
        <v>46023</v>
      </c>
      <c r="CZ8" s="6">
        <v>46023</v>
      </c>
      <c r="DA8" s="6">
        <v>46023</v>
      </c>
      <c r="DB8" s="6">
        <v>46023</v>
      </c>
      <c r="DC8" s="6">
        <v>46023</v>
      </c>
      <c r="DD8" s="6">
        <v>46023</v>
      </c>
      <c r="DE8" s="6">
        <v>46023</v>
      </c>
      <c r="DF8" s="6">
        <v>46023</v>
      </c>
      <c r="DG8" s="6">
        <v>46023</v>
      </c>
      <c r="DH8" s="6">
        <v>46023</v>
      </c>
      <c r="DI8" s="6">
        <v>46023</v>
      </c>
      <c r="DJ8" s="6">
        <v>46023</v>
      </c>
      <c r="DK8" s="6">
        <v>46023</v>
      </c>
      <c r="DL8" s="6">
        <v>46023</v>
      </c>
      <c r="DM8" s="6">
        <v>46023</v>
      </c>
      <c r="DN8" s="6">
        <v>46023</v>
      </c>
      <c r="DO8" s="6">
        <v>46023</v>
      </c>
      <c r="DP8" s="6">
        <v>46023</v>
      </c>
      <c r="DQ8" s="6">
        <v>46023</v>
      </c>
      <c r="DR8" s="6">
        <v>46023</v>
      </c>
      <c r="DS8" s="6">
        <v>46023</v>
      </c>
      <c r="DT8" s="6">
        <v>46023</v>
      </c>
      <c r="DU8" s="6">
        <v>46023</v>
      </c>
      <c r="DV8" s="6">
        <v>46023</v>
      </c>
      <c r="DW8" s="6">
        <v>46023</v>
      </c>
      <c r="DX8" s="6">
        <v>46023</v>
      </c>
      <c r="DY8" s="6">
        <v>46023</v>
      </c>
      <c r="DZ8" s="6">
        <v>46023</v>
      </c>
      <c r="EA8" s="6">
        <v>46023</v>
      </c>
      <c r="EB8" s="6">
        <v>46023</v>
      </c>
      <c r="EC8" s="6">
        <v>46023</v>
      </c>
      <c r="ED8" s="6">
        <v>46023</v>
      </c>
      <c r="EE8" s="6">
        <v>46023</v>
      </c>
      <c r="EF8" s="6">
        <v>46023</v>
      </c>
      <c r="EG8" s="6">
        <v>46023</v>
      </c>
      <c r="EH8" s="6">
        <v>46023</v>
      </c>
      <c r="EI8" s="6">
        <v>46023</v>
      </c>
      <c r="EJ8" s="6">
        <v>46023</v>
      </c>
      <c r="EK8" s="6">
        <v>46023</v>
      </c>
      <c r="EL8" s="6">
        <v>46023</v>
      </c>
      <c r="EM8" s="6">
        <v>46023</v>
      </c>
      <c r="EN8" s="6">
        <v>46023</v>
      </c>
      <c r="EO8" s="6">
        <v>46023</v>
      </c>
      <c r="EP8" s="6">
        <v>46023</v>
      </c>
      <c r="EQ8" s="6">
        <v>46023</v>
      </c>
      <c r="ER8" s="6">
        <v>46023</v>
      </c>
      <c r="ES8" s="6">
        <v>46023</v>
      </c>
      <c r="ET8" s="6">
        <v>46023</v>
      </c>
      <c r="EU8" s="6">
        <v>46023</v>
      </c>
      <c r="EV8" s="6">
        <v>46023</v>
      </c>
      <c r="EW8" s="6">
        <v>46023</v>
      </c>
      <c r="EX8" s="6">
        <v>46023</v>
      </c>
      <c r="EY8" s="6">
        <v>46023</v>
      </c>
      <c r="EZ8" s="6">
        <v>46023</v>
      </c>
      <c r="FA8" s="6">
        <v>46023</v>
      </c>
      <c r="FB8" s="6">
        <v>46023</v>
      </c>
      <c r="FC8" s="6">
        <v>46023</v>
      </c>
      <c r="FD8" s="6">
        <v>46023</v>
      </c>
      <c r="FE8" s="6">
        <v>46023</v>
      </c>
      <c r="FF8" s="6">
        <v>46023</v>
      </c>
      <c r="FG8" s="6">
        <v>46023</v>
      </c>
      <c r="FH8" s="6">
        <v>46023</v>
      </c>
      <c r="FI8" s="6">
        <v>46023</v>
      </c>
      <c r="FJ8" s="6">
        <v>46023</v>
      </c>
      <c r="FK8" s="6">
        <v>46023</v>
      </c>
      <c r="FL8" s="6">
        <v>46023</v>
      </c>
      <c r="FM8" s="6">
        <v>46023</v>
      </c>
      <c r="FN8" s="6">
        <v>46023</v>
      </c>
      <c r="FO8" s="6">
        <v>46023</v>
      </c>
      <c r="FP8" s="6">
        <v>46023</v>
      </c>
      <c r="FQ8" s="6">
        <v>46023</v>
      </c>
      <c r="FR8" s="6">
        <v>46023</v>
      </c>
      <c r="FS8" s="6">
        <v>46023</v>
      </c>
      <c r="FT8" s="6">
        <v>46023</v>
      </c>
      <c r="FU8" s="6">
        <v>46023</v>
      </c>
      <c r="FV8" s="6">
        <v>46023</v>
      </c>
      <c r="FW8" s="6">
        <v>46023</v>
      </c>
      <c r="FX8" s="6">
        <v>46023</v>
      </c>
      <c r="FY8" s="6">
        <v>46023</v>
      </c>
      <c r="FZ8" s="6">
        <v>46023</v>
      </c>
      <c r="GA8" s="6">
        <v>46023</v>
      </c>
      <c r="GB8" s="6">
        <v>46023</v>
      </c>
      <c r="GC8" s="6">
        <v>46023</v>
      </c>
      <c r="GD8" s="6">
        <v>46023</v>
      </c>
      <c r="GE8" s="6">
        <v>46023</v>
      </c>
      <c r="GF8" s="6">
        <v>46023</v>
      </c>
      <c r="GG8" s="6">
        <v>46023</v>
      </c>
      <c r="GH8" s="6">
        <v>46023</v>
      </c>
      <c r="GI8" s="6">
        <v>46023</v>
      </c>
      <c r="GJ8" s="6">
        <v>46023</v>
      </c>
      <c r="GK8" s="6">
        <v>46023</v>
      </c>
      <c r="GL8" s="6">
        <v>46023</v>
      </c>
      <c r="GM8" s="6">
        <v>46023</v>
      </c>
      <c r="GN8" s="6">
        <v>46023</v>
      </c>
      <c r="GO8" s="6">
        <v>46023</v>
      </c>
      <c r="GP8" s="6">
        <v>46023</v>
      </c>
      <c r="GQ8" s="6">
        <v>46023</v>
      </c>
      <c r="GR8" s="6">
        <v>46023</v>
      </c>
      <c r="GS8" s="6">
        <v>46023</v>
      </c>
      <c r="GT8" s="6">
        <v>46023</v>
      </c>
      <c r="GU8" s="6">
        <v>46023</v>
      </c>
      <c r="GV8" s="6">
        <v>46023</v>
      </c>
      <c r="GW8" s="6">
        <v>46023</v>
      </c>
      <c r="GX8" s="6">
        <v>46023</v>
      </c>
      <c r="GY8" s="6">
        <v>46023</v>
      </c>
      <c r="GZ8" s="6">
        <v>46023</v>
      </c>
      <c r="HA8" s="6">
        <v>46023</v>
      </c>
      <c r="HB8" s="6">
        <v>46023</v>
      </c>
      <c r="HC8" s="6">
        <v>46023</v>
      </c>
      <c r="HD8" s="6">
        <v>46023</v>
      </c>
      <c r="HE8" s="6">
        <v>46023</v>
      </c>
      <c r="HF8" s="6">
        <v>46023</v>
      </c>
      <c r="HG8" s="6">
        <v>46023</v>
      </c>
      <c r="HH8" s="6">
        <v>46023</v>
      </c>
      <c r="HI8" s="6">
        <v>46023</v>
      </c>
      <c r="HJ8" s="6">
        <v>46023</v>
      </c>
      <c r="HK8" s="6">
        <v>46023</v>
      </c>
      <c r="HL8" s="6">
        <v>46023</v>
      </c>
      <c r="HM8" s="6">
        <v>46023</v>
      </c>
      <c r="HN8" s="6">
        <v>46023</v>
      </c>
      <c r="HO8" s="6">
        <v>46023</v>
      </c>
      <c r="HP8" s="6">
        <v>46023</v>
      </c>
      <c r="HQ8" s="6">
        <v>46023</v>
      </c>
      <c r="HR8" s="6">
        <v>46023</v>
      </c>
      <c r="HS8" s="6">
        <v>46023</v>
      </c>
      <c r="HT8" s="6">
        <v>46023</v>
      </c>
      <c r="HU8" s="6">
        <v>46023</v>
      </c>
      <c r="HV8" s="6">
        <v>46023</v>
      </c>
      <c r="HW8" s="6">
        <v>46023</v>
      </c>
      <c r="HX8" s="6">
        <v>46023</v>
      </c>
      <c r="HY8" s="6">
        <v>46023</v>
      </c>
      <c r="HZ8" s="6">
        <v>46023</v>
      </c>
      <c r="IA8" s="6">
        <v>46023</v>
      </c>
      <c r="IB8" s="6">
        <v>46023</v>
      </c>
      <c r="IC8" s="6">
        <v>46023</v>
      </c>
      <c r="ID8" s="6">
        <v>46023</v>
      </c>
      <c r="IE8" s="6">
        <v>46023</v>
      </c>
      <c r="IF8" s="6">
        <v>46023</v>
      </c>
      <c r="IG8" s="6">
        <v>46023</v>
      </c>
      <c r="IH8" s="6">
        <v>46023</v>
      </c>
      <c r="II8" s="6">
        <v>46023</v>
      </c>
      <c r="IJ8" s="6">
        <v>46023</v>
      </c>
      <c r="IK8" s="6">
        <v>46023</v>
      </c>
      <c r="IL8" s="6">
        <v>46023</v>
      </c>
      <c r="IM8" s="6">
        <v>46023</v>
      </c>
      <c r="IN8" s="6">
        <v>46023</v>
      </c>
      <c r="IO8" s="6">
        <v>46023</v>
      </c>
      <c r="IP8" s="6">
        <v>46023</v>
      </c>
      <c r="IQ8" s="6">
        <v>46023</v>
      </c>
    </row>
    <row r="9" spans="1:251" x14ac:dyDescent="0.2">
      <c r="A9" s="4" t="s">
        <v>243</v>
      </c>
      <c r="B9" s="1">
        <v>22</v>
      </c>
      <c r="C9" s="1">
        <v>22</v>
      </c>
      <c r="D9" s="1">
        <v>22</v>
      </c>
      <c r="E9" s="1">
        <v>22</v>
      </c>
      <c r="F9" s="1">
        <v>22</v>
      </c>
      <c r="G9" s="1">
        <v>101</v>
      </c>
      <c r="H9" s="1">
        <v>22</v>
      </c>
      <c r="I9" s="1">
        <v>22</v>
      </c>
      <c r="J9" s="1">
        <v>22</v>
      </c>
      <c r="K9" s="1">
        <v>22</v>
      </c>
      <c r="L9" s="1">
        <v>22</v>
      </c>
      <c r="M9" s="1">
        <v>22</v>
      </c>
      <c r="N9" s="1">
        <v>43</v>
      </c>
      <c r="O9" s="1">
        <v>22</v>
      </c>
      <c r="P9" s="1">
        <v>22</v>
      </c>
      <c r="Q9" s="1">
        <v>22</v>
      </c>
      <c r="R9" s="1">
        <v>22</v>
      </c>
      <c r="S9" s="1">
        <v>22</v>
      </c>
      <c r="T9" s="1">
        <v>22</v>
      </c>
      <c r="U9" s="1">
        <v>22</v>
      </c>
      <c r="V9" s="1">
        <v>22</v>
      </c>
      <c r="W9" s="1">
        <v>101</v>
      </c>
      <c r="X9" s="1">
        <v>101</v>
      </c>
      <c r="Y9" s="1">
        <v>101</v>
      </c>
      <c r="Z9" s="1">
        <v>22</v>
      </c>
      <c r="AA9" s="1">
        <v>22</v>
      </c>
      <c r="AB9" s="1">
        <v>22</v>
      </c>
      <c r="AC9" s="1">
        <v>101</v>
      </c>
      <c r="AD9" s="1">
        <v>22</v>
      </c>
      <c r="AE9" s="1">
        <v>22</v>
      </c>
      <c r="AF9" s="1">
        <v>22</v>
      </c>
      <c r="AG9" s="1">
        <v>22</v>
      </c>
      <c r="AH9" s="1">
        <v>22</v>
      </c>
      <c r="AI9" s="1">
        <v>22</v>
      </c>
      <c r="AJ9" s="1">
        <v>101</v>
      </c>
      <c r="AK9" s="1">
        <v>101</v>
      </c>
      <c r="AL9" s="1">
        <v>22</v>
      </c>
      <c r="AM9" s="1">
        <v>22</v>
      </c>
      <c r="AN9" s="1">
        <v>22</v>
      </c>
      <c r="AO9" s="1">
        <v>101</v>
      </c>
      <c r="AP9" s="1">
        <v>101</v>
      </c>
      <c r="AQ9" s="1">
        <v>101</v>
      </c>
      <c r="AR9" s="1">
        <v>22</v>
      </c>
      <c r="AS9" s="1">
        <v>22</v>
      </c>
      <c r="AT9" s="1">
        <v>101</v>
      </c>
      <c r="AU9" s="1">
        <v>101</v>
      </c>
      <c r="AV9" s="1">
        <v>101</v>
      </c>
      <c r="AW9" s="1">
        <v>101</v>
      </c>
      <c r="AX9" s="1">
        <v>101</v>
      </c>
      <c r="AY9" s="1">
        <v>101</v>
      </c>
      <c r="AZ9" s="1">
        <v>101</v>
      </c>
      <c r="BA9" s="1">
        <v>101</v>
      </c>
      <c r="BB9" s="1">
        <v>101</v>
      </c>
      <c r="BC9" s="1">
        <v>101</v>
      </c>
      <c r="BD9" s="1">
        <v>101</v>
      </c>
      <c r="BE9" s="1">
        <v>101</v>
      </c>
      <c r="BF9" s="1">
        <v>101</v>
      </c>
      <c r="BG9" s="1">
        <v>101</v>
      </c>
      <c r="BH9" s="1">
        <v>101</v>
      </c>
      <c r="BI9" s="1">
        <v>101</v>
      </c>
      <c r="BJ9" s="1">
        <v>101</v>
      </c>
      <c r="BK9" s="1">
        <v>101</v>
      </c>
      <c r="BL9" s="1">
        <v>101</v>
      </c>
      <c r="BM9" s="1">
        <v>101</v>
      </c>
      <c r="BN9" s="1">
        <v>101</v>
      </c>
      <c r="BO9" s="1">
        <v>101</v>
      </c>
      <c r="BP9" s="1">
        <v>101</v>
      </c>
      <c r="BQ9" s="1">
        <v>101</v>
      </c>
      <c r="BR9" s="1">
        <v>101</v>
      </c>
      <c r="BS9" s="1">
        <v>101</v>
      </c>
      <c r="BT9" s="1">
        <v>101</v>
      </c>
      <c r="BU9" s="1">
        <v>101</v>
      </c>
      <c r="BV9" s="1">
        <v>101</v>
      </c>
      <c r="BW9" s="1">
        <v>22</v>
      </c>
      <c r="BX9" s="1">
        <v>22</v>
      </c>
      <c r="BY9" s="1">
        <v>22</v>
      </c>
      <c r="BZ9" s="1">
        <v>22</v>
      </c>
      <c r="CA9" s="1">
        <v>22</v>
      </c>
      <c r="CB9" s="1">
        <v>101</v>
      </c>
      <c r="CC9" s="1">
        <v>22</v>
      </c>
      <c r="CD9" s="1">
        <v>101</v>
      </c>
      <c r="CE9" s="1">
        <v>101</v>
      </c>
      <c r="CF9" s="1">
        <v>101</v>
      </c>
      <c r="CG9" s="1">
        <v>22</v>
      </c>
      <c r="CH9" s="1">
        <v>22</v>
      </c>
      <c r="CI9" s="1">
        <v>22</v>
      </c>
      <c r="CJ9" s="1">
        <v>22</v>
      </c>
      <c r="CK9" s="1">
        <v>22</v>
      </c>
      <c r="CL9" s="1">
        <v>22</v>
      </c>
      <c r="CM9" s="1">
        <v>22</v>
      </c>
      <c r="CN9" s="1">
        <v>22</v>
      </c>
      <c r="CO9" s="1">
        <v>22</v>
      </c>
      <c r="CP9" s="1">
        <v>22</v>
      </c>
      <c r="CQ9" s="1">
        <v>22</v>
      </c>
      <c r="CR9" s="1">
        <v>22</v>
      </c>
      <c r="CS9" s="1">
        <v>22</v>
      </c>
      <c r="CT9" s="1">
        <v>43</v>
      </c>
      <c r="CU9" s="1">
        <v>43</v>
      </c>
      <c r="CV9" s="1">
        <v>101</v>
      </c>
      <c r="CW9" s="1">
        <v>101</v>
      </c>
      <c r="CX9" s="1">
        <v>22</v>
      </c>
      <c r="CY9" s="1">
        <v>22</v>
      </c>
      <c r="CZ9" s="1">
        <v>101</v>
      </c>
      <c r="DA9" s="1">
        <v>22</v>
      </c>
      <c r="DB9" s="1">
        <v>22</v>
      </c>
      <c r="DC9" s="1">
        <v>52</v>
      </c>
      <c r="DD9" s="1">
        <v>52</v>
      </c>
      <c r="DE9" s="1">
        <v>22</v>
      </c>
      <c r="DF9" s="1">
        <v>22</v>
      </c>
      <c r="DG9" s="1">
        <v>22</v>
      </c>
      <c r="DH9" s="1">
        <v>22</v>
      </c>
      <c r="DI9" s="1">
        <v>22</v>
      </c>
      <c r="DJ9" s="1">
        <v>22</v>
      </c>
      <c r="DK9" s="1">
        <v>22</v>
      </c>
      <c r="DL9" s="1">
        <v>22</v>
      </c>
      <c r="DM9" s="1">
        <v>22</v>
      </c>
      <c r="DN9" s="1">
        <v>22</v>
      </c>
      <c r="DO9" s="1">
        <v>22</v>
      </c>
      <c r="DP9" s="1">
        <v>101</v>
      </c>
      <c r="DQ9" s="1">
        <v>101</v>
      </c>
      <c r="DR9" s="1">
        <v>101</v>
      </c>
      <c r="DS9" s="1">
        <v>101</v>
      </c>
      <c r="DT9" s="1">
        <v>22</v>
      </c>
      <c r="DU9" s="1">
        <v>22</v>
      </c>
      <c r="DV9" s="1">
        <v>22</v>
      </c>
      <c r="DW9" s="1">
        <v>22</v>
      </c>
      <c r="DX9" s="1">
        <v>22</v>
      </c>
      <c r="DY9" s="1">
        <v>22</v>
      </c>
      <c r="DZ9" s="1">
        <v>22</v>
      </c>
      <c r="EA9" s="1">
        <v>22</v>
      </c>
      <c r="EB9" s="1">
        <v>22</v>
      </c>
      <c r="EC9" s="1">
        <v>22</v>
      </c>
      <c r="ED9" s="1">
        <v>22</v>
      </c>
      <c r="EE9" s="1">
        <v>22</v>
      </c>
      <c r="EF9" s="1">
        <v>22</v>
      </c>
      <c r="EG9" s="1">
        <v>22</v>
      </c>
      <c r="EH9" s="1">
        <v>22</v>
      </c>
      <c r="EI9" s="1">
        <v>101</v>
      </c>
      <c r="EJ9" s="1">
        <v>22</v>
      </c>
      <c r="EK9" s="1">
        <v>22</v>
      </c>
      <c r="EL9" s="1">
        <v>22</v>
      </c>
      <c r="EM9" s="1">
        <v>22</v>
      </c>
      <c r="EN9" s="1">
        <v>22</v>
      </c>
      <c r="EO9" s="1">
        <v>22</v>
      </c>
      <c r="EP9" s="1">
        <v>43</v>
      </c>
      <c r="EQ9" s="1">
        <v>22</v>
      </c>
      <c r="ER9" s="1">
        <v>22</v>
      </c>
      <c r="ES9" s="1">
        <v>22</v>
      </c>
      <c r="ET9" s="1">
        <v>22</v>
      </c>
      <c r="EU9" s="1">
        <v>22</v>
      </c>
      <c r="EV9" s="1">
        <v>22</v>
      </c>
      <c r="EW9" s="1">
        <v>22</v>
      </c>
      <c r="EX9" s="1">
        <v>22</v>
      </c>
      <c r="EY9" s="1">
        <v>101</v>
      </c>
      <c r="EZ9" s="1">
        <v>101</v>
      </c>
      <c r="FA9" s="1">
        <v>101</v>
      </c>
      <c r="FB9" s="1">
        <v>22</v>
      </c>
      <c r="FC9" s="1">
        <v>22</v>
      </c>
      <c r="FD9" s="1">
        <v>22</v>
      </c>
      <c r="FE9" s="1">
        <v>101</v>
      </c>
      <c r="FF9" s="1">
        <v>22</v>
      </c>
      <c r="FG9" s="1">
        <v>22</v>
      </c>
      <c r="FH9" s="1">
        <v>22</v>
      </c>
      <c r="FI9" s="1">
        <v>22</v>
      </c>
      <c r="FJ9" s="1">
        <v>22</v>
      </c>
      <c r="FK9" s="1">
        <v>22</v>
      </c>
      <c r="FL9" s="1">
        <v>101</v>
      </c>
      <c r="FM9" s="1">
        <v>101</v>
      </c>
      <c r="FN9" s="1">
        <v>22</v>
      </c>
      <c r="FO9" s="1">
        <v>22</v>
      </c>
      <c r="FP9" s="1">
        <v>22</v>
      </c>
      <c r="FQ9" s="1">
        <v>101</v>
      </c>
      <c r="FR9" s="1">
        <v>101</v>
      </c>
      <c r="FS9" s="1">
        <v>101</v>
      </c>
      <c r="FT9" s="1">
        <v>22</v>
      </c>
      <c r="FU9" s="1">
        <v>22</v>
      </c>
      <c r="FV9" s="1">
        <v>101</v>
      </c>
      <c r="FW9" s="1">
        <v>101</v>
      </c>
      <c r="FX9" s="1">
        <v>101</v>
      </c>
      <c r="FY9" s="1">
        <v>101</v>
      </c>
      <c r="FZ9" s="1">
        <v>101</v>
      </c>
      <c r="GA9" s="1">
        <v>101</v>
      </c>
      <c r="GB9" s="1">
        <v>101</v>
      </c>
      <c r="GC9" s="1">
        <v>101</v>
      </c>
      <c r="GD9" s="1">
        <v>101</v>
      </c>
      <c r="GE9" s="1">
        <v>101</v>
      </c>
      <c r="GF9" s="1">
        <v>101</v>
      </c>
      <c r="GG9" s="1">
        <v>101</v>
      </c>
      <c r="GH9" s="1">
        <v>101</v>
      </c>
      <c r="GI9" s="1">
        <v>101</v>
      </c>
      <c r="GJ9" s="1">
        <v>101</v>
      </c>
      <c r="GK9" s="1">
        <v>101</v>
      </c>
      <c r="GL9" s="1">
        <v>101</v>
      </c>
      <c r="GM9" s="1">
        <v>101</v>
      </c>
      <c r="GN9" s="1">
        <v>101</v>
      </c>
      <c r="GO9" s="1">
        <v>101</v>
      </c>
      <c r="GP9" s="1">
        <v>101</v>
      </c>
      <c r="GQ9" s="1">
        <v>101</v>
      </c>
      <c r="GR9" s="1">
        <v>101</v>
      </c>
      <c r="GS9" s="1">
        <v>101</v>
      </c>
      <c r="GT9" s="1">
        <v>101</v>
      </c>
      <c r="GU9" s="1">
        <v>101</v>
      </c>
      <c r="GV9" s="1">
        <v>101</v>
      </c>
      <c r="GW9" s="1">
        <v>101</v>
      </c>
      <c r="GX9" s="1">
        <v>101</v>
      </c>
      <c r="GY9" s="1">
        <v>22</v>
      </c>
      <c r="GZ9" s="1">
        <v>22</v>
      </c>
      <c r="HA9" s="1">
        <v>22</v>
      </c>
      <c r="HB9" s="1">
        <v>22</v>
      </c>
      <c r="HC9" s="1">
        <v>22</v>
      </c>
      <c r="HD9" s="1">
        <v>101</v>
      </c>
      <c r="HE9" s="1">
        <v>22</v>
      </c>
      <c r="HF9" s="1">
        <v>101</v>
      </c>
      <c r="HG9" s="1">
        <v>101</v>
      </c>
      <c r="HH9" s="1">
        <v>101</v>
      </c>
      <c r="HI9" s="1">
        <v>22</v>
      </c>
      <c r="HJ9" s="1">
        <v>22</v>
      </c>
      <c r="HK9" s="1">
        <v>22</v>
      </c>
      <c r="HL9" s="1">
        <v>22</v>
      </c>
      <c r="HM9" s="1">
        <v>22</v>
      </c>
      <c r="HN9" s="1">
        <v>22</v>
      </c>
      <c r="HO9" s="1">
        <v>22</v>
      </c>
      <c r="HP9" s="1">
        <v>22</v>
      </c>
      <c r="HQ9" s="1">
        <v>22</v>
      </c>
      <c r="HR9" s="1">
        <v>22</v>
      </c>
      <c r="HS9" s="1">
        <v>22</v>
      </c>
      <c r="HT9" s="1">
        <v>22</v>
      </c>
      <c r="HU9" s="1">
        <v>22</v>
      </c>
      <c r="HV9" s="1">
        <v>43</v>
      </c>
      <c r="HW9" s="1">
        <v>43</v>
      </c>
      <c r="HX9" s="1">
        <v>101</v>
      </c>
      <c r="HY9" s="1">
        <v>101</v>
      </c>
      <c r="HZ9" s="1">
        <v>22</v>
      </c>
      <c r="IA9" s="1">
        <v>22</v>
      </c>
      <c r="IB9" s="1">
        <v>101</v>
      </c>
      <c r="IC9" s="1">
        <v>22</v>
      </c>
      <c r="ID9" s="1">
        <v>22</v>
      </c>
      <c r="IE9" s="1">
        <v>52</v>
      </c>
      <c r="IF9" s="1">
        <v>52</v>
      </c>
      <c r="IG9" s="1">
        <v>22</v>
      </c>
      <c r="IH9" s="1">
        <v>22</v>
      </c>
      <c r="II9" s="1">
        <v>22</v>
      </c>
      <c r="IJ9" s="1">
        <v>22</v>
      </c>
      <c r="IK9" s="1">
        <v>22</v>
      </c>
      <c r="IL9" s="1">
        <v>22</v>
      </c>
      <c r="IM9" s="1">
        <v>22</v>
      </c>
      <c r="IN9" s="1">
        <v>22</v>
      </c>
      <c r="IO9" s="1">
        <v>22</v>
      </c>
      <c r="IP9" s="1">
        <v>22</v>
      </c>
      <c r="IQ9" s="1">
        <v>22</v>
      </c>
    </row>
    <row r="10" spans="1:251" x14ac:dyDescent="0.2">
      <c r="A10" s="4" t="s">
        <v>244</v>
      </c>
      <c r="B10" s="7" t="s">
        <v>1703</v>
      </c>
      <c r="C10" s="7" t="s">
        <v>1704</v>
      </c>
      <c r="D10" s="7" t="s">
        <v>1705</v>
      </c>
      <c r="E10" s="7" t="s">
        <v>1706</v>
      </c>
      <c r="F10" s="7" t="s">
        <v>1707</v>
      </c>
      <c r="G10" s="7" t="s">
        <v>1708</v>
      </c>
      <c r="H10" s="7" t="s">
        <v>1709</v>
      </c>
      <c r="I10" s="7" t="s">
        <v>1710</v>
      </c>
      <c r="J10" s="7" t="s">
        <v>1711</v>
      </c>
      <c r="K10" s="7" t="s">
        <v>1712</v>
      </c>
      <c r="L10" s="7" t="s">
        <v>1713</v>
      </c>
      <c r="M10" s="7" t="s">
        <v>1714</v>
      </c>
      <c r="N10" s="7" t="s">
        <v>1715</v>
      </c>
      <c r="O10" s="7" t="s">
        <v>1716</v>
      </c>
      <c r="P10" s="7" t="s">
        <v>1717</v>
      </c>
      <c r="Q10" s="7" t="s">
        <v>1718</v>
      </c>
      <c r="R10" s="7" t="s">
        <v>1719</v>
      </c>
      <c r="S10" s="7" t="s">
        <v>1720</v>
      </c>
      <c r="T10" s="7" t="s">
        <v>1721</v>
      </c>
      <c r="U10" s="7" t="s">
        <v>1722</v>
      </c>
      <c r="V10" s="7" t="s">
        <v>1723</v>
      </c>
      <c r="W10" s="7" t="s">
        <v>1724</v>
      </c>
      <c r="X10" s="7" t="s">
        <v>1725</v>
      </c>
      <c r="Y10" s="7" t="s">
        <v>1726</v>
      </c>
      <c r="Z10" s="7" t="s">
        <v>1727</v>
      </c>
      <c r="AA10" s="7" t="s">
        <v>1728</v>
      </c>
      <c r="AB10" s="7" t="s">
        <v>1729</v>
      </c>
      <c r="AC10" s="7" t="s">
        <v>1730</v>
      </c>
      <c r="AD10" s="7" t="s">
        <v>1731</v>
      </c>
      <c r="AE10" s="7" t="s">
        <v>1732</v>
      </c>
      <c r="AF10" s="7" t="s">
        <v>1733</v>
      </c>
      <c r="AG10" s="7" t="s">
        <v>1734</v>
      </c>
      <c r="AH10" s="7" t="s">
        <v>1735</v>
      </c>
      <c r="AI10" s="7" t="s">
        <v>1736</v>
      </c>
      <c r="AJ10" s="7" t="s">
        <v>1737</v>
      </c>
      <c r="AK10" s="7" t="s">
        <v>1738</v>
      </c>
      <c r="AL10" s="7" t="s">
        <v>1739</v>
      </c>
      <c r="AM10" s="7" t="s">
        <v>1740</v>
      </c>
      <c r="AN10" s="7" t="s">
        <v>1741</v>
      </c>
      <c r="AO10" s="7" t="s">
        <v>1742</v>
      </c>
      <c r="AP10" s="7" t="s">
        <v>1743</v>
      </c>
      <c r="AQ10" s="7" t="s">
        <v>1744</v>
      </c>
      <c r="AR10" s="7" t="s">
        <v>1745</v>
      </c>
      <c r="AS10" s="7" t="s">
        <v>1746</v>
      </c>
      <c r="AT10" s="7" t="s">
        <v>1747</v>
      </c>
      <c r="AU10" s="7" t="s">
        <v>1748</v>
      </c>
      <c r="AV10" s="7" t="s">
        <v>1749</v>
      </c>
      <c r="AW10" s="7" t="s">
        <v>1750</v>
      </c>
      <c r="AX10" s="7" t="s">
        <v>1751</v>
      </c>
      <c r="AY10" s="7" t="s">
        <v>1752</v>
      </c>
      <c r="AZ10" s="7" t="s">
        <v>1753</v>
      </c>
      <c r="BA10" s="7" t="s">
        <v>1754</v>
      </c>
      <c r="BB10" s="7" t="s">
        <v>1755</v>
      </c>
      <c r="BC10" s="7" t="s">
        <v>1756</v>
      </c>
      <c r="BD10" s="7" t="s">
        <v>1757</v>
      </c>
      <c r="BE10" s="7" t="s">
        <v>1758</v>
      </c>
      <c r="BF10" s="7" t="s">
        <v>1759</v>
      </c>
      <c r="BG10" s="7" t="s">
        <v>1760</v>
      </c>
      <c r="BH10" s="7" t="s">
        <v>1761</v>
      </c>
      <c r="BI10" s="7" t="s">
        <v>1762</v>
      </c>
      <c r="BJ10" s="7" t="s">
        <v>1763</v>
      </c>
      <c r="BK10" s="7" t="s">
        <v>1764</v>
      </c>
      <c r="BL10" s="7" t="s">
        <v>1765</v>
      </c>
      <c r="BM10" s="7" t="s">
        <v>1766</v>
      </c>
      <c r="BN10" s="7" t="s">
        <v>1767</v>
      </c>
      <c r="BO10" s="7" t="s">
        <v>1768</v>
      </c>
      <c r="BP10" s="7" t="s">
        <v>1769</v>
      </c>
      <c r="BQ10" s="7" t="s">
        <v>1770</v>
      </c>
      <c r="BR10" s="7" t="s">
        <v>1771</v>
      </c>
      <c r="BS10" s="7" t="s">
        <v>1772</v>
      </c>
      <c r="BT10" s="7" t="s">
        <v>1773</v>
      </c>
      <c r="BU10" s="7" t="s">
        <v>1774</v>
      </c>
      <c r="BV10" s="7" t="s">
        <v>1775</v>
      </c>
      <c r="BW10" s="7" t="s">
        <v>1776</v>
      </c>
      <c r="BX10" s="7" t="s">
        <v>1777</v>
      </c>
      <c r="BY10" s="7" t="s">
        <v>1778</v>
      </c>
      <c r="BZ10" s="7" t="s">
        <v>1779</v>
      </c>
      <c r="CA10" s="7" t="s">
        <v>1780</v>
      </c>
      <c r="CB10" s="7" t="s">
        <v>1781</v>
      </c>
      <c r="CC10" s="7" t="s">
        <v>1782</v>
      </c>
      <c r="CD10" s="7" t="s">
        <v>1783</v>
      </c>
      <c r="CE10" s="7" t="s">
        <v>1784</v>
      </c>
      <c r="CF10" s="7" t="s">
        <v>1785</v>
      </c>
      <c r="CG10" s="7" t="s">
        <v>1786</v>
      </c>
      <c r="CH10" s="7" t="s">
        <v>1787</v>
      </c>
      <c r="CI10" s="7" t="s">
        <v>1788</v>
      </c>
      <c r="CJ10" s="7" t="s">
        <v>1789</v>
      </c>
      <c r="CK10" s="7" t="s">
        <v>1790</v>
      </c>
      <c r="CL10" s="7" t="s">
        <v>1791</v>
      </c>
      <c r="CM10" s="7" t="s">
        <v>1792</v>
      </c>
      <c r="CN10" s="7" t="s">
        <v>1793</v>
      </c>
      <c r="CO10" s="7" t="s">
        <v>1794</v>
      </c>
      <c r="CP10" s="7" t="s">
        <v>1795</v>
      </c>
      <c r="CQ10" s="7" t="s">
        <v>1796</v>
      </c>
      <c r="CR10" s="7" t="s">
        <v>1797</v>
      </c>
      <c r="CS10" s="7" t="s">
        <v>1798</v>
      </c>
      <c r="CT10" s="7" t="s">
        <v>1799</v>
      </c>
      <c r="CU10" s="7" t="s">
        <v>1800</v>
      </c>
      <c r="CV10" s="7" t="s">
        <v>1801</v>
      </c>
      <c r="CW10" s="7" t="s">
        <v>1802</v>
      </c>
      <c r="CX10" s="7" t="s">
        <v>1803</v>
      </c>
      <c r="CY10" s="7" t="s">
        <v>1804</v>
      </c>
      <c r="CZ10" s="7" t="s">
        <v>1805</v>
      </c>
      <c r="DA10" s="7" t="s">
        <v>1806</v>
      </c>
      <c r="DB10" s="7" t="s">
        <v>1807</v>
      </c>
      <c r="DC10" s="7" t="s">
        <v>1808</v>
      </c>
      <c r="DD10" s="7" t="s">
        <v>1809</v>
      </c>
      <c r="DE10" s="7" t="s">
        <v>1810</v>
      </c>
      <c r="DF10" s="7" t="s">
        <v>1811</v>
      </c>
      <c r="DG10" s="7" t="s">
        <v>1812</v>
      </c>
      <c r="DH10" s="7" t="s">
        <v>1813</v>
      </c>
      <c r="DI10" s="7" t="s">
        <v>1814</v>
      </c>
      <c r="DJ10" s="7" t="s">
        <v>1815</v>
      </c>
      <c r="DK10" s="7" t="s">
        <v>1816</v>
      </c>
      <c r="DL10" s="7" t="s">
        <v>1817</v>
      </c>
      <c r="DM10" s="7" t="s">
        <v>1818</v>
      </c>
      <c r="DN10" s="7" t="s">
        <v>1819</v>
      </c>
      <c r="DO10" s="7" t="s">
        <v>1820</v>
      </c>
      <c r="DP10" s="7" t="s">
        <v>1821</v>
      </c>
      <c r="DQ10" s="7" t="s">
        <v>1822</v>
      </c>
      <c r="DR10" s="7" t="s">
        <v>1823</v>
      </c>
      <c r="DS10" s="7" t="s">
        <v>1824</v>
      </c>
      <c r="DT10" s="7" t="s">
        <v>1825</v>
      </c>
      <c r="DU10" s="7" t="s">
        <v>1826</v>
      </c>
      <c r="DV10" s="7" t="s">
        <v>1827</v>
      </c>
      <c r="DW10" s="7" t="s">
        <v>1828</v>
      </c>
      <c r="DX10" s="7" t="s">
        <v>1829</v>
      </c>
      <c r="DY10" s="7" t="s">
        <v>1830</v>
      </c>
      <c r="DZ10" s="7" t="s">
        <v>1831</v>
      </c>
      <c r="EA10" s="7" t="s">
        <v>1832</v>
      </c>
      <c r="EB10" s="7" t="s">
        <v>1833</v>
      </c>
      <c r="EC10" s="7" t="s">
        <v>1834</v>
      </c>
      <c r="ED10" s="7" t="s">
        <v>1835</v>
      </c>
      <c r="EE10" s="7" t="s">
        <v>1836</v>
      </c>
      <c r="EF10" s="7" t="s">
        <v>1837</v>
      </c>
      <c r="EG10" s="7" t="s">
        <v>1838</v>
      </c>
      <c r="EH10" s="7" t="s">
        <v>1839</v>
      </c>
      <c r="EI10" s="7" t="s">
        <v>1840</v>
      </c>
      <c r="EJ10" s="7" t="s">
        <v>1841</v>
      </c>
      <c r="EK10" s="7" t="s">
        <v>1842</v>
      </c>
      <c r="EL10" s="7" t="s">
        <v>1843</v>
      </c>
      <c r="EM10" s="7" t="s">
        <v>1844</v>
      </c>
      <c r="EN10" s="7" t="s">
        <v>1845</v>
      </c>
      <c r="EO10" s="7" t="s">
        <v>1846</v>
      </c>
      <c r="EP10" s="7" t="s">
        <v>1847</v>
      </c>
      <c r="EQ10" s="7" t="s">
        <v>1848</v>
      </c>
      <c r="ER10" s="7" t="s">
        <v>1849</v>
      </c>
      <c r="ES10" s="7" t="s">
        <v>1850</v>
      </c>
      <c r="ET10" s="7" t="s">
        <v>1851</v>
      </c>
      <c r="EU10" s="7" t="s">
        <v>1852</v>
      </c>
      <c r="EV10" s="7" t="s">
        <v>1853</v>
      </c>
      <c r="EW10" s="7" t="s">
        <v>1854</v>
      </c>
      <c r="EX10" s="7" t="s">
        <v>1855</v>
      </c>
      <c r="EY10" s="7" t="s">
        <v>1856</v>
      </c>
      <c r="EZ10" s="7" t="s">
        <v>1857</v>
      </c>
      <c r="FA10" s="7" t="s">
        <v>1858</v>
      </c>
      <c r="FB10" s="7" t="s">
        <v>1859</v>
      </c>
      <c r="FC10" s="7" t="s">
        <v>1860</v>
      </c>
      <c r="FD10" s="7" t="s">
        <v>1861</v>
      </c>
      <c r="FE10" s="7" t="s">
        <v>1862</v>
      </c>
      <c r="FF10" s="7" t="s">
        <v>1863</v>
      </c>
      <c r="FG10" s="7" t="s">
        <v>1864</v>
      </c>
      <c r="FH10" s="7" t="s">
        <v>1865</v>
      </c>
      <c r="FI10" s="7" t="s">
        <v>1866</v>
      </c>
      <c r="FJ10" s="7" t="s">
        <v>1867</v>
      </c>
      <c r="FK10" s="7" t="s">
        <v>1868</v>
      </c>
      <c r="FL10" s="7" t="s">
        <v>1869</v>
      </c>
      <c r="FM10" s="7" t="s">
        <v>1870</v>
      </c>
      <c r="FN10" s="7" t="s">
        <v>1871</v>
      </c>
      <c r="FO10" s="7" t="s">
        <v>1872</v>
      </c>
      <c r="FP10" s="7" t="s">
        <v>1873</v>
      </c>
      <c r="FQ10" s="7" t="s">
        <v>1874</v>
      </c>
      <c r="FR10" s="7" t="s">
        <v>1875</v>
      </c>
      <c r="FS10" s="7" t="s">
        <v>1876</v>
      </c>
      <c r="FT10" s="7" t="s">
        <v>1877</v>
      </c>
      <c r="FU10" s="7" t="s">
        <v>1878</v>
      </c>
      <c r="FV10" s="7" t="s">
        <v>1879</v>
      </c>
      <c r="FW10" s="7" t="s">
        <v>1880</v>
      </c>
      <c r="FX10" s="7" t="s">
        <v>1881</v>
      </c>
      <c r="FY10" s="7" t="s">
        <v>1882</v>
      </c>
      <c r="FZ10" s="7" t="s">
        <v>1883</v>
      </c>
      <c r="GA10" s="7" t="s">
        <v>1884</v>
      </c>
      <c r="GB10" s="7" t="s">
        <v>1885</v>
      </c>
      <c r="GC10" s="7" t="s">
        <v>1886</v>
      </c>
      <c r="GD10" s="7" t="s">
        <v>1887</v>
      </c>
      <c r="GE10" s="7" t="s">
        <v>1888</v>
      </c>
      <c r="GF10" s="7" t="s">
        <v>1889</v>
      </c>
      <c r="GG10" s="7" t="s">
        <v>1890</v>
      </c>
      <c r="GH10" s="7" t="s">
        <v>1891</v>
      </c>
      <c r="GI10" s="7" t="s">
        <v>1892</v>
      </c>
      <c r="GJ10" s="7" t="s">
        <v>1893</v>
      </c>
      <c r="GK10" s="7" t="s">
        <v>1894</v>
      </c>
      <c r="GL10" s="7" t="s">
        <v>1895</v>
      </c>
      <c r="GM10" s="7" t="s">
        <v>1896</v>
      </c>
      <c r="GN10" s="7" t="s">
        <v>1897</v>
      </c>
      <c r="GO10" s="7" t="s">
        <v>1898</v>
      </c>
      <c r="GP10" s="7" t="s">
        <v>1899</v>
      </c>
      <c r="GQ10" s="7" t="s">
        <v>1900</v>
      </c>
      <c r="GR10" s="7" t="s">
        <v>1901</v>
      </c>
      <c r="GS10" s="7" t="s">
        <v>1902</v>
      </c>
      <c r="GT10" s="7" t="s">
        <v>1903</v>
      </c>
      <c r="GU10" s="7" t="s">
        <v>1904</v>
      </c>
      <c r="GV10" s="7" t="s">
        <v>1905</v>
      </c>
      <c r="GW10" s="7" t="s">
        <v>1906</v>
      </c>
      <c r="GX10" s="7" t="s">
        <v>1907</v>
      </c>
      <c r="GY10" s="7" t="s">
        <v>1908</v>
      </c>
      <c r="GZ10" s="7" t="s">
        <v>1909</v>
      </c>
      <c r="HA10" s="7" t="s">
        <v>1910</v>
      </c>
      <c r="HB10" s="7" t="s">
        <v>1911</v>
      </c>
      <c r="HC10" s="7" t="s">
        <v>1912</v>
      </c>
      <c r="HD10" s="7" t="s">
        <v>1913</v>
      </c>
      <c r="HE10" s="7" t="s">
        <v>1914</v>
      </c>
      <c r="HF10" s="7" t="s">
        <v>1915</v>
      </c>
      <c r="HG10" s="7" t="s">
        <v>1916</v>
      </c>
      <c r="HH10" s="7" t="s">
        <v>1917</v>
      </c>
      <c r="HI10" s="7" t="s">
        <v>1918</v>
      </c>
      <c r="HJ10" s="7" t="s">
        <v>1919</v>
      </c>
      <c r="HK10" s="7" t="s">
        <v>1920</v>
      </c>
      <c r="HL10" s="7" t="s">
        <v>1921</v>
      </c>
      <c r="HM10" s="7" t="s">
        <v>1922</v>
      </c>
      <c r="HN10" s="7" t="s">
        <v>1923</v>
      </c>
      <c r="HO10" s="7" t="s">
        <v>1924</v>
      </c>
      <c r="HP10" s="7" t="s">
        <v>1925</v>
      </c>
      <c r="HQ10" s="7" t="s">
        <v>1926</v>
      </c>
      <c r="HR10" s="7" t="s">
        <v>1927</v>
      </c>
      <c r="HS10" s="7" t="s">
        <v>1928</v>
      </c>
      <c r="HT10" s="7" t="s">
        <v>1929</v>
      </c>
      <c r="HU10" s="7" t="s">
        <v>1930</v>
      </c>
      <c r="HV10" s="7" t="s">
        <v>1931</v>
      </c>
      <c r="HW10" s="7" t="s">
        <v>1932</v>
      </c>
      <c r="HX10" s="7" t="s">
        <v>1933</v>
      </c>
      <c r="HY10" s="7" t="s">
        <v>1934</v>
      </c>
      <c r="HZ10" s="7" t="s">
        <v>1935</v>
      </c>
      <c r="IA10" s="7" t="s">
        <v>1936</v>
      </c>
      <c r="IB10" s="7" t="s">
        <v>1937</v>
      </c>
      <c r="IC10" s="7" t="s">
        <v>1938</v>
      </c>
      <c r="ID10" s="7" t="s">
        <v>1939</v>
      </c>
      <c r="IE10" s="7" t="s">
        <v>1940</v>
      </c>
      <c r="IF10" s="7" t="s">
        <v>1941</v>
      </c>
      <c r="IG10" s="7" t="s">
        <v>1942</v>
      </c>
      <c r="IH10" s="7" t="s">
        <v>1943</v>
      </c>
      <c r="II10" s="7" t="s">
        <v>1944</v>
      </c>
      <c r="IJ10" s="7" t="s">
        <v>1945</v>
      </c>
      <c r="IK10" s="7" t="s">
        <v>1946</v>
      </c>
      <c r="IL10" s="7" t="s">
        <v>1947</v>
      </c>
      <c r="IM10" s="7" t="s">
        <v>1948</v>
      </c>
      <c r="IN10" s="7" t="s">
        <v>1949</v>
      </c>
      <c r="IO10" s="7" t="s">
        <v>1950</v>
      </c>
      <c r="IP10" s="7" t="s">
        <v>1951</v>
      </c>
      <c r="IQ10" s="7" t="s">
        <v>1952</v>
      </c>
    </row>
    <row r="11" spans="1:251" x14ac:dyDescent="0.2">
      <c r="A11" s="9">
        <v>42979</v>
      </c>
      <c r="G11" s="8">
        <v>75.91</v>
      </c>
      <c r="W11" s="8">
        <v>83.86</v>
      </c>
      <c r="X11" s="8">
        <v>70.319999999999993</v>
      </c>
      <c r="Y11" s="8">
        <v>63.73</v>
      </c>
      <c r="AC11" s="8">
        <v>73.13</v>
      </c>
      <c r="AJ11" s="8">
        <v>77.25</v>
      </c>
      <c r="AK11" s="8">
        <v>72.239999999999995</v>
      </c>
      <c r="AO11" s="8">
        <v>93.04</v>
      </c>
      <c r="AP11" s="8">
        <v>96.97</v>
      </c>
      <c r="AQ11" s="8">
        <v>91.63</v>
      </c>
      <c r="AT11" s="8">
        <v>73.150000000000006</v>
      </c>
      <c r="AU11" s="8">
        <v>71.2</v>
      </c>
      <c r="AV11" s="8">
        <v>74.650000000000006</v>
      </c>
      <c r="AW11" s="8">
        <v>74.36</v>
      </c>
      <c r="AX11" s="8">
        <v>74.569999999999993</v>
      </c>
      <c r="AY11" s="8">
        <v>76.540000000000006</v>
      </c>
      <c r="AZ11" s="8">
        <v>70.78</v>
      </c>
      <c r="BA11" s="8">
        <v>78.180000000000007</v>
      </c>
      <c r="BB11" s="8">
        <v>68.78</v>
      </c>
      <c r="BC11" s="8">
        <v>80.209999999999994</v>
      </c>
      <c r="BD11" s="8">
        <v>78.17</v>
      </c>
      <c r="BE11" s="8">
        <v>82.96</v>
      </c>
      <c r="BF11" s="8">
        <v>72.13</v>
      </c>
      <c r="BG11" s="8">
        <v>71.22</v>
      </c>
      <c r="BH11" s="8">
        <v>71.010000000000005</v>
      </c>
      <c r="BI11" s="8">
        <v>74.37</v>
      </c>
      <c r="BJ11" s="8">
        <v>74.62</v>
      </c>
      <c r="BK11" s="8">
        <v>70.52</v>
      </c>
      <c r="BL11" s="8">
        <v>77.930000000000007</v>
      </c>
      <c r="BM11" s="8">
        <v>74.78</v>
      </c>
      <c r="BN11" s="8">
        <v>62.95</v>
      </c>
      <c r="BO11" s="8">
        <v>80.400000000000006</v>
      </c>
      <c r="BP11" s="8">
        <v>81.63</v>
      </c>
      <c r="BQ11" s="8">
        <v>65.05</v>
      </c>
      <c r="BR11" s="8">
        <v>73.739999999999995</v>
      </c>
      <c r="BS11" s="8">
        <v>79.05</v>
      </c>
      <c r="BT11" s="8">
        <v>78.95</v>
      </c>
      <c r="BU11" s="8">
        <v>68.319999999999993</v>
      </c>
      <c r="BV11" s="8">
        <v>80.819999999999993</v>
      </c>
      <c r="CB11" s="8">
        <v>74.569999999999993</v>
      </c>
      <c r="CD11" s="8">
        <v>76.55</v>
      </c>
      <c r="CE11" s="8">
        <v>41.2</v>
      </c>
      <c r="CF11" s="8">
        <v>41.2</v>
      </c>
      <c r="CV11" s="8">
        <v>84.63</v>
      </c>
      <c r="CW11" s="8">
        <v>84.63</v>
      </c>
      <c r="CZ11" s="8">
        <v>81.569999999999993</v>
      </c>
      <c r="DP11" s="8">
        <v>83.39</v>
      </c>
      <c r="DQ11" s="8">
        <v>78.89</v>
      </c>
      <c r="DR11" s="8">
        <v>87.18</v>
      </c>
      <c r="DS11" s="8">
        <v>82.27</v>
      </c>
      <c r="EI11" s="8">
        <v>69</v>
      </c>
      <c r="EY11" s="8">
        <v>88.04</v>
      </c>
      <c r="EZ11" s="8">
        <v>73.260000000000005</v>
      </c>
      <c r="FA11" s="8">
        <v>70.44</v>
      </c>
      <c r="FE11" s="8">
        <v>74.98</v>
      </c>
      <c r="FL11" s="8">
        <v>61.45</v>
      </c>
      <c r="FM11" s="8">
        <v>75.2</v>
      </c>
      <c r="FQ11" s="8">
        <v>81.7</v>
      </c>
      <c r="FR11" s="8">
        <v>96.97</v>
      </c>
      <c r="FS11" s="8">
        <v>80.45</v>
      </c>
      <c r="FV11" s="8">
        <v>74.16</v>
      </c>
      <c r="FW11" s="8">
        <v>73.540000000000006</v>
      </c>
      <c r="FX11" s="8">
        <v>73.680000000000007</v>
      </c>
      <c r="FY11" s="8">
        <v>73.67</v>
      </c>
      <c r="FZ11" s="8">
        <v>77.66</v>
      </c>
      <c r="GA11" s="8">
        <v>76.12</v>
      </c>
      <c r="GB11" s="8">
        <v>70.48</v>
      </c>
      <c r="GC11" s="8">
        <v>78.45</v>
      </c>
      <c r="GD11" s="8">
        <v>66.34</v>
      </c>
      <c r="GE11" s="8">
        <v>81.48</v>
      </c>
      <c r="GF11" s="8">
        <v>77.62</v>
      </c>
      <c r="GG11" s="8">
        <v>79.3</v>
      </c>
      <c r="GH11" s="8">
        <v>72.84</v>
      </c>
      <c r="GI11" s="8">
        <v>72.33</v>
      </c>
      <c r="GJ11" s="8">
        <v>72.16</v>
      </c>
      <c r="GK11" s="8">
        <v>73.83</v>
      </c>
      <c r="GL11" s="8">
        <v>73.459999999999994</v>
      </c>
      <c r="GM11" s="8">
        <v>70</v>
      </c>
      <c r="GN11" s="8">
        <v>76.33</v>
      </c>
      <c r="GO11" s="8">
        <v>74.14</v>
      </c>
      <c r="GP11" s="8">
        <v>65.040000000000006</v>
      </c>
      <c r="GQ11" s="8">
        <v>81.55</v>
      </c>
      <c r="GR11" s="8">
        <v>81.89</v>
      </c>
      <c r="GS11" s="8">
        <v>64.099999999999994</v>
      </c>
      <c r="GT11" s="8">
        <v>72.709999999999994</v>
      </c>
      <c r="GU11" s="8">
        <v>78.72</v>
      </c>
      <c r="GV11" s="8">
        <v>74.38</v>
      </c>
      <c r="GW11" s="8">
        <v>68.97</v>
      </c>
      <c r="GX11" s="8">
        <v>76.17</v>
      </c>
      <c r="HD11" s="8">
        <v>78.38</v>
      </c>
      <c r="HF11" s="8">
        <v>74.900000000000006</v>
      </c>
      <c r="HG11" s="8">
        <v>42.48</v>
      </c>
      <c r="HH11" s="8">
        <v>42.48</v>
      </c>
      <c r="HX11" s="8">
        <v>70.62</v>
      </c>
      <c r="HY11" s="8">
        <v>70.62</v>
      </c>
      <c r="IB11" s="8">
        <v>66.05</v>
      </c>
    </row>
    <row r="12" spans="1:251" x14ac:dyDescent="0.2">
      <c r="A12" s="9">
        <v>43009</v>
      </c>
      <c r="G12" s="8">
        <v>75.930000000000007</v>
      </c>
      <c r="W12" s="8">
        <v>86.25</v>
      </c>
      <c r="X12" s="8">
        <v>75.31</v>
      </c>
      <c r="Y12" s="8">
        <v>60.92</v>
      </c>
      <c r="AC12" s="8">
        <v>72.28</v>
      </c>
      <c r="AJ12" s="8">
        <v>77.25</v>
      </c>
      <c r="AK12" s="8">
        <v>72.239999999999995</v>
      </c>
      <c r="AO12" s="8">
        <v>92.36</v>
      </c>
      <c r="AP12" s="8">
        <v>94.3</v>
      </c>
      <c r="AQ12" s="8">
        <v>91.63</v>
      </c>
      <c r="AT12" s="8">
        <v>73.930000000000007</v>
      </c>
      <c r="AU12" s="8">
        <v>72.27</v>
      </c>
      <c r="AV12" s="8">
        <v>75.760000000000005</v>
      </c>
      <c r="AW12" s="8">
        <v>73.709999999999994</v>
      </c>
      <c r="AX12" s="8">
        <v>74.31</v>
      </c>
      <c r="AY12" s="8">
        <v>76.87</v>
      </c>
      <c r="AZ12" s="8">
        <v>70.7</v>
      </c>
      <c r="BA12" s="8">
        <v>78.430000000000007</v>
      </c>
      <c r="BB12" s="8">
        <v>70.38</v>
      </c>
      <c r="BC12" s="8">
        <v>80.209999999999994</v>
      </c>
      <c r="BD12" s="8">
        <v>78.06</v>
      </c>
      <c r="BE12" s="8">
        <v>83.83</v>
      </c>
      <c r="BF12" s="8">
        <v>72.83</v>
      </c>
      <c r="BG12" s="8">
        <v>71.55</v>
      </c>
      <c r="BH12" s="8">
        <v>72.08</v>
      </c>
      <c r="BI12" s="8">
        <v>75.260000000000005</v>
      </c>
      <c r="BJ12" s="8">
        <v>77.42</v>
      </c>
      <c r="BK12" s="8">
        <v>77.69</v>
      </c>
      <c r="BL12" s="8">
        <v>77.13</v>
      </c>
      <c r="BM12" s="8">
        <v>74.900000000000006</v>
      </c>
      <c r="BN12" s="8">
        <v>63.06</v>
      </c>
      <c r="BO12" s="8">
        <v>80.930000000000007</v>
      </c>
      <c r="BP12" s="8">
        <v>81.92</v>
      </c>
      <c r="BQ12" s="8">
        <v>65.81</v>
      </c>
      <c r="BR12" s="8">
        <v>73.56</v>
      </c>
      <c r="BS12" s="8">
        <v>79.239999999999995</v>
      </c>
      <c r="BT12" s="8">
        <v>79.23</v>
      </c>
      <c r="BU12" s="8">
        <v>69.180000000000007</v>
      </c>
      <c r="BV12" s="8">
        <v>80.989999999999995</v>
      </c>
      <c r="CB12" s="8">
        <v>76.13</v>
      </c>
      <c r="CD12" s="8">
        <v>77.36</v>
      </c>
      <c r="CE12" s="8">
        <v>42.79</v>
      </c>
      <c r="CF12" s="8">
        <v>42.79</v>
      </c>
      <c r="CV12" s="8">
        <v>84.69</v>
      </c>
      <c r="CW12" s="8">
        <v>84.69</v>
      </c>
      <c r="CZ12" s="8">
        <v>81.569999999999993</v>
      </c>
      <c r="DP12" s="8">
        <v>82.77</v>
      </c>
      <c r="DQ12" s="8">
        <v>79.05</v>
      </c>
      <c r="DR12" s="8">
        <v>85.37</v>
      </c>
      <c r="DS12" s="8">
        <v>82.22</v>
      </c>
      <c r="EI12" s="8">
        <v>69.97</v>
      </c>
      <c r="EY12" s="8">
        <v>86.72</v>
      </c>
      <c r="EZ12" s="8">
        <v>73.84</v>
      </c>
      <c r="FA12" s="8">
        <v>67.150000000000006</v>
      </c>
      <c r="FE12" s="8">
        <v>73.930000000000007</v>
      </c>
      <c r="FL12" s="8">
        <v>61.45</v>
      </c>
      <c r="FM12" s="8">
        <v>75.2</v>
      </c>
      <c r="FQ12" s="8">
        <v>81.47</v>
      </c>
      <c r="FR12" s="8">
        <v>94.3</v>
      </c>
      <c r="FS12" s="8">
        <v>80.45</v>
      </c>
      <c r="FV12" s="8">
        <v>74.81</v>
      </c>
      <c r="FW12" s="8">
        <v>74.349999999999994</v>
      </c>
      <c r="FX12" s="8">
        <v>74.48</v>
      </c>
      <c r="FY12" s="8">
        <v>73.09</v>
      </c>
      <c r="FZ12" s="8">
        <v>78.28</v>
      </c>
      <c r="GA12" s="8">
        <v>76.400000000000006</v>
      </c>
      <c r="GB12" s="8">
        <v>70.48</v>
      </c>
      <c r="GC12" s="8">
        <v>78.38</v>
      </c>
      <c r="GD12" s="8">
        <v>66.87</v>
      </c>
      <c r="GE12" s="8">
        <v>81.849999999999994</v>
      </c>
      <c r="GF12" s="8">
        <v>77.28</v>
      </c>
      <c r="GG12" s="8">
        <v>80.42</v>
      </c>
      <c r="GH12" s="8">
        <v>73.31</v>
      </c>
      <c r="GI12" s="8">
        <v>72.430000000000007</v>
      </c>
      <c r="GJ12" s="8">
        <v>72.81</v>
      </c>
      <c r="GK12" s="8">
        <v>74.53</v>
      </c>
      <c r="GL12" s="8">
        <v>78.58</v>
      </c>
      <c r="GM12" s="8">
        <v>79.989999999999995</v>
      </c>
      <c r="GN12" s="8">
        <v>76.930000000000007</v>
      </c>
      <c r="GO12" s="8">
        <v>74.33</v>
      </c>
      <c r="GP12" s="8">
        <v>64.319999999999993</v>
      </c>
      <c r="GQ12" s="8">
        <v>81.760000000000005</v>
      </c>
      <c r="GR12" s="8">
        <v>82.23</v>
      </c>
      <c r="GS12" s="8">
        <v>65.489999999999995</v>
      </c>
      <c r="GT12" s="8">
        <v>72.73</v>
      </c>
      <c r="GU12" s="8">
        <v>78.900000000000006</v>
      </c>
      <c r="GV12" s="8">
        <v>74.72</v>
      </c>
      <c r="GW12" s="8">
        <v>69.7</v>
      </c>
      <c r="GX12" s="8">
        <v>76.37</v>
      </c>
      <c r="HD12" s="8">
        <v>78.959999999999994</v>
      </c>
      <c r="HF12" s="8">
        <v>75.61</v>
      </c>
      <c r="HG12" s="8">
        <v>44.23</v>
      </c>
      <c r="HH12" s="8">
        <v>44.23</v>
      </c>
      <c r="HX12" s="8">
        <v>70.62</v>
      </c>
      <c r="HY12" s="8">
        <v>70.62</v>
      </c>
      <c r="IB12" s="8">
        <v>66.05</v>
      </c>
    </row>
    <row r="13" spans="1:251" x14ac:dyDescent="0.2">
      <c r="A13" s="9">
        <v>43040</v>
      </c>
      <c r="G13" s="8">
        <v>78.11</v>
      </c>
      <c r="W13" s="8">
        <v>88.07</v>
      </c>
      <c r="X13" s="8">
        <v>77.92</v>
      </c>
      <c r="Y13" s="8">
        <v>60.62</v>
      </c>
      <c r="AC13" s="8">
        <v>73.02</v>
      </c>
      <c r="AJ13" s="8">
        <v>77.25</v>
      </c>
      <c r="AK13" s="8">
        <v>72.239999999999995</v>
      </c>
      <c r="AO13" s="8">
        <v>92.36</v>
      </c>
      <c r="AP13" s="8">
        <v>94.32</v>
      </c>
      <c r="AQ13" s="8">
        <v>91.63</v>
      </c>
      <c r="AT13" s="8">
        <v>74.23</v>
      </c>
      <c r="AU13" s="8">
        <v>72.739999999999995</v>
      </c>
      <c r="AV13" s="8">
        <v>75.58</v>
      </c>
      <c r="AW13" s="8">
        <v>74.92</v>
      </c>
      <c r="AX13" s="8">
        <v>75.05</v>
      </c>
      <c r="AY13" s="8">
        <v>77.23</v>
      </c>
      <c r="AZ13" s="8">
        <v>70.900000000000006</v>
      </c>
      <c r="BA13" s="8">
        <v>78.89</v>
      </c>
      <c r="BB13" s="8">
        <v>71.010000000000005</v>
      </c>
      <c r="BC13" s="8">
        <v>80.650000000000006</v>
      </c>
      <c r="BD13" s="8">
        <v>78.23</v>
      </c>
      <c r="BE13" s="8">
        <v>84.27</v>
      </c>
      <c r="BF13" s="8">
        <v>72.5</v>
      </c>
      <c r="BG13" s="8">
        <v>71.540000000000006</v>
      </c>
      <c r="BH13" s="8">
        <v>71.95</v>
      </c>
      <c r="BI13" s="8">
        <v>74.290000000000006</v>
      </c>
      <c r="BJ13" s="8">
        <v>82.12</v>
      </c>
      <c r="BK13" s="8">
        <v>83.67</v>
      </c>
      <c r="BL13" s="8">
        <v>80.760000000000005</v>
      </c>
      <c r="BM13" s="8">
        <v>74.77</v>
      </c>
      <c r="BN13" s="8">
        <v>62.61</v>
      </c>
      <c r="BO13" s="8">
        <v>80.540000000000006</v>
      </c>
      <c r="BP13" s="8">
        <v>82.13</v>
      </c>
      <c r="BQ13" s="8">
        <v>66.45</v>
      </c>
      <c r="BR13" s="8">
        <v>72.900000000000006</v>
      </c>
      <c r="BS13" s="8">
        <v>79.540000000000006</v>
      </c>
      <c r="BT13" s="8">
        <v>79</v>
      </c>
      <c r="BU13" s="8">
        <v>69.47</v>
      </c>
      <c r="BV13" s="8">
        <v>80.66</v>
      </c>
      <c r="CB13" s="8">
        <v>76.680000000000007</v>
      </c>
      <c r="CD13" s="8">
        <v>77.069999999999993</v>
      </c>
      <c r="CE13" s="8">
        <v>42.91</v>
      </c>
      <c r="CF13" s="8">
        <v>42.91</v>
      </c>
      <c r="CV13" s="8">
        <v>84.7</v>
      </c>
      <c r="CW13" s="8">
        <v>84.7</v>
      </c>
      <c r="CZ13" s="8">
        <v>81.569999999999993</v>
      </c>
      <c r="DP13" s="8">
        <v>82.95</v>
      </c>
      <c r="DQ13" s="8">
        <v>78.09</v>
      </c>
      <c r="DR13" s="8">
        <v>86.2</v>
      </c>
      <c r="DS13" s="8">
        <v>82.25</v>
      </c>
      <c r="EI13" s="8">
        <v>75.53</v>
      </c>
      <c r="EY13" s="8">
        <v>83.57</v>
      </c>
      <c r="EZ13" s="8">
        <v>69.97</v>
      </c>
      <c r="FA13" s="8">
        <v>66.27</v>
      </c>
      <c r="FE13" s="8">
        <v>74.34</v>
      </c>
      <c r="FL13" s="8">
        <v>61.45</v>
      </c>
      <c r="FM13" s="8">
        <v>75.2</v>
      </c>
      <c r="FQ13" s="8">
        <v>81.47</v>
      </c>
      <c r="FR13" s="8">
        <v>94.32</v>
      </c>
      <c r="FS13" s="8">
        <v>80.45</v>
      </c>
      <c r="FV13" s="8">
        <v>75.03</v>
      </c>
      <c r="FW13" s="8">
        <v>74.489999999999995</v>
      </c>
      <c r="FX13" s="8">
        <v>74.760000000000005</v>
      </c>
      <c r="FY13" s="8">
        <v>74.33</v>
      </c>
      <c r="FZ13" s="8">
        <v>77.91</v>
      </c>
      <c r="GA13" s="8">
        <v>76.569999999999993</v>
      </c>
      <c r="GB13" s="8">
        <v>70.22</v>
      </c>
      <c r="GC13" s="8">
        <v>78.180000000000007</v>
      </c>
      <c r="GD13" s="8">
        <v>67.69</v>
      </c>
      <c r="GE13" s="8">
        <v>82.21</v>
      </c>
      <c r="GF13" s="8">
        <v>78.08</v>
      </c>
      <c r="GG13" s="8">
        <v>80.150000000000006</v>
      </c>
      <c r="GH13" s="8">
        <v>73.08</v>
      </c>
      <c r="GI13" s="8">
        <v>72.66</v>
      </c>
      <c r="GJ13" s="8">
        <v>72.64</v>
      </c>
      <c r="GK13" s="8">
        <v>73.760000000000005</v>
      </c>
      <c r="GL13" s="8">
        <v>83</v>
      </c>
      <c r="GM13" s="8">
        <v>84.42</v>
      </c>
      <c r="GN13" s="8">
        <v>81.319999999999993</v>
      </c>
      <c r="GO13" s="8">
        <v>74.27</v>
      </c>
      <c r="GP13" s="8">
        <v>64.7</v>
      </c>
      <c r="GQ13" s="8">
        <v>81.61</v>
      </c>
      <c r="GR13" s="8">
        <v>82.43</v>
      </c>
      <c r="GS13" s="8">
        <v>66.36</v>
      </c>
      <c r="GT13" s="8">
        <v>72.010000000000005</v>
      </c>
      <c r="GU13" s="8">
        <v>79.56</v>
      </c>
      <c r="GV13" s="8">
        <v>74.5</v>
      </c>
      <c r="GW13" s="8">
        <v>70.06</v>
      </c>
      <c r="GX13" s="8">
        <v>75.94</v>
      </c>
      <c r="HD13" s="8">
        <v>81.3</v>
      </c>
      <c r="HF13" s="8">
        <v>75.47</v>
      </c>
      <c r="HG13" s="8">
        <v>44.3</v>
      </c>
      <c r="HH13" s="8">
        <v>44.3</v>
      </c>
      <c r="HX13" s="8">
        <v>71.44</v>
      </c>
      <c r="HY13" s="8">
        <v>71.44</v>
      </c>
      <c r="IB13" s="8">
        <v>66.05</v>
      </c>
    </row>
    <row r="14" spans="1:251" x14ac:dyDescent="0.2">
      <c r="A14" s="9">
        <v>43070</v>
      </c>
      <c r="G14" s="8">
        <v>80.13</v>
      </c>
      <c r="W14" s="8">
        <v>100.9</v>
      </c>
      <c r="X14" s="8">
        <v>88.93</v>
      </c>
      <c r="Y14" s="8">
        <v>69.97</v>
      </c>
      <c r="AC14" s="8">
        <v>71.760000000000005</v>
      </c>
      <c r="AJ14" s="8">
        <v>77.25</v>
      </c>
      <c r="AK14" s="8">
        <v>72.239999999999995</v>
      </c>
      <c r="AO14" s="8">
        <v>92.02</v>
      </c>
      <c r="AP14" s="8">
        <v>93.49</v>
      </c>
      <c r="AQ14" s="8">
        <v>91.46</v>
      </c>
      <c r="AT14" s="8">
        <v>74.91</v>
      </c>
      <c r="AU14" s="8">
        <v>73.7</v>
      </c>
      <c r="AV14" s="8">
        <v>74.849999999999994</v>
      </c>
      <c r="AW14" s="8">
        <v>77.849999999999994</v>
      </c>
      <c r="AX14" s="8">
        <v>77.959999999999994</v>
      </c>
      <c r="AY14" s="8">
        <v>76.05</v>
      </c>
      <c r="AZ14" s="8">
        <v>70.180000000000007</v>
      </c>
      <c r="BA14" s="8">
        <v>77.31</v>
      </c>
      <c r="BB14" s="8">
        <v>70.42</v>
      </c>
      <c r="BC14" s="8">
        <v>79.3</v>
      </c>
      <c r="BD14" s="8">
        <v>76.62</v>
      </c>
      <c r="BE14" s="8">
        <v>82.93</v>
      </c>
      <c r="BF14" s="8">
        <v>73.17</v>
      </c>
      <c r="BG14" s="8">
        <v>72.27</v>
      </c>
      <c r="BH14" s="8">
        <v>71.94</v>
      </c>
      <c r="BI14" s="8">
        <v>75.510000000000005</v>
      </c>
      <c r="BJ14" s="8">
        <v>81.89</v>
      </c>
      <c r="BK14" s="8">
        <v>85.31</v>
      </c>
      <c r="BL14" s="8">
        <v>79</v>
      </c>
      <c r="BM14" s="8">
        <v>75.19</v>
      </c>
      <c r="BN14" s="8">
        <v>63.01</v>
      </c>
      <c r="BO14" s="8">
        <v>80.239999999999995</v>
      </c>
      <c r="BP14" s="8">
        <v>81.180000000000007</v>
      </c>
      <c r="BQ14" s="8">
        <v>67.11</v>
      </c>
      <c r="BR14" s="8">
        <v>73.83</v>
      </c>
      <c r="BS14" s="8">
        <v>79.92</v>
      </c>
      <c r="BT14" s="8">
        <v>77.75</v>
      </c>
      <c r="BU14" s="8">
        <v>69.03</v>
      </c>
      <c r="BV14" s="8">
        <v>79.25</v>
      </c>
      <c r="CB14" s="8">
        <v>75.56</v>
      </c>
      <c r="CD14" s="8">
        <v>76.150000000000006</v>
      </c>
      <c r="CE14" s="8">
        <v>42.61</v>
      </c>
      <c r="CF14" s="8">
        <v>42.61</v>
      </c>
      <c r="CV14" s="8">
        <v>84.76</v>
      </c>
      <c r="CW14" s="8">
        <v>84.76</v>
      </c>
      <c r="CZ14" s="8">
        <v>81.569999999999993</v>
      </c>
      <c r="DP14" s="8">
        <v>83.03</v>
      </c>
      <c r="DQ14" s="8">
        <v>79.569999999999993</v>
      </c>
      <c r="DR14" s="8">
        <v>86.93</v>
      </c>
      <c r="DS14" s="8">
        <v>81.61</v>
      </c>
      <c r="EI14" s="8">
        <v>78.67</v>
      </c>
      <c r="EY14" s="8">
        <v>90.07</v>
      </c>
      <c r="EZ14" s="8">
        <v>72.099999999999994</v>
      </c>
      <c r="FA14" s="8">
        <v>75.84</v>
      </c>
      <c r="FE14" s="8">
        <v>74.02</v>
      </c>
      <c r="FL14" s="8">
        <v>61.45</v>
      </c>
      <c r="FM14" s="8">
        <v>75.2</v>
      </c>
      <c r="FQ14" s="8">
        <v>81.89</v>
      </c>
      <c r="FR14" s="8">
        <v>93.49</v>
      </c>
      <c r="FS14" s="8">
        <v>80.98</v>
      </c>
      <c r="FV14" s="8">
        <v>75.680000000000007</v>
      </c>
      <c r="FW14" s="8">
        <v>75.53</v>
      </c>
      <c r="FX14" s="8">
        <v>74</v>
      </c>
      <c r="FY14" s="8">
        <v>77.06</v>
      </c>
      <c r="FZ14" s="8">
        <v>80.14</v>
      </c>
      <c r="GA14" s="8">
        <v>76.319999999999993</v>
      </c>
      <c r="GB14" s="8">
        <v>70.14</v>
      </c>
      <c r="GC14" s="8">
        <v>77.650000000000006</v>
      </c>
      <c r="GD14" s="8">
        <v>67.19</v>
      </c>
      <c r="GE14" s="8">
        <v>81.91</v>
      </c>
      <c r="GF14" s="8">
        <v>77.760000000000005</v>
      </c>
      <c r="GG14" s="8">
        <v>80.180000000000007</v>
      </c>
      <c r="GH14" s="8">
        <v>73.91</v>
      </c>
      <c r="GI14" s="8">
        <v>73.540000000000006</v>
      </c>
      <c r="GJ14" s="8">
        <v>72.790000000000006</v>
      </c>
      <c r="GK14" s="8">
        <v>75.14</v>
      </c>
      <c r="GL14" s="8">
        <v>82.48</v>
      </c>
      <c r="GM14" s="8">
        <v>84.51</v>
      </c>
      <c r="GN14" s="8">
        <v>80.23</v>
      </c>
      <c r="GO14" s="8">
        <v>74.89</v>
      </c>
      <c r="GP14" s="8">
        <v>64.930000000000007</v>
      </c>
      <c r="GQ14" s="8">
        <v>81.319999999999993</v>
      </c>
      <c r="GR14" s="8">
        <v>81.39</v>
      </c>
      <c r="GS14" s="8">
        <v>67.459999999999994</v>
      </c>
      <c r="GT14" s="8">
        <v>73.22</v>
      </c>
      <c r="GU14" s="8">
        <v>80.11</v>
      </c>
      <c r="GV14" s="8">
        <v>75.61</v>
      </c>
      <c r="GW14" s="8">
        <v>69.83</v>
      </c>
      <c r="GX14" s="8">
        <v>77.53</v>
      </c>
      <c r="HD14" s="8">
        <v>78.180000000000007</v>
      </c>
      <c r="HF14" s="8">
        <v>75.78</v>
      </c>
      <c r="HG14" s="8">
        <v>44.1</v>
      </c>
      <c r="HH14" s="8">
        <v>44.1</v>
      </c>
      <c r="HX14" s="8">
        <v>71.53</v>
      </c>
      <c r="HY14" s="8">
        <v>71.53</v>
      </c>
      <c r="IB14" s="8">
        <v>66.05</v>
      </c>
    </row>
    <row r="15" spans="1:251" x14ac:dyDescent="0.2">
      <c r="A15" s="9">
        <v>43101</v>
      </c>
      <c r="G15" s="8">
        <v>80.87</v>
      </c>
      <c r="W15" s="8">
        <v>100.71</v>
      </c>
      <c r="X15" s="8">
        <v>90.71</v>
      </c>
      <c r="Y15" s="8">
        <v>66.819999999999993</v>
      </c>
      <c r="AC15" s="8">
        <v>73.98</v>
      </c>
      <c r="AJ15" s="8">
        <v>77.25</v>
      </c>
      <c r="AK15" s="8">
        <v>72.239999999999995</v>
      </c>
      <c r="AO15" s="8">
        <v>92.03</v>
      </c>
      <c r="AP15" s="8">
        <v>93.51</v>
      </c>
      <c r="AQ15" s="8">
        <v>91.46</v>
      </c>
      <c r="AT15" s="8">
        <v>74.680000000000007</v>
      </c>
      <c r="AU15" s="8">
        <v>72.86</v>
      </c>
      <c r="AV15" s="8">
        <v>76.63</v>
      </c>
      <c r="AW15" s="8">
        <v>74.12</v>
      </c>
      <c r="AX15" s="8">
        <v>75.39</v>
      </c>
      <c r="AY15" s="8">
        <v>76.81</v>
      </c>
      <c r="AZ15" s="8">
        <v>71.14</v>
      </c>
      <c r="BA15" s="8">
        <v>77.63</v>
      </c>
      <c r="BB15" s="8">
        <v>69.94</v>
      </c>
      <c r="BC15" s="8">
        <v>81.06</v>
      </c>
      <c r="BD15" s="8">
        <v>76.39</v>
      </c>
      <c r="BE15" s="8">
        <v>84.7</v>
      </c>
      <c r="BF15" s="8">
        <v>72.61</v>
      </c>
      <c r="BG15" s="8">
        <v>71</v>
      </c>
      <c r="BH15" s="8">
        <v>71.88</v>
      </c>
      <c r="BI15" s="8">
        <v>75.489999999999995</v>
      </c>
      <c r="BJ15" s="8">
        <v>81.349999999999994</v>
      </c>
      <c r="BK15" s="8">
        <v>81.56</v>
      </c>
      <c r="BL15" s="8">
        <v>81.09</v>
      </c>
      <c r="BM15" s="8">
        <v>75.540000000000006</v>
      </c>
      <c r="BN15" s="8">
        <v>62.81</v>
      </c>
      <c r="BO15" s="8">
        <v>80.23</v>
      </c>
      <c r="BP15" s="8">
        <v>83.63</v>
      </c>
      <c r="BQ15" s="8">
        <v>66.739999999999995</v>
      </c>
      <c r="BR15" s="8">
        <v>74.31</v>
      </c>
      <c r="BS15" s="8">
        <v>79.48</v>
      </c>
      <c r="BT15" s="8">
        <v>78.81</v>
      </c>
      <c r="BU15" s="8">
        <v>71.23</v>
      </c>
      <c r="BV15" s="8">
        <v>80.09</v>
      </c>
      <c r="CB15" s="8">
        <v>76.13</v>
      </c>
      <c r="CD15" s="8">
        <v>76.91</v>
      </c>
      <c r="CE15" s="8">
        <v>42.76</v>
      </c>
      <c r="CF15" s="8">
        <v>42.76</v>
      </c>
      <c r="CV15" s="8">
        <v>84.83</v>
      </c>
      <c r="CW15" s="8">
        <v>84.83</v>
      </c>
      <c r="CZ15" s="8">
        <v>81.569999999999993</v>
      </c>
      <c r="DP15" s="8">
        <v>83.35</v>
      </c>
      <c r="DQ15" s="8">
        <v>77.98</v>
      </c>
      <c r="DR15" s="8">
        <v>87.57</v>
      </c>
      <c r="DS15" s="8">
        <v>82.16</v>
      </c>
      <c r="EI15" s="8">
        <v>79.58</v>
      </c>
      <c r="EY15" s="8">
        <v>89.32</v>
      </c>
      <c r="EZ15" s="8">
        <v>75.36</v>
      </c>
      <c r="FA15" s="8">
        <v>70.08</v>
      </c>
      <c r="FE15" s="8">
        <v>74.540000000000006</v>
      </c>
      <c r="FL15" s="8">
        <v>61.45</v>
      </c>
      <c r="FM15" s="8">
        <v>75.2</v>
      </c>
      <c r="FQ15" s="8">
        <v>81.89</v>
      </c>
      <c r="FR15" s="8">
        <v>93.51</v>
      </c>
      <c r="FS15" s="8">
        <v>80.98</v>
      </c>
      <c r="FV15" s="8">
        <v>75.64</v>
      </c>
      <c r="FW15" s="8">
        <v>75.12</v>
      </c>
      <c r="FX15" s="8">
        <v>75.66</v>
      </c>
      <c r="FY15" s="8">
        <v>74.05</v>
      </c>
      <c r="FZ15" s="8">
        <v>78.22</v>
      </c>
      <c r="GA15" s="8">
        <v>76.91</v>
      </c>
      <c r="GB15" s="8">
        <v>70.78</v>
      </c>
      <c r="GC15" s="8">
        <v>78.38</v>
      </c>
      <c r="GD15" s="8">
        <v>67.7</v>
      </c>
      <c r="GE15" s="8">
        <v>82.58</v>
      </c>
      <c r="GF15" s="8">
        <v>77.430000000000007</v>
      </c>
      <c r="GG15" s="8">
        <v>81.36</v>
      </c>
      <c r="GH15" s="8">
        <v>73.73</v>
      </c>
      <c r="GI15" s="8">
        <v>72.73</v>
      </c>
      <c r="GJ15" s="8">
        <v>73.06</v>
      </c>
      <c r="GK15" s="8">
        <v>75.23</v>
      </c>
      <c r="GL15" s="8">
        <v>82.39</v>
      </c>
      <c r="GM15" s="8">
        <v>81.349999999999994</v>
      </c>
      <c r="GN15" s="8">
        <v>82.98</v>
      </c>
      <c r="GO15" s="8">
        <v>75.28</v>
      </c>
      <c r="GP15" s="8">
        <v>64.349999999999994</v>
      </c>
      <c r="GQ15" s="8">
        <v>81.569999999999993</v>
      </c>
      <c r="GR15" s="8">
        <v>83.36</v>
      </c>
      <c r="GS15" s="8">
        <v>66.540000000000006</v>
      </c>
      <c r="GT15" s="8">
        <v>73.989999999999995</v>
      </c>
      <c r="GU15" s="8">
        <v>79.63</v>
      </c>
      <c r="GV15" s="8">
        <v>77.010000000000005</v>
      </c>
      <c r="GW15" s="8">
        <v>71.39</v>
      </c>
      <c r="GX15" s="8">
        <v>78.87</v>
      </c>
      <c r="HD15" s="8">
        <v>81.56</v>
      </c>
      <c r="HF15" s="8">
        <v>76.34</v>
      </c>
      <c r="HG15" s="8">
        <v>44.29</v>
      </c>
      <c r="HH15" s="8">
        <v>44.29</v>
      </c>
      <c r="HX15" s="8">
        <v>71.59</v>
      </c>
      <c r="HY15" s="8">
        <v>71.59</v>
      </c>
      <c r="IB15" s="8">
        <v>66.05</v>
      </c>
    </row>
    <row r="16" spans="1:251" x14ac:dyDescent="0.2">
      <c r="A16" s="9">
        <v>43132</v>
      </c>
      <c r="G16" s="8">
        <v>80.91</v>
      </c>
      <c r="W16" s="8">
        <v>88.11</v>
      </c>
      <c r="X16" s="8">
        <v>77.83</v>
      </c>
      <c r="Y16" s="8">
        <v>60.84</v>
      </c>
      <c r="AC16" s="8">
        <v>72.78</v>
      </c>
      <c r="AJ16" s="8">
        <v>79.33</v>
      </c>
      <c r="AK16" s="8">
        <v>73.260000000000005</v>
      </c>
      <c r="AO16" s="8">
        <v>92.03</v>
      </c>
      <c r="AP16" s="8">
        <v>93.53</v>
      </c>
      <c r="AQ16" s="8">
        <v>91.46</v>
      </c>
      <c r="AT16" s="8">
        <v>74.010000000000005</v>
      </c>
      <c r="AU16" s="8">
        <v>72.97</v>
      </c>
      <c r="AV16" s="8">
        <v>75.36</v>
      </c>
      <c r="AW16" s="8">
        <v>75.39</v>
      </c>
      <c r="AX16" s="8">
        <v>73.099999999999994</v>
      </c>
      <c r="AY16" s="8">
        <v>76.94</v>
      </c>
      <c r="AZ16" s="8">
        <v>71.22</v>
      </c>
      <c r="BA16" s="8">
        <v>78.27</v>
      </c>
      <c r="BB16" s="8">
        <v>70.08</v>
      </c>
      <c r="BC16" s="8">
        <v>82.05</v>
      </c>
      <c r="BD16" s="8">
        <v>76.790000000000006</v>
      </c>
      <c r="BE16" s="8">
        <v>83.34</v>
      </c>
      <c r="BF16" s="8">
        <v>72.540000000000006</v>
      </c>
      <c r="BG16" s="8">
        <v>71.14</v>
      </c>
      <c r="BH16" s="8">
        <v>71.97</v>
      </c>
      <c r="BI16" s="8">
        <v>74.959999999999994</v>
      </c>
      <c r="BJ16" s="8">
        <v>80.92</v>
      </c>
      <c r="BK16" s="8">
        <v>80.81</v>
      </c>
      <c r="BL16" s="8">
        <v>80.930000000000007</v>
      </c>
      <c r="BM16" s="8">
        <v>74.98</v>
      </c>
      <c r="BN16" s="8">
        <v>62.95</v>
      </c>
      <c r="BO16" s="8">
        <v>79.17</v>
      </c>
      <c r="BP16" s="8">
        <v>82.96</v>
      </c>
      <c r="BQ16" s="8">
        <v>66.349999999999994</v>
      </c>
      <c r="BR16" s="8">
        <v>73.930000000000007</v>
      </c>
      <c r="BS16" s="8">
        <v>78.55</v>
      </c>
      <c r="BT16" s="8">
        <v>78.61</v>
      </c>
      <c r="BU16" s="8">
        <v>69.2</v>
      </c>
      <c r="BV16" s="8">
        <v>80.239999999999995</v>
      </c>
      <c r="CB16" s="8">
        <v>77.069999999999993</v>
      </c>
      <c r="CD16" s="8">
        <v>77.84</v>
      </c>
      <c r="CE16" s="8">
        <v>42.76</v>
      </c>
      <c r="CF16" s="8">
        <v>42.76</v>
      </c>
      <c r="CV16" s="8">
        <v>84.83</v>
      </c>
      <c r="CW16" s="8">
        <v>84.83</v>
      </c>
      <c r="CZ16" s="8">
        <v>81.569999999999993</v>
      </c>
      <c r="DP16" s="8">
        <v>82.6</v>
      </c>
      <c r="DQ16" s="8">
        <v>77.86</v>
      </c>
      <c r="DR16" s="8">
        <v>85.43</v>
      </c>
      <c r="DS16" s="8">
        <v>82.13</v>
      </c>
      <c r="EI16" s="8">
        <v>79.459999999999994</v>
      </c>
      <c r="EY16" s="8">
        <v>82.8</v>
      </c>
      <c r="EZ16" s="8">
        <v>68.680000000000007</v>
      </c>
      <c r="FA16" s="8">
        <v>66.53</v>
      </c>
      <c r="FE16" s="8">
        <v>73.62</v>
      </c>
      <c r="FL16" s="8">
        <v>65.7</v>
      </c>
      <c r="FM16" s="8">
        <v>76.37</v>
      </c>
      <c r="FQ16" s="8">
        <v>81.89</v>
      </c>
      <c r="FR16" s="8">
        <v>93.53</v>
      </c>
      <c r="FS16" s="8">
        <v>80.98</v>
      </c>
      <c r="FV16" s="8">
        <v>74.73</v>
      </c>
      <c r="FW16" s="8">
        <v>74.66</v>
      </c>
      <c r="FX16" s="8">
        <v>74.42</v>
      </c>
      <c r="FY16" s="8">
        <v>74.31</v>
      </c>
      <c r="FZ16" s="8">
        <v>76.34</v>
      </c>
      <c r="GA16" s="8">
        <v>76.52</v>
      </c>
      <c r="GB16" s="8">
        <v>70.599999999999994</v>
      </c>
      <c r="GC16" s="8">
        <v>78.88</v>
      </c>
      <c r="GD16" s="8">
        <v>67.2</v>
      </c>
      <c r="GE16" s="8">
        <v>82.62</v>
      </c>
      <c r="GF16" s="8">
        <v>77.239999999999995</v>
      </c>
      <c r="GG16" s="8">
        <v>79.430000000000007</v>
      </c>
      <c r="GH16" s="8">
        <v>73.45</v>
      </c>
      <c r="GI16" s="8">
        <v>72.59</v>
      </c>
      <c r="GJ16" s="8">
        <v>73.13</v>
      </c>
      <c r="GK16" s="8">
        <v>74.48</v>
      </c>
      <c r="GL16" s="8">
        <v>83.51</v>
      </c>
      <c r="GM16" s="8">
        <v>83.59</v>
      </c>
      <c r="GN16" s="8">
        <v>83.05</v>
      </c>
      <c r="GO16" s="8">
        <v>74.53</v>
      </c>
      <c r="GP16" s="8">
        <v>64.44</v>
      </c>
      <c r="GQ16" s="8">
        <v>80.33</v>
      </c>
      <c r="GR16" s="8">
        <v>82.95</v>
      </c>
      <c r="GS16" s="8">
        <v>66.34</v>
      </c>
      <c r="GT16" s="8">
        <v>73.03</v>
      </c>
      <c r="GU16" s="8">
        <v>78.72</v>
      </c>
      <c r="GV16" s="8">
        <v>76.180000000000007</v>
      </c>
      <c r="GW16" s="8">
        <v>69.81</v>
      </c>
      <c r="GX16" s="8">
        <v>78.319999999999993</v>
      </c>
      <c r="HD16" s="8">
        <v>82.4</v>
      </c>
      <c r="HF16" s="8">
        <v>77.73</v>
      </c>
      <c r="HG16" s="8">
        <v>44.19</v>
      </c>
      <c r="HH16" s="8">
        <v>44.19</v>
      </c>
      <c r="HX16" s="8">
        <v>71.59</v>
      </c>
      <c r="HY16" s="8">
        <v>71.59</v>
      </c>
      <c r="IB16" s="8">
        <v>66.05</v>
      </c>
    </row>
    <row r="17" spans="1:236" x14ac:dyDescent="0.2">
      <c r="A17" s="9">
        <v>43160</v>
      </c>
      <c r="G17" s="8">
        <v>80.73</v>
      </c>
      <c r="W17" s="8">
        <v>92.16</v>
      </c>
      <c r="X17" s="8">
        <v>84.05</v>
      </c>
      <c r="Y17" s="8">
        <v>59.54</v>
      </c>
      <c r="AC17" s="8">
        <v>72.430000000000007</v>
      </c>
      <c r="AJ17" s="8">
        <v>79.33</v>
      </c>
      <c r="AK17" s="8">
        <v>73.260000000000005</v>
      </c>
      <c r="AO17" s="8">
        <v>91.97</v>
      </c>
      <c r="AP17" s="8">
        <v>93.55</v>
      </c>
      <c r="AQ17" s="8">
        <v>91.37</v>
      </c>
      <c r="AT17" s="8">
        <v>74.42</v>
      </c>
      <c r="AU17" s="8">
        <v>73.290000000000006</v>
      </c>
      <c r="AV17" s="8">
        <v>75.39</v>
      </c>
      <c r="AW17" s="8">
        <v>73.23</v>
      </c>
      <c r="AX17" s="8">
        <v>76.55</v>
      </c>
      <c r="AY17" s="8">
        <v>76.69</v>
      </c>
      <c r="AZ17" s="8">
        <v>71.010000000000005</v>
      </c>
      <c r="BA17" s="8">
        <v>78.37</v>
      </c>
      <c r="BB17" s="8">
        <v>69.959999999999994</v>
      </c>
      <c r="BC17" s="8">
        <v>81.39</v>
      </c>
      <c r="BD17" s="8">
        <v>77.25</v>
      </c>
      <c r="BE17" s="8">
        <v>82.3</v>
      </c>
      <c r="BF17" s="8">
        <v>72.87</v>
      </c>
      <c r="BG17" s="8">
        <v>71.459999999999994</v>
      </c>
      <c r="BH17" s="8">
        <v>72.400000000000006</v>
      </c>
      <c r="BI17" s="8">
        <v>75.209999999999994</v>
      </c>
      <c r="BJ17" s="8">
        <v>78.64</v>
      </c>
      <c r="BK17" s="8">
        <v>76.34</v>
      </c>
      <c r="BL17" s="8">
        <v>80.45</v>
      </c>
      <c r="BM17" s="8">
        <v>74.77</v>
      </c>
      <c r="BN17" s="8">
        <v>63</v>
      </c>
      <c r="BO17" s="8">
        <v>80.41</v>
      </c>
      <c r="BP17" s="8">
        <v>82.68</v>
      </c>
      <c r="BQ17" s="8">
        <v>66.5</v>
      </c>
      <c r="BR17" s="8">
        <v>73.5</v>
      </c>
      <c r="BS17" s="8">
        <v>78.260000000000005</v>
      </c>
      <c r="BT17" s="8">
        <v>79.510000000000005</v>
      </c>
      <c r="BU17" s="8">
        <v>70.150000000000006</v>
      </c>
      <c r="BV17" s="8">
        <v>81.13</v>
      </c>
      <c r="CB17" s="8">
        <v>76.599999999999994</v>
      </c>
      <c r="CD17" s="8">
        <v>77.63</v>
      </c>
      <c r="CE17" s="8">
        <v>43.31</v>
      </c>
      <c r="CF17" s="8">
        <v>43.31</v>
      </c>
      <c r="CV17" s="8">
        <v>84.83</v>
      </c>
      <c r="CW17" s="8">
        <v>84.83</v>
      </c>
      <c r="CZ17" s="8">
        <v>81.569999999999993</v>
      </c>
      <c r="DP17" s="8">
        <v>83.29</v>
      </c>
      <c r="DQ17" s="8">
        <v>78.900000000000006</v>
      </c>
      <c r="DR17" s="8">
        <v>86</v>
      </c>
      <c r="DS17" s="8">
        <v>82.83</v>
      </c>
      <c r="EI17" s="8">
        <v>79.05</v>
      </c>
      <c r="EY17" s="8">
        <v>83.89</v>
      </c>
      <c r="EZ17" s="8">
        <v>71.06</v>
      </c>
      <c r="FA17" s="8">
        <v>65.45</v>
      </c>
      <c r="FE17" s="8">
        <v>73.459999999999994</v>
      </c>
      <c r="FL17" s="8">
        <v>65.7</v>
      </c>
      <c r="FM17" s="8">
        <v>76.37</v>
      </c>
      <c r="FQ17" s="8">
        <v>82.89</v>
      </c>
      <c r="FR17" s="8">
        <v>93.55</v>
      </c>
      <c r="FS17" s="8">
        <v>82.07</v>
      </c>
      <c r="FV17" s="8">
        <v>74.84</v>
      </c>
      <c r="FW17" s="8">
        <v>74.58</v>
      </c>
      <c r="FX17" s="8">
        <v>74.36</v>
      </c>
      <c r="FY17" s="8">
        <v>72.67</v>
      </c>
      <c r="FZ17" s="8">
        <v>78.5</v>
      </c>
      <c r="GA17" s="8">
        <v>76.28</v>
      </c>
      <c r="GB17" s="8">
        <v>70.72</v>
      </c>
      <c r="GC17" s="8">
        <v>79.11</v>
      </c>
      <c r="GD17" s="8">
        <v>66.91</v>
      </c>
      <c r="GE17" s="8">
        <v>81.99</v>
      </c>
      <c r="GF17" s="8">
        <v>77.45</v>
      </c>
      <c r="GG17" s="8">
        <v>78.48</v>
      </c>
      <c r="GH17" s="8">
        <v>73.59</v>
      </c>
      <c r="GI17" s="8">
        <v>72.819999999999993</v>
      </c>
      <c r="GJ17" s="8">
        <v>73.349999999999994</v>
      </c>
      <c r="GK17" s="8">
        <v>74.47</v>
      </c>
      <c r="GL17" s="8">
        <v>82.02</v>
      </c>
      <c r="GM17" s="8">
        <v>81.510000000000005</v>
      </c>
      <c r="GN17" s="8">
        <v>82.12</v>
      </c>
      <c r="GO17" s="8">
        <v>74.319999999999993</v>
      </c>
      <c r="GP17" s="8">
        <v>64.77</v>
      </c>
      <c r="GQ17" s="8">
        <v>81.239999999999995</v>
      </c>
      <c r="GR17" s="8">
        <v>82.61</v>
      </c>
      <c r="GS17" s="8">
        <v>66.39</v>
      </c>
      <c r="GT17" s="8">
        <v>72.66</v>
      </c>
      <c r="GU17" s="8">
        <v>78.28</v>
      </c>
      <c r="GV17" s="8">
        <v>76.239999999999995</v>
      </c>
      <c r="GW17" s="8">
        <v>70.39</v>
      </c>
      <c r="GX17" s="8">
        <v>78.180000000000007</v>
      </c>
      <c r="HD17" s="8">
        <v>82.04</v>
      </c>
      <c r="HF17" s="8">
        <v>76.92</v>
      </c>
      <c r="HG17" s="8">
        <v>44.69</v>
      </c>
      <c r="HH17" s="8">
        <v>44.69</v>
      </c>
      <c r="HX17" s="8">
        <v>71.67</v>
      </c>
      <c r="HY17" s="8">
        <v>71.67</v>
      </c>
      <c r="IB17" s="8">
        <v>66.05</v>
      </c>
    </row>
    <row r="18" spans="1:236" x14ac:dyDescent="0.2">
      <c r="A18" s="9">
        <v>43191</v>
      </c>
      <c r="G18" s="8">
        <v>82.46</v>
      </c>
      <c r="W18" s="8">
        <v>92.6</v>
      </c>
      <c r="X18" s="8">
        <v>81.180000000000007</v>
      </c>
      <c r="Y18" s="8">
        <v>64.89</v>
      </c>
      <c r="AC18" s="8">
        <v>73.349999999999994</v>
      </c>
      <c r="AJ18" s="8">
        <v>79.33</v>
      </c>
      <c r="AK18" s="8">
        <v>73.260000000000005</v>
      </c>
      <c r="AO18" s="8">
        <v>91.97</v>
      </c>
      <c r="AP18" s="8">
        <v>93.57</v>
      </c>
      <c r="AQ18" s="8">
        <v>91.37</v>
      </c>
      <c r="AT18" s="8">
        <v>73.94</v>
      </c>
      <c r="AU18" s="8">
        <v>72.430000000000007</v>
      </c>
      <c r="AV18" s="8">
        <v>75.099999999999994</v>
      </c>
      <c r="AW18" s="8">
        <v>73.53</v>
      </c>
      <c r="AX18" s="8">
        <v>76.13</v>
      </c>
      <c r="AY18" s="8">
        <v>77.290000000000006</v>
      </c>
      <c r="AZ18" s="8">
        <v>71.099999999999994</v>
      </c>
      <c r="BA18" s="8">
        <v>77.17</v>
      </c>
      <c r="BB18" s="8">
        <v>73.42</v>
      </c>
      <c r="BC18" s="8">
        <v>80.95</v>
      </c>
      <c r="BD18" s="8">
        <v>77.540000000000006</v>
      </c>
      <c r="BE18" s="8">
        <v>84.41</v>
      </c>
      <c r="BF18" s="8">
        <v>73.39</v>
      </c>
      <c r="BG18" s="8">
        <v>72.03</v>
      </c>
      <c r="BH18" s="8">
        <v>73.03</v>
      </c>
      <c r="BI18" s="8">
        <v>75.540000000000006</v>
      </c>
      <c r="BJ18" s="8">
        <v>78.06</v>
      </c>
      <c r="BK18" s="8">
        <v>76.540000000000006</v>
      </c>
      <c r="BL18" s="8">
        <v>79.239999999999995</v>
      </c>
      <c r="BM18" s="8">
        <v>74.73</v>
      </c>
      <c r="BN18" s="8">
        <v>63.12</v>
      </c>
      <c r="BO18" s="8">
        <v>78.09</v>
      </c>
      <c r="BP18" s="8">
        <v>81.83</v>
      </c>
      <c r="BQ18" s="8">
        <v>67.180000000000007</v>
      </c>
      <c r="BR18" s="8">
        <v>74.430000000000007</v>
      </c>
      <c r="BS18" s="8">
        <v>77.22</v>
      </c>
      <c r="BT18" s="8">
        <v>80.38</v>
      </c>
      <c r="BU18" s="8">
        <v>69.150000000000006</v>
      </c>
      <c r="BV18" s="8">
        <v>82.36</v>
      </c>
      <c r="CB18" s="8">
        <v>77.31</v>
      </c>
      <c r="CD18" s="8">
        <v>78.09</v>
      </c>
      <c r="CE18" s="8">
        <v>43.84</v>
      </c>
      <c r="CF18" s="8">
        <v>43.84</v>
      </c>
      <c r="CV18" s="8">
        <v>84.84</v>
      </c>
      <c r="CW18" s="8">
        <v>84.84</v>
      </c>
      <c r="CZ18" s="8">
        <v>81.569999999999993</v>
      </c>
      <c r="DP18" s="8">
        <v>82.76</v>
      </c>
      <c r="DQ18" s="8">
        <v>77.209999999999994</v>
      </c>
      <c r="DR18" s="8">
        <v>85.26</v>
      </c>
      <c r="DS18" s="8">
        <v>82.7</v>
      </c>
      <c r="EI18" s="8">
        <v>79.86</v>
      </c>
      <c r="EY18" s="8">
        <v>86.03</v>
      </c>
      <c r="EZ18" s="8">
        <v>70.11</v>
      </c>
      <c r="FA18" s="8">
        <v>70.790000000000006</v>
      </c>
      <c r="FE18" s="8">
        <v>74.180000000000007</v>
      </c>
      <c r="FL18" s="8">
        <v>65.7</v>
      </c>
      <c r="FM18" s="8">
        <v>76.37</v>
      </c>
      <c r="FQ18" s="8">
        <v>82.89</v>
      </c>
      <c r="FR18" s="8">
        <v>93.57</v>
      </c>
      <c r="FS18" s="8">
        <v>82.07</v>
      </c>
      <c r="FV18" s="8">
        <v>74.650000000000006</v>
      </c>
      <c r="FW18" s="8">
        <v>73.959999999999994</v>
      </c>
      <c r="FX18" s="8">
        <v>74.38</v>
      </c>
      <c r="FY18" s="8">
        <v>72.95</v>
      </c>
      <c r="FZ18" s="8">
        <v>78.510000000000005</v>
      </c>
      <c r="GA18" s="8">
        <v>76.69</v>
      </c>
      <c r="GB18" s="8">
        <v>69.95</v>
      </c>
      <c r="GC18" s="8">
        <v>77.849999999999994</v>
      </c>
      <c r="GD18" s="8">
        <v>69.37</v>
      </c>
      <c r="GE18" s="8">
        <v>82.16</v>
      </c>
      <c r="GF18" s="8">
        <v>77.73</v>
      </c>
      <c r="GG18" s="8">
        <v>80.63</v>
      </c>
      <c r="GH18" s="8">
        <v>73.94</v>
      </c>
      <c r="GI18" s="8">
        <v>73.06</v>
      </c>
      <c r="GJ18" s="8">
        <v>73.86</v>
      </c>
      <c r="GK18" s="8">
        <v>74.8</v>
      </c>
      <c r="GL18" s="8">
        <v>80.38</v>
      </c>
      <c r="GM18" s="8">
        <v>79.2</v>
      </c>
      <c r="GN18" s="8">
        <v>81.099999999999994</v>
      </c>
      <c r="GO18" s="8">
        <v>74.45</v>
      </c>
      <c r="GP18" s="8">
        <v>65.12</v>
      </c>
      <c r="GQ18" s="8">
        <v>79.349999999999994</v>
      </c>
      <c r="GR18" s="8">
        <v>81.650000000000006</v>
      </c>
      <c r="GS18" s="8">
        <v>66.989999999999995</v>
      </c>
      <c r="GT18" s="8">
        <v>73.599999999999994</v>
      </c>
      <c r="GU18" s="8">
        <v>77.61</v>
      </c>
      <c r="GV18" s="8">
        <v>76.53</v>
      </c>
      <c r="GW18" s="8">
        <v>69.650000000000006</v>
      </c>
      <c r="GX18" s="8">
        <v>78.849999999999994</v>
      </c>
      <c r="HD18" s="8">
        <v>82.61</v>
      </c>
      <c r="HF18" s="8">
        <v>77.87</v>
      </c>
      <c r="HG18" s="8">
        <v>45.31</v>
      </c>
      <c r="HH18" s="8">
        <v>45.31</v>
      </c>
      <c r="HX18" s="8">
        <v>71.7</v>
      </c>
      <c r="HY18" s="8">
        <v>71.7</v>
      </c>
      <c r="IB18" s="8">
        <v>66.05</v>
      </c>
    </row>
    <row r="19" spans="1:236" x14ac:dyDescent="0.2">
      <c r="A19" s="9">
        <v>43221</v>
      </c>
      <c r="G19" s="8">
        <v>84.68</v>
      </c>
      <c r="W19" s="8">
        <v>84.09</v>
      </c>
      <c r="X19" s="8">
        <v>71.52</v>
      </c>
      <c r="Y19" s="8">
        <v>62.33</v>
      </c>
      <c r="AC19" s="8">
        <v>73.290000000000006</v>
      </c>
      <c r="AJ19" s="8">
        <v>79.33</v>
      </c>
      <c r="AK19" s="8">
        <v>73.260000000000005</v>
      </c>
      <c r="AO19" s="8">
        <v>91.98</v>
      </c>
      <c r="AP19" s="8">
        <v>93.59</v>
      </c>
      <c r="AQ19" s="8">
        <v>91.37</v>
      </c>
      <c r="AT19" s="8">
        <v>73.989999999999995</v>
      </c>
      <c r="AU19" s="8">
        <v>73.09</v>
      </c>
      <c r="AV19" s="8">
        <v>74.66</v>
      </c>
      <c r="AW19" s="8">
        <v>73.7</v>
      </c>
      <c r="AX19" s="8">
        <v>75.75</v>
      </c>
      <c r="AY19" s="8">
        <v>76.930000000000007</v>
      </c>
      <c r="AZ19" s="8">
        <v>70.34</v>
      </c>
      <c r="BA19" s="8">
        <v>76.34</v>
      </c>
      <c r="BB19" s="8">
        <v>72.23</v>
      </c>
      <c r="BC19" s="8">
        <v>80.37</v>
      </c>
      <c r="BD19" s="8">
        <v>78.44</v>
      </c>
      <c r="BE19" s="8">
        <v>84.61</v>
      </c>
      <c r="BF19" s="8">
        <v>73.41</v>
      </c>
      <c r="BG19" s="8">
        <v>72.02</v>
      </c>
      <c r="BH19" s="8">
        <v>73.209999999999994</v>
      </c>
      <c r="BI19" s="8">
        <v>75.459999999999994</v>
      </c>
      <c r="BJ19" s="8">
        <v>77.739999999999995</v>
      </c>
      <c r="BK19" s="8">
        <v>77.98</v>
      </c>
      <c r="BL19" s="8">
        <v>77.47</v>
      </c>
      <c r="BM19" s="8">
        <v>74.37</v>
      </c>
      <c r="BN19" s="8">
        <v>63.12</v>
      </c>
      <c r="BO19" s="8">
        <v>80.17</v>
      </c>
      <c r="BP19" s="8">
        <v>81.66</v>
      </c>
      <c r="BQ19" s="8">
        <v>66.11</v>
      </c>
      <c r="BR19" s="8">
        <v>73.849999999999994</v>
      </c>
      <c r="BS19" s="8">
        <v>76.95</v>
      </c>
      <c r="BT19" s="8">
        <v>80.37</v>
      </c>
      <c r="BU19" s="8">
        <v>68.069999999999993</v>
      </c>
      <c r="BV19" s="8">
        <v>82.56</v>
      </c>
      <c r="CB19" s="8">
        <v>76.400000000000006</v>
      </c>
      <c r="CD19" s="8">
        <v>77.37</v>
      </c>
      <c r="CE19" s="8">
        <v>44.27</v>
      </c>
      <c r="CF19" s="8">
        <v>44.27</v>
      </c>
      <c r="CV19" s="8">
        <v>84.89</v>
      </c>
      <c r="CW19" s="8">
        <v>84.89</v>
      </c>
      <c r="CZ19" s="8">
        <v>81.569999999999993</v>
      </c>
      <c r="DP19" s="8">
        <v>82.76</v>
      </c>
      <c r="DQ19" s="8">
        <v>75.900000000000006</v>
      </c>
      <c r="DR19" s="8">
        <v>85.37</v>
      </c>
      <c r="DS19" s="8">
        <v>82.93</v>
      </c>
      <c r="EI19" s="8">
        <v>81.040000000000006</v>
      </c>
      <c r="EY19" s="8">
        <v>84.01</v>
      </c>
      <c r="EZ19" s="8">
        <v>70.09</v>
      </c>
      <c r="FA19" s="8">
        <v>66.97</v>
      </c>
      <c r="FE19" s="8">
        <v>74.42</v>
      </c>
      <c r="FL19" s="8">
        <v>65.7</v>
      </c>
      <c r="FM19" s="8">
        <v>76.37</v>
      </c>
      <c r="FQ19" s="8">
        <v>82.89</v>
      </c>
      <c r="FR19" s="8">
        <v>93.59</v>
      </c>
      <c r="FS19" s="8">
        <v>82.07</v>
      </c>
      <c r="FV19" s="8">
        <v>74.680000000000007</v>
      </c>
      <c r="FW19" s="8">
        <v>74.83</v>
      </c>
      <c r="FX19" s="8">
        <v>73.739999999999995</v>
      </c>
      <c r="FY19" s="8">
        <v>73.41</v>
      </c>
      <c r="FZ19" s="8">
        <v>77.97</v>
      </c>
      <c r="GA19" s="8">
        <v>76.19</v>
      </c>
      <c r="GB19" s="8">
        <v>68.58</v>
      </c>
      <c r="GC19" s="8">
        <v>77.45</v>
      </c>
      <c r="GD19" s="8">
        <v>68.94</v>
      </c>
      <c r="GE19" s="8">
        <v>81.94</v>
      </c>
      <c r="GF19" s="8">
        <v>77.989999999999995</v>
      </c>
      <c r="GG19" s="8">
        <v>80.12</v>
      </c>
      <c r="GH19" s="8">
        <v>73.75</v>
      </c>
      <c r="GI19" s="8">
        <v>72.62</v>
      </c>
      <c r="GJ19" s="8">
        <v>73.86</v>
      </c>
      <c r="GK19" s="8">
        <v>74.69</v>
      </c>
      <c r="GL19" s="8">
        <v>78.510000000000005</v>
      </c>
      <c r="GM19" s="8">
        <v>78.67</v>
      </c>
      <c r="GN19" s="8">
        <v>78.02</v>
      </c>
      <c r="GO19" s="8">
        <v>74</v>
      </c>
      <c r="GP19" s="8">
        <v>64.87</v>
      </c>
      <c r="GQ19" s="8">
        <v>81.069999999999993</v>
      </c>
      <c r="GR19" s="8">
        <v>81.38</v>
      </c>
      <c r="GS19" s="8">
        <v>66.239999999999995</v>
      </c>
      <c r="GT19" s="8">
        <v>73.03</v>
      </c>
      <c r="GU19" s="8">
        <v>76.73</v>
      </c>
      <c r="GV19" s="8">
        <v>76.150000000000006</v>
      </c>
      <c r="GW19" s="8">
        <v>68.510000000000005</v>
      </c>
      <c r="GX19" s="8">
        <v>78.75</v>
      </c>
      <c r="HD19" s="8">
        <v>82.69</v>
      </c>
      <c r="HF19" s="8">
        <v>78.099999999999994</v>
      </c>
      <c r="HG19" s="8">
        <v>45.77</v>
      </c>
      <c r="HH19" s="8">
        <v>45.77</v>
      </c>
      <c r="HX19" s="8">
        <v>72.44</v>
      </c>
      <c r="HY19" s="8">
        <v>72.44</v>
      </c>
      <c r="IB19" s="8">
        <v>66.05</v>
      </c>
    </row>
    <row r="20" spans="1:236" x14ac:dyDescent="0.2">
      <c r="A20" s="9">
        <v>43252</v>
      </c>
      <c r="G20" s="8">
        <v>87.32</v>
      </c>
      <c r="W20" s="8">
        <v>85.28</v>
      </c>
      <c r="X20" s="8">
        <v>71.92</v>
      </c>
      <c r="Y20" s="8">
        <v>64.16</v>
      </c>
      <c r="AC20" s="8">
        <v>72.22</v>
      </c>
      <c r="AJ20" s="8">
        <v>79.33</v>
      </c>
      <c r="AK20" s="8">
        <v>73.260000000000005</v>
      </c>
      <c r="AO20" s="8">
        <v>91.97</v>
      </c>
      <c r="AP20" s="8">
        <v>93.6</v>
      </c>
      <c r="AQ20" s="8">
        <v>91.35</v>
      </c>
      <c r="AT20" s="8">
        <v>73.67</v>
      </c>
      <c r="AU20" s="8">
        <v>72.819999999999993</v>
      </c>
      <c r="AV20" s="8">
        <v>74.709999999999994</v>
      </c>
      <c r="AW20" s="8">
        <v>74.209999999999994</v>
      </c>
      <c r="AX20" s="8">
        <v>73.66</v>
      </c>
      <c r="AY20" s="8">
        <v>76.88</v>
      </c>
      <c r="AZ20" s="8">
        <v>70.02</v>
      </c>
      <c r="BA20" s="8">
        <v>75.599999999999994</v>
      </c>
      <c r="BB20" s="8">
        <v>72.5</v>
      </c>
      <c r="BC20" s="8">
        <v>80.459999999999994</v>
      </c>
      <c r="BD20" s="8">
        <v>77.290000000000006</v>
      </c>
      <c r="BE20" s="8">
        <v>86.32</v>
      </c>
      <c r="BF20" s="8">
        <v>73.209999999999994</v>
      </c>
      <c r="BG20" s="8">
        <v>71.72</v>
      </c>
      <c r="BH20" s="8">
        <v>72.7</v>
      </c>
      <c r="BI20" s="8">
        <v>75.72</v>
      </c>
      <c r="BJ20" s="8">
        <v>78.59</v>
      </c>
      <c r="BK20" s="8">
        <v>75.97</v>
      </c>
      <c r="BL20" s="8">
        <v>80.67</v>
      </c>
      <c r="BM20" s="8">
        <v>74.209999999999994</v>
      </c>
      <c r="BN20" s="8">
        <v>62.93</v>
      </c>
      <c r="BO20" s="8">
        <v>79.010000000000005</v>
      </c>
      <c r="BP20" s="8">
        <v>82.01</v>
      </c>
      <c r="BQ20" s="8">
        <v>65.41</v>
      </c>
      <c r="BR20" s="8">
        <v>73.52</v>
      </c>
      <c r="BS20" s="8">
        <v>77.11</v>
      </c>
      <c r="BT20" s="8">
        <v>79.95</v>
      </c>
      <c r="BU20" s="8">
        <v>68.45</v>
      </c>
      <c r="BV20" s="8">
        <v>81.99</v>
      </c>
      <c r="CB20" s="8">
        <v>76.25</v>
      </c>
      <c r="CD20" s="8">
        <v>76.95</v>
      </c>
      <c r="CE20" s="8">
        <v>44.21</v>
      </c>
      <c r="CF20" s="8">
        <v>44.21</v>
      </c>
      <c r="CV20" s="8">
        <v>84.89</v>
      </c>
      <c r="CW20" s="8">
        <v>84.89</v>
      </c>
      <c r="CZ20" s="8">
        <v>81.569999999999993</v>
      </c>
      <c r="DP20" s="8">
        <v>82.68</v>
      </c>
      <c r="DQ20" s="8">
        <v>76.33</v>
      </c>
      <c r="DR20" s="8">
        <v>85.72</v>
      </c>
      <c r="DS20" s="8">
        <v>82.46</v>
      </c>
      <c r="EI20" s="8">
        <v>83.48</v>
      </c>
      <c r="EY20" s="8">
        <v>90.85</v>
      </c>
      <c r="EZ20" s="8">
        <v>77.760000000000005</v>
      </c>
      <c r="FA20" s="8">
        <v>69.819999999999993</v>
      </c>
      <c r="FE20" s="8">
        <v>73.099999999999994</v>
      </c>
      <c r="FL20" s="8">
        <v>65.7</v>
      </c>
      <c r="FM20" s="8">
        <v>76.37</v>
      </c>
      <c r="FQ20" s="8">
        <v>82.94</v>
      </c>
      <c r="FR20" s="8">
        <v>93.6</v>
      </c>
      <c r="FS20" s="8">
        <v>82.12</v>
      </c>
      <c r="FV20" s="8">
        <v>74.41</v>
      </c>
      <c r="FW20" s="8">
        <v>74.62</v>
      </c>
      <c r="FX20" s="8">
        <v>73.48</v>
      </c>
      <c r="FY20" s="8">
        <v>73.510000000000005</v>
      </c>
      <c r="FZ20" s="8">
        <v>77.319999999999993</v>
      </c>
      <c r="GA20" s="8">
        <v>76.34</v>
      </c>
      <c r="GB20" s="8">
        <v>69.010000000000005</v>
      </c>
      <c r="GC20" s="8">
        <v>76.459999999999994</v>
      </c>
      <c r="GD20" s="8">
        <v>69.27</v>
      </c>
      <c r="GE20" s="8">
        <v>82.35</v>
      </c>
      <c r="GF20" s="8">
        <v>77.099999999999994</v>
      </c>
      <c r="GG20" s="8">
        <v>81.150000000000006</v>
      </c>
      <c r="GH20" s="8">
        <v>73.73</v>
      </c>
      <c r="GI20" s="8">
        <v>72.83</v>
      </c>
      <c r="GJ20" s="8">
        <v>73.34</v>
      </c>
      <c r="GK20" s="8">
        <v>74.88</v>
      </c>
      <c r="GL20" s="8">
        <v>80.98</v>
      </c>
      <c r="GM20" s="8">
        <v>81.150000000000006</v>
      </c>
      <c r="GN20" s="8">
        <v>80.45</v>
      </c>
      <c r="GO20" s="8">
        <v>73.930000000000007</v>
      </c>
      <c r="GP20" s="8">
        <v>65.099999999999994</v>
      </c>
      <c r="GQ20" s="8">
        <v>80.11</v>
      </c>
      <c r="GR20" s="8">
        <v>81.89</v>
      </c>
      <c r="GS20" s="8">
        <v>65.930000000000007</v>
      </c>
      <c r="GT20" s="8">
        <v>72.77</v>
      </c>
      <c r="GU20" s="8">
        <v>77.010000000000005</v>
      </c>
      <c r="GV20" s="8">
        <v>75.7</v>
      </c>
      <c r="GW20" s="8">
        <v>68.84</v>
      </c>
      <c r="GX20" s="8">
        <v>78.03</v>
      </c>
      <c r="HD20" s="8">
        <v>81.91</v>
      </c>
      <c r="HF20" s="8">
        <v>77.510000000000005</v>
      </c>
      <c r="HG20" s="8">
        <v>45.7</v>
      </c>
      <c r="HH20" s="8">
        <v>45.7</v>
      </c>
      <c r="HX20" s="8">
        <v>72.92</v>
      </c>
      <c r="HY20" s="8">
        <v>72.92</v>
      </c>
      <c r="IB20" s="8">
        <v>66.05</v>
      </c>
    </row>
    <row r="21" spans="1:236" x14ac:dyDescent="0.2">
      <c r="A21" s="9">
        <v>43282</v>
      </c>
      <c r="G21" s="8">
        <v>88.22</v>
      </c>
      <c r="W21" s="8">
        <v>91.76</v>
      </c>
      <c r="X21" s="8">
        <v>75.17</v>
      </c>
      <c r="Y21" s="8">
        <v>72.48</v>
      </c>
      <c r="AC21" s="8">
        <v>72.94</v>
      </c>
      <c r="AJ21" s="8">
        <v>79.33</v>
      </c>
      <c r="AK21" s="8">
        <v>73.260000000000005</v>
      </c>
      <c r="AO21" s="8">
        <v>91.98</v>
      </c>
      <c r="AP21" s="8">
        <v>93.63</v>
      </c>
      <c r="AQ21" s="8">
        <v>91.35</v>
      </c>
      <c r="AT21" s="8">
        <v>74.31</v>
      </c>
      <c r="AU21" s="8">
        <v>73.7</v>
      </c>
      <c r="AV21" s="8">
        <v>75.67</v>
      </c>
      <c r="AW21" s="8">
        <v>73.64</v>
      </c>
      <c r="AX21" s="8">
        <v>73.319999999999993</v>
      </c>
      <c r="AY21" s="8">
        <v>76.88</v>
      </c>
      <c r="AZ21" s="8">
        <v>69.55</v>
      </c>
      <c r="BA21" s="8">
        <v>75.75</v>
      </c>
      <c r="BB21" s="8">
        <v>71.95</v>
      </c>
      <c r="BC21" s="8">
        <v>82.41</v>
      </c>
      <c r="BD21" s="8">
        <v>76.81</v>
      </c>
      <c r="BE21" s="8">
        <v>85.9</v>
      </c>
      <c r="BF21" s="8">
        <v>73.3</v>
      </c>
      <c r="BG21" s="8">
        <v>71.84</v>
      </c>
      <c r="BH21" s="8">
        <v>72.989999999999995</v>
      </c>
      <c r="BI21" s="8">
        <v>75.56</v>
      </c>
      <c r="BJ21" s="8">
        <v>77.37</v>
      </c>
      <c r="BK21" s="8">
        <v>76.44</v>
      </c>
      <c r="BL21" s="8">
        <v>78.069999999999993</v>
      </c>
      <c r="BM21" s="8">
        <v>74.89</v>
      </c>
      <c r="BN21" s="8">
        <v>62.88</v>
      </c>
      <c r="BO21" s="8">
        <v>80.08</v>
      </c>
      <c r="BP21" s="8">
        <v>82.36</v>
      </c>
      <c r="BQ21" s="8">
        <v>67.3</v>
      </c>
      <c r="BR21" s="8">
        <v>74.19</v>
      </c>
      <c r="BS21" s="8">
        <v>77.69</v>
      </c>
      <c r="BT21" s="8">
        <v>80.05</v>
      </c>
      <c r="BU21" s="8">
        <v>70.069999999999993</v>
      </c>
      <c r="BV21" s="8">
        <v>81.8</v>
      </c>
      <c r="CB21" s="8">
        <v>77.63</v>
      </c>
      <c r="CD21" s="8">
        <v>77.260000000000005</v>
      </c>
      <c r="CE21" s="8">
        <v>44.21</v>
      </c>
      <c r="CF21" s="8">
        <v>44.21</v>
      </c>
      <c r="CV21" s="8">
        <v>85.24</v>
      </c>
      <c r="CW21" s="8">
        <v>85.24</v>
      </c>
      <c r="CZ21" s="8">
        <v>81.569999999999993</v>
      </c>
      <c r="DP21" s="8">
        <v>82.64</v>
      </c>
      <c r="DQ21" s="8">
        <v>77.150000000000006</v>
      </c>
      <c r="DR21" s="8">
        <v>85.37</v>
      </c>
      <c r="DS21" s="8">
        <v>82.4</v>
      </c>
      <c r="EI21" s="8">
        <v>83.49</v>
      </c>
      <c r="EY21" s="8">
        <v>104.21</v>
      </c>
      <c r="EZ21" s="8">
        <v>91.73</v>
      </c>
      <c r="FA21" s="8">
        <v>76.73</v>
      </c>
      <c r="FE21" s="8">
        <v>73.86</v>
      </c>
      <c r="FL21" s="8">
        <v>65.7</v>
      </c>
      <c r="FM21" s="8">
        <v>76.37</v>
      </c>
      <c r="FQ21" s="8">
        <v>82.94</v>
      </c>
      <c r="FR21" s="8">
        <v>93.63</v>
      </c>
      <c r="FS21" s="8">
        <v>82.12</v>
      </c>
      <c r="FV21" s="8">
        <v>75.069999999999993</v>
      </c>
      <c r="FW21" s="8">
        <v>75.61</v>
      </c>
      <c r="FX21" s="8">
        <v>74.680000000000007</v>
      </c>
      <c r="FY21" s="8">
        <v>72.790000000000006</v>
      </c>
      <c r="FZ21" s="8">
        <v>76.5</v>
      </c>
      <c r="GA21" s="8">
        <v>76.62</v>
      </c>
      <c r="GB21" s="8">
        <v>69.03</v>
      </c>
      <c r="GC21" s="8">
        <v>76.87</v>
      </c>
      <c r="GD21" s="8">
        <v>69.31</v>
      </c>
      <c r="GE21" s="8">
        <v>83.58</v>
      </c>
      <c r="GF21" s="8">
        <v>76.650000000000006</v>
      </c>
      <c r="GG21" s="8">
        <v>81.27</v>
      </c>
      <c r="GH21" s="8">
        <v>74.02</v>
      </c>
      <c r="GI21" s="8">
        <v>73.290000000000006</v>
      </c>
      <c r="GJ21" s="8">
        <v>73.83</v>
      </c>
      <c r="GK21" s="8">
        <v>74.8</v>
      </c>
      <c r="GL21" s="8">
        <v>81.11</v>
      </c>
      <c r="GM21" s="8">
        <v>82.43</v>
      </c>
      <c r="GN21" s="8">
        <v>79.540000000000006</v>
      </c>
      <c r="GO21" s="8">
        <v>74.430000000000007</v>
      </c>
      <c r="GP21" s="8">
        <v>64.72</v>
      </c>
      <c r="GQ21" s="8">
        <v>80.989999999999995</v>
      </c>
      <c r="GR21" s="8">
        <v>81.83</v>
      </c>
      <c r="GS21" s="8">
        <v>67.27</v>
      </c>
      <c r="GT21" s="8">
        <v>73.38</v>
      </c>
      <c r="GU21" s="8">
        <v>77.400000000000006</v>
      </c>
      <c r="GV21" s="8">
        <v>79.37</v>
      </c>
      <c r="GW21" s="8">
        <v>70.62</v>
      </c>
      <c r="GX21" s="8">
        <v>82.37</v>
      </c>
      <c r="HD21" s="8">
        <v>83.56</v>
      </c>
      <c r="HF21" s="8">
        <v>78.510000000000005</v>
      </c>
      <c r="HG21" s="8">
        <v>45.69</v>
      </c>
      <c r="HH21" s="8">
        <v>45.69</v>
      </c>
      <c r="HX21" s="8">
        <v>72.760000000000005</v>
      </c>
      <c r="HY21" s="8">
        <v>72.760000000000005</v>
      </c>
      <c r="IB21" s="8">
        <v>66.05</v>
      </c>
    </row>
    <row r="22" spans="1:236" x14ac:dyDescent="0.2">
      <c r="A22" s="9">
        <v>43313</v>
      </c>
      <c r="G22" s="8">
        <v>87.67</v>
      </c>
      <c r="W22" s="8">
        <v>85.32</v>
      </c>
      <c r="X22" s="8">
        <v>72.86</v>
      </c>
      <c r="Y22" s="8">
        <v>62.78</v>
      </c>
      <c r="AC22" s="8">
        <v>72.709999999999994</v>
      </c>
      <c r="AJ22" s="8">
        <v>79.33</v>
      </c>
      <c r="AK22" s="8">
        <v>73.260000000000005</v>
      </c>
      <c r="AO22" s="8">
        <v>91.98</v>
      </c>
      <c r="AP22" s="8">
        <v>93.66</v>
      </c>
      <c r="AQ22" s="8">
        <v>91.35</v>
      </c>
      <c r="AT22" s="8">
        <v>73.7</v>
      </c>
      <c r="AU22" s="8">
        <v>73.540000000000006</v>
      </c>
      <c r="AV22" s="8">
        <v>74.069999999999993</v>
      </c>
      <c r="AW22" s="8">
        <v>73.56</v>
      </c>
      <c r="AX22" s="8">
        <v>74.11</v>
      </c>
      <c r="AY22" s="8">
        <v>77.319999999999993</v>
      </c>
      <c r="AZ22" s="8">
        <v>71.63</v>
      </c>
      <c r="BA22" s="8">
        <v>75.5</v>
      </c>
      <c r="BB22" s="8">
        <v>73.66</v>
      </c>
      <c r="BC22" s="8">
        <v>81.569999999999993</v>
      </c>
      <c r="BD22" s="8">
        <v>76.91</v>
      </c>
      <c r="BE22" s="8">
        <v>85.11</v>
      </c>
      <c r="BF22" s="8">
        <v>72.97</v>
      </c>
      <c r="BG22" s="8">
        <v>71.489999999999995</v>
      </c>
      <c r="BH22" s="8">
        <v>72.709999999999994</v>
      </c>
      <c r="BI22" s="8">
        <v>75.209999999999994</v>
      </c>
      <c r="BJ22" s="8">
        <v>78.37</v>
      </c>
      <c r="BK22" s="8">
        <v>75.180000000000007</v>
      </c>
      <c r="BL22" s="8">
        <v>80.94</v>
      </c>
      <c r="BM22" s="8">
        <v>75.12</v>
      </c>
      <c r="BN22" s="8">
        <v>62.89</v>
      </c>
      <c r="BO22" s="8">
        <v>80.099999999999994</v>
      </c>
      <c r="BP22" s="8">
        <v>81.97</v>
      </c>
      <c r="BQ22" s="8">
        <v>67.77</v>
      </c>
      <c r="BR22" s="8">
        <v>74.77</v>
      </c>
      <c r="BS22" s="8">
        <v>77.709999999999994</v>
      </c>
      <c r="BT22" s="8">
        <v>80.2</v>
      </c>
      <c r="BU22" s="8">
        <v>68.53</v>
      </c>
      <c r="BV22" s="8">
        <v>82.27</v>
      </c>
      <c r="CB22" s="8">
        <v>77.849999999999994</v>
      </c>
      <c r="CD22" s="8">
        <v>79.03</v>
      </c>
      <c r="CE22" s="8">
        <v>44.27</v>
      </c>
      <c r="CF22" s="8">
        <v>44.27</v>
      </c>
      <c r="CV22" s="8">
        <v>85.26</v>
      </c>
      <c r="CW22" s="8">
        <v>85.26</v>
      </c>
      <c r="CZ22" s="8">
        <v>81.569999999999993</v>
      </c>
      <c r="DP22" s="8">
        <v>82.26</v>
      </c>
      <c r="DQ22" s="8">
        <v>77.069999999999993</v>
      </c>
      <c r="DR22" s="8">
        <v>84.89</v>
      </c>
      <c r="DS22" s="8">
        <v>82.02</v>
      </c>
      <c r="EI22" s="8">
        <v>83.03</v>
      </c>
      <c r="EY22" s="8">
        <v>90.27</v>
      </c>
      <c r="EZ22" s="8">
        <v>77.44</v>
      </c>
      <c r="FA22" s="8">
        <v>69.13</v>
      </c>
      <c r="FE22" s="8">
        <v>73.84</v>
      </c>
      <c r="FL22" s="8">
        <v>65.7</v>
      </c>
      <c r="FM22" s="8">
        <v>76.37</v>
      </c>
      <c r="FQ22" s="8">
        <v>82.94</v>
      </c>
      <c r="FR22" s="8">
        <v>93.66</v>
      </c>
      <c r="FS22" s="8">
        <v>82.12</v>
      </c>
      <c r="FV22" s="8">
        <v>74.64</v>
      </c>
      <c r="FW22" s="8">
        <v>75.709999999999994</v>
      </c>
      <c r="FX22" s="8">
        <v>73.14</v>
      </c>
      <c r="FY22" s="8">
        <v>73.22</v>
      </c>
      <c r="FZ22" s="8">
        <v>77.180000000000007</v>
      </c>
      <c r="GA22" s="8">
        <v>77.290000000000006</v>
      </c>
      <c r="GB22" s="8">
        <v>71.02</v>
      </c>
      <c r="GC22" s="8">
        <v>77.17</v>
      </c>
      <c r="GD22" s="8">
        <v>71.58</v>
      </c>
      <c r="GE22" s="8">
        <v>83.1</v>
      </c>
      <c r="GF22" s="8">
        <v>77.27</v>
      </c>
      <c r="GG22" s="8">
        <v>80.87</v>
      </c>
      <c r="GH22" s="8">
        <v>73.569999999999993</v>
      </c>
      <c r="GI22" s="8">
        <v>72.92</v>
      </c>
      <c r="GJ22" s="8">
        <v>73.430000000000007</v>
      </c>
      <c r="GK22" s="8">
        <v>74.209999999999994</v>
      </c>
      <c r="GL22" s="8">
        <v>80.3</v>
      </c>
      <c r="GM22" s="8">
        <v>78.680000000000007</v>
      </c>
      <c r="GN22" s="8">
        <v>81.45</v>
      </c>
      <c r="GO22" s="8">
        <v>74.67</v>
      </c>
      <c r="GP22" s="8">
        <v>64.400000000000006</v>
      </c>
      <c r="GQ22" s="8">
        <v>80.63</v>
      </c>
      <c r="GR22" s="8">
        <v>81.83</v>
      </c>
      <c r="GS22" s="8">
        <v>67.88</v>
      </c>
      <c r="GT22" s="8">
        <v>73.760000000000005</v>
      </c>
      <c r="GU22" s="8">
        <v>77.64</v>
      </c>
      <c r="GV22" s="8">
        <v>79.260000000000005</v>
      </c>
      <c r="GW22" s="8">
        <v>69.239999999999995</v>
      </c>
      <c r="GX22" s="8">
        <v>82.73</v>
      </c>
      <c r="HD22" s="8">
        <v>83.44</v>
      </c>
      <c r="HF22" s="8">
        <v>80.14</v>
      </c>
      <c r="HG22" s="8">
        <v>45.77</v>
      </c>
      <c r="HH22" s="8">
        <v>45.77</v>
      </c>
      <c r="HX22" s="8">
        <v>72.86</v>
      </c>
      <c r="HY22" s="8">
        <v>72.86</v>
      </c>
      <c r="IB22" s="8">
        <v>66.05</v>
      </c>
    </row>
    <row r="23" spans="1:236" x14ac:dyDescent="0.2">
      <c r="A23" s="9">
        <v>43344</v>
      </c>
      <c r="G23" s="8">
        <v>88.53</v>
      </c>
      <c r="W23" s="8">
        <v>87.12</v>
      </c>
      <c r="X23" s="8">
        <v>73.510000000000005</v>
      </c>
      <c r="Y23" s="8">
        <v>65.48</v>
      </c>
      <c r="AC23" s="8">
        <v>73.209999999999994</v>
      </c>
      <c r="AJ23" s="8">
        <v>79.33</v>
      </c>
      <c r="AK23" s="8">
        <v>73.260000000000005</v>
      </c>
      <c r="AO23" s="8">
        <v>90.38</v>
      </c>
      <c r="AP23" s="8">
        <v>93.69</v>
      </c>
      <c r="AQ23" s="8">
        <v>89.19</v>
      </c>
      <c r="AT23" s="8">
        <v>73.56</v>
      </c>
      <c r="AU23" s="8">
        <v>73.209999999999994</v>
      </c>
      <c r="AV23" s="8">
        <v>74</v>
      </c>
      <c r="AW23" s="8">
        <v>74.58</v>
      </c>
      <c r="AX23" s="8">
        <v>73.58</v>
      </c>
      <c r="AY23" s="8">
        <v>77.58</v>
      </c>
      <c r="AZ23" s="8">
        <v>71.86</v>
      </c>
      <c r="BA23" s="8">
        <v>76.069999999999993</v>
      </c>
      <c r="BB23" s="8">
        <v>75.349999999999994</v>
      </c>
      <c r="BC23" s="8">
        <v>81.44</v>
      </c>
      <c r="BD23" s="8">
        <v>76.8</v>
      </c>
      <c r="BE23" s="8">
        <v>84.85</v>
      </c>
      <c r="BF23" s="8">
        <v>72.92</v>
      </c>
      <c r="BG23" s="8">
        <v>71.819999999999993</v>
      </c>
      <c r="BH23" s="8">
        <v>72.47</v>
      </c>
      <c r="BI23" s="8">
        <v>74.790000000000006</v>
      </c>
      <c r="BJ23" s="8">
        <v>78.25</v>
      </c>
      <c r="BK23" s="8">
        <v>75.48</v>
      </c>
      <c r="BL23" s="8">
        <v>80.459999999999994</v>
      </c>
      <c r="BM23" s="8">
        <v>73.77</v>
      </c>
      <c r="BN23" s="8">
        <v>62.33</v>
      </c>
      <c r="BO23" s="8">
        <v>79.510000000000005</v>
      </c>
      <c r="BP23" s="8">
        <v>79.88</v>
      </c>
      <c r="BQ23" s="8">
        <v>66.900000000000006</v>
      </c>
      <c r="BR23" s="8">
        <v>73.010000000000005</v>
      </c>
      <c r="BS23" s="8">
        <v>76.849999999999994</v>
      </c>
      <c r="BT23" s="8">
        <v>78.62</v>
      </c>
      <c r="BU23" s="8">
        <v>68.47</v>
      </c>
      <c r="BV23" s="8">
        <v>80.39</v>
      </c>
      <c r="CB23" s="8">
        <v>76.72</v>
      </c>
      <c r="CD23" s="8">
        <v>78.91</v>
      </c>
      <c r="CE23" s="8">
        <v>46.44</v>
      </c>
      <c r="CF23" s="8">
        <v>46.44</v>
      </c>
      <c r="CV23" s="8">
        <v>85.1</v>
      </c>
      <c r="CW23" s="8">
        <v>85.1</v>
      </c>
      <c r="CZ23" s="8">
        <v>83.08</v>
      </c>
      <c r="DP23" s="8">
        <v>81.66</v>
      </c>
      <c r="DQ23" s="8">
        <v>76.06</v>
      </c>
      <c r="DR23" s="8">
        <v>84.71</v>
      </c>
      <c r="DS23" s="8">
        <v>81.260000000000005</v>
      </c>
      <c r="EI23" s="8">
        <v>83.06</v>
      </c>
      <c r="EY23" s="8">
        <v>89.21</v>
      </c>
      <c r="EZ23" s="8">
        <v>73.59</v>
      </c>
      <c r="FA23" s="8">
        <v>72.23</v>
      </c>
      <c r="FE23" s="8">
        <v>74.319999999999993</v>
      </c>
      <c r="FL23" s="8">
        <v>65.7</v>
      </c>
      <c r="FM23" s="8">
        <v>76.37</v>
      </c>
      <c r="FQ23" s="8">
        <v>84.38</v>
      </c>
      <c r="FR23" s="8">
        <v>93.69</v>
      </c>
      <c r="FS23" s="8">
        <v>83.69</v>
      </c>
      <c r="FV23" s="8">
        <v>74.739999999999995</v>
      </c>
      <c r="FW23" s="8">
        <v>75.41</v>
      </c>
      <c r="FX23" s="8">
        <v>73.400000000000006</v>
      </c>
      <c r="FY23" s="8">
        <v>74.47</v>
      </c>
      <c r="FZ23" s="8">
        <v>77.16</v>
      </c>
      <c r="GA23" s="8">
        <v>77.52</v>
      </c>
      <c r="GB23" s="8">
        <v>71.7</v>
      </c>
      <c r="GC23" s="8">
        <v>76.94</v>
      </c>
      <c r="GD23" s="8">
        <v>73</v>
      </c>
      <c r="GE23" s="8">
        <v>83.07</v>
      </c>
      <c r="GF23" s="8">
        <v>77.150000000000006</v>
      </c>
      <c r="GG23" s="8">
        <v>80.58</v>
      </c>
      <c r="GH23" s="8">
        <v>73.78</v>
      </c>
      <c r="GI23" s="8">
        <v>73.489999999999995</v>
      </c>
      <c r="GJ23" s="8">
        <v>73.42</v>
      </c>
      <c r="GK23" s="8">
        <v>74.239999999999995</v>
      </c>
      <c r="GL23" s="8">
        <v>80.42</v>
      </c>
      <c r="GM23" s="8">
        <v>78.459999999999994</v>
      </c>
      <c r="GN23" s="8">
        <v>81.87</v>
      </c>
      <c r="GO23" s="8">
        <v>73.760000000000005</v>
      </c>
      <c r="GP23" s="8">
        <v>64.34</v>
      </c>
      <c r="GQ23" s="8">
        <v>80.92</v>
      </c>
      <c r="GR23" s="8">
        <v>80.22</v>
      </c>
      <c r="GS23" s="8">
        <v>67.17</v>
      </c>
      <c r="GT23" s="8">
        <v>72.48</v>
      </c>
      <c r="GU23" s="8">
        <v>77.260000000000005</v>
      </c>
      <c r="GV23" s="8">
        <v>78.17</v>
      </c>
      <c r="GW23" s="8">
        <v>69.56</v>
      </c>
      <c r="GX23" s="8">
        <v>81.13</v>
      </c>
      <c r="HD23" s="8">
        <v>82.77</v>
      </c>
      <c r="HF23" s="8">
        <v>79.099999999999994</v>
      </c>
      <c r="HG23" s="8">
        <v>47.95</v>
      </c>
      <c r="HH23" s="8">
        <v>47.95</v>
      </c>
      <c r="HX23" s="8">
        <v>73.599999999999994</v>
      </c>
      <c r="HY23" s="8">
        <v>73.599999999999994</v>
      </c>
      <c r="IB23" s="8">
        <v>71.27</v>
      </c>
    </row>
    <row r="24" spans="1:236" x14ac:dyDescent="0.2">
      <c r="A24" s="9">
        <v>43374</v>
      </c>
      <c r="G24" s="8">
        <v>90.9</v>
      </c>
      <c r="W24" s="8">
        <v>92.73</v>
      </c>
      <c r="X24" s="8">
        <v>80.58</v>
      </c>
      <c r="Y24" s="8">
        <v>65.61</v>
      </c>
      <c r="AC24" s="8">
        <v>72.069999999999993</v>
      </c>
      <c r="AJ24" s="8">
        <v>79.33</v>
      </c>
      <c r="AK24" s="8">
        <v>73.260000000000005</v>
      </c>
      <c r="AO24" s="8">
        <v>90.39</v>
      </c>
      <c r="AP24" s="8">
        <v>93.71</v>
      </c>
      <c r="AQ24" s="8">
        <v>89.19</v>
      </c>
      <c r="AT24" s="8">
        <v>74.510000000000005</v>
      </c>
      <c r="AU24" s="8">
        <v>74.05</v>
      </c>
      <c r="AV24" s="8">
        <v>75.52</v>
      </c>
      <c r="AW24" s="8">
        <v>75.010000000000005</v>
      </c>
      <c r="AX24" s="8">
        <v>73.45</v>
      </c>
      <c r="AY24" s="8">
        <v>78.23</v>
      </c>
      <c r="AZ24" s="8">
        <v>72.650000000000006</v>
      </c>
      <c r="BA24" s="8">
        <v>74.819999999999993</v>
      </c>
      <c r="BB24" s="8">
        <v>79.62</v>
      </c>
      <c r="BC24" s="8">
        <v>81.31</v>
      </c>
      <c r="BD24" s="8">
        <v>76.760000000000005</v>
      </c>
      <c r="BE24" s="8">
        <v>85.63</v>
      </c>
      <c r="BF24" s="8">
        <v>73.03</v>
      </c>
      <c r="BG24" s="8">
        <v>72.17</v>
      </c>
      <c r="BH24" s="8">
        <v>72.510000000000005</v>
      </c>
      <c r="BI24" s="8">
        <v>74.63</v>
      </c>
      <c r="BJ24" s="8">
        <v>77.84</v>
      </c>
      <c r="BK24" s="8">
        <v>77.069999999999993</v>
      </c>
      <c r="BL24" s="8">
        <v>78.349999999999994</v>
      </c>
      <c r="BM24" s="8">
        <v>74.48</v>
      </c>
      <c r="BN24" s="8">
        <v>62.84</v>
      </c>
      <c r="BO24" s="8">
        <v>79.400000000000006</v>
      </c>
      <c r="BP24" s="8">
        <v>81.91</v>
      </c>
      <c r="BQ24" s="8">
        <v>67.819999999999993</v>
      </c>
      <c r="BR24" s="8">
        <v>73.42</v>
      </c>
      <c r="BS24" s="8">
        <v>77.400000000000006</v>
      </c>
      <c r="BT24" s="8">
        <v>79.03</v>
      </c>
      <c r="BU24" s="8">
        <v>68.81</v>
      </c>
      <c r="BV24" s="8">
        <v>80.819999999999993</v>
      </c>
      <c r="CB24" s="8">
        <v>76.91</v>
      </c>
      <c r="CD24" s="8">
        <v>80.260000000000005</v>
      </c>
      <c r="CE24" s="8">
        <v>48.92</v>
      </c>
      <c r="CF24" s="8">
        <v>48.92</v>
      </c>
      <c r="CV24" s="8">
        <v>85.27</v>
      </c>
      <c r="CW24" s="8">
        <v>85.27</v>
      </c>
      <c r="CZ24" s="8">
        <v>83.08</v>
      </c>
      <c r="DP24" s="8">
        <v>81.22</v>
      </c>
      <c r="DQ24" s="8">
        <v>77.03</v>
      </c>
      <c r="DR24" s="8">
        <v>82.92</v>
      </c>
      <c r="DS24" s="8">
        <v>81.33</v>
      </c>
      <c r="EI24" s="8">
        <v>86.87</v>
      </c>
      <c r="EY24" s="8">
        <v>89.18</v>
      </c>
      <c r="EZ24" s="8">
        <v>74.040000000000006</v>
      </c>
      <c r="FA24" s="8">
        <v>71.58</v>
      </c>
      <c r="FE24" s="8">
        <v>73.14</v>
      </c>
      <c r="FL24" s="8">
        <v>65.7</v>
      </c>
      <c r="FM24" s="8">
        <v>76.37</v>
      </c>
      <c r="FQ24" s="8">
        <v>84.38</v>
      </c>
      <c r="FR24" s="8">
        <v>93.71</v>
      </c>
      <c r="FS24" s="8">
        <v>83.69</v>
      </c>
      <c r="FV24" s="8">
        <v>75.28</v>
      </c>
      <c r="FW24" s="8">
        <v>75.61</v>
      </c>
      <c r="FX24" s="8">
        <v>74.66</v>
      </c>
      <c r="FY24" s="8">
        <v>75.180000000000007</v>
      </c>
      <c r="FZ24" s="8">
        <v>76.510000000000005</v>
      </c>
      <c r="GA24" s="8">
        <v>78.069999999999993</v>
      </c>
      <c r="GB24" s="8">
        <v>71.75</v>
      </c>
      <c r="GC24" s="8">
        <v>76.78</v>
      </c>
      <c r="GD24" s="8">
        <v>76.22</v>
      </c>
      <c r="GE24" s="8">
        <v>82.99</v>
      </c>
      <c r="GF24" s="8">
        <v>76.92</v>
      </c>
      <c r="GG24" s="8">
        <v>81.98</v>
      </c>
      <c r="GH24" s="8">
        <v>74</v>
      </c>
      <c r="GI24" s="8">
        <v>74.12</v>
      </c>
      <c r="GJ24" s="8">
        <v>73.599999999999994</v>
      </c>
      <c r="GK24" s="8">
        <v>74.05</v>
      </c>
      <c r="GL24" s="8">
        <v>83.34</v>
      </c>
      <c r="GM24" s="8">
        <v>86.51</v>
      </c>
      <c r="GN24" s="8">
        <v>80.14</v>
      </c>
      <c r="GO24" s="8">
        <v>74.430000000000007</v>
      </c>
      <c r="GP24" s="8">
        <v>64.75</v>
      </c>
      <c r="GQ24" s="8">
        <v>80.94</v>
      </c>
      <c r="GR24" s="8">
        <v>82.14</v>
      </c>
      <c r="GS24" s="8">
        <v>68.069999999999993</v>
      </c>
      <c r="GT24" s="8">
        <v>72.97</v>
      </c>
      <c r="GU24" s="8">
        <v>77.66</v>
      </c>
      <c r="GV24" s="8">
        <v>78.510000000000005</v>
      </c>
      <c r="GW24" s="8">
        <v>69.53</v>
      </c>
      <c r="GX24" s="8">
        <v>81.59</v>
      </c>
      <c r="HD24" s="8">
        <v>84.25</v>
      </c>
      <c r="HF24" s="8">
        <v>80.23</v>
      </c>
      <c r="HG24" s="8">
        <v>50.54</v>
      </c>
      <c r="HH24" s="8">
        <v>50.54</v>
      </c>
      <c r="HX24" s="8">
        <v>73.7</v>
      </c>
      <c r="HY24" s="8">
        <v>73.7</v>
      </c>
      <c r="IB24" s="8">
        <v>71.27</v>
      </c>
    </row>
    <row r="25" spans="1:236" x14ac:dyDescent="0.2">
      <c r="A25" s="9">
        <v>43405</v>
      </c>
      <c r="G25" s="8">
        <v>90.24</v>
      </c>
      <c r="W25" s="8">
        <v>90.72</v>
      </c>
      <c r="X25" s="8">
        <v>80.08</v>
      </c>
      <c r="Y25" s="8">
        <v>61.99</v>
      </c>
      <c r="AC25" s="8">
        <v>74.27</v>
      </c>
      <c r="AJ25" s="8">
        <v>79.33</v>
      </c>
      <c r="AK25" s="8">
        <v>73.260000000000005</v>
      </c>
      <c r="AO25" s="8">
        <v>90.39</v>
      </c>
      <c r="AP25" s="8">
        <v>93.73</v>
      </c>
      <c r="AQ25" s="8">
        <v>89.19</v>
      </c>
      <c r="AT25" s="8">
        <v>74.14</v>
      </c>
      <c r="AU25" s="8">
        <v>73.63</v>
      </c>
      <c r="AV25" s="8">
        <v>74.92</v>
      </c>
      <c r="AW25" s="8">
        <v>76.17</v>
      </c>
      <c r="AX25" s="8">
        <v>73</v>
      </c>
      <c r="AY25" s="8">
        <v>79.040000000000006</v>
      </c>
      <c r="AZ25" s="8">
        <v>73.260000000000005</v>
      </c>
      <c r="BA25" s="8">
        <v>76.8</v>
      </c>
      <c r="BB25" s="8">
        <v>80.02</v>
      </c>
      <c r="BC25" s="8">
        <v>82.91</v>
      </c>
      <c r="BD25" s="8">
        <v>77.56</v>
      </c>
      <c r="BE25" s="8">
        <v>85.36</v>
      </c>
      <c r="BF25" s="8">
        <v>73.08</v>
      </c>
      <c r="BG25" s="8">
        <v>72.75</v>
      </c>
      <c r="BH25" s="8">
        <v>72.489999999999995</v>
      </c>
      <c r="BI25" s="8">
        <v>73.98</v>
      </c>
      <c r="BJ25" s="8">
        <v>78.819999999999993</v>
      </c>
      <c r="BK25" s="8">
        <v>79.930000000000007</v>
      </c>
      <c r="BL25" s="8">
        <v>77.73</v>
      </c>
      <c r="BM25" s="8">
        <v>74.39</v>
      </c>
      <c r="BN25" s="8">
        <v>62.66</v>
      </c>
      <c r="BO25" s="8">
        <v>79.02</v>
      </c>
      <c r="BP25" s="8">
        <v>81.58</v>
      </c>
      <c r="BQ25" s="8">
        <v>66.95</v>
      </c>
      <c r="BR25" s="8">
        <v>73.02</v>
      </c>
      <c r="BS25" s="8">
        <v>78.25</v>
      </c>
      <c r="BT25" s="8">
        <v>78.400000000000006</v>
      </c>
      <c r="BU25" s="8">
        <v>70.02</v>
      </c>
      <c r="BV25" s="8">
        <v>79.849999999999994</v>
      </c>
      <c r="CB25" s="8">
        <v>77.7</v>
      </c>
      <c r="CD25" s="8">
        <v>79.55</v>
      </c>
      <c r="CE25" s="8">
        <v>49.72</v>
      </c>
      <c r="CF25" s="8">
        <v>49.72</v>
      </c>
      <c r="CV25" s="8">
        <v>85.27</v>
      </c>
      <c r="CW25" s="8">
        <v>85.27</v>
      </c>
      <c r="CZ25" s="8">
        <v>83.08</v>
      </c>
      <c r="DP25" s="8">
        <v>81.790000000000006</v>
      </c>
      <c r="DQ25" s="8">
        <v>76.77</v>
      </c>
      <c r="DR25" s="8">
        <v>83.74</v>
      </c>
      <c r="DS25" s="8">
        <v>81.94</v>
      </c>
      <c r="EI25" s="8">
        <v>83.97</v>
      </c>
      <c r="EY25" s="8">
        <v>84.52</v>
      </c>
      <c r="EZ25" s="8">
        <v>70.03</v>
      </c>
      <c r="FA25" s="8">
        <v>68.03</v>
      </c>
      <c r="FE25" s="8">
        <v>75.27</v>
      </c>
      <c r="FL25" s="8">
        <v>65.7</v>
      </c>
      <c r="FM25" s="8">
        <v>76.37</v>
      </c>
      <c r="FQ25" s="8">
        <v>84.38</v>
      </c>
      <c r="FR25" s="8">
        <v>93.73</v>
      </c>
      <c r="FS25" s="8">
        <v>83.69</v>
      </c>
      <c r="FV25" s="8">
        <v>74.98</v>
      </c>
      <c r="FW25" s="8">
        <v>75.41</v>
      </c>
      <c r="FX25" s="8">
        <v>74.17</v>
      </c>
      <c r="FY25" s="8">
        <v>75.7</v>
      </c>
      <c r="FZ25" s="8">
        <v>75.95</v>
      </c>
      <c r="GA25" s="8">
        <v>78.290000000000006</v>
      </c>
      <c r="GB25" s="8">
        <v>71.819999999999993</v>
      </c>
      <c r="GC25" s="8">
        <v>77.44</v>
      </c>
      <c r="GD25" s="8">
        <v>75.650000000000006</v>
      </c>
      <c r="GE25" s="8">
        <v>83.49</v>
      </c>
      <c r="GF25" s="8">
        <v>77.72</v>
      </c>
      <c r="GG25" s="8">
        <v>81.709999999999994</v>
      </c>
      <c r="GH25" s="8">
        <v>73.75</v>
      </c>
      <c r="GI25" s="8">
        <v>73.81</v>
      </c>
      <c r="GJ25" s="8">
        <v>73.739999999999995</v>
      </c>
      <c r="GK25" s="8">
        <v>73.53</v>
      </c>
      <c r="GL25" s="8">
        <v>81.64</v>
      </c>
      <c r="GM25" s="8">
        <v>84.53</v>
      </c>
      <c r="GN25" s="8">
        <v>78.7</v>
      </c>
      <c r="GO25" s="8">
        <v>74.239999999999995</v>
      </c>
      <c r="GP25" s="8">
        <v>65</v>
      </c>
      <c r="GQ25" s="8">
        <v>80.75</v>
      </c>
      <c r="GR25" s="8">
        <v>81.72</v>
      </c>
      <c r="GS25" s="8">
        <v>67.78</v>
      </c>
      <c r="GT25" s="8">
        <v>72.38</v>
      </c>
      <c r="GU25" s="8">
        <v>78.42</v>
      </c>
      <c r="GV25" s="8">
        <v>78.7</v>
      </c>
      <c r="GW25" s="8">
        <v>71.03</v>
      </c>
      <c r="GX25" s="8">
        <v>81.319999999999993</v>
      </c>
      <c r="HD25" s="8">
        <v>83.39</v>
      </c>
      <c r="HF25" s="8">
        <v>79.64</v>
      </c>
      <c r="HG25" s="8">
        <v>51.38</v>
      </c>
      <c r="HH25" s="8">
        <v>51.38</v>
      </c>
      <c r="HX25" s="8">
        <v>73.7</v>
      </c>
      <c r="HY25" s="8">
        <v>73.7</v>
      </c>
      <c r="IB25" s="8">
        <v>71.27</v>
      </c>
    </row>
    <row r="26" spans="1:236" x14ac:dyDescent="0.2">
      <c r="A26" s="9">
        <v>43435</v>
      </c>
      <c r="G26" s="8">
        <v>87.48</v>
      </c>
      <c r="W26" s="8">
        <v>106.27</v>
      </c>
      <c r="X26" s="8">
        <v>95.58</v>
      </c>
      <c r="Y26" s="8">
        <v>69.52</v>
      </c>
      <c r="AC26" s="8">
        <v>74.540000000000006</v>
      </c>
      <c r="AJ26" s="8">
        <v>79.33</v>
      </c>
      <c r="AK26" s="8">
        <v>73.260000000000005</v>
      </c>
      <c r="AO26" s="8">
        <v>90.53</v>
      </c>
      <c r="AP26" s="8">
        <v>93.74</v>
      </c>
      <c r="AQ26" s="8">
        <v>89.37</v>
      </c>
      <c r="AT26" s="8">
        <v>75.2</v>
      </c>
      <c r="AU26" s="8">
        <v>75.239999999999995</v>
      </c>
      <c r="AV26" s="8">
        <v>74.52</v>
      </c>
      <c r="AW26" s="8">
        <v>78.150000000000006</v>
      </c>
      <c r="AX26" s="8">
        <v>76.42</v>
      </c>
      <c r="AY26" s="8">
        <v>78.97</v>
      </c>
      <c r="AZ26" s="8">
        <v>72.84</v>
      </c>
      <c r="BA26" s="8">
        <v>76.86</v>
      </c>
      <c r="BB26" s="8">
        <v>80.58</v>
      </c>
      <c r="BC26" s="8">
        <v>84.27</v>
      </c>
      <c r="BD26" s="8">
        <v>76.53</v>
      </c>
      <c r="BE26" s="8">
        <v>84.86</v>
      </c>
      <c r="BF26" s="8">
        <v>73.37</v>
      </c>
      <c r="BG26" s="8">
        <v>72.72</v>
      </c>
      <c r="BH26" s="8">
        <v>72.36</v>
      </c>
      <c r="BI26" s="8">
        <v>75.16</v>
      </c>
      <c r="BJ26" s="8">
        <v>81.239999999999995</v>
      </c>
      <c r="BK26" s="8">
        <v>83.09</v>
      </c>
      <c r="BL26" s="8">
        <v>79.52</v>
      </c>
      <c r="BM26" s="8">
        <v>74.73</v>
      </c>
      <c r="BN26" s="8">
        <v>62.68</v>
      </c>
      <c r="BO26" s="8">
        <v>79.58</v>
      </c>
      <c r="BP26" s="8">
        <v>80.13</v>
      </c>
      <c r="BQ26" s="8">
        <v>67.7</v>
      </c>
      <c r="BR26" s="8">
        <v>73.53</v>
      </c>
      <c r="BS26" s="8">
        <v>79.12</v>
      </c>
      <c r="BT26" s="8">
        <v>77.19</v>
      </c>
      <c r="BU26" s="8">
        <v>70.37</v>
      </c>
      <c r="BV26" s="8">
        <v>78.36</v>
      </c>
      <c r="CB26" s="8">
        <v>76.91</v>
      </c>
      <c r="CD26" s="8">
        <v>79.040000000000006</v>
      </c>
      <c r="CE26" s="8">
        <v>49.44</v>
      </c>
      <c r="CF26" s="8">
        <v>49.44</v>
      </c>
      <c r="CV26" s="8">
        <v>85.3</v>
      </c>
      <c r="CW26" s="8">
        <v>85.3</v>
      </c>
      <c r="CZ26" s="8">
        <v>83.08</v>
      </c>
      <c r="DP26" s="8">
        <v>81.86</v>
      </c>
      <c r="DQ26" s="8">
        <v>78.59</v>
      </c>
      <c r="DR26" s="8">
        <v>84.81</v>
      </c>
      <c r="DS26" s="8">
        <v>80.98</v>
      </c>
      <c r="EI26" s="8">
        <v>77.540000000000006</v>
      </c>
      <c r="EY26" s="8">
        <v>93.26</v>
      </c>
      <c r="EZ26" s="8">
        <v>76.78</v>
      </c>
      <c r="FA26" s="8">
        <v>75.7</v>
      </c>
      <c r="FE26" s="8">
        <v>75.53</v>
      </c>
      <c r="FL26" s="8">
        <v>65.7</v>
      </c>
      <c r="FM26" s="8">
        <v>76.37</v>
      </c>
      <c r="FQ26" s="8">
        <v>84.18</v>
      </c>
      <c r="FR26" s="8">
        <v>93.74</v>
      </c>
      <c r="FS26" s="8">
        <v>83.47</v>
      </c>
      <c r="FV26" s="8">
        <v>75.97</v>
      </c>
      <c r="FW26" s="8">
        <v>76.849999999999994</v>
      </c>
      <c r="FX26" s="8">
        <v>73.84</v>
      </c>
      <c r="FY26" s="8">
        <v>77.349999999999994</v>
      </c>
      <c r="FZ26" s="8">
        <v>79.040000000000006</v>
      </c>
      <c r="GA26" s="8">
        <v>78.62</v>
      </c>
      <c r="GB26" s="8">
        <v>72.260000000000005</v>
      </c>
      <c r="GC26" s="8">
        <v>77.540000000000006</v>
      </c>
      <c r="GD26" s="8">
        <v>75.88</v>
      </c>
      <c r="GE26" s="8">
        <v>84.36</v>
      </c>
      <c r="GF26" s="8">
        <v>77.47</v>
      </c>
      <c r="GG26" s="8">
        <v>81.95</v>
      </c>
      <c r="GH26" s="8">
        <v>74.599999999999994</v>
      </c>
      <c r="GI26" s="8">
        <v>74.78</v>
      </c>
      <c r="GJ26" s="8">
        <v>73.569999999999993</v>
      </c>
      <c r="GK26" s="8">
        <v>75.17</v>
      </c>
      <c r="GL26" s="8">
        <v>83.1</v>
      </c>
      <c r="GM26" s="8">
        <v>84.62</v>
      </c>
      <c r="GN26" s="8">
        <v>81.39</v>
      </c>
      <c r="GO26" s="8">
        <v>74.72</v>
      </c>
      <c r="GP26" s="8">
        <v>65.36</v>
      </c>
      <c r="GQ26" s="8">
        <v>81.099999999999994</v>
      </c>
      <c r="GR26" s="8">
        <v>80.23</v>
      </c>
      <c r="GS26" s="8">
        <v>68.41</v>
      </c>
      <c r="GT26" s="8">
        <v>73.17</v>
      </c>
      <c r="GU26" s="8">
        <v>79.55</v>
      </c>
      <c r="GV26" s="8">
        <v>77.56</v>
      </c>
      <c r="GW26" s="8">
        <v>71.19</v>
      </c>
      <c r="GX26" s="8">
        <v>79.72</v>
      </c>
      <c r="HD26" s="8">
        <v>81.99</v>
      </c>
      <c r="HF26" s="8">
        <v>78.459999999999994</v>
      </c>
      <c r="HG26" s="8">
        <v>51.18</v>
      </c>
      <c r="HH26" s="8">
        <v>51.18</v>
      </c>
      <c r="HX26" s="8">
        <v>73.819999999999993</v>
      </c>
      <c r="HY26" s="8">
        <v>73.819999999999993</v>
      </c>
      <c r="IB26" s="8">
        <v>71.27</v>
      </c>
    </row>
    <row r="27" spans="1:236" x14ac:dyDescent="0.2">
      <c r="A27" s="9">
        <v>43466</v>
      </c>
      <c r="G27" s="8">
        <v>82.12</v>
      </c>
      <c r="W27" s="8">
        <v>101.93</v>
      </c>
      <c r="X27" s="8">
        <v>90.33</v>
      </c>
      <c r="Y27" s="8">
        <v>69.040000000000006</v>
      </c>
      <c r="AC27" s="8">
        <v>75.28</v>
      </c>
      <c r="AJ27" s="8">
        <v>79.33</v>
      </c>
      <c r="AK27" s="8">
        <v>73.260000000000005</v>
      </c>
      <c r="AO27" s="8">
        <v>90.57</v>
      </c>
      <c r="AP27" s="8">
        <v>93.89</v>
      </c>
      <c r="AQ27" s="8">
        <v>89.37</v>
      </c>
      <c r="AT27" s="8">
        <v>75.19</v>
      </c>
      <c r="AU27" s="8">
        <v>74.67</v>
      </c>
      <c r="AV27" s="8">
        <v>75.63</v>
      </c>
      <c r="AW27" s="8">
        <v>77.540000000000006</v>
      </c>
      <c r="AX27" s="8">
        <v>74.98</v>
      </c>
      <c r="AY27" s="8">
        <v>80.459999999999994</v>
      </c>
      <c r="AZ27" s="8">
        <v>73.510000000000005</v>
      </c>
      <c r="BA27" s="8">
        <v>77.5</v>
      </c>
      <c r="BB27" s="8">
        <v>84.34</v>
      </c>
      <c r="BC27" s="8">
        <v>86.61</v>
      </c>
      <c r="BD27" s="8">
        <v>77.95</v>
      </c>
      <c r="BE27" s="8">
        <v>85.9</v>
      </c>
      <c r="BF27" s="8">
        <v>73.069999999999993</v>
      </c>
      <c r="BG27" s="8">
        <v>72.09</v>
      </c>
      <c r="BH27" s="8">
        <v>72.64</v>
      </c>
      <c r="BI27" s="8">
        <v>74.77</v>
      </c>
      <c r="BJ27" s="8">
        <v>80.5</v>
      </c>
      <c r="BK27" s="8">
        <v>80.010000000000005</v>
      </c>
      <c r="BL27" s="8">
        <v>80.77</v>
      </c>
      <c r="BM27" s="8">
        <v>75.209999999999994</v>
      </c>
      <c r="BN27" s="8">
        <v>62.71</v>
      </c>
      <c r="BO27" s="8">
        <v>79.319999999999993</v>
      </c>
      <c r="BP27" s="8">
        <v>81.87</v>
      </c>
      <c r="BQ27" s="8">
        <v>68.08</v>
      </c>
      <c r="BR27" s="8">
        <v>74.33</v>
      </c>
      <c r="BS27" s="8">
        <v>78.790000000000006</v>
      </c>
      <c r="BT27" s="8">
        <v>77.95</v>
      </c>
      <c r="BU27" s="8">
        <v>70.290000000000006</v>
      </c>
      <c r="BV27" s="8">
        <v>79.27</v>
      </c>
      <c r="CB27" s="8">
        <v>78.73</v>
      </c>
      <c r="CD27" s="8">
        <v>79.72</v>
      </c>
      <c r="CE27" s="8">
        <v>49.23</v>
      </c>
      <c r="CF27" s="8">
        <v>49.23</v>
      </c>
      <c r="CV27" s="8">
        <v>84.69</v>
      </c>
      <c r="CW27" s="8">
        <v>84.69</v>
      </c>
      <c r="CZ27" s="8">
        <v>83.08</v>
      </c>
      <c r="DP27" s="8">
        <v>81.650000000000006</v>
      </c>
      <c r="DQ27" s="8">
        <v>76.180000000000007</v>
      </c>
      <c r="DR27" s="8">
        <v>85.47</v>
      </c>
      <c r="DS27" s="8">
        <v>80.73</v>
      </c>
      <c r="EI27" s="8">
        <v>70.02</v>
      </c>
      <c r="EY27" s="8">
        <v>89.28</v>
      </c>
      <c r="EZ27" s="8">
        <v>70.81</v>
      </c>
      <c r="FA27" s="8">
        <v>75.989999999999995</v>
      </c>
      <c r="FE27" s="8">
        <v>75.88</v>
      </c>
      <c r="FL27" s="8">
        <v>65.7</v>
      </c>
      <c r="FM27" s="8">
        <v>76.37</v>
      </c>
      <c r="FQ27" s="8">
        <v>84.2</v>
      </c>
      <c r="FR27" s="8">
        <v>93.89</v>
      </c>
      <c r="FS27" s="8">
        <v>83.47</v>
      </c>
      <c r="FV27" s="8">
        <v>76.040000000000006</v>
      </c>
      <c r="FW27" s="8">
        <v>76.540000000000006</v>
      </c>
      <c r="FX27" s="8">
        <v>75.010000000000005</v>
      </c>
      <c r="FY27" s="8">
        <v>76.489999999999995</v>
      </c>
      <c r="FZ27" s="8">
        <v>77.650000000000006</v>
      </c>
      <c r="GA27" s="8">
        <v>79.900000000000006</v>
      </c>
      <c r="GB27" s="8">
        <v>73.31</v>
      </c>
      <c r="GC27" s="8">
        <v>77.97</v>
      </c>
      <c r="GD27" s="8">
        <v>79.27</v>
      </c>
      <c r="GE27" s="8">
        <v>86.3</v>
      </c>
      <c r="GF27" s="8">
        <v>78.010000000000005</v>
      </c>
      <c r="GG27" s="8">
        <v>82.43</v>
      </c>
      <c r="GH27" s="8">
        <v>74.569999999999993</v>
      </c>
      <c r="GI27" s="8">
        <v>74.41</v>
      </c>
      <c r="GJ27" s="8">
        <v>74.06</v>
      </c>
      <c r="GK27" s="8">
        <v>75.02</v>
      </c>
      <c r="GL27" s="8">
        <v>82.17</v>
      </c>
      <c r="GM27" s="8">
        <v>81.63</v>
      </c>
      <c r="GN27" s="8">
        <v>82.34</v>
      </c>
      <c r="GO27" s="8">
        <v>75.25</v>
      </c>
      <c r="GP27" s="8">
        <v>65.459999999999994</v>
      </c>
      <c r="GQ27" s="8">
        <v>81.16</v>
      </c>
      <c r="GR27" s="8">
        <v>82.29</v>
      </c>
      <c r="GS27" s="8">
        <v>68.319999999999993</v>
      </c>
      <c r="GT27" s="8">
        <v>73.91</v>
      </c>
      <c r="GU27" s="8">
        <v>79.209999999999994</v>
      </c>
      <c r="GV27" s="8">
        <v>78.739999999999995</v>
      </c>
      <c r="GW27" s="8">
        <v>71.010000000000005</v>
      </c>
      <c r="GX27" s="8">
        <v>81.37</v>
      </c>
      <c r="HD27" s="8">
        <v>84.54</v>
      </c>
      <c r="HF27" s="8">
        <v>80.12</v>
      </c>
      <c r="HG27" s="8">
        <v>50.88</v>
      </c>
      <c r="HH27" s="8">
        <v>50.88</v>
      </c>
      <c r="HX27" s="8">
        <v>73.510000000000005</v>
      </c>
      <c r="HY27" s="8">
        <v>73.510000000000005</v>
      </c>
      <c r="IB27" s="8">
        <v>71.27</v>
      </c>
    </row>
    <row r="28" spans="1:236" x14ac:dyDescent="0.2">
      <c r="A28" s="9">
        <v>43497</v>
      </c>
      <c r="G28" s="8">
        <v>79.010000000000005</v>
      </c>
      <c r="W28" s="8">
        <v>91.52</v>
      </c>
      <c r="X28" s="8">
        <v>80.819999999999993</v>
      </c>
      <c r="Y28" s="8">
        <v>62.51</v>
      </c>
      <c r="AC28" s="8">
        <v>73.81</v>
      </c>
      <c r="AJ28" s="8">
        <v>80.900000000000006</v>
      </c>
      <c r="AK28" s="8">
        <v>74.819999999999993</v>
      </c>
      <c r="AO28" s="8">
        <v>90.58</v>
      </c>
      <c r="AP28" s="8">
        <v>93.91</v>
      </c>
      <c r="AQ28" s="8">
        <v>89.37</v>
      </c>
      <c r="AT28" s="8">
        <v>75.650000000000006</v>
      </c>
      <c r="AU28" s="8">
        <v>74.989999999999995</v>
      </c>
      <c r="AV28" s="8">
        <v>76.430000000000007</v>
      </c>
      <c r="AW28" s="8">
        <v>76.97</v>
      </c>
      <c r="AX28" s="8">
        <v>75.400000000000006</v>
      </c>
      <c r="AY28" s="8">
        <v>81</v>
      </c>
      <c r="AZ28" s="8">
        <v>73.78</v>
      </c>
      <c r="BA28" s="8">
        <v>78.150000000000006</v>
      </c>
      <c r="BB28" s="8">
        <v>84.06</v>
      </c>
      <c r="BC28" s="8">
        <v>87.39</v>
      </c>
      <c r="BD28" s="8">
        <v>79.349999999999994</v>
      </c>
      <c r="BE28" s="8">
        <v>86.25</v>
      </c>
      <c r="BF28" s="8">
        <v>73.150000000000006</v>
      </c>
      <c r="BG28" s="8">
        <v>71.64</v>
      </c>
      <c r="BH28" s="8">
        <v>73.75</v>
      </c>
      <c r="BI28" s="8">
        <v>74.66</v>
      </c>
      <c r="BJ28" s="8">
        <v>85.09</v>
      </c>
      <c r="BK28" s="8">
        <v>86.31</v>
      </c>
      <c r="BL28" s="8">
        <v>83.9</v>
      </c>
      <c r="BM28" s="8">
        <v>74.98</v>
      </c>
      <c r="BN28" s="8">
        <v>62.85</v>
      </c>
      <c r="BO28" s="8">
        <v>79.44</v>
      </c>
      <c r="BP28" s="8">
        <v>82.24</v>
      </c>
      <c r="BQ28" s="8">
        <v>67.8</v>
      </c>
      <c r="BR28" s="8">
        <v>74.239999999999995</v>
      </c>
      <c r="BS28" s="8">
        <v>77.92</v>
      </c>
      <c r="BT28" s="8">
        <v>79.7</v>
      </c>
      <c r="BU28" s="8">
        <v>70.849999999999994</v>
      </c>
      <c r="BV28" s="8">
        <v>81.239999999999995</v>
      </c>
      <c r="CB28" s="8">
        <v>78.38</v>
      </c>
      <c r="CD28" s="8">
        <v>79.86</v>
      </c>
      <c r="CE28" s="8">
        <v>49.17</v>
      </c>
      <c r="CF28" s="8">
        <v>49.17</v>
      </c>
      <c r="CV28" s="8">
        <v>84.69</v>
      </c>
      <c r="CW28" s="8">
        <v>84.69</v>
      </c>
      <c r="CZ28" s="8">
        <v>83.08</v>
      </c>
      <c r="DP28" s="8">
        <v>81.819999999999993</v>
      </c>
      <c r="DQ28" s="8">
        <v>77.14</v>
      </c>
      <c r="DR28" s="8">
        <v>85.33</v>
      </c>
      <c r="DS28" s="8">
        <v>80.92</v>
      </c>
      <c r="EI28" s="8">
        <v>69.62</v>
      </c>
      <c r="EY28" s="8">
        <v>80.64</v>
      </c>
      <c r="EZ28" s="8">
        <v>63.81</v>
      </c>
      <c r="FA28" s="8">
        <v>68.819999999999993</v>
      </c>
      <c r="FE28" s="8">
        <v>74.349999999999994</v>
      </c>
      <c r="FL28" s="8">
        <v>67.84</v>
      </c>
      <c r="FM28" s="8">
        <v>78.78</v>
      </c>
      <c r="FQ28" s="8">
        <v>84.2</v>
      </c>
      <c r="FR28" s="8">
        <v>93.91</v>
      </c>
      <c r="FS28" s="8">
        <v>83.47</v>
      </c>
      <c r="FV28" s="8">
        <v>76.48</v>
      </c>
      <c r="FW28" s="8">
        <v>76.86</v>
      </c>
      <c r="FX28" s="8">
        <v>75.44</v>
      </c>
      <c r="FY28" s="8">
        <v>76.55</v>
      </c>
      <c r="FZ28" s="8">
        <v>78.63</v>
      </c>
      <c r="GA28" s="8">
        <v>80.599999999999994</v>
      </c>
      <c r="GB28" s="8">
        <v>74.61</v>
      </c>
      <c r="GC28" s="8">
        <v>78.3</v>
      </c>
      <c r="GD28" s="8">
        <v>79.61</v>
      </c>
      <c r="GE28" s="8">
        <v>87.24</v>
      </c>
      <c r="GF28" s="8">
        <v>78.900000000000006</v>
      </c>
      <c r="GG28" s="8">
        <v>82.36</v>
      </c>
      <c r="GH28" s="8">
        <v>74.22</v>
      </c>
      <c r="GI28" s="8">
        <v>73.5</v>
      </c>
      <c r="GJ28" s="8">
        <v>74.73</v>
      </c>
      <c r="GK28" s="8">
        <v>74.37</v>
      </c>
      <c r="GL28" s="8">
        <v>89.3</v>
      </c>
      <c r="GM28" s="8">
        <v>91.61</v>
      </c>
      <c r="GN28" s="8">
        <v>86.85</v>
      </c>
      <c r="GO28" s="8">
        <v>74.989999999999995</v>
      </c>
      <c r="GP28" s="8">
        <v>65.25</v>
      </c>
      <c r="GQ28" s="8">
        <v>81.31</v>
      </c>
      <c r="GR28" s="8">
        <v>82.84</v>
      </c>
      <c r="GS28" s="8">
        <v>67.84</v>
      </c>
      <c r="GT28" s="8">
        <v>73.69</v>
      </c>
      <c r="GU28" s="8">
        <v>78.3</v>
      </c>
      <c r="GV28" s="8">
        <v>79.37</v>
      </c>
      <c r="GW28" s="8">
        <v>71.489999999999995</v>
      </c>
      <c r="GX28" s="8">
        <v>82.07</v>
      </c>
      <c r="HD28" s="8">
        <v>84.43</v>
      </c>
      <c r="HF28" s="8">
        <v>80.84</v>
      </c>
      <c r="HG28" s="8">
        <v>50.68</v>
      </c>
      <c r="HH28" s="8">
        <v>50.68</v>
      </c>
      <c r="HX28" s="8">
        <v>73.510000000000005</v>
      </c>
      <c r="HY28" s="8">
        <v>73.510000000000005</v>
      </c>
      <c r="IB28" s="8">
        <v>71.27</v>
      </c>
    </row>
    <row r="29" spans="1:236" x14ac:dyDescent="0.2">
      <c r="A29" s="9">
        <v>43525</v>
      </c>
      <c r="G29" s="8">
        <v>80.069999999999993</v>
      </c>
      <c r="W29" s="8">
        <v>86.63</v>
      </c>
      <c r="X29" s="8">
        <v>76.430000000000007</v>
      </c>
      <c r="Y29" s="8">
        <v>59.27</v>
      </c>
      <c r="AC29" s="8">
        <v>76.41</v>
      </c>
      <c r="AJ29" s="8">
        <v>80.900000000000006</v>
      </c>
      <c r="AK29" s="8">
        <v>74.819999999999993</v>
      </c>
      <c r="AO29" s="8">
        <v>89.82</v>
      </c>
      <c r="AP29" s="8">
        <v>93.93</v>
      </c>
      <c r="AQ29" s="8">
        <v>88.35</v>
      </c>
      <c r="AT29" s="8">
        <v>76.14</v>
      </c>
      <c r="AU29" s="8">
        <v>76.45</v>
      </c>
      <c r="AV29" s="8">
        <v>76</v>
      </c>
      <c r="AW29" s="8">
        <v>77.95</v>
      </c>
      <c r="AX29" s="8">
        <v>75.55</v>
      </c>
      <c r="AY29" s="8">
        <v>80.53</v>
      </c>
      <c r="AZ29" s="8">
        <v>75.290000000000006</v>
      </c>
      <c r="BA29" s="8">
        <v>78.03</v>
      </c>
      <c r="BB29" s="8">
        <v>83.59</v>
      </c>
      <c r="BC29" s="8">
        <v>86.19</v>
      </c>
      <c r="BD29" s="8">
        <v>78.12</v>
      </c>
      <c r="BE29" s="8">
        <v>84.02</v>
      </c>
      <c r="BF29" s="8">
        <v>73.75</v>
      </c>
      <c r="BG29" s="8">
        <v>72.72</v>
      </c>
      <c r="BH29" s="8">
        <v>73.91</v>
      </c>
      <c r="BI29" s="8">
        <v>74.98</v>
      </c>
      <c r="BJ29" s="8">
        <v>87.19</v>
      </c>
      <c r="BK29" s="8">
        <v>85.78</v>
      </c>
      <c r="BL29" s="8">
        <v>88.23</v>
      </c>
      <c r="BM29" s="8">
        <v>74.61</v>
      </c>
      <c r="BN29" s="8">
        <v>62.84</v>
      </c>
      <c r="BO29" s="8">
        <v>79.989999999999995</v>
      </c>
      <c r="BP29" s="8">
        <v>82.22</v>
      </c>
      <c r="BQ29" s="8">
        <v>66.739999999999995</v>
      </c>
      <c r="BR29" s="8">
        <v>74.069999999999993</v>
      </c>
      <c r="BS29" s="8">
        <v>77.12</v>
      </c>
      <c r="BT29" s="8">
        <v>79.39</v>
      </c>
      <c r="BU29" s="8">
        <v>70.61</v>
      </c>
      <c r="BV29" s="8">
        <v>80.92</v>
      </c>
      <c r="CB29" s="8">
        <v>77.95</v>
      </c>
      <c r="CD29" s="8">
        <v>79.849999999999994</v>
      </c>
      <c r="CE29" s="8">
        <v>49.52</v>
      </c>
      <c r="CF29" s="8">
        <v>49.52</v>
      </c>
      <c r="CV29" s="8">
        <v>84.02</v>
      </c>
      <c r="CW29" s="8">
        <v>84.02</v>
      </c>
      <c r="CZ29" s="8">
        <v>83.08</v>
      </c>
      <c r="DP29" s="8">
        <v>82.05</v>
      </c>
      <c r="DQ29" s="8">
        <v>77.81</v>
      </c>
      <c r="DR29" s="8">
        <v>84.53</v>
      </c>
      <c r="DS29" s="8">
        <v>81.69</v>
      </c>
      <c r="EI29" s="8">
        <v>73.209999999999994</v>
      </c>
      <c r="EY29" s="8">
        <v>77.94</v>
      </c>
      <c r="EZ29" s="8">
        <v>61.61</v>
      </c>
      <c r="FA29" s="8">
        <v>66.62</v>
      </c>
      <c r="FE29" s="8">
        <v>76.84</v>
      </c>
      <c r="FL29" s="8">
        <v>67.84</v>
      </c>
      <c r="FM29" s="8">
        <v>78.78</v>
      </c>
      <c r="FQ29" s="8">
        <v>85.41</v>
      </c>
      <c r="FR29" s="8">
        <v>93.93</v>
      </c>
      <c r="FS29" s="8">
        <v>84.8</v>
      </c>
      <c r="FV29" s="8">
        <v>77.010000000000005</v>
      </c>
      <c r="FW29" s="8">
        <v>78.290000000000006</v>
      </c>
      <c r="FX29" s="8">
        <v>75.12</v>
      </c>
      <c r="FY29" s="8">
        <v>77.760000000000005</v>
      </c>
      <c r="FZ29" s="8">
        <v>78.78</v>
      </c>
      <c r="GA29" s="8">
        <v>80.069999999999993</v>
      </c>
      <c r="GB29" s="8">
        <v>74.540000000000006</v>
      </c>
      <c r="GC29" s="8">
        <v>78.37</v>
      </c>
      <c r="GD29" s="8">
        <v>80.22</v>
      </c>
      <c r="GE29" s="8">
        <v>86.65</v>
      </c>
      <c r="GF29" s="8">
        <v>78.17</v>
      </c>
      <c r="GG29" s="8">
        <v>80.290000000000006</v>
      </c>
      <c r="GH29" s="8">
        <v>74.77</v>
      </c>
      <c r="GI29" s="8">
        <v>74.349999999999994</v>
      </c>
      <c r="GJ29" s="8">
        <v>74.89</v>
      </c>
      <c r="GK29" s="8">
        <v>74.94</v>
      </c>
      <c r="GL29" s="8">
        <v>91.41</v>
      </c>
      <c r="GM29" s="8">
        <v>92.04</v>
      </c>
      <c r="GN29" s="8">
        <v>90.46</v>
      </c>
      <c r="GO29" s="8">
        <v>74.69</v>
      </c>
      <c r="GP29" s="8">
        <v>65.540000000000006</v>
      </c>
      <c r="GQ29" s="8">
        <v>81.3</v>
      </c>
      <c r="GR29" s="8">
        <v>82.35</v>
      </c>
      <c r="GS29" s="8">
        <v>66.989999999999995</v>
      </c>
      <c r="GT29" s="8">
        <v>73.8</v>
      </c>
      <c r="GU29" s="8">
        <v>77.209999999999994</v>
      </c>
      <c r="GV29" s="8">
        <v>79.44</v>
      </c>
      <c r="GW29" s="8">
        <v>71.44</v>
      </c>
      <c r="GX29" s="8">
        <v>82.17</v>
      </c>
      <c r="HD29" s="8">
        <v>83.59</v>
      </c>
      <c r="HF29" s="8">
        <v>80.989999999999995</v>
      </c>
      <c r="HG29" s="8">
        <v>50.93</v>
      </c>
      <c r="HH29" s="8">
        <v>50.93</v>
      </c>
      <c r="HX29" s="8">
        <v>73.59</v>
      </c>
      <c r="HY29" s="8">
        <v>73.59</v>
      </c>
      <c r="IB29" s="8">
        <v>71.27</v>
      </c>
    </row>
    <row r="30" spans="1:236" x14ac:dyDescent="0.2">
      <c r="A30" s="9">
        <v>43556</v>
      </c>
      <c r="G30" s="8">
        <v>82.99</v>
      </c>
      <c r="W30" s="8">
        <v>94.12</v>
      </c>
      <c r="X30" s="8">
        <v>80.900000000000006</v>
      </c>
      <c r="Y30" s="8">
        <v>68.150000000000006</v>
      </c>
      <c r="AC30" s="8">
        <v>78.62</v>
      </c>
      <c r="AJ30" s="8">
        <v>80.900000000000006</v>
      </c>
      <c r="AK30" s="8">
        <v>74.819999999999993</v>
      </c>
      <c r="AO30" s="8">
        <v>89.83</v>
      </c>
      <c r="AP30" s="8">
        <v>93.95</v>
      </c>
      <c r="AQ30" s="8">
        <v>88.35</v>
      </c>
      <c r="AT30" s="8">
        <v>76.17</v>
      </c>
      <c r="AU30" s="8">
        <v>76.2</v>
      </c>
      <c r="AV30" s="8">
        <v>75.84</v>
      </c>
      <c r="AW30" s="8">
        <v>78.959999999999994</v>
      </c>
      <c r="AX30" s="8">
        <v>76.42</v>
      </c>
      <c r="AY30" s="8">
        <v>80.099999999999994</v>
      </c>
      <c r="AZ30" s="8">
        <v>74.180000000000007</v>
      </c>
      <c r="BA30" s="8">
        <v>78.5</v>
      </c>
      <c r="BB30" s="8">
        <v>83.06</v>
      </c>
      <c r="BC30" s="8">
        <v>86.39</v>
      </c>
      <c r="BD30" s="8">
        <v>78.13</v>
      </c>
      <c r="BE30" s="8">
        <v>82.88</v>
      </c>
      <c r="BF30" s="8">
        <v>73.97</v>
      </c>
      <c r="BG30" s="8">
        <v>73.45</v>
      </c>
      <c r="BH30" s="8">
        <v>73.099999999999994</v>
      </c>
      <c r="BI30" s="8">
        <v>75.430000000000007</v>
      </c>
      <c r="BJ30" s="8">
        <v>82.33</v>
      </c>
      <c r="BK30" s="8">
        <v>79.13</v>
      </c>
      <c r="BL30" s="8">
        <v>84.9</v>
      </c>
      <c r="BM30" s="8">
        <v>74.66</v>
      </c>
      <c r="BN30" s="8">
        <v>63.22</v>
      </c>
      <c r="BO30" s="8">
        <v>80.33</v>
      </c>
      <c r="BP30" s="8">
        <v>80.61</v>
      </c>
      <c r="BQ30" s="8">
        <v>67.62</v>
      </c>
      <c r="BR30" s="8">
        <v>74.36</v>
      </c>
      <c r="BS30" s="8">
        <v>77.25</v>
      </c>
      <c r="BT30" s="8">
        <v>78.930000000000007</v>
      </c>
      <c r="BU30" s="8">
        <v>69.53</v>
      </c>
      <c r="BV30" s="8">
        <v>80.569999999999993</v>
      </c>
      <c r="CB30" s="8">
        <v>78.31</v>
      </c>
      <c r="CD30" s="8">
        <v>80.08</v>
      </c>
      <c r="CE30" s="8">
        <v>50.36</v>
      </c>
      <c r="CF30" s="8">
        <v>50.36</v>
      </c>
      <c r="CV30" s="8">
        <v>84.08</v>
      </c>
      <c r="CW30" s="8">
        <v>84.08</v>
      </c>
      <c r="CZ30" s="8">
        <v>83.08</v>
      </c>
      <c r="DP30" s="8">
        <v>83.03</v>
      </c>
      <c r="DQ30" s="8">
        <v>78.239999999999995</v>
      </c>
      <c r="DR30" s="8">
        <v>86.73</v>
      </c>
      <c r="DS30" s="8">
        <v>82.04</v>
      </c>
      <c r="EI30" s="8">
        <v>76.489999999999995</v>
      </c>
      <c r="EY30" s="8">
        <v>89.98</v>
      </c>
      <c r="EZ30" s="8">
        <v>72.400000000000006</v>
      </c>
      <c r="FA30" s="8">
        <v>75.22</v>
      </c>
      <c r="FE30" s="8">
        <v>78.39</v>
      </c>
      <c r="FL30" s="8">
        <v>67.84</v>
      </c>
      <c r="FM30" s="8">
        <v>78.78</v>
      </c>
      <c r="FQ30" s="8">
        <v>85.42</v>
      </c>
      <c r="FR30" s="8">
        <v>93.95</v>
      </c>
      <c r="FS30" s="8">
        <v>84.8</v>
      </c>
      <c r="FV30" s="8">
        <v>77.17</v>
      </c>
      <c r="FW30" s="8">
        <v>78.25</v>
      </c>
      <c r="FX30" s="8">
        <v>75.06</v>
      </c>
      <c r="FY30" s="8">
        <v>78.739999999999995</v>
      </c>
      <c r="FZ30" s="8">
        <v>79.53</v>
      </c>
      <c r="GA30" s="8">
        <v>79.599999999999994</v>
      </c>
      <c r="GB30" s="8">
        <v>73.73</v>
      </c>
      <c r="GC30" s="8">
        <v>77.819999999999993</v>
      </c>
      <c r="GD30" s="8">
        <v>79.540000000000006</v>
      </c>
      <c r="GE30" s="8">
        <v>86.36</v>
      </c>
      <c r="GF30" s="8">
        <v>78.22</v>
      </c>
      <c r="GG30" s="8">
        <v>79.75</v>
      </c>
      <c r="GH30" s="8">
        <v>74.89</v>
      </c>
      <c r="GI30" s="8">
        <v>75.08</v>
      </c>
      <c r="GJ30" s="8">
        <v>74.03</v>
      </c>
      <c r="GK30" s="8">
        <v>75.3</v>
      </c>
      <c r="GL30" s="8">
        <v>83.98</v>
      </c>
      <c r="GM30" s="8">
        <v>79.77</v>
      </c>
      <c r="GN30" s="8">
        <v>87.44</v>
      </c>
      <c r="GO30" s="8">
        <v>74.78</v>
      </c>
      <c r="GP30" s="8">
        <v>66</v>
      </c>
      <c r="GQ30" s="8">
        <v>81.709999999999994</v>
      </c>
      <c r="GR30" s="8">
        <v>80.66</v>
      </c>
      <c r="GS30" s="8">
        <v>67.95</v>
      </c>
      <c r="GT30" s="8">
        <v>73.94</v>
      </c>
      <c r="GU30" s="8">
        <v>77.69</v>
      </c>
      <c r="GV30" s="8">
        <v>79.02</v>
      </c>
      <c r="GW30" s="8">
        <v>70.67</v>
      </c>
      <c r="GX30" s="8">
        <v>81.87</v>
      </c>
      <c r="HD30" s="8">
        <v>83.88</v>
      </c>
      <c r="HF30" s="8">
        <v>80.72</v>
      </c>
      <c r="HG30" s="8">
        <v>51.63</v>
      </c>
      <c r="HH30" s="8">
        <v>51.63</v>
      </c>
      <c r="HX30" s="8">
        <v>73.97</v>
      </c>
      <c r="HY30" s="8">
        <v>73.97</v>
      </c>
      <c r="IB30" s="8">
        <v>71.27</v>
      </c>
    </row>
    <row r="31" spans="1:236" x14ac:dyDescent="0.2">
      <c r="A31" s="9">
        <v>43586</v>
      </c>
      <c r="G31" s="8">
        <v>85.3</v>
      </c>
      <c r="W31" s="8">
        <v>87.03</v>
      </c>
      <c r="X31" s="8">
        <v>75</v>
      </c>
      <c r="Y31" s="8">
        <v>62.68</v>
      </c>
      <c r="AC31" s="8">
        <v>78.83</v>
      </c>
      <c r="AJ31" s="8">
        <v>80.900000000000006</v>
      </c>
      <c r="AK31" s="8">
        <v>74.819999999999993</v>
      </c>
      <c r="AO31" s="8">
        <v>89.83</v>
      </c>
      <c r="AP31" s="8">
        <v>93.97</v>
      </c>
      <c r="AQ31" s="8">
        <v>88.35</v>
      </c>
      <c r="AT31" s="8">
        <v>75.52</v>
      </c>
      <c r="AU31" s="8">
        <v>75.81</v>
      </c>
      <c r="AV31" s="8">
        <v>75.45</v>
      </c>
      <c r="AW31" s="8">
        <v>76.569999999999993</v>
      </c>
      <c r="AX31" s="8">
        <v>75.22</v>
      </c>
      <c r="AY31" s="8">
        <v>80.930000000000007</v>
      </c>
      <c r="AZ31" s="8">
        <v>74.599999999999994</v>
      </c>
      <c r="BA31" s="8">
        <v>78.42</v>
      </c>
      <c r="BB31" s="8">
        <v>82.24</v>
      </c>
      <c r="BC31" s="8">
        <v>86.99</v>
      </c>
      <c r="BD31" s="8">
        <v>79.36</v>
      </c>
      <c r="BE31" s="8">
        <v>86.07</v>
      </c>
      <c r="BF31" s="8">
        <v>74.28</v>
      </c>
      <c r="BG31" s="8">
        <v>73.7</v>
      </c>
      <c r="BH31" s="8">
        <v>73.7</v>
      </c>
      <c r="BI31" s="8">
        <v>75.55</v>
      </c>
      <c r="BJ31" s="8">
        <v>81.12</v>
      </c>
      <c r="BK31" s="8">
        <v>80.05</v>
      </c>
      <c r="BL31" s="8">
        <v>81.88</v>
      </c>
      <c r="BM31" s="8">
        <v>74.52</v>
      </c>
      <c r="BN31" s="8">
        <v>63.02</v>
      </c>
      <c r="BO31" s="8">
        <v>79.069999999999993</v>
      </c>
      <c r="BP31" s="8">
        <v>81.23</v>
      </c>
      <c r="BQ31" s="8">
        <v>66.73</v>
      </c>
      <c r="BR31" s="8">
        <v>74.52</v>
      </c>
      <c r="BS31" s="8">
        <v>76.72</v>
      </c>
      <c r="BT31" s="8">
        <v>79.73</v>
      </c>
      <c r="BU31" s="8">
        <v>70.08</v>
      </c>
      <c r="BV31" s="8">
        <v>81.42</v>
      </c>
      <c r="CB31" s="8">
        <v>79.14</v>
      </c>
      <c r="CD31" s="8">
        <v>80.680000000000007</v>
      </c>
      <c r="CE31" s="8">
        <v>50.73</v>
      </c>
      <c r="CF31" s="8">
        <v>50.73</v>
      </c>
      <c r="CV31" s="8">
        <v>85.17</v>
      </c>
      <c r="CW31" s="8">
        <v>85.17</v>
      </c>
      <c r="CZ31" s="8">
        <v>83.08</v>
      </c>
      <c r="DP31" s="8">
        <v>83.13</v>
      </c>
      <c r="DQ31" s="8">
        <v>77.37</v>
      </c>
      <c r="DR31" s="8">
        <v>86.72</v>
      </c>
      <c r="DS31" s="8">
        <v>82.43</v>
      </c>
      <c r="EI31" s="8">
        <v>77.25</v>
      </c>
      <c r="EY31" s="8">
        <v>87.28</v>
      </c>
      <c r="EZ31" s="8">
        <v>72.36</v>
      </c>
      <c r="FA31" s="8">
        <v>70.17</v>
      </c>
      <c r="FE31" s="8">
        <v>78.61</v>
      </c>
      <c r="FL31" s="8">
        <v>67.84</v>
      </c>
      <c r="FM31" s="8">
        <v>78.78</v>
      </c>
      <c r="FQ31" s="8">
        <v>85.42</v>
      </c>
      <c r="FR31" s="8">
        <v>93.97</v>
      </c>
      <c r="FS31" s="8">
        <v>84.8</v>
      </c>
      <c r="FV31" s="8">
        <v>76.319999999999993</v>
      </c>
      <c r="FW31" s="8">
        <v>77.44</v>
      </c>
      <c r="FX31" s="8">
        <v>74.47</v>
      </c>
      <c r="FY31" s="8">
        <v>76.3</v>
      </c>
      <c r="FZ31" s="8">
        <v>78.819999999999993</v>
      </c>
      <c r="GA31" s="8">
        <v>80.23</v>
      </c>
      <c r="GB31" s="8">
        <v>74.19</v>
      </c>
      <c r="GC31" s="8">
        <v>78.09</v>
      </c>
      <c r="GD31" s="8">
        <v>79.53</v>
      </c>
      <c r="GE31" s="8">
        <v>86.44</v>
      </c>
      <c r="GF31" s="8">
        <v>78.83</v>
      </c>
      <c r="GG31" s="8">
        <v>82.06</v>
      </c>
      <c r="GH31" s="8">
        <v>74.849999999999994</v>
      </c>
      <c r="GI31" s="8">
        <v>74.430000000000007</v>
      </c>
      <c r="GJ31" s="8">
        <v>74.61</v>
      </c>
      <c r="GK31" s="8">
        <v>75.349999999999994</v>
      </c>
      <c r="GL31" s="8">
        <v>83.45</v>
      </c>
      <c r="GM31" s="8">
        <v>83.48</v>
      </c>
      <c r="GN31" s="8">
        <v>83.08</v>
      </c>
      <c r="GO31" s="8">
        <v>74.400000000000006</v>
      </c>
      <c r="GP31" s="8">
        <v>65.86</v>
      </c>
      <c r="GQ31" s="8">
        <v>81.11</v>
      </c>
      <c r="GR31" s="8">
        <v>81.349999999999994</v>
      </c>
      <c r="GS31" s="8">
        <v>67.06</v>
      </c>
      <c r="GT31" s="8">
        <v>73.790000000000006</v>
      </c>
      <c r="GU31" s="8">
        <v>76.34</v>
      </c>
      <c r="GV31" s="8">
        <v>79.540000000000006</v>
      </c>
      <c r="GW31" s="8">
        <v>71.06</v>
      </c>
      <c r="GX31" s="8">
        <v>82.45</v>
      </c>
      <c r="HD31" s="8">
        <v>84.53</v>
      </c>
      <c r="HF31" s="8">
        <v>81.99</v>
      </c>
      <c r="HG31" s="8">
        <v>52.02</v>
      </c>
      <c r="HH31" s="8">
        <v>52.02</v>
      </c>
      <c r="HX31" s="8">
        <v>73.36</v>
      </c>
      <c r="HY31" s="8">
        <v>73.36</v>
      </c>
      <c r="IB31" s="8">
        <v>71.27</v>
      </c>
    </row>
    <row r="32" spans="1:236" x14ac:dyDescent="0.2">
      <c r="A32" s="9">
        <v>43617</v>
      </c>
      <c r="G32" s="8">
        <v>85.15</v>
      </c>
      <c r="W32" s="8">
        <v>87.79</v>
      </c>
      <c r="X32" s="8">
        <v>73.69</v>
      </c>
      <c r="Y32" s="8">
        <v>66.67</v>
      </c>
      <c r="AC32" s="8">
        <v>77.84</v>
      </c>
      <c r="AJ32" s="8">
        <v>80.900000000000006</v>
      </c>
      <c r="AK32" s="8">
        <v>74.819999999999993</v>
      </c>
      <c r="AO32" s="8">
        <v>89.78</v>
      </c>
      <c r="AP32" s="8">
        <v>92.08</v>
      </c>
      <c r="AQ32" s="8">
        <v>88.94</v>
      </c>
      <c r="AT32" s="8">
        <v>76.709999999999994</v>
      </c>
      <c r="AU32" s="8">
        <v>75.95</v>
      </c>
      <c r="AV32" s="8">
        <v>78.37</v>
      </c>
      <c r="AW32" s="8">
        <v>76.38</v>
      </c>
      <c r="AX32" s="8">
        <v>75.099999999999994</v>
      </c>
      <c r="AY32" s="8">
        <v>81.319999999999993</v>
      </c>
      <c r="AZ32" s="8">
        <v>75.239999999999995</v>
      </c>
      <c r="BA32" s="8">
        <v>77.510000000000005</v>
      </c>
      <c r="BB32" s="8">
        <v>83.77</v>
      </c>
      <c r="BC32" s="8">
        <v>87.59</v>
      </c>
      <c r="BD32" s="8">
        <v>79.56</v>
      </c>
      <c r="BE32" s="8">
        <v>86.33</v>
      </c>
      <c r="BF32" s="8">
        <v>74.709999999999994</v>
      </c>
      <c r="BG32" s="8">
        <v>74.13</v>
      </c>
      <c r="BH32" s="8">
        <v>73.900000000000006</v>
      </c>
      <c r="BI32" s="8">
        <v>76.2</v>
      </c>
      <c r="BJ32" s="8">
        <v>78.52</v>
      </c>
      <c r="BK32" s="8">
        <v>76.47</v>
      </c>
      <c r="BL32" s="8">
        <v>80.11</v>
      </c>
      <c r="BM32" s="8">
        <v>74.42</v>
      </c>
      <c r="BN32" s="8">
        <v>63.61</v>
      </c>
      <c r="BO32" s="8">
        <v>80.34</v>
      </c>
      <c r="BP32" s="8">
        <v>81.62</v>
      </c>
      <c r="BQ32" s="8">
        <v>67.11</v>
      </c>
      <c r="BR32" s="8">
        <v>73.73</v>
      </c>
      <c r="BS32" s="8">
        <v>76.81</v>
      </c>
      <c r="BT32" s="8">
        <v>79.13</v>
      </c>
      <c r="BU32" s="8">
        <v>69.17</v>
      </c>
      <c r="BV32" s="8">
        <v>80.87</v>
      </c>
      <c r="CB32" s="8">
        <v>78.83</v>
      </c>
      <c r="CD32" s="8">
        <v>81.77</v>
      </c>
      <c r="CE32" s="8">
        <v>50.89</v>
      </c>
      <c r="CF32" s="8">
        <v>50.89</v>
      </c>
      <c r="CV32" s="8">
        <v>84.77</v>
      </c>
      <c r="CW32" s="8">
        <v>84.77</v>
      </c>
      <c r="CZ32" s="8">
        <v>83.08</v>
      </c>
      <c r="DP32" s="8">
        <v>82.73</v>
      </c>
      <c r="DQ32" s="8">
        <v>77.14</v>
      </c>
      <c r="DR32" s="8">
        <v>85.52</v>
      </c>
      <c r="DS32" s="8">
        <v>82.49</v>
      </c>
      <c r="EI32" s="8">
        <v>77.97</v>
      </c>
      <c r="EY32" s="8">
        <v>93.64</v>
      </c>
      <c r="EZ32" s="8">
        <v>78.88</v>
      </c>
      <c r="FA32" s="8">
        <v>73.67</v>
      </c>
      <c r="FE32" s="8">
        <v>78.09</v>
      </c>
      <c r="FL32" s="8">
        <v>67.84</v>
      </c>
      <c r="FM32" s="8">
        <v>78.78</v>
      </c>
      <c r="FQ32" s="8">
        <v>79.930000000000007</v>
      </c>
      <c r="FR32" s="8">
        <v>92.08</v>
      </c>
      <c r="FS32" s="8">
        <v>78.97</v>
      </c>
      <c r="FV32" s="8">
        <v>77.010000000000005</v>
      </c>
      <c r="FW32" s="8">
        <v>77.45</v>
      </c>
      <c r="FX32" s="8">
        <v>76.55</v>
      </c>
      <c r="FY32" s="8">
        <v>75.63</v>
      </c>
      <c r="FZ32" s="8">
        <v>78.33</v>
      </c>
      <c r="GA32" s="8">
        <v>80.48</v>
      </c>
      <c r="GB32" s="8">
        <v>74.38</v>
      </c>
      <c r="GC32" s="8">
        <v>77.91</v>
      </c>
      <c r="GD32" s="8">
        <v>80.19</v>
      </c>
      <c r="GE32" s="8">
        <v>87.13</v>
      </c>
      <c r="GF32" s="8">
        <v>78.819999999999993</v>
      </c>
      <c r="GG32" s="8">
        <v>82</v>
      </c>
      <c r="GH32" s="8">
        <v>75.209999999999994</v>
      </c>
      <c r="GI32" s="8">
        <v>74.900000000000006</v>
      </c>
      <c r="GJ32" s="8">
        <v>74.69</v>
      </c>
      <c r="GK32" s="8">
        <v>75.86</v>
      </c>
      <c r="GL32" s="8">
        <v>82.81</v>
      </c>
      <c r="GM32" s="8">
        <v>83.22</v>
      </c>
      <c r="GN32" s="8">
        <v>82.1</v>
      </c>
      <c r="GO32" s="8">
        <v>74.31</v>
      </c>
      <c r="GP32" s="8">
        <v>66.150000000000006</v>
      </c>
      <c r="GQ32" s="8">
        <v>81.78</v>
      </c>
      <c r="GR32" s="8">
        <v>81.650000000000006</v>
      </c>
      <c r="GS32" s="8">
        <v>67.319999999999993</v>
      </c>
      <c r="GT32" s="8">
        <v>73.209999999999994</v>
      </c>
      <c r="GU32" s="8">
        <v>76.510000000000005</v>
      </c>
      <c r="GV32" s="8">
        <v>78.69</v>
      </c>
      <c r="GW32" s="8">
        <v>69.41</v>
      </c>
      <c r="GX32" s="8">
        <v>81.88</v>
      </c>
      <c r="HD32" s="8">
        <v>84.03</v>
      </c>
      <c r="HF32" s="8">
        <v>81.53</v>
      </c>
      <c r="HG32" s="8">
        <v>52.28</v>
      </c>
      <c r="HH32" s="8">
        <v>52.28</v>
      </c>
      <c r="HX32" s="8">
        <v>73.459999999999994</v>
      </c>
      <c r="HY32" s="8">
        <v>73.459999999999994</v>
      </c>
      <c r="IB32" s="8">
        <v>71.27</v>
      </c>
    </row>
    <row r="33" spans="1:236" x14ac:dyDescent="0.2">
      <c r="A33" s="9">
        <v>43647</v>
      </c>
      <c r="G33" s="8">
        <v>84.8</v>
      </c>
      <c r="W33" s="8">
        <v>91.28</v>
      </c>
      <c r="X33" s="8">
        <v>73.95</v>
      </c>
      <c r="Y33" s="8">
        <v>74</v>
      </c>
      <c r="AC33" s="8">
        <v>79.42</v>
      </c>
      <c r="AJ33" s="8">
        <v>80.900000000000006</v>
      </c>
      <c r="AK33" s="8">
        <v>74.819999999999993</v>
      </c>
      <c r="AO33" s="8">
        <v>89.93</v>
      </c>
      <c r="AP33" s="8">
        <v>92.64</v>
      </c>
      <c r="AQ33" s="8">
        <v>88.94</v>
      </c>
      <c r="AT33" s="8">
        <v>76.760000000000005</v>
      </c>
      <c r="AU33" s="8">
        <v>76.27</v>
      </c>
      <c r="AV33" s="8">
        <v>77.52</v>
      </c>
      <c r="AW33" s="8">
        <v>79.91</v>
      </c>
      <c r="AX33" s="8">
        <v>74.98</v>
      </c>
      <c r="AY33" s="8">
        <v>81.430000000000007</v>
      </c>
      <c r="AZ33" s="8">
        <v>74.900000000000006</v>
      </c>
      <c r="BA33" s="8">
        <v>78.180000000000007</v>
      </c>
      <c r="BB33" s="8">
        <v>84.34</v>
      </c>
      <c r="BC33" s="8">
        <v>87.65</v>
      </c>
      <c r="BD33" s="8">
        <v>79.73</v>
      </c>
      <c r="BE33" s="8">
        <v>86.31</v>
      </c>
      <c r="BF33" s="8">
        <v>75.180000000000007</v>
      </c>
      <c r="BG33" s="8">
        <v>74.42</v>
      </c>
      <c r="BH33" s="8">
        <v>74.459999999999994</v>
      </c>
      <c r="BI33" s="8">
        <v>76.84</v>
      </c>
      <c r="BJ33" s="8">
        <v>78.45</v>
      </c>
      <c r="BK33" s="8">
        <v>75.47</v>
      </c>
      <c r="BL33" s="8">
        <v>80.84</v>
      </c>
      <c r="BM33" s="8">
        <v>75.13</v>
      </c>
      <c r="BN33" s="8">
        <v>64.400000000000006</v>
      </c>
      <c r="BO33" s="8">
        <v>79.989999999999995</v>
      </c>
      <c r="BP33" s="8">
        <v>81.709999999999994</v>
      </c>
      <c r="BQ33" s="8">
        <v>68.23</v>
      </c>
      <c r="BR33" s="8">
        <v>74.98</v>
      </c>
      <c r="BS33" s="8">
        <v>77.02</v>
      </c>
      <c r="BT33" s="8">
        <v>80.290000000000006</v>
      </c>
      <c r="BU33" s="8">
        <v>69.81</v>
      </c>
      <c r="BV33" s="8">
        <v>82.13</v>
      </c>
      <c r="CB33" s="8">
        <v>78.760000000000005</v>
      </c>
      <c r="CD33" s="8">
        <v>81.44</v>
      </c>
      <c r="CE33" s="8">
        <v>51.2</v>
      </c>
      <c r="CF33" s="8">
        <v>51.2</v>
      </c>
      <c r="CV33" s="8">
        <v>84.77</v>
      </c>
      <c r="CW33" s="8">
        <v>84.77</v>
      </c>
      <c r="CZ33" s="8">
        <v>83.08</v>
      </c>
      <c r="DP33" s="8">
        <v>83.69</v>
      </c>
      <c r="DQ33" s="8">
        <v>78.81</v>
      </c>
      <c r="DR33" s="8">
        <v>86.73</v>
      </c>
      <c r="DS33" s="8">
        <v>83.13</v>
      </c>
      <c r="EI33" s="8">
        <v>75.95</v>
      </c>
      <c r="EY33" s="8">
        <v>99.72</v>
      </c>
      <c r="EZ33" s="8">
        <v>83.91</v>
      </c>
      <c r="FA33" s="8">
        <v>78.58</v>
      </c>
      <c r="FE33" s="8">
        <v>79.08</v>
      </c>
      <c r="FL33" s="8">
        <v>67.84</v>
      </c>
      <c r="FM33" s="8">
        <v>78.78</v>
      </c>
      <c r="FQ33" s="8">
        <v>79.98</v>
      </c>
      <c r="FR33" s="8">
        <v>92.64</v>
      </c>
      <c r="FS33" s="8">
        <v>78.97</v>
      </c>
      <c r="FV33" s="8">
        <v>77.19</v>
      </c>
      <c r="FW33" s="8">
        <v>77.69</v>
      </c>
      <c r="FX33" s="8">
        <v>76.05</v>
      </c>
      <c r="FY33" s="8">
        <v>79.12</v>
      </c>
      <c r="FZ33" s="8">
        <v>78.23</v>
      </c>
      <c r="GA33" s="8">
        <v>80.58</v>
      </c>
      <c r="GB33" s="8">
        <v>74.02</v>
      </c>
      <c r="GC33" s="8">
        <v>78.7</v>
      </c>
      <c r="GD33" s="8">
        <v>79.650000000000006</v>
      </c>
      <c r="GE33" s="8">
        <v>87.43</v>
      </c>
      <c r="GF33" s="8">
        <v>79.03</v>
      </c>
      <c r="GG33" s="8">
        <v>82.33</v>
      </c>
      <c r="GH33" s="8">
        <v>75.930000000000007</v>
      </c>
      <c r="GI33" s="8">
        <v>75.3</v>
      </c>
      <c r="GJ33" s="8">
        <v>75.31</v>
      </c>
      <c r="GK33" s="8">
        <v>76.989999999999995</v>
      </c>
      <c r="GL33" s="8">
        <v>82.2</v>
      </c>
      <c r="GM33" s="8">
        <v>81.92</v>
      </c>
      <c r="GN33" s="8">
        <v>82.12</v>
      </c>
      <c r="GO33" s="8">
        <v>74.91</v>
      </c>
      <c r="GP33" s="8">
        <v>66.400000000000006</v>
      </c>
      <c r="GQ33" s="8">
        <v>80.97</v>
      </c>
      <c r="GR33" s="8">
        <v>81.739999999999995</v>
      </c>
      <c r="GS33" s="8">
        <v>68.040000000000006</v>
      </c>
      <c r="GT33" s="8">
        <v>74.16</v>
      </c>
      <c r="GU33" s="8">
        <v>77.17</v>
      </c>
      <c r="GV33" s="8">
        <v>79.55</v>
      </c>
      <c r="GW33" s="8">
        <v>70.31</v>
      </c>
      <c r="GX33" s="8">
        <v>82.73</v>
      </c>
      <c r="HD33" s="8">
        <v>84.43</v>
      </c>
      <c r="HF33" s="8">
        <v>81.62</v>
      </c>
      <c r="HG33" s="8">
        <v>52.68</v>
      </c>
      <c r="HH33" s="8">
        <v>52.68</v>
      </c>
      <c r="HX33" s="8">
        <v>73.14</v>
      </c>
      <c r="HY33" s="8">
        <v>73.14</v>
      </c>
      <c r="IB33" s="8">
        <v>71.27</v>
      </c>
    </row>
    <row r="34" spans="1:236" x14ac:dyDescent="0.2">
      <c r="A34" s="9">
        <v>43678</v>
      </c>
      <c r="G34" s="8">
        <v>84.86</v>
      </c>
      <c r="W34" s="8">
        <v>83.8</v>
      </c>
      <c r="X34" s="8">
        <v>68.400000000000006</v>
      </c>
      <c r="Y34" s="8">
        <v>67.05</v>
      </c>
      <c r="AC34" s="8">
        <v>78.84</v>
      </c>
      <c r="AJ34" s="8">
        <v>80.900000000000006</v>
      </c>
      <c r="AK34" s="8">
        <v>74.92</v>
      </c>
      <c r="AO34" s="8">
        <v>89.93</v>
      </c>
      <c r="AP34" s="8">
        <v>92.66</v>
      </c>
      <c r="AQ34" s="8">
        <v>88.94</v>
      </c>
      <c r="AT34" s="8">
        <v>77.650000000000006</v>
      </c>
      <c r="AU34" s="8">
        <v>76.41</v>
      </c>
      <c r="AV34" s="8">
        <v>79.16</v>
      </c>
      <c r="AW34" s="8">
        <v>81.2</v>
      </c>
      <c r="AX34" s="8">
        <v>75.63</v>
      </c>
      <c r="AY34" s="8">
        <v>81.93</v>
      </c>
      <c r="AZ34" s="8">
        <v>75.37</v>
      </c>
      <c r="BA34" s="8">
        <v>79.84</v>
      </c>
      <c r="BB34" s="8">
        <v>83.99</v>
      </c>
      <c r="BC34" s="8">
        <v>88.48</v>
      </c>
      <c r="BD34" s="8">
        <v>80.42</v>
      </c>
      <c r="BE34" s="8">
        <v>85.99</v>
      </c>
      <c r="BF34" s="8">
        <v>76.64</v>
      </c>
      <c r="BG34" s="8">
        <v>77.39</v>
      </c>
      <c r="BH34" s="8">
        <v>75.739999999999995</v>
      </c>
      <c r="BI34" s="8">
        <v>76.31</v>
      </c>
      <c r="BJ34" s="8">
        <v>77.91</v>
      </c>
      <c r="BK34" s="8">
        <v>75.349999999999994</v>
      </c>
      <c r="BL34" s="8">
        <v>79.95</v>
      </c>
      <c r="BM34" s="8">
        <v>75.17</v>
      </c>
      <c r="BN34" s="8">
        <v>64.63</v>
      </c>
      <c r="BO34" s="8">
        <v>80.44</v>
      </c>
      <c r="BP34" s="8">
        <v>81.900000000000006</v>
      </c>
      <c r="BQ34" s="8">
        <v>67.650000000000006</v>
      </c>
      <c r="BR34" s="8">
        <v>74.67</v>
      </c>
      <c r="BS34" s="8">
        <v>77.63</v>
      </c>
      <c r="BT34" s="8">
        <v>79.959999999999994</v>
      </c>
      <c r="BU34" s="8">
        <v>69.91</v>
      </c>
      <c r="BV34" s="8">
        <v>81.72</v>
      </c>
      <c r="CB34" s="8">
        <v>79.17</v>
      </c>
      <c r="CD34" s="8">
        <v>80.69</v>
      </c>
      <c r="CE34" s="8">
        <v>51.05</v>
      </c>
      <c r="CF34" s="8">
        <v>51.05</v>
      </c>
      <c r="CV34" s="8">
        <v>85.02</v>
      </c>
      <c r="CW34" s="8">
        <v>85.02</v>
      </c>
      <c r="CZ34" s="8">
        <v>83.08</v>
      </c>
      <c r="DP34" s="8">
        <v>82.95</v>
      </c>
      <c r="DQ34" s="8">
        <v>77.959999999999994</v>
      </c>
      <c r="DR34" s="8">
        <v>85.4</v>
      </c>
      <c r="DS34" s="8">
        <v>82.79</v>
      </c>
      <c r="EI34" s="8">
        <v>75.47</v>
      </c>
      <c r="EY34" s="8">
        <v>92.74</v>
      </c>
      <c r="EZ34" s="8">
        <v>76.72</v>
      </c>
      <c r="FA34" s="8">
        <v>74.790000000000006</v>
      </c>
      <c r="FE34" s="8">
        <v>79.02</v>
      </c>
      <c r="FL34" s="8">
        <v>67.84</v>
      </c>
      <c r="FM34" s="8">
        <v>78.790000000000006</v>
      </c>
      <c r="FQ34" s="8">
        <v>79.98</v>
      </c>
      <c r="FR34" s="8">
        <v>92.66</v>
      </c>
      <c r="FS34" s="8">
        <v>78.97</v>
      </c>
      <c r="FV34" s="8">
        <v>78.02</v>
      </c>
      <c r="FW34" s="8">
        <v>77.739999999999995</v>
      </c>
      <c r="FX34" s="8">
        <v>77.63</v>
      </c>
      <c r="FY34" s="8">
        <v>80.430000000000007</v>
      </c>
      <c r="FZ34" s="8">
        <v>78.75</v>
      </c>
      <c r="GA34" s="8">
        <v>81.510000000000005</v>
      </c>
      <c r="GB34" s="8">
        <v>74.56</v>
      </c>
      <c r="GC34" s="8">
        <v>79.61</v>
      </c>
      <c r="GD34" s="8">
        <v>82.39</v>
      </c>
      <c r="GE34" s="8">
        <v>88.27</v>
      </c>
      <c r="GF34" s="8">
        <v>80.42</v>
      </c>
      <c r="GG34" s="8">
        <v>82.21</v>
      </c>
      <c r="GH34" s="8">
        <v>76.790000000000006</v>
      </c>
      <c r="GI34" s="8">
        <v>77.16</v>
      </c>
      <c r="GJ34" s="8">
        <v>76.47</v>
      </c>
      <c r="GK34" s="8">
        <v>76.52</v>
      </c>
      <c r="GL34" s="8">
        <v>81.239999999999995</v>
      </c>
      <c r="GM34" s="8">
        <v>80.41</v>
      </c>
      <c r="GN34" s="8">
        <v>81.67</v>
      </c>
      <c r="GO34" s="8">
        <v>74.98</v>
      </c>
      <c r="GP34" s="8">
        <v>66.97</v>
      </c>
      <c r="GQ34" s="8">
        <v>82.03</v>
      </c>
      <c r="GR34" s="8">
        <v>82.27</v>
      </c>
      <c r="GS34" s="8">
        <v>67.73</v>
      </c>
      <c r="GT34" s="8">
        <v>73.89</v>
      </c>
      <c r="GU34" s="8">
        <v>77.44</v>
      </c>
      <c r="GV34" s="8">
        <v>79.67</v>
      </c>
      <c r="GW34" s="8">
        <v>70.790000000000006</v>
      </c>
      <c r="GX34" s="8">
        <v>82.71</v>
      </c>
      <c r="HD34" s="8">
        <v>85.12</v>
      </c>
      <c r="HF34" s="8">
        <v>82.5</v>
      </c>
      <c r="HG34" s="8">
        <v>52.57</v>
      </c>
      <c r="HH34" s="8">
        <v>52.57</v>
      </c>
      <c r="HX34" s="8">
        <v>72.8</v>
      </c>
      <c r="HY34" s="8">
        <v>72.8</v>
      </c>
      <c r="IB34" s="8">
        <v>71.27</v>
      </c>
    </row>
    <row r="35" spans="1:236" x14ac:dyDescent="0.2">
      <c r="A35" s="9">
        <v>43709</v>
      </c>
      <c r="G35" s="8">
        <v>84.99</v>
      </c>
      <c r="W35" s="8">
        <v>86.68</v>
      </c>
      <c r="X35" s="8">
        <v>71.099999999999994</v>
      </c>
      <c r="Y35" s="8">
        <v>68.73</v>
      </c>
      <c r="AC35" s="8">
        <v>78.31</v>
      </c>
      <c r="AJ35" s="8">
        <v>80.900000000000006</v>
      </c>
      <c r="AK35" s="8">
        <v>74.92</v>
      </c>
      <c r="AO35" s="8">
        <v>90.05</v>
      </c>
      <c r="AP35" s="8">
        <v>92.68</v>
      </c>
      <c r="AQ35" s="8">
        <v>89.08</v>
      </c>
      <c r="AT35" s="8">
        <v>77.41</v>
      </c>
      <c r="AU35" s="8">
        <v>75.760000000000005</v>
      </c>
      <c r="AV35" s="8">
        <v>79.459999999999994</v>
      </c>
      <c r="AW35" s="8">
        <v>79.47</v>
      </c>
      <c r="AX35" s="8">
        <v>75.790000000000006</v>
      </c>
      <c r="AY35" s="8">
        <v>82.84</v>
      </c>
      <c r="AZ35" s="8">
        <v>77.459999999999994</v>
      </c>
      <c r="BA35" s="8">
        <v>80.81</v>
      </c>
      <c r="BB35" s="8">
        <v>85.82</v>
      </c>
      <c r="BC35" s="8">
        <v>87.77</v>
      </c>
      <c r="BD35" s="8">
        <v>82.13</v>
      </c>
      <c r="BE35" s="8">
        <v>85.13</v>
      </c>
      <c r="BF35" s="8">
        <v>76.989999999999995</v>
      </c>
      <c r="BG35" s="8">
        <v>77.83</v>
      </c>
      <c r="BH35" s="8">
        <v>76.349999999999994</v>
      </c>
      <c r="BI35" s="8">
        <v>76.3</v>
      </c>
      <c r="BJ35" s="8">
        <v>76.92</v>
      </c>
      <c r="BK35" s="8">
        <v>72.349999999999994</v>
      </c>
      <c r="BL35" s="8">
        <v>80.66</v>
      </c>
      <c r="BM35" s="8">
        <v>74.66</v>
      </c>
      <c r="BN35" s="8">
        <v>64.540000000000006</v>
      </c>
      <c r="BO35" s="8">
        <v>79.56</v>
      </c>
      <c r="BP35" s="8">
        <v>80.540000000000006</v>
      </c>
      <c r="BQ35" s="8">
        <v>67.78</v>
      </c>
      <c r="BR35" s="8">
        <v>74.08</v>
      </c>
      <c r="BS35" s="8">
        <v>77.37</v>
      </c>
      <c r="BT35" s="8">
        <v>78.989999999999995</v>
      </c>
      <c r="BU35" s="8">
        <v>69.62</v>
      </c>
      <c r="BV35" s="8">
        <v>80.63</v>
      </c>
      <c r="CB35" s="8">
        <v>78.650000000000006</v>
      </c>
      <c r="CD35" s="8">
        <v>81.08</v>
      </c>
      <c r="CE35" s="8">
        <v>54.6</v>
      </c>
      <c r="CF35" s="8">
        <v>54.6</v>
      </c>
      <c r="CV35" s="8">
        <v>84.84</v>
      </c>
      <c r="CW35" s="8">
        <v>84.84</v>
      </c>
      <c r="CZ35" s="8">
        <v>84.96</v>
      </c>
      <c r="DP35" s="8">
        <v>82.6</v>
      </c>
      <c r="DQ35" s="8">
        <v>77.27</v>
      </c>
      <c r="DR35" s="8">
        <v>85.5</v>
      </c>
      <c r="DS35" s="8">
        <v>82.22</v>
      </c>
      <c r="EI35" s="8">
        <v>75.8</v>
      </c>
      <c r="EY35" s="8">
        <v>90.61</v>
      </c>
      <c r="EZ35" s="8">
        <v>72.95</v>
      </c>
      <c r="FA35" s="8">
        <v>75.709999999999994</v>
      </c>
      <c r="FE35" s="8">
        <v>78.489999999999995</v>
      </c>
      <c r="FL35" s="8">
        <v>67.84</v>
      </c>
      <c r="FM35" s="8">
        <v>78.790000000000006</v>
      </c>
      <c r="FQ35" s="8">
        <v>77.64</v>
      </c>
      <c r="FR35" s="8">
        <v>92.68</v>
      </c>
      <c r="FS35" s="8">
        <v>76.41</v>
      </c>
      <c r="FV35" s="8">
        <v>77.95</v>
      </c>
      <c r="FW35" s="8">
        <v>77.17</v>
      </c>
      <c r="FX35" s="8">
        <v>78.239999999999995</v>
      </c>
      <c r="FY35" s="8">
        <v>79.14</v>
      </c>
      <c r="FZ35" s="8">
        <v>78.819999999999993</v>
      </c>
      <c r="GA35" s="8">
        <v>82.3</v>
      </c>
      <c r="GB35" s="8">
        <v>76.739999999999995</v>
      </c>
      <c r="GC35" s="8">
        <v>80.84</v>
      </c>
      <c r="GD35" s="8">
        <v>83.13</v>
      </c>
      <c r="GE35" s="8">
        <v>87.77</v>
      </c>
      <c r="GF35" s="8">
        <v>81.97</v>
      </c>
      <c r="GG35" s="8">
        <v>81.92</v>
      </c>
      <c r="GH35" s="8">
        <v>77.349999999999994</v>
      </c>
      <c r="GI35" s="8">
        <v>78.11</v>
      </c>
      <c r="GJ35" s="8">
        <v>77.45</v>
      </c>
      <c r="GK35" s="8">
        <v>76.28</v>
      </c>
      <c r="GL35" s="8">
        <v>79.95</v>
      </c>
      <c r="GM35" s="8">
        <v>76.540000000000006</v>
      </c>
      <c r="GN35" s="8">
        <v>82.71</v>
      </c>
      <c r="GO35" s="8">
        <v>74.55</v>
      </c>
      <c r="GP35" s="8">
        <v>67.040000000000006</v>
      </c>
      <c r="GQ35" s="8">
        <v>81.400000000000006</v>
      </c>
      <c r="GR35" s="8">
        <v>81.099999999999994</v>
      </c>
      <c r="GS35" s="8">
        <v>67.62</v>
      </c>
      <c r="GT35" s="8">
        <v>73.290000000000006</v>
      </c>
      <c r="GU35" s="8">
        <v>77.599999999999994</v>
      </c>
      <c r="GV35" s="8">
        <v>78.27</v>
      </c>
      <c r="GW35" s="8">
        <v>70.78</v>
      </c>
      <c r="GX35" s="8">
        <v>80.819999999999993</v>
      </c>
      <c r="HD35" s="8">
        <v>84.08</v>
      </c>
      <c r="HF35" s="8">
        <v>81.64</v>
      </c>
      <c r="HG35" s="8">
        <v>56.08</v>
      </c>
      <c r="HH35" s="8">
        <v>56.08</v>
      </c>
      <c r="HX35" s="8">
        <v>74.459999999999994</v>
      </c>
      <c r="HY35" s="8">
        <v>74.459999999999994</v>
      </c>
      <c r="IB35" s="8">
        <v>76.91</v>
      </c>
    </row>
    <row r="36" spans="1:236" x14ac:dyDescent="0.2">
      <c r="A36" s="9">
        <v>43739</v>
      </c>
      <c r="G36" s="8">
        <v>86.79</v>
      </c>
      <c r="W36" s="8">
        <v>96.1</v>
      </c>
      <c r="X36" s="8">
        <v>83.59</v>
      </c>
      <c r="Y36" s="8">
        <v>67.319999999999993</v>
      </c>
      <c r="AC36" s="8">
        <v>78.319999999999993</v>
      </c>
      <c r="AJ36" s="8">
        <v>80.900000000000006</v>
      </c>
      <c r="AK36" s="8">
        <v>74.92</v>
      </c>
      <c r="AO36" s="8">
        <v>90.05</v>
      </c>
      <c r="AP36" s="8">
        <v>92.7</v>
      </c>
      <c r="AQ36" s="8">
        <v>89.08</v>
      </c>
      <c r="AT36" s="8">
        <v>77.44</v>
      </c>
      <c r="AU36" s="8">
        <v>75.709999999999994</v>
      </c>
      <c r="AV36" s="8">
        <v>79.209999999999994</v>
      </c>
      <c r="AW36" s="8">
        <v>78.67</v>
      </c>
      <c r="AX36" s="8">
        <v>77.33</v>
      </c>
      <c r="AY36" s="8">
        <v>83.65</v>
      </c>
      <c r="AZ36" s="8">
        <v>77.069999999999993</v>
      </c>
      <c r="BA36" s="8">
        <v>84.59</v>
      </c>
      <c r="BB36" s="8">
        <v>87.35</v>
      </c>
      <c r="BC36" s="8">
        <v>86.8</v>
      </c>
      <c r="BD36" s="8">
        <v>83.38</v>
      </c>
      <c r="BE36" s="8">
        <v>85.98</v>
      </c>
      <c r="BF36" s="8">
        <v>77.14</v>
      </c>
      <c r="BG36" s="8">
        <v>77.98</v>
      </c>
      <c r="BH36" s="8">
        <v>77.31</v>
      </c>
      <c r="BI36" s="8">
        <v>75.709999999999994</v>
      </c>
      <c r="BJ36" s="8">
        <v>78.239999999999995</v>
      </c>
      <c r="BK36" s="8">
        <v>75.62</v>
      </c>
      <c r="BL36" s="8">
        <v>80.33</v>
      </c>
      <c r="BM36" s="8">
        <v>75.33</v>
      </c>
      <c r="BN36" s="8">
        <v>65.040000000000006</v>
      </c>
      <c r="BO36" s="8">
        <v>79.77</v>
      </c>
      <c r="BP36" s="8">
        <v>81.67</v>
      </c>
      <c r="BQ36" s="8">
        <v>67.760000000000005</v>
      </c>
      <c r="BR36" s="8">
        <v>74.94</v>
      </c>
      <c r="BS36" s="8">
        <v>77.94</v>
      </c>
      <c r="BT36" s="8">
        <v>78.83</v>
      </c>
      <c r="BU36" s="8">
        <v>69.540000000000006</v>
      </c>
      <c r="BV36" s="8">
        <v>80.459999999999994</v>
      </c>
      <c r="CB36" s="8">
        <v>78.64</v>
      </c>
      <c r="CD36" s="8">
        <v>82.07</v>
      </c>
      <c r="CE36" s="8">
        <v>56.4</v>
      </c>
      <c r="CF36" s="8">
        <v>56.4</v>
      </c>
      <c r="CV36" s="8">
        <v>84.83</v>
      </c>
      <c r="CW36" s="8">
        <v>84.83</v>
      </c>
      <c r="CZ36" s="8">
        <v>84.96</v>
      </c>
      <c r="DP36" s="8">
        <v>82.54</v>
      </c>
      <c r="DQ36" s="8">
        <v>78.41</v>
      </c>
      <c r="DR36" s="8">
        <v>84.46</v>
      </c>
      <c r="DS36" s="8">
        <v>82.48</v>
      </c>
      <c r="EI36" s="8">
        <v>78.900000000000006</v>
      </c>
      <c r="EY36" s="8">
        <v>89.22</v>
      </c>
      <c r="EZ36" s="8">
        <v>71.540000000000006</v>
      </c>
      <c r="FA36" s="8">
        <v>74.89</v>
      </c>
      <c r="FE36" s="8">
        <v>78.430000000000007</v>
      </c>
      <c r="FL36" s="8">
        <v>67.84</v>
      </c>
      <c r="FM36" s="8">
        <v>78.790000000000006</v>
      </c>
      <c r="FQ36" s="8">
        <v>77.64</v>
      </c>
      <c r="FR36" s="8">
        <v>92.7</v>
      </c>
      <c r="FS36" s="8">
        <v>76.41</v>
      </c>
      <c r="FV36" s="8">
        <v>77.98</v>
      </c>
      <c r="FW36" s="8">
        <v>77.19</v>
      </c>
      <c r="FX36" s="8">
        <v>78.239999999999995</v>
      </c>
      <c r="FY36" s="8">
        <v>78.7</v>
      </c>
      <c r="FZ36" s="8">
        <v>79.28</v>
      </c>
      <c r="GA36" s="8">
        <v>82.51</v>
      </c>
      <c r="GB36" s="8">
        <v>76.86</v>
      </c>
      <c r="GC36" s="8">
        <v>83.06</v>
      </c>
      <c r="GD36" s="8">
        <v>82.18</v>
      </c>
      <c r="GE36" s="8">
        <v>86.72</v>
      </c>
      <c r="GF36" s="8">
        <v>83</v>
      </c>
      <c r="GG36" s="8">
        <v>82.62</v>
      </c>
      <c r="GH36" s="8">
        <v>77.28</v>
      </c>
      <c r="GI36" s="8">
        <v>77.739999999999995</v>
      </c>
      <c r="GJ36" s="8">
        <v>78.08</v>
      </c>
      <c r="GK36" s="8">
        <v>75.900000000000006</v>
      </c>
      <c r="GL36" s="8">
        <v>81.709999999999994</v>
      </c>
      <c r="GM36" s="8">
        <v>81.510000000000005</v>
      </c>
      <c r="GN36" s="8">
        <v>81.62</v>
      </c>
      <c r="GO36" s="8">
        <v>75.260000000000005</v>
      </c>
      <c r="GP36" s="8">
        <v>67.39</v>
      </c>
      <c r="GQ36" s="8">
        <v>81.22</v>
      </c>
      <c r="GR36" s="8">
        <v>82.19</v>
      </c>
      <c r="GS36" s="8">
        <v>67.97</v>
      </c>
      <c r="GT36" s="8">
        <v>74.180000000000007</v>
      </c>
      <c r="GU36" s="8">
        <v>78.260000000000005</v>
      </c>
      <c r="GV36" s="8">
        <v>78.540000000000006</v>
      </c>
      <c r="GW36" s="8">
        <v>70.33</v>
      </c>
      <c r="GX36" s="8">
        <v>81.34</v>
      </c>
      <c r="HD36" s="8">
        <v>83.26</v>
      </c>
      <c r="HF36" s="8">
        <v>81.96</v>
      </c>
      <c r="HG36" s="8">
        <v>57.92</v>
      </c>
      <c r="HH36" s="8">
        <v>57.92</v>
      </c>
      <c r="HX36" s="8">
        <v>74.459999999999994</v>
      </c>
      <c r="HY36" s="8">
        <v>74.459999999999994</v>
      </c>
      <c r="IB36" s="8">
        <v>76.91</v>
      </c>
    </row>
    <row r="37" spans="1:236" x14ac:dyDescent="0.2">
      <c r="A37" s="9">
        <v>43770</v>
      </c>
      <c r="G37" s="8">
        <v>87.04</v>
      </c>
      <c r="W37" s="8">
        <v>88.21</v>
      </c>
      <c r="X37" s="8">
        <v>76.34</v>
      </c>
      <c r="Y37" s="8">
        <v>62.51</v>
      </c>
      <c r="AC37" s="8">
        <v>78.849999999999994</v>
      </c>
      <c r="AJ37" s="8">
        <v>80.900000000000006</v>
      </c>
      <c r="AK37" s="8">
        <v>74.92</v>
      </c>
      <c r="AO37" s="8">
        <v>90.16</v>
      </c>
      <c r="AP37" s="8">
        <v>93.15</v>
      </c>
      <c r="AQ37" s="8">
        <v>89.08</v>
      </c>
      <c r="AT37" s="8">
        <v>77.459999999999994</v>
      </c>
      <c r="AU37" s="8">
        <v>75.67</v>
      </c>
      <c r="AV37" s="8">
        <v>79.75</v>
      </c>
      <c r="AW37" s="8">
        <v>79.53</v>
      </c>
      <c r="AX37" s="8">
        <v>75.59</v>
      </c>
      <c r="AY37" s="8">
        <v>82.94</v>
      </c>
      <c r="AZ37" s="8">
        <v>76.3</v>
      </c>
      <c r="BA37" s="8">
        <v>84.86</v>
      </c>
      <c r="BB37" s="8">
        <v>84.27</v>
      </c>
      <c r="BC37" s="8">
        <v>87.06</v>
      </c>
      <c r="BD37" s="8">
        <v>83.01</v>
      </c>
      <c r="BE37" s="8">
        <v>85.11</v>
      </c>
      <c r="BF37" s="8">
        <v>77.459999999999994</v>
      </c>
      <c r="BG37" s="8">
        <v>77.900000000000006</v>
      </c>
      <c r="BH37" s="8">
        <v>77.7</v>
      </c>
      <c r="BI37" s="8">
        <v>76.53</v>
      </c>
      <c r="BJ37" s="8">
        <v>80.31</v>
      </c>
      <c r="BK37" s="8">
        <v>80.12</v>
      </c>
      <c r="BL37" s="8">
        <v>80.319999999999993</v>
      </c>
      <c r="BM37" s="8">
        <v>76.040000000000006</v>
      </c>
      <c r="BN37" s="8">
        <v>64.87</v>
      </c>
      <c r="BO37" s="8">
        <v>79.790000000000006</v>
      </c>
      <c r="BP37" s="8">
        <v>82.05</v>
      </c>
      <c r="BQ37" s="8">
        <v>67.89</v>
      </c>
      <c r="BR37" s="8">
        <v>75.37</v>
      </c>
      <c r="BS37" s="8">
        <v>79.739999999999995</v>
      </c>
      <c r="BT37" s="8">
        <v>78.489999999999995</v>
      </c>
      <c r="BU37" s="8">
        <v>69.56</v>
      </c>
      <c r="BV37" s="8">
        <v>80.040000000000006</v>
      </c>
      <c r="CB37" s="8">
        <v>79.33</v>
      </c>
      <c r="CD37" s="8">
        <v>81.64</v>
      </c>
      <c r="CE37" s="8">
        <v>56.79</v>
      </c>
      <c r="CF37" s="8">
        <v>56.79</v>
      </c>
      <c r="CV37" s="8">
        <v>85.77</v>
      </c>
      <c r="CW37" s="8">
        <v>85.77</v>
      </c>
      <c r="CZ37" s="8">
        <v>84.96</v>
      </c>
      <c r="DP37" s="8">
        <v>83.26</v>
      </c>
      <c r="DQ37" s="8">
        <v>78.97</v>
      </c>
      <c r="DR37" s="8">
        <v>85.78</v>
      </c>
      <c r="DS37" s="8">
        <v>82.89</v>
      </c>
      <c r="EI37" s="8">
        <v>76.92</v>
      </c>
      <c r="EY37" s="8">
        <v>79.790000000000006</v>
      </c>
      <c r="EZ37" s="8">
        <v>61.72</v>
      </c>
      <c r="FA37" s="8">
        <v>69.59</v>
      </c>
      <c r="FE37" s="8">
        <v>79.3</v>
      </c>
      <c r="FL37" s="8">
        <v>67.84</v>
      </c>
      <c r="FM37" s="8">
        <v>78.790000000000006</v>
      </c>
      <c r="FQ37" s="8">
        <v>77.680000000000007</v>
      </c>
      <c r="FR37" s="8">
        <v>93.15</v>
      </c>
      <c r="FS37" s="8">
        <v>76.41</v>
      </c>
      <c r="FV37" s="8">
        <v>78.209999999999994</v>
      </c>
      <c r="FW37" s="8">
        <v>77.239999999999995</v>
      </c>
      <c r="FX37" s="8">
        <v>78.8</v>
      </c>
      <c r="FY37" s="8">
        <v>80.09</v>
      </c>
      <c r="FZ37" s="8">
        <v>78.400000000000006</v>
      </c>
      <c r="GA37" s="8">
        <v>82.27</v>
      </c>
      <c r="GB37" s="8">
        <v>76.319999999999993</v>
      </c>
      <c r="GC37" s="8">
        <v>83.8</v>
      </c>
      <c r="GD37" s="8">
        <v>81.39</v>
      </c>
      <c r="GE37" s="8">
        <v>86.5</v>
      </c>
      <c r="GF37" s="8">
        <v>82.76</v>
      </c>
      <c r="GG37" s="8">
        <v>82.5</v>
      </c>
      <c r="GH37" s="8">
        <v>77.760000000000005</v>
      </c>
      <c r="GI37" s="8">
        <v>77.88</v>
      </c>
      <c r="GJ37" s="8">
        <v>78.709999999999994</v>
      </c>
      <c r="GK37" s="8">
        <v>76.63</v>
      </c>
      <c r="GL37" s="8">
        <v>83.65</v>
      </c>
      <c r="GM37" s="8">
        <v>84.45</v>
      </c>
      <c r="GN37" s="8">
        <v>82.66</v>
      </c>
      <c r="GO37" s="8">
        <v>75.790000000000006</v>
      </c>
      <c r="GP37" s="8">
        <v>67.36</v>
      </c>
      <c r="GQ37" s="8">
        <v>81.040000000000006</v>
      </c>
      <c r="GR37" s="8">
        <v>82.4</v>
      </c>
      <c r="GS37" s="8">
        <v>67.91</v>
      </c>
      <c r="GT37" s="8">
        <v>74.709999999999994</v>
      </c>
      <c r="GU37" s="8">
        <v>79.739999999999995</v>
      </c>
      <c r="GV37" s="8">
        <v>78.23</v>
      </c>
      <c r="GW37" s="8">
        <v>70.86</v>
      </c>
      <c r="GX37" s="8">
        <v>80.739999999999995</v>
      </c>
      <c r="HD37" s="8">
        <v>83.34</v>
      </c>
      <c r="HF37" s="8">
        <v>81.37</v>
      </c>
      <c r="HG37" s="8">
        <v>58.15</v>
      </c>
      <c r="HH37" s="8">
        <v>58.15</v>
      </c>
      <c r="HX37" s="8">
        <v>74.459999999999994</v>
      </c>
      <c r="HY37" s="8">
        <v>74.459999999999994</v>
      </c>
      <c r="IB37" s="8">
        <v>76.91</v>
      </c>
    </row>
    <row r="38" spans="1:236" x14ac:dyDescent="0.2">
      <c r="A38" s="9">
        <v>43800</v>
      </c>
      <c r="G38" s="8">
        <v>86.83</v>
      </c>
      <c r="W38" s="8">
        <v>105.87</v>
      </c>
      <c r="X38" s="8">
        <v>93.46</v>
      </c>
      <c r="Y38" s="8">
        <v>71.59</v>
      </c>
      <c r="AC38" s="8">
        <v>79.16</v>
      </c>
      <c r="AJ38" s="8">
        <v>80.900000000000006</v>
      </c>
      <c r="AK38" s="8">
        <v>74.92</v>
      </c>
      <c r="AO38" s="8">
        <v>91.54</v>
      </c>
      <c r="AP38" s="8">
        <v>94.33</v>
      </c>
      <c r="AQ38" s="8">
        <v>90.53</v>
      </c>
      <c r="AT38" s="8">
        <v>78.48</v>
      </c>
      <c r="AU38" s="8">
        <v>76.16</v>
      </c>
      <c r="AV38" s="8">
        <v>80.069999999999993</v>
      </c>
      <c r="AW38" s="8">
        <v>81.91</v>
      </c>
      <c r="AX38" s="8">
        <v>79.430000000000007</v>
      </c>
      <c r="AY38" s="8">
        <v>83.58</v>
      </c>
      <c r="AZ38" s="8">
        <v>77.81</v>
      </c>
      <c r="BA38" s="8">
        <v>84.63</v>
      </c>
      <c r="BB38" s="8">
        <v>83.72</v>
      </c>
      <c r="BC38" s="8">
        <v>87.45</v>
      </c>
      <c r="BD38" s="8">
        <v>83.65</v>
      </c>
      <c r="BE38" s="8">
        <v>86.25</v>
      </c>
      <c r="BF38" s="8">
        <v>78.37</v>
      </c>
      <c r="BG38" s="8">
        <v>79.2</v>
      </c>
      <c r="BH38" s="8">
        <v>77.67</v>
      </c>
      <c r="BI38" s="8">
        <v>77.75</v>
      </c>
      <c r="BJ38" s="8">
        <v>84.79</v>
      </c>
      <c r="BK38" s="8">
        <v>88.13</v>
      </c>
      <c r="BL38" s="8">
        <v>81.8</v>
      </c>
      <c r="BM38" s="8">
        <v>76.31</v>
      </c>
      <c r="BN38" s="8">
        <v>64.88</v>
      </c>
      <c r="BO38" s="8">
        <v>81.59</v>
      </c>
      <c r="BP38" s="8">
        <v>81.040000000000006</v>
      </c>
      <c r="BQ38" s="8">
        <v>67.77</v>
      </c>
      <c r="BR38" s="8">
        <v>75.239999999999995</v>
      </c>
      <c r="BS38" s="8">
        <v>81.22</v>
      </c>
      <c r="BT38" s="8">
        <v>77.33</v>
      </c>
      <c r="BU38" s="8">
        <v>70.69</v>
      </c>
      <c r="BV38" s="8">
        <v>78.48</v>
      </c>
      <c r="CB38" s="8">
        <v>77.53</v>
      </c>
      <c r="CD38" s="8">
        <v>80.98</v>
      </c>
      <c r="CE38" s="8">
        <v>57</v>
      </c>
      <c r="CF38" s="8">
        <v>57</v>
      </c>
      <c r="CV38" s="8">
        <v>85.77</v>
      </c>
      <c r="CW38" s="8">
        <v>85.77</v>
      </c>
      <c r="CZ38" s="8">
        <v>84.96</v>
      </c>
      <c r="DP38" s="8">
        <v>83.11</v>
      </c>
      <c r="DQ38" s="8">
        <v>80.709999999999994</v>
      </c>
      <c r="DR38" s="8">
        <v>85.46</v>
      </c>
      <c r="DS38" s="8">
        <v>82.4</v>
      </c>
      <c r="EI38" s="8">
        <v>76.38</v>
      </c>
      <c r="EY38" s="8">
        <v>93.51</v>
      </c>
      <c r="EZ38" s="8">
        <v>74.7</v>
      </c>
      <c r="FA38" s="8">
        <v>78.8</v>
      </c>
      <c r="FE38" s="8">
        <v>79.36</v>
      </c>
      <c r="FL38" s="8">
        <v>67.84</v>
      </c>
      <c r="FM38" s="8">
        <v>78.790000000000006</v>
      </c>
      <c r="FQ38" s="8">
        <v>78.44</v>
      </c>
      <c r="FR38" s="8">
        <v>94.33</v>
      </c>
      <c r="FS38" s="8">
        <v>77.13</v>
      </c>
      <c r="FV38" s="8">
        <v>79.069999999999993</v>
      </c>
      <c r="FW38" s="8">
        <v>77.94</v>
      </c>
      <c r="FX38" s="8">
        <v>78.86</v>
      </c>
      <c r="FY38" s="8">
        <v>81.95</v>
      </c>
      <c r="FZ38" s="8">
        <v>81.17</v>
      </c>
      <c r="GA38" s="8">
        <v>83.02</v>
      </c>
      <c r="GB38" s="8">
        <v>78.48</v>
      </c>
      <c r="GC38" s="8">
        <v>83.31</v>
      </c>
      <c r="GD38" s="8">
        <v>81.12</v>
      </c>
      <c r="GE38" s="8">
        <v>86.89</v>
      </c>
      <c r="GF38" s="8">
        <v>83.61</v>
      </c>
      <c r="GG38" s="8">
        <v>83.35</v>
      </c>
      <c r="GH38" s="8">
        <v>78.52</v>
      </c>
      <c r="GI38" s="8">
        <v>79.040000000000006</v>
      </c>
      <c r="GJ38" s="8">
        <v>78.599999999999994</v>
      </c>
      <c r="GK38" s="8">
        <v>77.739999999999995</v>
      </c>
      <c r="GL38" s="8">
        <v>88.01</v>
      </c>
      <c r="GM38" s="8">
        <v>91.58</v>
      </c>
      <c r="GN38" s="8">
        <v>84.57</v>
      </c>
      <c r="GO38" s="8">
        <v>76.06</v>
      </c>
      <c r="GP38" s="8">
        <v>67.38</v>
      </c>
      <c r="GQ38" s="8">
        <v>82.79</v>
      </c>
      <c r="GR38" s="8">
        <v>81.25</v>
      </c>
      <c r="GS38" s="8">
        <v>67.89</v>
      </c>
      <c r="GT38" s="8">
        <v>74.78</v>
      </c>
      <c r="GU38" s="8">
        <v>81.150000000000006</v>
      </c>
      <c r="GV38" s="8">
        <v>77.31</v>
      </c>
      <c r="GW38" s="8">
        <v>72.02</v>
      </c>
      <c r="GX38" s="8">
        <v>79.099999999999994</v>
      </c>
      <c r="HD38" s="8">
        <v>82.59</v>
      </c>
      <c r="HF38" s="8">
        <v>80.569999999999993</v>
      </c>
      <c r="HG38" s="8">
        <v>58.37</v>
      </c>
      <c r="HH38" s="8">
        <v>58.37</v>
      </c>
      <c r="HX38" s="8">
        <v>74.930000000000007</v>
      </c>
      <c r="HY38" s="8">
        <v>74.930000000000007</v>
      </c>
      <c r="IB38" s="8">
        <v>76.91</v>
      </c>
    </row>
    <row r="39" spans="1:236" x14ac:dyDescent="0.2">
      <c r="A39" s="9">
        <v>43831</v>
      </c>
      <c r="G39" s="8">
        <v>86.82</v>
      </c>
      <c r="W39" s="8">
        <v>104.1</v>
      </c>
      <c r="X39" s="8">
        <v>90.99</v>
      </c>
      <c r="Y39" s="8">
        <v>72.099999999999994</v>
      </c>
      <c r="AC39" s="8">
        <v>80.94</v>
      </c>
      <c r="AJ39" s="8">
        <v>80.900000000000006</v>
      </c>
      <c r="AK39" s="8">
        <v>74.92</v>
      </c>
      <c r="AO39" s="8">
        <v>91.46</v>
      </c>
      <c r="AP39" s="8">
        <v>93.99</v>
      </c>
      <c r="AQ39" s="8">
        <v>90.53</v>
      </c>
      <c r="AT39" s="8">
        <v>78.48</v>
      </c>
      <c r="AU39" s="8">
        <v>76.22</v>
      </c>
      <c r="AV39" s="8">
        <v>80.55</v>
      </c>
      <c r="AW39" s="8">
        <v>82.24</v>
      </c>
      <c r="AX39" s="8">
        <v>77.64</v>
      </c>
      <c r="AY39" s="8">
        <v>83.79</v>
      </c>
      <c r="AZ39" s="8">
        <v>78.58</v>
      </c>
      <c r="BA39" s="8">
        <v>85.32</v>
      </c>
      <c r="BB39" s="8">
        <v>84.5</v>
      </c>
      <c r="BC39" s="8">
        <v>86.88</v>
      </c>
      <c r="BD39" s="8">
        <v>84.32</v>
      </c>
      <c r="BE39" s="8">
        <v>85.09</v>
      </c>
      <c r="BF39" s="8">
        <v>78.09</v>
      </c>
      <c r="BG39" s="8">
        <v>78.5</v>
      </c>
      <c r="BH39" s="8">
        <v>78.14</v>
      </c>
      <c r="BI39" s="8">
        <v>77.38</v>
      </c>
      <c r="BJ39" s="8">
        <v>82.84</v>
      </c>
      <c r="BK39" s="8">
        <v>81.510000000000005</v>
      </c>
      <c r="BL39" s="8">
        <v>83.82</v>
      </c>
      <c r="BM39" s="8">
        <v>77.05</v>
      </c>
      <c r="BN39" s="8">
        <v>64.650000000000006</v>
      </c>
      <c r="BO39" s="8">
        <v>81.19</v>
      </c>
      <c r="BP39" s="8">
        <v>82.71</v>
      </c>
      <c r="BQ39" s="8">
        <v>68.23</v>
      </c>
      <c r="BR39" s="8">
        <v>76.930000000000007</v>
      </c>
      <c r="BS39" s="8">
        <v>80.7</v>
      </c>
      <c r="BT39" s="8">
        <v>78.489999999999995</v>
      </c>
      <c r="BU39" s="8">
        <v>71.73</v>
      </c>
      <c r="BV39" s="8">
        <v>79.650000000000006</v>
      </c>
      <c r="CB39" s="8">
        <v>79.17</v>
      </c>
      <c r="CD39" s="8">
        <v>81.78</v>
      </c>
      <c r="CE39" s="8">
        <v>57.45</v>
      </c>
      <c r="CF39" s="8">
        <v>57.45</v>
      </c>
      <c r="CV39" s="8">
        <v>85.75</v>
      </c>
      <c r="CW39" s="8">
        <v>85.75</v>
      </c>
      <c r="CZ39" s="8">
        <v>84.96</v>
      </c>
      <c r="DP39" s="8">
        <v>83.13</v>
      </c>
      <c r="DQ39" s="8">
        <v>78.14</v>
      </c>
      <c r="DR39" s="8">
        <v>86.86</v>
      </c>
      <c r="DS39" s="8">
        <v>82.19</v>
      </c>
      <c r="EI39" s="8">
        <v>75.72</v>
      </c>
      <c r="EY39" s="8">
        <v>93.1</v>
      </c>
      <c r="EZ39" s="8">
        <v>74.05</v>
      </c>
      <c r="FA39" s="8">
        <v>78.84</v>
      </c>
      <c r="FE39" s="8">
        <v>81.41</v>
      </c>
      <c r="FL39" s="8">
        <v>67.84</v>
      </c>
      <c r="FM39" s="8">
        <v>78.790000000000006</v>
      </c>
      <c r="FQ39" s="8">
        <v>78.41</v>
      </c>
      <c r="FR39" s="8">
        <v>93.99</v>
      </c>
      <c r="FS39" s="8">
        <v>77.13</v>
      </c>
      <c r="FV39" s="8">
        <v>79.23</v>
      </c>
      <c r="FW39" s="8">
        <v>78.28</v>
      </c>
      <c r="FX39" s="8">
        <v>79.56</v>
      </c>
      <c r="FY39" s="8">
        <v>81.47</v>
      </c>
      <c r="FZ39" s="8">
        <v>79.86</v>
      </c>
      <c r="GA39" s="8">
        <v>83.76</v>
      </c>
      <c r="GB39" s="8">
        <v>79.680000000000007</v>
      </c>
      <c r="GC39" s="8">
        <v>84.47</v>
      </c>
      <c r="GD39" s="8">
        <v>82.76</v>
      </c>
      <c r="GE39" s="8">
        <v>86.91</v>
      </c>
      <c r="GF39" s="8">
        <v>83.73</v>
      </c>
      <c r="GG39" s="8">
        <v>84.08</v>
      </c>
      <c r="GH39" s="8">
        <v>78.73</v>
      </c>
      <c r="GI39" s="8">
        <v>78.83</v>
      </c>
      <c r="GJ39" s="8">
        <v>79.209999999999994</v>
      </c>
      <c r="GK39" s="8">
        <v>78.040000000000006</v>
      </c>
      <c r="GL39" s="8">
        <v>85.8</v>
      </c>
      <c r="GM39" s="8">
        <v>84.81</v>
      </c>
      <c r="GN39" s="8">
        <v>86.4</v>
      </c>
      <c r="GO39" s="8">
        <v>77.13</v>
      </c>
      <c r="GP39" s="8">
        <v>67.38</v>
      </c>
      <c r="GQ39" s="8">
        <v>82.64</v>
      </c>
      <c r="GR39" s="8">
        <v>83.13</v>
      </c>
      <c r="GS39" s="8">
        <v>68.569999999999993</v>
      </c>
      <c r="GT39" s="8">
        <v>76.58</v>
      </c>
      <c r="GU39" s="8">
        <v>81.09</v>
      </c>
      <c r="GV39" s="8">
        <v>78.760000000000005</v>
      </c>
      <c r="GW39" s="8">
        <v>73.069999999999993</v>
      </c>
      <c r="GX39" s="8">
        <v>80.69</v>
      </c>
      <c r="HD39" s="8">
        <v>84.81</v>
      </c>
      <c r="HF39" s="8">
        <v>81.510000000000005</v>
      </c>
      <c r="HG39" s="8">
        <v>58.83</v>
      </c>
      <c r="HH39" s="8">
        <v>58.83</v>
      </c>
      <c r="HX39" s="8">
        <v>74.31</v>
      </c>
      <c r="HY39" s="8">
        <v>74.31</v>
      </c>
      <c r="IB39" s="8">
        <v>76.91</v>
      </c>
    </row>
    <row r="40" spans="1:236" x14ac:dyDescent="0.2">
      <c r="A40" s="9">
        <v>43862</v>
      </c>
      <c r="G40" s="8">
        <v>86.33</v>
      </c>
      <c r="W40" s="8">
        <v>86.78</v>
      </c>
      <c r="X40" s="8">
        <v>75.33</v>
      </c>
      <c r="Y40" s="8">
        <v>61.07</v>
      </c>
      <c r="AC40" s="8">
        <v>79.19</v>
      </c>
      <c r="AJ40" s="8">
        <v>82.46</v>
      </c>
      <c r="AK40" s="8">
        <v>76.03</v>
      </c>
      <c r="AO40" s="8">
        <v>91.47</v>
      </c>
      <c r="AP40" s="8">
        <v>94.01</v>
      </c>
      <c r="AQ40" s="8">
        <v>90.53</v>
      </c>
      <c r="AT40" s="8">
        <v>78.37</v>
      </c>
      <c r="AU40" s="8">
        <v>76.400000000000006</v>
      </c>
      <c r="AV40" s="8">
        <v>79.760000000000005</v>
      </c>
      <c r="AW40" s="8">
        <v>81.86</v>
      </c>
      <c r="AX40" s="8">
        <v>78.84</v>
      </c>
      <c r="AY40" s="8">
        <v>83.85</v>
      </c>
      <c r="AZ40" s="8">
        <v>78.349999999999994</v>
      </c>
      <c r="BA40" s="8">
        <v>85.05</v>
      </c>
      <c r="BB40" s="8">
        <v>85.78</v>
      </c>
      <c r="BC40" s="8">
        <v>86.31</v>
      </c>
      <c r="BD40" s="8">
        <v>84.36</v>
      </c>
      <c r="BE40" s="8">
        <v>85.5</v>
      </c>
      <c r="BF40" s="8">
        <v>78.12</v>
      </c>
      <c r="BG40" s="8">
        <v>78.44</v>
      </c>
      <c r="BH40" s="8">
        <v>79.17</v>
      </c>
      <c r="BI40" s="8">
        <v>76.62</v>
      </c>
      <c r="BJ40" s="8">
        <v>85.03</v>
      </c>
      <c r="BK40" s="8">
        <v>84.6</v>
      </c>
      <c r="BL40" s="8">
        <v>85.25</v>
      </c>
      <c r="BM40" s="8">
        <v>76.61</v>
      </c>
      <c r="BN40" s="8">
        <v>65.73</v>
      </c>
      <c r="BO40" s="8">
        <v>81.11</v>
      </c>
      <c r="BP40" s="8">
        <v>83.05</v>
      </c>
      <c r="BQ40" s="8">
        <v>66.91</v>
      </c>
      <c r="BR40" s="8">
        <v>76.27</v>
      </c>
      <c r="BS40" s="8">
        <v>80.11</v>
      </c>
      <c r="BT40" s="8">
        <v>78.959999999999994</v>
      </c>
      <c r="BU40" s="8">
        <v>70.930000000000007</v>
      </c>
      <c r="BV40" s="8">
        <v>80.36</v>
      </c>
      <c r="CB40" s="8">
        <v>79.41</v>
      </c>
      <c r="CD40" s="8">
        <v>82.43</v>
      </c>
      <c r="CE40" s="8">
        <v>57.93</v>
      </c>
      <c r="CF40" s="8">
        <v>57.93</v>
      </c>
      <c r="CV40" s="8">
        <v>85.75</v>
      </c>
      <c r="CW40" s="8">
        <v>85.75</v>
      </c>
      <c r="CZ40" s="8">
        <v>84.96</v>
      </c>
      <c r="DP40" s="8">
        <v>83.44</v>
      </c>
      <c r="DQ40" s="8">
        <v>79.86</v>
      </c>
      <c r="DR40" s="8">
        <v>86.03</v>
      </c>
      <c r="DS40" s="8">
        <v>82.86</v>
      </c>
      <c r="EI40" s="8">
        <v>74.14</v>
      </c>
      <c r="EY40" s="8">
        <v>81.010000000000005</v>
      </c>
      <c r="EZ40" s="8">
        <v>65.88</v>
      </c>
      <c r="FA40" s="8">
        <v>66.92</v>
      </c>
      <c r="FE40" s="8">
        <v>79.36</v>
      </c>
      <c r="FL40" s="8">
        <v>70.010000000000005</v>
      </c>
      <c r="FM40" s="8">
        <v>80.81</v>
      </c>
      <c r="FQ40" s="8">
        <v>78.41</v>
      </c>
      <c r="FR40" s="8">
        <v>94.01</v>
      </c>
      <c r="FS40" s="8">
        <v>77.13</v>
      </c>
      <c r="FV40" s="8">
        <v>79.14</v>
      </c>
      <c r="FW40" s="8">
        <v>78.099999999999994</v>
      </c>
      <c r="FX40" s="8">
        <v>78.739999999999995</v>
      </c>
      <c r="FY40" s="8">
        <v>81.81</v>
      </c>
      <c r="FZ40" s="8">
        <v>81.569999999999993</v>
      </c>
      <c r="GA40" s="8">
        <v>83.53</v>
      </c>
      <c r="GB40" s="8">
        <v>79.47</v>
      </c>
      <c r="GC40" s="8">
        <v>84.49</v>
      </c>
      <c r="GD40" s="8">
        <v>84.72</v>
      </c>
      <c r="GE40" s="8">
        <v>85.94</v>
      </c>
      <c r="GF40" s="8">
        <v>83.37</v>
      </c>
      <c r="GG40" s="8">
        <v>83.2</v>
      </c>
      <c r="GH40" s="8">
        <v>78.290000000000006</v>
      </c>
      <c r="GI40" s="8">
        <v>78.05</v>
      </c>
      <c r="GJ40" s="8">
        <v>80.08</v>
      </c>
      <c r="GK40" s="8">
        <v>76.78</v>
      </c>
      <c r="GL40" s="8">
        <v>90.53</v>
      </c>
      <c r="GM40" s="8">
        <v>91.01</v>
      </c>
      <c r="GN40" s="8">
        <v>89.81</v>
      </c>
      <c r="GO40" s="8">
        <v>76.47</v>
      </c>
      <c r="GP40" s="8">
        <v>67.77</v>
      </c>
      <c r="GQ40" s="8">
        <v>82.2</v>
      </c>
      <c r="GR40" s="8">
        <v>83.56</v>
      </c>
      <c r="GS40" s="8">
        <v>67.56</v>
      </c>
      <c r="GT40" s="8">
        <v>75.599999999999994</v>
      </c>
      <c r="GU40" s="8">
        <v>80.180000000000007</v>
      </c>
      <c r="GV40" s="8">
        <v>78.73</v>
      </c>
      <c r="GW40" s="8">
        <v>71.88</v>
      </c>
      <c r="GX40" s="8">
        <v>81.05</v>
      </c>
      <c r="HD40" s="8">
        <v>84.42</v>
      </c>
      <c r="HF40" s="8">
        <v>82.22</v>
      </c>
      <c r="HG40" s="8">
        <v>59.15</v>
      </c>
      <c r="HH40" s="8">
        <v>59.15</v>
      </c>
      <c r="HX40" s="8">
        <v>74.31</v>
      </c>
      <c r="HY40" s="8">
        <v>74.31</v>
      </c>
      <c r="IB40" s="8">
        <v>76.91</v>
      </c>
    </row>
    <row r="41" spans="1:236" x14ac:dyDescent="0.2">
      <c r="A41" s="9">
        <v>43891</v>
      </c>
      <c r="G41" s="8">
        <v>84.03</v>
      </c>
      <c r="W41" s="8">
        <v>88.25</v>
      </c>
      <c r="X41" s="8">
        <v>76.150000000000006</v>
      </c>
      <c r="Y41" s="8">
        <v>62.96</v>
      </c>
      <c r="AC41" s="8">
        <v>81.34</v>
      </c>
      <c r="AJ41" s="8">
        <v>82.46</v>
      </c>
      <c r="AK41" s="8">
        <v>76.03</v>
      </c>
      <c r="AO41" s="8">
        <v>91.27</v>
      </c>
      <c r="AP41" s="8">
        <v>94.02</v>
      </c>
      <c r="AQ41" s="8">
        <v>90.26</v>
      </c>
      <c r="AT41" s="8">
        <v>81.28</v>
      </c>
      <c r="AU41" s="8">
        <v>77.959999999999994</v>
      </c>
      <c r="AV41" s="8">
        <v>82.52</v>
      </c>
      <c r="AW41" s="8">
        <v>86.86</v>
      </c>
      <c r="AX41" s="8">
        <v>85.02</v>
      </c>
      <c r="AY41" s="8">
        <v>86.77</v>
      </c>
      <c r="AZ41" s="8">
        <v>81.2</v>
      </c>
      <c r="BA41" s="8">
        <v>87.59</v>
      </c>
      <c r="BB41" s="8">
        <v>88.33</v>
      </c>
      <c r="BC41" s="8">
        <v>88.48</v>
      </c>
      <c r="BD41" s="8">
        <v>87.81</v>
      </c>
      <c r="BE41" s="8">
        <v>89.26</v>
      </c>
      <c r="BF41" s="8">
        <v>79.819999999999993</v>
      </c>
      <c r="BG41" s="8">
        <v>80.88</v>
      </c>
      <c r="BH41" s="8">
        <v>79.819999999999993</v>
      </c>
      <c r="BI41" s="8">
        <v>78.25</v>
      </c>
      <c r="BJ41" s="8">
        <v>89.23</v>
      </c>
      <c r="BK41" s="8">
        <v>86.92</v>
      </c>
      <c r="BL41" s="8">
        <v>91.02</v>
      </c>
      <c r="BM41" s="8">
        <v>79.25</v>
      </c>
      <c r="BN41" s="8">
        <v>66.53</v>
      </c>
      <c r="BO41" s="8">
        <v>84.84</v>
      </c>
      <c r="BP41" s="8">
        <v>85.06</v>
      </c>
      <c r="BQ41" s="8">
        <v>68.92</v>
      </c>
      <c r="BR41" s="8">
        <v>78.72</v>
      </c>
      <c r="BS41" s="8">
        <v>83.9</v>
      </c>
      <c r="BT41" s="8">
        <v>81.19</v>
      </c>
      <c r="BU41" s="8">
        <v>73.91</v>
      </c>
      <c r="BV41" s="8">
        <v>82.44</v>
      </c>
      <c r="CB41" s="8">
        <v>80.05</v>
      </c>
      <c r="CD41" s="8">
        <v>82.16</v>
      </c>
      <c r="CE41" s="8">
        <v>58.65</v>
      </c>
      <c r="CF41" s="8">
        <v>58.65</v>
      </c>
      <c r="CV41" s="8">
        <v>85.75</v>
      </c>
      <c r="CW41" s="8">
        <v>85.75</v>
      </c>
      <c r="CZ41" s="8">
        <v>84.96</v>
      </c>
      <c r="DP41" s="8">
        <v>88</v>
      </c>
      <c r="DQ41" s="8">
        <v>84.3</v>
      </c>
      <c r="DR41" s="8">
        <v>90.47</v>
      </c>
      <c r="DS41" s="8">
        <v>87.54</v>
      </c>
      <c r="EI41" s="8">
        <v>72.09</v>
      </c>
      <c r="EY41" s="8">
        <v>83.28</v>
      </c>
      <c r="EZ41" s="8">
        <v>67.260000000000005</v>
      </c>
      <c r="FA41" s="8">
        <v>69.34</v>
      </c>
      <c r="FE41" s="8">
        <v>81.89</v>
      </c>
      <c r="FL41" s="8">
        <v>70.010000000000005</v>
      </c>
      <c r="FM41" s="8">
        <v>80.81</v>
      </c>
      <c r="FQ41" s="8">
        <v>78.31</v>
      </c>
      <c r="FR41" s="8">
        <v>94.02</v>
      </c>
      <c r="FS41" s="8">
        <v>77.02</v>
      </c>
      <c r="FV41" s="8">
        <v>81.760000000000005</v>
      </c>
      <c r="FW41" s="8">
        <v>79.8</v>
      </c>
      <c r="FX41" s="8">
        <v>80.989999999999995</v>
      </c>
      <c r="FY41" s="8">
        <v>86</v>
      </c>
      <c r="FZ41" s="8">
        <v>86.6</v>
      </c>
      <c r="GA41" s="8">
        <v>85.66</v>
      </c>
      <c r="GB41" s="8">
        <v>80.760000000000005</v>
      </c>
      <c r="GC41" s="8">
        <v>85.74</v>
      </c>
      <c r="GD41" s="8">
        <v>86.81</v>
      </c>
      <c r="GE41" s="8">
        <v>88.14</v>
      </c>
      <c r="GF41" s="8">
        <v>86.44</v>
      </c>
      <c r="GG41" s="8">
        <v>86.09</v>
      </c>
      <c r="GH41" s="8">
        <v>79.61</v>
      </c>
      <c r="GI41" s="8">
        <v>80.069999999999993</v>
      </c>
      <c r="GJ41" s="8">
        <v>80.52</v>
      </c>
      <c r="GK41" s="8">
        <v>78.13</v>
      </c>
      <c r="GL41" s="8">
        <v>94.14</v>
      </c>
      <c r="GM41" s="8">
        <v>92.62</v>
      </c>
      <c r="GN41" s="8">
        <v>95.17</v>
      </c>
      <c r="GO41" s="8">
        <v>78.77</v>
      </c>
      <c r="GP41" s="8">
        <v>68.27</v>
      </c>
      <c r="GQ41" s="8">
        <v>85.25</v>
      </c>
      <c r="GR41" s="8">
        <v>85.31</v>
      </c>
      <c r="GS41" s="8">
        <v>69.290000000000006</v>
      </c>
      <c r="GT41" s="8">
        <v>78.02</v>
      </c>
      <c r="GU41" s="8">
        <v>83.29</v>
      </c>
      <c r="GV41" s="8">
        <v>81.010000000000005</v>
      </c>
      <c r="GW41" s="8">
        <v>75.099999999999994</v>
      </c>
      <c r="GX41" s="8">
        <v>83</v>
      </c>
      <c r="HD41" s="8">
        <v>85.07</v>
      </c>
      <c r="HF41" s="8">
        <v>81.45</v>
      </c>
      <c r="HG41" s="8">
        <v>60.01</v>
      </c>
      <c r="HH41" s="8">
        <v>60.01</v>
      </c>
      <c r="HX41" s="8">
        <v>74.39</v>
      </c>
      <c r="HY41" s="8">
        <v>74.39</v>
      </c>
      <c r="IB41" s="8">
        <v>76.91</v>
      </c>
    </row>
    <row r="42" spans="1:236" x14ac:dyDescent="0.2">
      <c r="A42" s="9">
        <v>43922</v>
      </c>
      <c r="G42" s="8">
        <v>75.239999999999995</v>
      </c>
      <c r="W42" s="8">
        <v>91.72</v>
      </c>
      <c r="X42" s="8">
        <v>78.53</v>
      </c>
      <c r="Y42" s="8">
        <v>66.59</v>
      </c>
      <c r="AC42" s="8">
        <v>83.33</v>
      </c>
      <c r="AJ42" s="8">
        <v>82.46</v>
      </c>
      <c r="AK42" s="8">
        <v>76.03</v>
      </c>
      <c r="AO42" s="8">
        <v>90.92</v>
      </c>
      <c r="AP42" s="8">
        <v>92.59</v>
      </c>
      <c r="AQ42" s="8">
        <v>90.26</v>
      </c>
      <c r="AT42" s="8">
        <v>82.06</v>
      </c>
      <c r="AU42" s="8">
        <v>77.63</v>
      </c>
      <c r="AV42" s="8">
        <v>83.27</v>
      </c>
      <c r="AW42" s="8">
        <v>89.44</v>
      </c>
      <c r="AX42" s="8">
        <v>88.22</v>
      </c>
      <c r="AY42" s="8">
        <v>83.96</v>
      </c>
      <c r="AZ42" s="8">
        <v>76.09</v>
      </c>
      <c r="BA42" s="8">
        <v>87.59</v>
      </c>
      <c r="BB42" s="8">
        <v>85.55</v>
      </c>
      <c r="BC42" s="8">
        <v>81.67</v>
      </c>
      <c r="BD42" s="8">
        <v>85.97</v>
      </c>
      <c r="BE42" s="8">
        <v>90.37</v>
      </c>
      <c r="BF42" s="8">
        <v>80.11</v>
      </c>
      <c r="BG42" s="8">
        <v>80.5</v>
      </c>
      <c r="BH42" s="8">
        <v>80.06</v>
      </c>
      <c r="BI42" s="8">
        <v>79.5</v>
      </c>
      <c r="BJ42" s="8">
        <v>85.34</v>
      </c>
      <c r="BK42" s="8">
        <v>81.55</v>
      </c>
      <c r="BL42" s="8">
        <v>88.41</v>
      </c>
      <c r="BM42" s="8">
        <v>81.489999999999995</v>
      </c>
      <c r="BN42" s="8">
        <v>66.760000000000005</v>
      </c>
      <c r="BO42" s="8">
        <v>85.82</v>
      </c>
      <c r="BP42" s="8">
        <v>85.9</v>
      </c>
      <c r="BQ42" s="8">
        <v>72.59</v>
      </c>
      <c r="BR42" s="8">
        <v>80.72</v>
      </c>
      <c r="BS42" s="8">
        <v>87.28</v>
      </c>
      <c r="BT42" s="8">
        <v>82.68</v>
      </c>
      <c r="BU42" s="8">
        <v>78.8</v>
      </c>
      <c r="BV42" s="8">
        <v>83.33</v>
      </c>
      <c r="CB42" s="8">
        <v>79.489999999999995</v>
      </c>
      <c r="CD42" s="8">
        <v>84.55</v>
      </c>
      <c r="CE42" s="8">
        <v>59.14</v>
      </c>
      <c r="CF42" s="8">
        <v>59.14</v>
      </c>
      <c r="CV42" s="8">
        <v>86.42</v>
      </c>
      <c r="CW42" s="8">
        <v>86.42</v>
      </c>
      <c r="CZ42" s="8">
        <v>84.96</v>
      </c>
      <c r="DP42" s="8">
        <v>93.17</v>
      </c>
      <c r="DQ42" s="8">
        <v>88.03</v>
      </c>
      <c r="DR42" s="8">
        <v>95.68</v>
      </c>
      <c r="DS42" s="8">
        <v>93.01</v>
      </c>
      <c r="EI42" s="8">
        <v>67.849999999999994</v>
      </c>
      <c r="EY42" s="8">
        <v>90.71</v>
      </c>
      <c r="EZ42" s="8">
        <v>74.78</v>
      </c>
      <c r="FA42" s="8">
        <v>73.75</v>
      </c>
      <c r="FE42" s="8">
        <v>83.45</v>
      </c>
      <c r="FL42" s="8">
        <v>70.010000000000005</v>
      </c>
      <c r="FM42" s="8">
        <v>80.81</v>
      </c>
      <c r="FQ42" s="8">
        <v>78.2</v>
      </c>
      <c r="FR42" s="8">
        <v>92.59</v>
      </c>
      <c r="FS42" s="8">
        <v>77.02</v>
      </c>
      <c r="FV42" s="8">
        <v>82.39</v>
      </c>
      <c r="FW42" s="8">
        <v>79.34</v>
      </c>
      <c r="FX42" s="8">
        <v>81.47</v>
      </c>
      <c r="FY42" s="8">
        <v>88.75</v>
      </c>
      <c r="FZ42" s="8">
        <v>89.12</v>
      </c>
      <c r="GA42" s="8">
        <v>84.52</v>
      </c>
      <c r="GB42" s="8">
        <v>77.290000000000006</v>
      </c>
      <c r="GC42" s="8">
        <v>86.38</v>
      </c>
      <c r="GD42" s="8">
        <v>84.9</v>
      </c>
      <c r="GE42" s="8">
        <v>85.59</v>
      </c>
      <c r="GF42" s="8">
        <v>86.62</v>
      </c>
      <c r="GG42" s="8">
        <v>87.98</v>
      </c>
      <c r="GH42" s="8">
        <v>79.97</v>
      </c>
      <c r="GI42" s="8">
        <v>79.59</v>
      </c>
      <c r="GJ42" s="8">
        <v>80.650000000000006</v>
      </c>
      <c r="GK42" s="8">
        <v>79.62</v>
      </c>
      <c r="GL42" s="8">
        <v>90.39</v>
      </c>
      <c r="GM42" s="8">
        <v>89.99</v>
      </c>
      <c r="GN42" s="8">
        <v>90.44</v>
      </c>
      <c r="GO42" s="8">
        <v>80.78</v>
      </c>
      <c r="GP42" s="8">
        <v>69.19</v>
      </c>
      <c r="GQ42" s="8">
        <v>86.47</v>
      </c>
      <c r="GR42" s="8">
        <v>86.22</v>
      </c>
      <c r="GS42" s="8">
        <v>72.14</v>
      </c>
      <c r="GT42" s="8">
        <v>79.58</v>
      </c>
      <c r="GU42" s="8">
        <v>87.14</v>
      </c>
      <c r="GV42" s="8">
        <v>82.99</v>
      </c>
      <c r="GW42" s="8">
        <v>79.58</v>
      </c>
      <c r="GX42" s="8">
        <v>84.11</v>
      </c>
      <c r="HD42" s="8">
        <v>85.07</v>
      </c>
      <c r="HF42" s="8">
        <v>83.68</v>
      </c>
      <c r="HG42" s="8">
        <v>60.39</v>
      </c>
      <c r="HH42" s="8">
        <v>60.39</v>
      </c>
      <c r="HX42" s="8">
        <v>74.61</v>
      </c>
      <c r="HY42" s="8">
        <v>74.61</v>
      </c>
      <c r="IB42" s="8">
        <v>76.91</v>
      </c>
    </row>
    <row r="43" spans="1:236" x14ac:dyDescent="0.2">
      <c r="A43" s="9">
        <v>43952</v>
      </c>
      <c r="G43" s="8">
        <v>68.8</v>
      </c>
      <c r="W43" s="8">
        <v>90.58</v>
      </c>
      <c r="X43" s="8">
        <v>78.53</v>
      </c>
      <c r="Y43" s="8">
        <v>63.93</v>
      </c>
      <c r="AC43" s="8">
        <v>80.819999999999993</v>
      </c>
      <c r="AJ43" s="8">
        <v>73.900000000000006</v>
      </c>
      <c r="AK43" s="8">
        <v>76.03</v>
      </c>
      <c r="AO43" s="8">
        <v>90.93</v>
      </c>
      <c r="AP43" s="8">
        <v>92.61</v>
      </c>
      <c r="AQ43" s="8">
        <v>90.26</v>
      </c>
      <c r="AT43" s="8">
        <v>79.900000000000006</v>
      </c>
      <c r="AU43" s="8">
        <v>76.349999999999994</v>
      </c>
      <c r="AV43" s="8">
        <v>80.34</v>
      </c>
      <c r="AW43" s="8">
        <v>85.8</v>
      </c>
      <c r="AX43" s="8">
        <v>86.54</v>
      </c>
      <c r="AY43" s="8">
        <v>85.34</v>
      </c>
      <c r="AZ43" s="8">
        <v>77.319999999999993</v>
      </c>
      <c r="BA43" s="8">
        <v>86.7</v>
      </c>
      <c r="BB43" s="8">
        <v>87.15</v>
      </c>
      <c r="BC43" s="8">
        <v>85.11</v>
      </c>
      <c r="BD43" s="8">
        <v>87.63</v>
      </c>
      <c r="BE43" s="8">
        <v>91.35</v>
      </c>
      <c r="BF43" s="8">
        <v>79.209999999999994</v>
      </c>
      <c r="BG43" s="8">
        <v>79.7</v>
      </c>
      <c r="BH43" s="8">
        <v>79.84</v>
      </c>
      <c r="BI43" s="8">
        <v>77.849999999999994</v>
      </c>
      <c r="BJ43" s="8">
        <v>83.83</v>
      </c>
      <c r="BK43" s="8">
        <v>82.53</v>
      </c>
      <c r="BL43" s="8">
        <v>84.77</v>
      </c>
      <c r="BM43" s="8">
        <v>78.13</v>
      </c>
      <c r="BN43" s="8">
        <v>66.569999999999993</v>
      </c>
      <c r="BO43" s="8">
        <v>84.08</v>
      </c>
      <c r="BP43" s="8">
        <v>83.58</v>
      </c>
      <c r="BQ43" s="8">
        <v>69.11</v>
      </c>
      <c r="BR43" s="8">
        <v>76.569999999999993</v>
      </c>
      <c r="BS43" s="8">
        <v>83.51</v>
      </c>
      <c r="BT43" s="8">
        <v>81.28</v>
      </c>
      <c r="BU43" s="8">
        <v>73.150000000000006</v>
      </c>
      <c r="BV43" s="8">
        <v>82.69</v>
      </c>
      <c r="CB43" s="8">
        <v>80.709999999999994</v>
      </c>
      <c r="CD43" s="8">
        <v>83.49</v>
      </c>
      <c r="CE43" s="8">
        <v>59.35</v>
      </c>
      <c r="CF43" s="8">
        <v>59.35</v>
      </c>
      <c r="CV43" s="8">
        <v>86.42</v>
      </c>
      <c r="CW43" s="8">
        <v>86.42</v>
      </c>
      <c r="CZ43" s="8">
        <v>84.96</v>
      </c>
      <c r="DP43" s="8">
        <v>88.99</v>
      </c>
      <c r="DQ43" s="8">
        <v>83.68</v>
      </c>
      <c r="DR43" s="8">
        <v>91.46</v>
      </c>
      <c r="DS43" s="8">
        <v>88.89</v>
      </c>
      <c r="EI43" s="8">
        <v>62.07</v>
      </c>
      <c r="EY43" s="8">
        <v>89.04</v>
      </c>
      <c r="EZ43" s="8">
        <v>74.78</v>
      </c>
      <c r="FA43" s="8">
        <v>70.8</v>
      </c>
      <c r="FE43" s="8">
        <v>80.81</v>
      </c>
      <c r="FL43" s="8">
        <v>70.010000000000005</v>
      </c>
      <c r="FM43" s="8">
        <v>80.81</v>
      </c>
      <c r="FQ43" s="8">
        <v>78.2</v>
      </c>
      <c r="FR43" s="8">
        <v>92.61</v>
      </c>
      <c r="FS43" s="8">
        <v>77.02</v>
      </c>
      <c r="FV43" s="8">
        <v>80.78</v>
      </c>
      <c r="FW43" s="8">
        <v>78.349999999999994</v>
      </c>
      <c r="FX43" s="8">
        <v>79.39</v>
      </c>
      <c r="FY43" s="8">
        <v>85.65</v>
      </c>
      <c r="FZ43" s="8">
        <v>88.01</v>
      </c>
      <c r="GA43" s="8">
        <v>85</v>
      </c>
      <c r="GB43" s="8">
        <v>80.41</v>
      </c>
      <c r="GC43" s="8">
        <v>85.99</v>
      </c>
      <c r="GD43" s="8">
        <v>84.06</v>
      </c>
      <c r="GE43" s="8">
        <v>86.02</v>
      </c>
      <c r="GF43" s="8">
        <v>85.77</v>
      </c>
      <c r="GG43" s="8">
        <v>87.84</v>
      </c>
      <c r="GH43" s="8">
        <v>79.33</v>
      </c>
      <c r="GI43" s="8">
        <v>79.260000000000005</v>
      </c>
      <c r="GJ43" s="8">
        <v>80.67</v>
      </c>
      <c r="GK43" s="8">
        <v>78.03</v>
      </c>
      <c r="GL43" s="8">
        <v>86.88</v>
      </c>
      <c r="GM43" s="8">
        <v>85.71</v>
      </c>
      <c r="GN43" s="8">
        <v>87.63</v>
      </c>
      <c r="GO43" s="8">
        <v>77.92</v>
      </c>
      <c r="GP43" s="8">
        <v>69.2</v>
      </c>
      <c r="GQ43" s="8">
        <v>85.45</v>
      </c>
      <c r="GR43" s="8">
        <v>83.94</v>
      </c>
      <c r="GS43" s="8">
        <v>69.599999999999994</v>
      </c>
      <c r="GT43" s="8">
        <v>76.2</v>
      </c>
      <c r="GU43" s="8">
        <v>83.33</v>
      </c>
      <c r="GV43" s="8">
        <v>81.39</v>
      </c>
      <c r="GW43" s="8">
        <v>74.78</v>
      </c>
      <c r="GX43" s="8">
        <v>83.64</v>
      </c>
      <c r="HD43" s="8">
        <v>85.9</v>
      </c>
      <c r="HF43" s="8">
        <v>81.61</v>
      </c>
      <c r="HG43" s="8">
        <v>60.74</v>
      </c>
      <c r="HH43" s="8">
        <v>60.74</v>
      </c>
      <c r="HX43" s="8">
        <v>74.61</v>
      </c>
      <c r="HY43" s="8">
        <v>74.61</v>
      </c>
      <c r="IB43" s="8">
        <v>76.91</v>
      </c>
    </row>
    <row r="44" spans="1:236" x14ac:dyDescent="0.2">
      <c r="A44" s="9">
        <v>43983</v>
      </c>
      <c r="G44" s="8">
        <v>68.510000000000005</v>
      </c>
      <c r="W44" s="8">
        <v>93.94</v>
      </c>
      <c r="X44" s="8">
        <v>83.29</v>
      </c>
      <c r="Y44" s="8">
        <v>62.86</v>
      </c>
      <c r="AC44" s="8">
        <v>81.06</v>
      </c>
      <c r="AJ44" s="8">
        <v>73.900000000000006</v>
      </c>
      <c r="AK44" s="8">
        <v>76.03</v>
      </c>
      <c r="AO44" s="8">
        <v>90.37</v>
      </c>
      <c r="AP44" s="8">
        <v>92.96</v>
      </c>
      <c r="AQ44" s="8">
        <v>89.42</v>
      </c>
      <c r="AT44" s="8">
        <v>79.22</v>
      </c>
      <c r="AU44" s="8">
        <v>76.180000000000007</v>
      </c>
      <c r="AV44" s="8">
        <v>80.260000000000005</v>
      </c>
      <c r="AW44" s="8">
        <v>81.47</v>
      </c>
      <c r="AX44" s="8">
        <v>84.66</v>
      </c>
      <c r="AY44" s="8">
        <v>85.2</v>
      </c>
      <c r="AZ44" s="8">
        <v>78.13</v>
      </c>
      <c r="BA44" s="8">
        <v>86.29</v>
      </c>
      <c r="BB44" s="8">
        <v>87.24</v>
      </c>
      <c r="BC44" s="8">
        <v>84.38</v>
      </c>
      <c r="BD44" s="8">
        <v>87.73</v>
      </c>
      <c r="BE44" s="8">
        <v>90.18</v>
      </c>
      <c r="BF44" s="8">
        <v>79.150000000000006</v>
      </c>
      <c r="BG44" s="8">
        <v>79.540000000000006</v>
      </c>
      <c r="BH44" s="8">
        <v>79.8</v>
      </c>
      <c r="BI44" s="8">
        <v>77.930000000000007</v>
      </c>
      <c r="BJ44" s="8">
        <v>87.11</v>
      </c>
      <c r="BK44" s="8">
        <v>86.58</v>
      </c>
      <c r="BL44" s="8">
        <v>87.4</v>
      </c>
      <c r="BM44" s="8">
        <v>77.569999999999993</v>
      </c>
      <c r="BN44" s="8">
        <v>66.42</v>
      </c>
      <c r="BO44" s="8">
        <v>84.6</v>
      </c>
      <c r="BP44" s="8">
        <v>82.98</v>
      </c>
      <c r="BQ44" s="8">
        <v>67.56</v>
      </c>
      <c r="BR44" s="8">
        <v>76.62</v>
      </c>
      <c r="BS44" s="8">
        <v>82.29</v>
      </c>
      <c r="BT44" s="8">
        <v>80.489999999999995</v>
      </c>
      <c r="BU44" s="8">
        <v>71.63</v>
      </c>
      <c r="BV44" s="8">
        <v>82.04</v>
      </c>
      <c r="CB44" s="8">
        <v>78.64</v>
      </c>
      <c r="CD44" s="8">
        <v>83.16</v>
      </c>
      <c r="CE44" s="8">
        <v>59.44</v>
      </c>
      <c r="CF44" s="8">
        <v>59.44</v>
      </c>
      <c r="CV44" s="8">
        <v>86.48</v>
      </c>
      <c r="CW44" s="8">
        <v>86.48</v>
      </c>
      <c r="CZ44" s="8">
        <v>84.96</v>
      </c>
      <c r="DP44" s="8">
        <v>85.64</v>
      </c>
      <c r="DQ44" s="8">
        <v>81.8</v>
      </c>
      <c r="DR44" s="8">
        <v>88.02</v>
      </c>
      <c r="DS44" s="8">
        <v>85.26</v>
      </c>
      <c r="EI44" s="8">
        <v>60.88</v>
      </c>
      <c r="EY44" s="8">
        <v>71.150000000000006</v>
      </c>
      <c r="EZ44" s="8">
        <v>52.41</v>
      </c>
      <c r="FA44" s="8">
        <v>65.13</v>
      </c>
      <c r="FE44" s="8">
        <v>81.05</v>
      </c>
      <c r="FL44" s="8">
        <v>70.010000000000005</v>
      </c>
      <c r="FM44" s="8">
        <v>80.81</v>
      </c>
      <c r="FQ44" s="8">
        <v>78.06</v>
      </c>
      <c r="FR44" s="8">
        <v>92.96</v>
      </c>
      <c r="FS44" s="8">
        <v>76.83</v>
      </c>
      <c r="FV44" s="8">
        <v>79.959999999999994</v>
      </c>
      <c r="FW44" s="8">
        <v>78.319999999999993</v>
      </c>
      <c r="FX44" s="8">
        <v>79.010000000000005</v>
      </c>
      <c r="FY44" s="8">
        <v>80.98</v>
      </c>
      <c r="FZ44" s="8">
        <v>86.32</v>
      </c>
      <c r="GA44" s="8">
        <v>85.22</v>
      </c>
      <c r="GB44" s="8">
        <v>80.89</v>
      </c>
      <c r="GC44" s="8">
        <v>85.28</v>
      </c>
      <c r="GD44" s="8">
        <v>85.51</v>
      </c>
      <c r="GE44" s="8">
        <v>86.31</v>
      </c>
      <c r="GF44" s="8">
        <v>86.36</v>
      </c>
      <c r="GG44" s="8">
        <v>87.01</v>
      </c>
      <c r="GH44" s="8">
        <v>79.209999999999994</v>
      </c>
      <c r="GI44" s="8">
        <v>79.099999999999994</v>
      </c>
      <c r="GJ44" s="8">
        <v>80.58</v>
      </c>
      <c r="GK44" s="8">
        <v>77.94</v>
      </c>
      <c r="GL44" s="8">
        <v>90.19</v>
      </c>
      <c r="GM44" s="8">
        <v>91.28</v>
      </c>
      <c r="GN44" s="8">
        <v>88.92</v>
      </c>
      <c r="GO44" s="8">
        <v>77.33</v>
      </c>
      <c r="GP44" s="8">
        <v>69.010000000000005</v>
      </c>
      <c r="GQ44" s="8">
        <v>85.06</v>
      </c>
      <c r="GR44" s="8">
        <v>83.35</v>
      </c>
      <c r="GS44" s="8">
        <v>68.510000000000005</v>
      </c>
      <c r="GT44" s="8">
        <v>76.08</v>
      </c>
      <c r="GU44" s="8">
        <v>81.760000000000005</v>
      </c>
      <c r="GV44" s="8">
        <v>80.459999999999994</v>
      </c>
      <c r="GW44" s="8">
        <v>72.61</v>
      </c>
      <c r="GX44" s="8">
        <v>83.13</v>
      </c>
      <c r="HD44" s="8">
        <v>83.23</v>
      </c>
      <c r="HF44" s="8">
        <v>83.35</v>
      </c>
      <c r="HG44" s="8">
        <v>60.9</v>
      </c>
      <c r="HH44" s="8">
        <v>60.9</v>
      </c>
      <c r="HX44" s="8">
        <v>74.64</v>
      </c>
      <c r="HY44" s="8">
        <v>74.64</v>
      </c>
      <c r="IB44" s="8">
        <v>76.91</v>
      </c>
    </row>
    <row r="45" spans="1:236" x14ac:dyDescent="0.2">
      <c r="A45" s="9">
        <v>44013</v>
      </c>
      <c r="G45" s="8">
        <v>69.67</v>
      </c>
      <c r="W45" s="8">
        <v>91.15</v>
      </c>
      <c r="X45" s="8">
        <v>75.459999999999994</v>
      </c>
      <c r="Y45" s="8">
        <v>70.98</v>
      </c>
      <c r="AC45" s="8">
        <v>80.97</v>
      </c>
      <c r="AJ45" s="8">
        <v>73.900000000000006</v>
      </c>
      <c r="AK45" s="8">
        <v>76.03</v>
      </c>
      <c r="AO45" s="8">
        <v>90.37</v>
      </c>
      <c r="AP45" s="8">
        <v>92.95</v>
      </c>
      <c r="AQ45" s="8">
        <v>89.42</v>
      </c>
      <c r="AT45" s="8">
        <v>78.19</v>
      </c>
      <c r="AU45" s="8">
        <v>76</v>
      </c>
      <c r="AV45" s="8">
        <v>78.84</v>
      </c>
      <c r="AW45" s="8">
        <v>80.75</v>
      </c>
      <c r="AX45" s="8">
        <v>82.07</v>
      </c>
      <c r="AY45" s="8">
        <v>85.66</v>
      </c>
      <c r="AZ45" s="8">
        <v>79.31</v>
      </c>
      <c r="BA45" s="8">
        <v>86.64</v>
      </c>
      <c r="BB45" s="8">
        <v>85.6</v>
      </c>
      <c r="BC45" s="8">
        <v>86.4</v>
      </c>
      <c r="BD45" s="8">
        <v>88.39</v>
      </c>
      <c r="BE45" s="8">
        <v>89.52</v>
      </c>
      <c r="BF45" s="8">
        <v>79.349999999999994</v>
      </c>
      <c r="BG45" s="8">
        <v>79.3</v>
      </c>
      <c r="BH45" s="8">
        <v>80.209999999999994</v>
      </c>
      <c r="BI45" s="8">
        <v>78.53</v>
      </c>
      <c r="BJ45" s="8">
        <v>86.31</v>
      </c>
      <c r="BK45" s="8">
        <v>84.3</v>
      </c>
      <c r="BL45" s="8">
        <v>87.86</v>
      </c>
      <c r="BM45" s="8">
        <v>77.92</v>
      </c>
      <c r="BN45" s="8">
        <v>66.33</v>
      </c>
      <c r="BO45" s="8">
        <v>84</v>
      </c>
      <c r="BP45" s="8">
        <v>83.33</v>
      </c>
      <c r="BQ45" s="8">
        <v>68.8</v>
      </c>
      <c r="BR45" s="8">
        <v>77.319999999999993</v>
      </c>
      <c r="BS45" s="8">
        <v>82.02</v>
      </c>
      <c r="BT45" s="8">
        <v>81.319999999999993</v>
      </c>
      <c r="BU45" s="8">
        <v>73.13</v>
      </c>
      <c r="BV45" s="8">
        <v>82.74</v>
      </c>
      <c r="CB45" s="8">
        <v>81.209999999999994</v>
      </c>
      <c r="CD45" s="8">
        <v>83.68</v>
      </c>
      <c r="CE45" s="8">
        <v>59.74</v>
      </c>
      <c r="CF45" s="8">
        <v>59.74</v>
      </c>
      <c r="CV45" s="8">
        <v>86.61</v>
      </c>
      <c r="CW45" s="8">
        <v>86.61</v>
      </c>
      <c r="CZ45" s="8">
        <v>84.96</v>
      </c>
      <c r="DP45" s="8">
        <v>86.66</v>
      </c>
      <c r="DQ45" s="8">
        <v>81.099999999999994</v>
      </c>
      <c r="DR45" s="8">
        <v>89.53</v>
      </c>
      <c r="DS45" s="8">
        <v>86.37</v>
      </c>
      <c r="EI45" s="8">
        <v>63.89</v>
      </c>
      <c r="EY45" s="8">
        <v>84.62</v>
      </c>
      <c r="EZ45" s="8">
        <v>62</v>
      </c>
      <c r="FA45" s="8">
        <v>77.849999999999994</v>
      </c>
      <c r="FE45" s="8">
        <v>81.2</v>
      </c>
      <c r="FL45" s="8">
        <v>70.010000000000005</v>
      </c>
      <c r="FM45" s="8">
        <v>80.81</v>
      </c>
      <c r="FQ45" s="8">
        <v>78.06</v>
      </c>
      <c r="FR45" s="8">
        <v>92.95</v>
      </c>
      <c r="FS45" s="8">
        <v>76.83</v>
      </c>
      <c r="FV45" s="8">
        <v>79.19</v>
      </c>
      <c r="FW45" s="8">
        <v>78.06</v>
      </c>
      <c r="FX45" s="8">
        <v>77.94</v>
      </c>
      <c r="FY45" s="8">
        <v>80.31</v>
      </c>
      <c r="FZ45" s="8">
        <v>84.98</v>
      </c>
      <c r="GA45" s="8">
        <v>85.61</v>
      </c>
      <c r="GB45" s="8">
        <v>81.150000000000006</v>
      </c>
      <c r="GC45" s="8">
        <v>86.2</v>
      </c>
      <c r="GD45" s="8">
        <v>86.62</v>
      </c>
      <c r="GE45" s="8">
        <v>87.13</v>
      </c>
      <c r="GF45" s="8">
        <v>86.69</v>
      </c>
      <c r="GG45" s="8">
        <v>86.17</v>
      </c>
      <c r="GH45" s="8">
        <v>79.72</v>
      </c>
      <c r="GI45" s="8">
        <v>79.3</v>
      </c>
      <c r="GJ45" s="8">
        <v>80.959999999999994</v>
      </c>
      <c r="GK45" s="8">
        <v>78.900000000000006</v>
      </c>
      <c r="GL45" s="8">
        <v>87.24</v>
      </c>
      <c r="GM45" s="8">
        <v>86.39</v>
      </c>
      <c r="GN45" s="8">
        <v>87.69</v>
      </c>
      <c r="GO45" s="8">
        <v>77.75</v>
      </c>
      <c r="GP45" s="8">
        <v>69.05</v>
      </c>
      <c r="GQ45" s="8">
        <v>84.66</v>
      </c>
      <c r="GR45" s="8">
        <v>83.87</v>
      </c>
      <c r="GS45" s="8">
        <v>69.41</v>
      </c>
      <c r="GT45" s="8">
        <v>76.790000000000006</v>
      </c>
      <c r="GU45" s="8">
        <v>81.62</v>
      </c>
      <c r="GV45" s="8">
        <v>81.61</v>
      </c>
      <c r="GW45" s="8">
        <v>74.31</v>
      </c>
      <c r="GX45" s="8">
        <v>84.09</v>
      </c>
      <c r="HD45" s="8">
        <v>85.48</v>
      </c>
      <c r="HF45" s="8">
        <v>82.33</v>
      </c>
      <c r="HG45" s="8">
        <v>61.18</v>
      </c>
      <c r="HH45" s="8">
        <v>61.18</v>
      </c>
      <c r="HX45" s="8">
        <v>74.94</v>
      </c>
      <c r="HY45" s="8">
        <v>74.94</v>
      </c>
      <c r="IB45" s="8">
        <v>76.91</v>
      </c>
    </row>
    <row r="46" spans="1:236" x14ac:dyDescent="0.2">
      <c r="A46" s="9">
        <v>44044</v>
      </c>
      <c r="G46" s="8">
        <v>70.040000000000006</v>
      </c>
      <c r="W46" s="8">
        <v>90.51</v>
      </c>
      <c r="X46" s="8">
        <v>75.459999999999994</v>
      </c>
      <c r="Y46" s="8">
        <v>69.489999999999995</v>
      </c>
      <c r="AC46" s="8">
        <v>80.83</v>
      </c>
      <c r="AJ46" s="8">
        <v>73.900000000000006</v>
      </c>
      <c r="AK46" s="8">
        <v>76.03</v>
      </c>
      <c r="AO46" s="8">
        <v>90.37</v>
      </c>
      <c r="AP46" s="8">
        <v>92.94</v>
      </c>
      <c r="AQ46" s="8">
        <v>89.42</v>
      </c>
      <c r="AT46" s="8">
        <v>78.88</v>
      </c>
      <c r="AU46" s="8">
        <v>76.58</v>
      </c>
      <c r="AV46" s="8">
        <v>79.94</v>
      </c>
      <c r="AW46" s="8">
        <v>82.26</v>
      </c>
      <c r="AX46" s="8">
        <v>81.39</v>
      </c>
      <c r="AY46" s="8">
        <v>86.07</v>
      </c>
      <c r="AZ46" s="8">
        <v>79.44</v>
      </c>
      <c r="BA46" s="8">
        <v>87.42</v>
      </c>
      <c r="BB46" s="8">
        <v>86.3</v>
      </c>
      <c r="BC46" s="8">
        <v>86.77</v>
      </c>
      <c r="BD46" s="8">
        <v>88.93</v>
      </c>
      <c r="BE46" s="8">
        <v>89.75</v>
      </c>
      <c r="BF46" s="8">
        <v>79.42</v>
      </c>
      <c r="BG46" s="8">
        <v>79.930000000000007</v>
      </c>
      <c r="BH46" s="8">
        <v>79.59</v>
      </c>
      <c r="BI46" s="8">
        <v>78.47</v>
      </c>
      <c r="BJ46" s="8">
        <v>87.25</v>
      </c>
      <c r="BK46" s="8">
        <v>85.28</v>
      </c>
      <c r="BL46" s="8">
        <v>88.77</v>
      </c>
      <c r="BM46" s="8">
        <v>77.83</v>
      </c>
      <c r="BN46" s="8">
        <v>66.569999999999993</v>
      </c>
      <c r="BO46" s="8">
        <v>85.1</v>
      </c>
      <c r="BP46" s="8">
        <v>83.55</v>
      </c>
      <c r="BQ46" s="8">
        <v>68.63</v>
      </c>
      <c r="BR46" s="8">
        <v>77.58</v>
      </c>
      <c r="BS46" s="8">
        <v>81.06</v>
      </c>
      <c r="BT46" s="8">
        <v>81.72</v>
      </c>
      <c r="BU46" s="8">
        <v>71.599999999999994</v>
      </c>
      <c r="BV46" s="8">
        <v>83.49</v>
      </c>
      <c r="CB46" s="8">
        <v>79.16</v>
      </c>
      <c r="CD46" s="8">
        <v>84.21</v>
      </c>
      <c r="CE46" s="8">
        <v>59.72</v>
      </c>
      <c r="CF46" s="8">
        <v>59.72</v>
      </c>
      <c r="CV46" s="8">
        <v>86.61</v>
      </c>
      <c r="CW46" s="8">
        <v>86.61</v>
      </c>
      <c r="CZ46" s="8">
        <v>84.96</v>
      </c>
      <c r="DP46" s="8">
        <v>85.75</v>
      </c>
      <c r="DQ46" s="8">
        <v>80.66</v>
      </c>
      <c r="DR46" s="8">
        <v>89.25</v>
      </c>
      <c r="DS46" s="8">
        <v>84.96</v>
      </c>
      <c r="EI46" s="8">
        <v>63.74</v>
      </c>
      <c r="EY46" s="8">
        <v>83.25</v>
      </c>
      <c r="EZ46" s="8">
        <v>62</v>
      </c>
      <c r="FA46" s="8">
        <v>75.42</v>
      </c>
      <c r="FE46" s="8">
        <v>81.3</v>
      </c>
      <c r="FL46" s="8">
        <v>70.010000000000005</v>
      </c>
      <c r="FM46" s="8">
        <v>80.81</v>
      </c>
      <c r="FQ46" s="8">
        <v>78.05</v>
      </c>
      <c r="FR46" s="8">
        <v>92.94</v>
      </c>
      <c r="FS46" s="8">
        <v>76.83</v>
      </c>
      <c r="FV46" s="8">
        <v>79.849999999999994</v>
      </c>
      <c r="FW46" s="8">
        <v>78.5</v>
      </c>
      <c r="FX46" s="8">
        <v>78.97</v>
      </c>
      <c r="FY46" s="8">
        <v>82.11</v>
      </c>
      <c r="FZ46" s="8">
        <v>84.61</v>
      </c>
      <c r="GA46" s="8">
        <v>86.02</v>
      </c>
      <c r="GB46" s="8">
        <v>81.97</v>
      </c>
      <c r="GC46" s="8">
        <v>86.41</v>
      </c>
      <c r="GD46" s="8">
        <v>86.81</v>
      </c>
      <c r="GE46" s="8">
        <v>87.1</v>
      </c>
      <c r="GF46" s="8">
        <v>87.67</v>
      </c>
      <c r="GG46" s="8">
        <v>86.42</v>
      </c>
      <c r="GH46" s="8">
        <v>79.64</v>
      </c>
      <c r="GI46" s="8">
        <v>79.42</v>
      </c>
      <c r="GJ46" s="8">
        <v>80.47</v>
      </c>
      <c r="GK46" s="8">
        <v>78.98</v>
      </c>
      <c r="GL46" s="8">
        <v>89.43</v>
      </c>
      <c r="GM46" s="8">
        <v>88.92</v>
      </c>
      <c r="GN46" s="8">
        <v>89.58</v>
      </c>
      <c r="GO46" s="8">
        <v>77.59</v>
      </c>
      <c r="GP46" s="8">
        <v>68.989999999999995</v>
      </c>
      <c r="GQ46" s="8">
        <v>85.68</v>
      </c>
      <c r="GR46" s="8">
        <v>83.88</v>
      </c>
      <c r="GS46" s="8">
        <v>68.64</v>
      </c>
      <c r="GT46" s="8">
        <v>76.849999999999994</v>
      </c>
      <c r="GU46" s="8">
        <v>80.8</v>
      </c>
      <c r="GV46" s="8">
        <v>81.290000000000006</v>
      </c>
      <c r="GW46" s="8">
        <v>72.73</v>
      </c>
      <c r="GX46" s="8">
        <v>84.21</v>
      </c>
      <c r="HD46" s="8">
        <v>83.94</v>
      </c>
      <c r="HF46" s="8">
        <v>83.47</v>
      </c>
      <c r="HG46" s="8">
        <v>61.26</v>
      </c>
      <c r="HH46" s="8">
        <v>61.26</v>
      </c>
      <c r="HX46" s="8">
        <v>75.22</v>
      </c>
      <c r="HY46" s="8">
        <v>75.22</v>
      </c>
      <c r="IB46" s="8">
        <v>76.91</v>
      </c>
    </row>
    <row r="47" spans="1:236" x14ac:dyDescent="0.2">
      <c r="A47" s="9">
        <v>44075</v>
      </c>
      <c r="G47" s="8">
        <v>69.64</v>
      </c>
      <c r="W47" s="8">
        <v>97.32</v>
      </c>
      <c r="X47" s="8">
        <v>91.86</v>
      </c>
      <c r="Y47" s="8">
        <v>54.7</v>
      </c>
      <c r="AC47" s="8">
        <v>81.38</v>
      </c>
      <c r="AJ47" s="8">
        <v>73.900000000000006</v>
      </c>
      <c r="AK47" s="8">
        <v>76.03</v>
      </c>
      <c r="AO47" s="8">
        <v>90.73</v>
      </c>
      <c r="AP47" s="8">
        <v>92.93</v>
      </c>
      <c r="AQ47" s="8">
        <v>89.91</v>
      </c>
      <c r="AT47" s="8">
        <v>78.83</v>
      </c>
      <c r="AU47" s="8">
        <v>76.569999999999993</v>
      </c>
      <c r="AV47" s="8">
        <v>79.900000000000006</v>
      </c>
      <c r="AW47" s="8">
        <v>82.41</v>
      </c>
      <c r="AX47" s="8">
        <v>81.08</v>
      </c>
      <c r="AY47" s="8">
        <v>86.25</v>
      </c>
      <c r="AZ47" s="8">
        <v>80.180000000000007</v>
      </c>
      <c r="BA47" s="8">
        <v>88.47</v>
      </c>
      <c r="BB47" s="8">
        <v>85.84</v>
      </c>
      <c r="BC47" s="8">
        <v>86.21</v>
      </c>
      <c r="BD47" s="8">
        <v>88.63</v>
      </c>
      <c r="BE47" s="8">
        <v>90.02</v>
      </c>
      <c r="BF47" s="8">
        <v>79.48</v>
      </c>
      <c r="BG47" s="8">
        <v>80.13</v>
      </c>
      <c r="BH47" s="8">
        <v>79.180000000000007</v>
      </c>
      <c r="BI47" s="8">
        <v>78.760000000000005</v>
      </c>
      <c r="BJ47" s="8">
        <v>84.95</v>
      </c>
      <c r="BK47" s="8">
        <v>85.42</v>
      </c>
      <c r="BL47" s="8">
        <v>84.39</v>
      </c>
      <c r="BM47" s="8">
        <v>77.5</v>
      </c>
      <c r="BN47" s="8">
        <v>66.45</v>
      </c>
      <c r="BO47" s="8">
        <v>85.68</v>
      </c>
      <c r="BP47" s="8">
        <v>83.65</v>
      </c>
      <c r="BQ47" s="8">
        <v>67.91</v>
      </c>
      <c r="BR47" s="8">
        <v>76.650000000000006</v>
      </c>
      <c r="BS47" s="8">
        <v>81.34</v>
      </c>
      <c r="BT47" s="8">
        <v>80.400000000000006</v>
      </c>
      <c r="BU47" s="8">
        <v>72.36</v>
      </c>
      <c r="BV47" s="8">
        <v>81.8</v>
      </c>
      <c r="CB47" s="8">
        <v>81.180000000000007</v>
      </c>
      <c r="CD47" s="8">
        <v>82.58</v>
      </c>
      <c r="CE47" s="8">
        <v>64.7</v>
      </c>
      <c r="CF47" s="8">
        <v>64.7</v>
      </c>
      <c r="CV47" s="8">
        <v>85.69</v>
      </c>
      <c r="CW47" s="8">
        <v>85.69</v>
      </c>
      <c r="CZ47" s="8">
        <v>85.06</v>
      </c>
      <c r="DP47" s="8">
        <v>85.44</v>
      </c>
      <c r="DQ47" s="8">
        <v>79.959999999999994</v>
      </c>
      <c r="DR47" s="8">
        <v>89.04</v>
      </c>
      <c r="DS47" s="8">
        <v>84.69</v>
      </c>
      <c r="EI47" s="8">
        <v>63.51</v>
      </c>
      <c r="EY47" s="8">
        <v>87.39</v>
      </c>
      <c r="EZ47" s="8">
        <v>81.55</v>
      </c>
      <c r="FA47" s="8">
        <v>59.97</v>
      </c>
      <c r="FE47" s="8">
        <v>81.77</v>
      </c>
      <c r="FL47" s="8">
        <v>70.010000000000005</v>
      </c>
      <c r="FM47" s="8">
        <v>80.81</v>
      </c>
      <c r="FQ47" s="8">
        <v>78.569999999999993</v>
      </c>
      <c r="FR47" s="8">
        <v>92.93</v>
      </c>
      <c r="FS47" s="8">
        <v>77.400000000000006</v>
      </c>
      <c r="FV47" s="8">
        <v>79.73</v>
      </c>
      <c r="FW47" s="8">
        <v>78.569999999999993</v>
      </c>
      <c r="FX47" s="8">
        <v>78.900000000000006</v>
      </c>
      <c r="FY47" s="8">
        <v>81.77</v>
      </c>
      <c r="FZ47" s="8">
        <v>83.96</v>
      </c>
      <c r="GA47" s="8">
        <v>85.6</v>
      </c>
      <c r="GB47" s="8">
        <v>81.209999999999994</v>
      </c>
      <c r="GC47" s="8">
        <v>87.2</v>
      </c>
      <c r="GD47" s="8">
        <v>83.45</v>
      </c>
      <c r="GE47" s="8">
        <v>87.16</v>
      </c>
      <c r="GF47" s="8">
        <v>87.68</v>
      </c>
      <c r="GG47" s="8">
        <v>86.7</v>
      </c>
      <c r="GH47" s="8">
        <v>79.739999999999995</v>
      </c>
      <c r="GI47" s="8">
        <v>79.930000000000007</v>
      </c>
      <c r="GJ47" s="8">
        <v>80.16</v>
      </c>
      <c r="GK47" s="8">
        <v>78.989999999999995</v>
      </c>
      <c r="GL47" s="8">
        <v>86.13</v>
      </c>
      <c r="GM47" s="8">
        <v>86.51</v>
      </c>
      <c r="GN47" s="8">
        <v>85.5</v>
      </c>
      <c r="GO47" s="8">
        <v>77.400000000000006</v>
      </c>
      <c r="GP47" s="8">
        <v>68.930000000000007</v>
      </c>
      <c r="GQ47" s="8">
        <v>86.1</v>
      </c>
      <c r="GR47" s="8">
        <v>84.19</v>
      </c>
      <c r="GS47" s="8">
        <v>67.84</v>
      </c>
      <c r="GT47" s="8">
        <v>76.27</v>
      </c>
      <c r="GU47" s="8">
        <v>81.260000000000005</v>
      </c>
      <c r="GV47" s="8">
        <v>80.67</v>
      </c>
      <c r="GW47" s="8">
        <v>74.31</v>
      </c>
      <c r="GX47" s="8">
        <v>82.83</v>
      </c>
      <c r="HD47" s="8">
        <v>86.45</v>
      </c>
      <c r="HF47" s="8">
        <v>82.95</v>
      </c>
      <c r="HG47" s="8">
        <v>65.930000000000007</v>
      </c>
      <c r="HH47" s="8">
        <v>65.930000000000007</v>
      </c>
      <c r="HX47" s="8">
        <v>76.72</v>
      </c>
      <c r="HY47" s="8">
        <v>76.72</v>
      </c>
      <c r="IB47" s="8">
        <v>76</v>
      </c>
    </row>
    <row r="48" spans="1:236" x14ac:dyDescent="0.2">
      <c r="A48" s="9">
        <v>44105</v>
      </c>
      <c r="G48" s="8">
        <v>69.430000000000007</v>
      </c>
      <c r="W48" s="8">
        <v>81.72</v>
      </c>
      <c r="X48" s="8">
        <v>76.81</v>
      </c>
      <c r="Y48" s="8">
        <v>62.14</v>
      </c>
      <c r="AC48" s="8">
        <v>80.72</v>
      </c>
      <c r="AJ48" s="8">
        <v>73.900000000000006</v>
      </c>
      <c r="AK48" s="8">
        <v>76.03</v>
      </c>
      <c r="AO48" s="8">
        <v>90.9</v>
      </c>
      <c r="AP48" s="8">
        <v>93.58</v>
      </c>
      <c r="AQ48" s="8">
        <v>89.91</v>
      </c>
      <c r="AT48" s="8">
        <v>78.92</v>
      </c>
      <c r="AU48" s="8">
        <v>76.930000000000007</v>
      </c>
      <c r="AV48" s="8">
        <v>79.84</v>
      </c>
      <c r="AW48" s="8">
        <v>82.16</v>
      </c>
      <c r="AX48" s="8">
        <v>81.010000000000005</v>
      </c>
      <c r="AY48" s="8">
        <v>85.92</v>
      </c>
      <c r="AZ48" s="8">
        <v>81.239999999999995</v>
      </c>
      <c r="BA48" s="8">
        <v>88.88</v>
      </c>
      <c r="BB48" s="8">
        <v>82.54</v>
      </c>
      <c r="BC48" s="8">
        <v>84.88</v>
      </c>
      <c r="BD48" s="8">
        <v>87.81</v>
      </c>
      <c r="BE48" s="8">
        <v>91.02</v>
      </c>
      <c r="BF48" s="8">
        <v>79.02</v>
      </c>
      <c r="BG48" s="8">
        <v>79.42</v>
      </c>
      <c r="BH48" s="8">
        <v>79.02</v>
      </c>
      <c r="BI48" s="8">
        <v>78.37</v>
      </c>
      <c r="BJ48" s="8">
        <v>82.27</v>
      </c>
      <c r="BK48" s="8">
        <v>83.03</v>
      </c>
      <c r="BL48" s="8">
        <v>81.510000000000005</v>
      </c>
      <c r="BM48" s="8">
        <v>78.13</v>
      </c>
      <c r="BN48" s="8">
        <v>65.849999999999994</v>
      </c>
      <c r="BO48" s="8">
        <v>84.65</v>
      </c>
      <c r="BP48" s="8">
        <v>83.34</v>
      </c>
      <c r="BQ48" s="8">
        <v>68.55</v>
      </c>
      <c r="BR48" s="8">
        <v>77.88</v>
      </c>
      <c r="BS48" s="8">
        <v>82.23</v>
      </c>
      <c r="BT48" s="8">
        <v>80.38</v>
      </c>
      <c r="BU48" s="8">
        <v>72.91</v>
      </c>
      <c r="BV48" s="8">
        <v>81.67</v>
      </c>
      <c r="CB48" s="8">
        <v>78.73</v>
      </c>
      <c r="CD48" s="8">
        <v>82.02</v>
      </c>
      <c r="CE48" s="8">
        <v>68.23</v>
      </c>
      <c r="CF48" s="8">
        <v>68.23</v>
      </c>
      <c r="CV48" s="8">
        <v>84.34</v>
      </c>
      <c r="CW48" s="8">
        <v>84.34</v>
      </c>
      <c r="CZ48" s="8">
        <v>85.06</v>
      </c>
      <c r="DP48" s="8">
        <v>84.97</v>
      </c>
      <c r="DQ48" s="8">
        <v>80.3</v>
      </c>
      <c r="DR48" s="8">
        <v>87.74</v>
      </c>
      <c r="DS48" s="8">
        <v>84.5</v>
      </c>
      <c r="EI48" s="8">
        <v>63.44</v>
      </c>
      <c r="EY48" s="8">
        <v>69.430000000000007</v>
      </c>
      <c r="EZ48" s="8">
        <v>64.150000000000006</v>
      </c>
      <c r="FA48" s="8">
        <v>67.36</v>
      </c>
      <c r="FE48" s="8">
        <v>80.86</v>
      </c>
      <c r="FL48" s="8">
        <v>70.010000000000005</v>
      </c>
      <c r="FM48" s="8">
        <v>80.81</v>
      </c>
      <c r="FQ48" s="8">
        <v>78.63</v>
      </c>
      <c r="FR48" s="8">
        <v>93.58</v>
      </c>
      <c r="FS48" s="8">
        <v>77.400000000000006</v>
      </c>
      <c r="FV48" s="8">
        <v>79.989999999999995</v>
      </c>
      <c r="FW48" s="8">
        <v>78.94</v>
      </c>
      <c r="FX48" s="8">
        <v>79.25</v>
      </c>
      <c r="FY48" s="8">
        <v>81.33</v>
      </c>
      <c r="FZ48" s="8">
        <v>84.14</v>
      </c>
      <c r="GA48" s="8">
        <v>85.73</v>
      </c>
      <c r="GB48" s="8">
        <v>82.8</v>
      </c>
      <c r="GC48" s="8">
        <v>87.01</v>
      </c>
      <c r="GD48" s="8">
        <v>82.95</v>
      </c>
      <c r="GE48" s="8">
        <v>86.4</v>
      </c>
      <c r="GF48" s="8">
        <v>87.2</v>
      </c>
      <c r="GG48" s="8">
        <v>87.42</v>
      </c>
      <c r="GH48" s="8">
        <v>79.459999999999994</v>
      </c>
      <c r="GI48" s="8">
        <v>79.540000000000006</v>
      </c>
      <c r="GJ48" s="8">
        <v>80.03</v>
      </c>
      <c r="GK48" s="8">
        <v>78.72</v>
      </c>
      <c r="GL48" s="8">
        <v>85.38</v>
      </c>
      <c r="GM48" s="8">
        <v>87.23</v>
      </c>
      <c r="GN48" s="8">
        <v>83.56</v>
      </c>
      <c r="GO48" s="8">
        <v>78</v>
      </c>
      <c r="GP48" s="8">
        <v>68.66</v>
      </c>
      <c r="GQ48" s="8">
        <v>85.31</v>
      </c>
      <c r="GR48" s="8">
        <v>83.97</v>
      </c>
      <c r="GS48" s="8">
        <v>68.459999999999994</v>
      </c>
      <c r="GT48" s="8">
        <v>77.23</v>
      </c>
      <c r="GU48" s="8">
        <v>82.45</v>
      </c>
      <c r="GV48" s="8">
        <v>80.73</v>
      </c>
      <c r="GW48" s="8">
        <v>74.599999999999994</v>
      </c>
      <c r="GX48" s="8">
        <v>82.8</v>
      </c>
      <c r="HD48" s="8">
        <v>84.59</v>
      </c>
      <c r="HF48" s="8">
        <v>82.76</v>
      </c>
      <c r="HG48" s="8">
        <v>69.400000000000006</v>
      </c>
      <c r="HH48" s="8">
        <v>69.400000000000006</v>
      </c>
      <c r="HX48" s="8">
        <v>74.62</v>
      </c>
      <c r="HY48" s="8">
        <v>74.62</v>
      </c>
      <c r="IB48" s="8">
        <v>76</v>
      </c>
    </row>
    <row r="49" spans="1:240" x14ac:dyDescent="0.2">
      <c r="A49" s="9">
        <v>44136</v>
      </c>
      <c r="G49" s="8">
        <v>69.540000000000006</v>
      </c>
      <c r="W49" s="8">
        <v>81.13</v>
      </c>
      <c r="X49" s="8">
        <v>76.34</v>
      </c>
      <c r="Y49" s="8">
        <v>57.72</v>
      </c>
      <c r="AC49" s="8">
        <v>81.63</v>
      </c>
      <c r="AJ49" s="8">
        <v>73.900000000000006</v>
      </c>
      <c r="AK49" s="8">
        <v>76.03</v>
      </c>
      <c r="AO49" s="8">
        <v>90.9</v>
      </c>
      <c r="AP49" s="8">
        <v>93.59</v>
      </c>
      <c r="AQ49" s="8">
        <v>89.91</v>
      </c>
      <c r="AT49" s="8">
        <v>79.45</v>
      </c>
      <c r="AU49" s="8">
        <v>76.989999999999995</v>
      </c>
      <c r="AV49" s="8">
        <v>80.180000000000007</v>
      </c>
      <c r="AW49" s="8">
        <v>85.93</v>
      </c>
      <c r="AX49" s="8">
        <v>81.63</v>
      </c>
      <c r="AY49" s="8">
        <v>86.96</v>
      </c>
      <c r="AZ49" s="8">
        <v>83.12</v>
      </c>
      <c r="BA49" s="8">
        <v>90.17</v>
      </c>
      <c r="BB49" s="8">
        <v>83.86</v>
      </c>
      <c r="BC49" s="8">
        <v>86</v>
      </c>
      <c r="BD49" s="8">
        <v>88.48</v>
      </c>
      <c r="BE49" s="8">
        <v>90.71</v>
      </c>
      <c r="BF49" s="8">
        <v>79.14</v>
      </c>
      <c r="BG49" s="8">
        <v>79.239999999999995</v>
      </c>
      <c r="BH49" s="8">
        <v>79.59</v>
      </c>
      <c r="BI49" s="8">
        <v>78.489999999999995</v>
      </c>
      <c r="BJ49" s="8">
        <v>84.99</v>
      </c>
      <c r="BK49" s="8">
        <v>87.96</v>
      </c>
      <c r="BL49" s="8">
        <v>82.51</v>
      </c>
      <c r="BM49" s="8">
        <v>78.180000000000007</v>
      </c>
      <c r="BN49" s="8">
        <v>66.44</v>
      </c>
      <c r="BO49" s="8">
        <v>85.06</v>
      </c>
      <c r="BP49" s="8">
        <v>83.9</v>
      </c>
      <c r="BQ49" s="8">
        <v>68.63</v>
      </c>
      <c r="BR49" s="8">
        <v>77.180000000000007</v>
      </c>
      <c r="BS49" s="8">
        <v>82.8</v>
      </c>
      <c r="BT49" s="8">
        <v>80.7</v>
      </c>
      <c r="BU49" s="8">
        <v>71.17</v>
      </c>
      <c r="BV49" s="8">
        <v>82.39</v>
      </c>
      <c r="CB49" s="8">
        <v>79.61</v>
      </c>
      <c r="CD49" s="8">
        <v>81.97</v>
      </c>
      <c r="CE49" s="8">
        <v>68.58</v>
      </c>
      <c r="CF49" s="8">
        <v>68.58</v>
      </c>
      <c r="CV49" s="8">
        <v>84.69</v>
      </c>
      <c r="CW49" s="8">
        <v>84.69</v>
      </c>
      <c r="CZ49" s="8">
        <v>85.06</v>
      </c>
      <c r="DP49" s="8">
        <v>84.41</v>
      </c>
      <c r="DQ49" s="8">
        <v>80.94</v>
      </c>
      <c r="DR49" s="8">
        <v>87.51</v>
      </c>
      <c r="DS49" s="8">
        <v>83.49</v>
      </c>
      <c r="EI49" s="8">
        <v>63.06</v>
      </c>
      <c r="EY49" s="8">
        <v>67.77</v>
      </c>
      <c r="EZ49" s="8">
        <v>62.7</v>
      </c>
      <c r="FA49" s="8">
        <v>63.44</v>
      </c>
      <c r="FE49" s="8">
        <v>81.569999999999993</v>
      </c>
      <c r="FL49" s="8">
        <v>70.010000000000005</v>
      </c>
      <c r="FM49" s="8">
        <v>80.81</v>
      </c>
      <c r="FQ49" s="8">
        <v>78.63</v>
      </c>
      <c r="FR49" s="8">
        <v>93.59</v>
      </c>
      <c r="FS49" s="8">
        <v>77.400000000000006</v>
      </c>
      <c r="FV49" s="8">
        <v>80.3</v>
      </c>
      <c r="FW49" s="8">
        <v>79.25</v>
      </c>
      <c r="FX49" s="8">
        <v>79.16</v>
      </c>
      <c r="FY49" s="8">
        <v>84.17</v>
      </c>
      <c r="FZ49" s="8">
        <v>84.02</v>
      </c>
      <c r="GA49" s="8">
        <v>86.37</v>
      </c>
      <c r="GB49" s="8">
        <v>84.07</v>
      </c>
      <c r="GC49" s="8">
        <v>87.84</v>
      </c>
      <c r="GD49" s="8">
        <v>83.53</v>
      </c>
      <c r="GE49" s="8">
        <v>86.61</v>
      </c>
      <c r="GF49" s="8">
        <v>88.12</v>
      </c>
      <c r="GG49" s="8">
        <v>87.53</v>
      </c>
      <c r="GH49" s="8">
        <v>79.5</v>
      </c>
      <c r="GI49" s="8">
        <v>79.319999999999993</v>
      </c>
      <c r="GJ49" s="8">
        <v>80.5</v>
      </c>
      <c r="GK49" s="8">
        <v>78.61</v>
      </c>
      <c r="GL49" s="8">
        <v>87.36</v>
      </c>
      <c r="GM49" s="8">
        <v>91.23</v>
      </c>
      <c r="GN49" s="8">
        <v>83.85</v>
      </c>
      <c r="GO49" s="8">
        <v>77.849999999999994</v>
      </c>
      <c r="GP49" s="8">
        <v>68.06</v>
      </c>
      <c r="GQ49" s="8">
        <v>84.99</v>
      </c>
      <c r="GR49" s="8">
        <v>84.25</v>
      </c>
      <c r="GS49" s="8">
        <v>68.739999999999995</v>
      </c>
      <c r="GT49" s="8">
        <v>76.680000000000007</v>
      </c>
      <c r="GU49" s="8">
        <v>82.77</v>
      </c>
      <c r="GV49" s="8">
        <v>80.62</v>
      </c>
      <c r="GW49" s="8">
        <v>72.56</v>
      </c>
      <c r="GX49" s="8">
        <v>83.41</v>
      </c>
      <c r="HD49" s="8">
        <v>85.7</v>
      </c>
      <c r="HF49" s="8">
        <v>82.57</v>
      </c>
      <c r="HG49" s="8">
        <v>69.83</v>
      </c>
      <c r="HH49" s="8">
        <v>69.83</v>
      </c>
      <c r="HX49" s="8">
        <v>75.36</v>
      </c>
      <c r="HY49" s="8">
        <v>75.36</v>
      </c>
      <c r="IB49" s="8">
        <v>76</v>
      </c>
    </row>
    <row r="50" spans="1:240" x14ac:dyDescent="0.2">
      <c r="A50" s="9">
        <v>44166</v>
      </c>
      <c r="G50" s="8">
        <v>69.819999999999993</v>
      </c>
      <c r="W50" s="8">
        <v>89.92</v>
      </c>
      <c r="X50" s="8">
        <v>84.35</v>
      </c>
      <c r="Y50" s="8">
        <v>76.8</v>
      </c>
      <c r="AC50" s="8">
        <v>82</v>
      </c>
      <c r="AJ50" s="8">
        <v>73.900000000000006</v>
      </c>
      <c r="AK50" s="8">
        <v>76.03</v>
      </c>
      <c r="AO50" s="8">
        <v>91.9</v>
      </c>
      <c r="AP50" s="8">
        <v>93.6</v>
      </c>
      <c r="AQ50" s="8">
        <v>91.24</v>
      </c>
      <c r="AT50" s="8">
        <v>79.67</v>
      </c>
      <c r="AU50" s="8">
        <v>77.78</v>
      </c>
      <c r="AV50" s="8">
        <v>79.67</v>
      </c>
      <c r="AW50" s="8">
        <v>86.18</v>
      </c>
      <c r="AX50" s="8">
        <v>82.26</v>
      </c>
      <c r="AY50" s="8">
        <v>87.44</v>
      </c>
      <c r="AZ50" s="8">
        <v>85.52</v>
      </c>
      <c r="BA50" s="8">
        <v>88.14</v>
      </c>
      <c r="BB50" s="8">
        <v>85.51</v>
      </c>
      <c r="BC50" s="8">
        <v>87.77</v>
      </c>
      <c r="BD50" s="8">
        <v>88.37</v>
      </c>
      <c r="BE50" s="8">
        <v>88.9</v>
      </c>
      <c r="BF50" s="8">
        <v>79.88</v>
      </c>
      <c r="BG50" s="8">
        <v>80.67</v>
      </c>
      <c r="BH50" s="8">
        <v>78.760000000000005</v>
      </c>
      <c r="BI50" s="8">
        <v>79.75</v>
      </c>
      <c r="BJ50" s="8">
        <v>87.23</v>
      </c>
      <c r="BK50" s="8">
        <v>92.63</v>
      </c>
      <c r="BL50" s="8">
        <v>82.87</v>
      </c>
      <c r="BM50" s="8">
        <v>78.69</v>
      </c>
      <c r="BN50" s="8">
        <v>66.760000000000005</v>
      </c>
      <c r="BO50" s="8">
        <v>86.23</v>
      </c>
      <c r="BP50" s="8">
        <v>82.81</v>
      </c>
      <c r="BQ50" s="8">
        <v>68.55</v>
      </c>
      <c r="BR50" s="8">
        <v>78.17</v>
      </c>
      <c r="BS50" s="8">
        <v>83.77</v>
      </c>
      <c r="BT50" s="8">
        <v>78.75</v>
      </c>
      <c r="BU50" s="8">
        <v>71.7</v>
      </c>
      <c r="BV50" s="8">
        <v>79.959999999999994</v>
      </c>
      <c r="CB50" s="8">
        <v>78.7</v>
      </c>
      <c r="CD50" s="8">
        <v>81.709999999999994</v>
      </c>
      <c r="CE50" s="8">
        <v>68.27</v>
      </c>
      <c r="CF50" s="8">
        <v>68.27</v>
      </c>
      <c r="CV50" s="8">
        <v>83.67</v>
      </c>
      <c r="CW50" s="8">
        <v>83.67</v>
      </c>
      <c r="CZ50" s="8">
        <v>85.06</v>
      </c>
      <c r="DP50" s="8">
        <v>85.04</v>
      </c>
      <c r="DQ50" s="8">
        <v>83.03</v>
      </c>
      <c r="DR50" s="8">
        <v>88.15</v>
      </c>
      <c r="DS50" s="8">
        <v>83.77</v>
      </c>
      <c r="EI50" s="8">
        <v>62.49</v>
      </c>
      <c r="EY50" s="8">
        <v>98.86</v>
      </c>
      <c r="EZ50" s="8">
        <v>91.74</v>
      </c>
      <c r="FA50" s="8">
        <v>83.83</v>
      </c>
      <c r="FE50" s="8">
        <v>81.849999999999994</v>
      </c>
      <c r="FL50" s="8">
        <v>70.010000000000005</v>
      </c>
      <c r="FM50" s="8">
        <v>80.81</v>
      </c>
      <c r="FQ50" s="8">
        <v>77.760000000000005</v>
      </c>
      <c r="FR50" s="8">
        <v>93.6</v>
      </c>
      <c r="FS50" s="8">
        <v>76.459999999999994</v>
      </c>
      <c r="FV50" s="8">
        <v>80.48</v>
      </c>
      <c r="FW50" s="8">
        <v>80.040000000000006</v>
      </c>
      <c r="FX50" s="8">
        <v>78.48</v>
      </c>
      <c r="FY50" s="8">
        <v>84.15</v>
      </c>
      <c r="FZ50" s="8">
        <v>84.94</v>
      </c>
      <c r="GA50" s="8">
        <v>87.26</v>
      </c>
      <c r="GB50" s="8">
        <v>85.95</v>
      </c>
      <c r="GC50" s="8">
        <v>87.7</v>
      </c>
      <c r="GD50" s="8">
        <v>85.49</v>
      </c>
      <c r="GE50" s="8">
        <v>88.16</v>
      </c>
      <c r="GF50" s="8">
        <v>88.02</v>
      </c>
      <c r="GG50" s="8">
        <v>87.04</v>
      </c>
      <c r="GH50" s="8">
        <v>80.47</v>
      </c>
      <c r="GI50" s="8">
        <v>80.91</v>
      </c>
      <c r="GJ50" s="8">
        <v>79.84</v>
      </c>
      <c r="GK50" s="8">
        <v>80.459999999999994</v>
      </c>
      <c r="GL50" s="8">
        <v>88.72</v>
      </c>
      <c r="GM50" s="8">
        <v>93.82</v>
      </c>
      <c r="GN50" s="8">
        <v>84.21</v>
      </c>
      <c r="GO50" s="8">
        <v>78.33</v>
      </c>
      <c r="GP50" s="8">
        <v>68.52</v>
      </c>
      <c r="GQ50" s="8">
        <v>86.14</v>
      </c>
      <c r="GR50" s="8">
        <v>83.24</v>
      </c>
      <c r="GS50" s="8">
        <v>68.510000000000005</v>
      </c>
      <c r="GT50" s="8">
        <v>77.39</v>
      </c>
      <c r="GU50" s="8">
        <v>84.05</v>
      </c>
      <c r="GV50" s="8">
        <v>79.09</v>
      </c>
      <c r="GW50" s="8">
        <v>73.12</v>
      </c>
      <c r="GX50" s="8">
        <v>81.11</v>
      </c>
      <c r="HD50" s="8">
        <v>83.17</v>
      </c>
      <c r="HF50" s="8">
        <v>82.32</v>
      </c>
      <c r="HG50" s="8">
        <v>69.430000000000007</v>
      </c>
      <c r="HH50" s="8">
        <v>69.430000000000007</v>
      </c>
      <c r="HX50" s="8">
        <v>74.8</v>
      </c>
      <c r="HY50" s="8">
        <v>74.8</v>
      </c>
      <c r="IB50" s="8">
        <v>76</v>
      </c>
    </row>
    <row r="51" spans="1:240" x14ac:dyDescent="0.2">
      <c r="A51" s="9">
        <v>44197</v>
      </c>
      <c r="G51" s="8">
        <v>70.930000000000007</v>
      </c>
      <c r="W51" s="8">
        <v>88.51</v>
      </c>
      <c r="X51" s="8">
        <v>83.29</v>
      </c>
      <c r="Y51" s="8">
        <v>62.35</v>
      </c>
      <c r="AC51" s="8">
        <v>82.38</v>
      </c>
      <c r="AJ51" s="8">
        <v>73.900000000000006</v>
      </c>
      <c r="AK51" s="8">
        <v>78.45</v>
      </c>
      <c r="AO51" s="8">
        <v>91.9</v>
      </c>
      <c r="AP51" s="8">
        <v>93.61</v>
      </c>
      <c r="AQ51" s="8">
        <v>91.24</v>
      </c>
      <c r="AT51" s="8">
        <v>79.900000000000006</v>
      </c>
      <c r="AU51" s="8">
        <v>77.44</v>
      </c>
      <c r="AV51" s="8">
        <v>81.260000000000005</v>
      </c>
      <c r="AW51" s="8">
        <v>85.51</v>
      </c>
      <c r="AX51" s="8">
        <v>80.819999999999993</v>
      </c>
      <c r="AY51" s="8">
        <v>88</v>
      </c>
      <c r="AZ51" s="8">
        <v>86.15</v>
      </c>
      <c r="BA51" s="8">
        <v>89.87</v>
      </c>
      <c r="BB51" s="8">
        <v>87.39</v>
      </c>
      <c r="BC51" s="8">
        <v>87.36</v>
      </c>
      <c r="BD51" s="8">
        <v>88.5</v>
      </c>
      <c r="BE51" s="8">
        <v>88.63</v>
      </c>
      <c r="BF51" s="8">
        <v>79.069999999999993</v>
      </c>
      <c r="BG51" s="8">
        <v>79.260000000000005</v>
      </c>
      <c r="BH51" s="8">
        <v>78.989999999999995</v>
      </c>
      <c r="BI51" s="8">
        <v>78.8</v>
      </c>
      <c r="BJ51" s="8">
        <v>85.38</v>
      </c>
      <c r="BK51" s="8">
        <v>87.75</v>
      </c>
      <c r="BL51" s="8">
        <v>83.35</v>
      </c>
      <c r="BM51" s="8">
        <v>79.3</v>
      </c>
      <c r="BN51" s="8">
        <v>66.33</v>
      </c>
      <c r="BO51" s="8">
        <v>84.72</v>
      </c>
      <c r="BP51" s="8">
        <v>84.8</v>
      </c>
      <c r="BQ51" s="8">
        <v>69.540000000000006</v>
      </c>
      <c r="BR51" s="8">
        <v>79.239999999999995</v>
      </c>
      <c r="BS51" s="8">
        <v>83.4</v>
      </c>
      <c r="BT51" s="8">
        <v>80.16</v>
      </c>
      <c r="BU51" s="8">
        <v>72.77</v>
      </c>
      <c r="BV51" s="8">
        <v>81.430000000000007</v>
      </c>
      <c r="CB51" s="8">
        <v>79.930000000000007</v>
      </c>
      <c r="CD51" s="8">
        <v>82.4</v>
      </c>
      <c r="CE51" s="8">
        <v>68.31</v>
      </c>
      <c r="CF51" s="8">
        <v>68.31</v>
      </c>
      <c r="CV51" s="8">
        <v>84.26</v>
      </c>
      <c r="CW51" s="8">
        <v>84.26</v>
      </c>
      <c r="CZ51" s="8">
        <v>85.06</v>
      </c>
      <c r="DP51" s="8">
        <v>84.72</v>
      </c>
      <c r="DQ51" s="8">
        <v>80.34</v>
      </c>
      <c r="DR51" s="8">
        <v>88.47</v>
      </c>
      <c r="DS51" s="8">
        <v>83.63</v>
      </c>
      <c r="EI51" s="8">
        <v>64.239999999999995</v>
      </c>
      <c r="EY51" s="8">
        <v>81.83</v>
      </c>
      <c r="EZ51" s="8">
        <v>76.17</v>
      </c>
      <c r="FA51" s="8">
        <v>62.07</v>
      </c>
      <c r="FE51" s="8">
        <v>82.67</v>
      </c>
      <c r="FL51" s="8">
        <v>70.010000000000005</v>
      </c>
      <c r="FM51" s="8">
        <v>82.99</v>
      </c>
      <c r="FQ51" s="8">
        <v>77.760000000000005</v>
      </c>
      <c r="FR51" s="8">
        <v>93.61</v>
      </c>
      <c r="FS51" s="8">
        <v>76.459999999999994</v>
      </c>
      <c r="FV51" s="8">
        <v>80.72</v>
      </c>
      <c r="FW51" s="8">
        <v>79.7</v>
      </c>
      <c r="FX51" s="8">
        <v>80.540000000000006</v>
      </c>
      <c r="FY51" s="8">
        <v>82.96</v>
      </c>
      <c r="FZ51" s="8">
        <v>82.93</v>
      </c>
      <c r="GA51" s="8">
        <v>87.47</v>
      </c>
      <c r="GB51" s="8">
        <v>86.54</v>
      </c>
      <c r="GC51" s="8">
        <v>88.01</v>
      </c>
      <c r="GD51" s="8">
        <v>86.4</v>
      </c>
      <c r="GE51" s="8">
        <v>88.06</v>
      </c>
      <c r="GF51" s="8">
        <v>87.9</v>
      </c>
      <c r="GG51" s="8">
        <v>86.9</v>
      </c>
      <c r="GH51" s="8">
        <v>79.73</v>
      </c>
      <c r="GI51" s="8">
        <v>79.94</v>
      </c>
      <c r="GJ51" s="8">
        <v>79.989999999999995</v>
      </c>
      <c r="GK51" s="8">
        <v>79.13</v>
      </c>
      <c r="GL51" s="8">
        <v>86.85</v>
      </c>
      <c r="GM51" s="8">
        <v>86.92</v>
      </c>
      <c r="GN51" s="8">
        <v>86.48</v>
      </c>
      <c r="GO51" s="8">
        <v>79.13</v>
      </c>
      <c r="GP51" s="8">
        <v>68.66</v>
      </c>
      <c r="GQ51" s="8">
        <v>85.23</v>
      </c>
      <c r="GR51" s="8">
        <v>85.22</v>
      </c>
      <c r="GS51" s="8">
        <v>69.819999999999993</v>
      </c>
      <c r="GT51" s="8">
        <v>78.81</v>
      </c>
      <c r="GU51" s="8">
        <v>83.2</v>
      </c>
      <c r="GV51" s="8">
        <v>80.53</v>
      </c>
      <c r="GW51" s="8">
        <v>73.83</v>
      </c>
      <c r="GX51" s="8">
        <v>82.81</v>
      </c>
      <c r="HD51" s="8">
        <v>84.64</v>
      </c>
      <c r="HF51" s="8">
        <v>83.4</v>
      </c>
      <c r="HG51" s="8">
        <v>69.239999999999995</v>
      </c>
      <c r="HH51" s="8">
        <v>69.239999999999995</v>
      </c>
      <c r="HX51" s="8">
        <v>75.45</v>
      </c>
      <c r="HY51" s="8">
        <v>75.45</v>
      </c>
      <c r="IB51" s="8">
        <v>76</v>
      </c>
    </row>
    <row r="52" spans="1:240" x14ac:dyDescent="0.2">
      <c r="A52" s="9">
        <v>44228</v>
      </c>
      <c r="G52" s="8">
        <v>73.61</v>
      </c>
      <c r="W52" s="8">
        <v>81.13</v>
      </c>
      <c r="X52" s="8">
        <v>76.239999999999995</v>
      </c>
      <c r="Y52" s="8">
        <v>63.01</v>
      </c>
      <c r="AC52" s="8">
        <v>81.53</v>
      </c>
      <c r="AJ52" s="8">
        <v>83.56</v>
      </c>
      <c r="AK52" s="8">
        <v>74.53</v>
      </c>
      <c r="AO52" s="8">
        <v>91.83</v>
      </c>
      <c r="AP52" s="8">
        <v>93.31</v>
      </c>
      <c r="AQ52" s="8">
        <v>91.24</v>
      </c>
      <c r="AT52" s="8">
        <v>79.06</v>
      </c>
      <c r="AU52" s="8">
        <v>77.03</v>
      </c>
      <c r="AV52" s="8">
        <v>81.319999999999993</v>
      </c>
      <c r="AW52" s="8">
        <v>81.39</v>
      </c>
      <c r="AX52" s="8">
        <v>78.03</v>
      </c>
      <c r="AY52" s="8">
        <v>87.72</v>
      </c>
      <c r="AZ52" s="8">
        <v>86.03</v>
      </c>
      <c r="BA52" s="8">
        <v>89.15</v>
      </c>
      <c r="BB52" s="8">
        <v>87.03</v>
      </c>
      <c r="BC52" s="8">
        <v>87.23</v>
      </c>
      <c r="BD52" s="8">
        <v>87.62</v>
      </c>
      <c r="BE52" s="8">
        <v>89.01</v>
      </c>
      <c r="BF52" s="8">
        <v>78.62</v>
      </c>
      <c r="BG52" s="8">
        <v>79</v>
      </c>
      <c r="BH52" s="8">
        <v>78.680000000000007</v>
      </c>
      <c r="BI52" s="8">
        <v>77.959999999999994</v>
      </c>
      <c r="BJ52" s="8">
        <v>83.75</v>
      </c>
      <c r="BK52" s="8">
        <v>87.29</v>
      </c>
      <c r="BL52" s="8">
        <v>80.84</v>
      </c>
      <c r="BM52" s="8">
        <v>78.31</v>
      </c>
      <c r="BN52" s="8">
        <v>66.650000000000006</v>
      </c>
      <c r="BO52" s="8">
        <v>84.63</v>
      </c>
      <c r="BP52" s="8">
        <v>84.4</v>
      </c>
      <c r="BQ52" s="8">
        <v>68.959999999999994</v>
      </c>
      <c r="BR52" s="8">
        <v>77.400000000000006</v>
      </c>
      <c r="BS52" s="8">
        <v>82.57</v>
      </c>
      <c r="BT52" s="8">
        <v>81.38</v>
      </c>
      <c r="BU52" s="8">
        <v>71.599999999999994</v>
      </c>
      <c r="BV52" s="8">
        <v>83.11</v>
      </c>
      <c r="CB52" s="8">
        <v>79.569999999999993</v>
      </c>
      <c r="CD52" s="8">
        <v>83.36</v>
      </c>
      <c r="CE52" s="8">
        <v>67.98</v>
      </c>
      <c r="CF52" s="8">
        <v>67.98</v>
      </c>
      <c r="CV52" s="8">
        <v>85.35</v>
      </c>
      <c r="CW52" s="8">
        <v>85.35</v>
      </c>
      <c r="CZ52" s="8">
        <v>85.06</v>
      </c>
      <c r="DP52" s="8">
        <v>85.43</v>
      </c>
      <c r="DQ52" s="8">
        <v>81.680000000000007</v>
      </c>
      <c r="DR52" s="8">
        <v>88.28</v>
      </c>
      <c r="DS52" s="8">
        <v>84.7</v>
      </c>
      <c r="EI52" s="8">
        <v>67.72</v>
      </c>
      <c r="EY52" s="8">
        <v>72.83</v>
      </c>
      <c r="EZ52" s="8">
        <v>67.2</v>
      </c>
      <c r="FA52" s="8">
        <v>73.739999999999995</v>
      </c>
      <c r="FE52" s="8">
        <v>81.52</v>
      </c>
      <c r="FL52" s="8">
        <v>74.319999999999993</v>
      </c>
      <c r="FM52" s="8">
        <v>79.430000000000007</v>
      </c>
      <c r="FQ52" s="8">
        <v>77.739999999999995</v>
      </c>
      <c r="FR52" s="8">
        <v>93.31</v>
      </c>
      <c r="FS52" s="8">
        <v>76.459999999999994</v>
      </c>
      <c r="FV52" s="8">
        <v>80.28</v>
      </c>
      <c r="FW52" s="8">
        <v>79.2</v>
      </c>
      <c r="FX52" s="8">
        <v>80.73</v>
      </c>
      <c r="FY52" s="8">
        <v>80.400000000000006</v>
      </c>
      <c r="FZ52" s="8">
        <v>82.26</v>
      </c>
      <c r="GA52" s="8">
        <v>87.36</v>
      </c>
      <c r="GB52" s="8">
        <v>87</v>
      </c>
      <c r="GC52" s="8">
        <v>87.85</v>
      </c>
      <c r="GD52" s="8">
        <v>87.17</v>
      </c>
      <c r="GE52" s="8">
        <v>87.7</v>
      </c>
      <c r="GF52" s="8">
        <v>87.2</v>
      </c>
      <c r="GG52" s="8">
        <v>86.32</v>
      </c>
      <c r="GH52" s="8">
        <v>79.2</v>
      </c>
      <c r="GI52" s="8">
        <v>79.5</v>
      </c>
      <c r="GJ52" s="8">
        <v>79.790000000000006</v>
      </c>
      <c r="GK52" s="8">
        <v>78.150000000000006</v>
      </c>
      <c r="GL52" s="8">
        <v>86.32</v>
      </c>
      <c r="GM52" s="8">
        <v>89.8</v>
      </c>
      <c r="GN52" s="8">
        <v>83.14</v>
      </c>
      <c r="GO52" s="8">
        <v>77.959999999999994</v>
      </c>
      <c r="GP52" s="8">
        <v>68.59</v>
      </c>
      <c r="GQ52" s="8">
        <v>84.57</v>
      </c>
      <c r="GR52" s="8">
        <v>84.8</v>
      </c>
      <c r="GS52" s="8">
        <v>69.37</v>
      </c>
      <c r="GT52" s="8">
        <v>76.67</v>
      </c>
      <c r="GU52" s="8">
        <v>82.53</v>
      </c>
      <c r="GV52" s="8">
        <v>81</v>
      </c>
      <c r="GW52" s="8">
        <v>72.45</v>
      </c>
      <c r="GX52" s="8">
        <v>83.98</v>
      </c>
      <c r="HD52" s="8">
        <v>85.1</v>
      </c>
      <c r="HF52" s="8">
        <v>84.39</v>
      </c>
      <c r="HG52" s="8">
        <v>68.97</v>
      </c>
      <c r="HH52" s="8">
        <v>68.97</v>
      </c>
      <c r="HX52" s="8">
        <v>75.2</v>
      </c>
      <c r="HY52" s="8">
        <v>75.2</v>
      </c>
      <c r="IB52" s="8">
        <v>76</v>
      </c>
    </row>
    <row r="53" spans="1:240" x14ac:dyDescent="0.2">
      <c r="A53" s="9">
        <v>44256</v>
      </c>
      <c r="G53" s="8">
        <v>78.06</v>
      </c>
      <c r="W53" s="8">
        <v>80.930000000000007</v>
      </c>
      <c r="X53" s="8">
        <v>75.849999999999994</v>
      </c>
      <c r="Y53" s="8">
        <v>72.72</v>
      </c>
      <c r="AC53" s="8">
        <v>81.739999999999995</v>
      </c>
      <c r="AJ53" s="8">
        <v>83.56</v>
      </c>
      <c r="AK53" s="8">
        <v>74.53</v>
      </c>
      <c r="AO53" s="8">
        <v>91.93</v>
      </c>
      <c r="AP53" s="8">
        <v>93.32</v>
      </c>
      <c r="AQ53" s="8">
        <v>91.37</v>
      </c>
      <c r="AT53" s="8">
        <v>79.3</v>
      </c>
      <c r="AU53" s="8">
        <v>77.040000000000006</v>
      </c>
      <c r="AV53" s="8">
        <v>80.86</v>
      </c>
      <c r="AW53" s="8">
        <v>83.47</v>
      </c>
      <c r="AX53" s="8">
        <v>79.88</v>
      </c>
      <c r="AY53" s="8">
        <v>87.85</v>
      </c>
      <c r="AZ53" s="8">
        <v>86.46</v>
      </c>
      <c r="BA53" s="8">
        <v>88.36</v>
      </c>
      <c r="BB53" s="8">
        <v>87.35</v>
      </c>
      <c r="BC53" s="8">
        <v>86.75</v>
      </c>
      <c r="BD53" s="8">
        <v>89.37</v>
      </c>
      <c r="BE53" s="8">
        <v>88.25</v>
      </c>
      <c r="BF53" s="8">
        <v>78.78</v>
      </c>
      <c r="BG53" s="8">
        <v>78.989999999999995</v>
      </c>
      <c r="BH53" s="8">
        <v>78.69</v>
      </c>
      <c r="BI53" s="8">
        <v>78.489999999999995</v>
      </c>
      <c r="BJ53" s="8">
        <v>82.08</v>
      </c>
      <c r="BK53" s="8">
        <v>83.16</v>
      </c>
      <c r="BL53" s="8">
        <v>81.06</v>
      </c>
      <c r="BM53" s="8">
        <v>78.2</v>
      </c>
      <c r="BN53" s="8">
        <v>66.400000000000006</v>
      </c>
      <c r="BO53" s="8">
        <v>85.34</v>
      </c>
      <c r="BP53" s="8">
        <v>84.35</v>
      </c>
      <c r="BQ53" s="8">
        <v>69.59</v>
      </c>
      <c r="BR53" s="8">
        <v>77.760000000000005</v>
      </c>
      <c r="BS53" s="8">
        <v>81.41</v>
      </c>
      <c r="BT53" s="8">
        <v>81.56</v>
      </c>
      <c r="BU53" s="8">
        <v>71.16</v>
      </c>
      <c r="BV53" s="8">
        <v>83.41</v>
      </c>
      <c r="CB53" s="8">
        <v>81.17</v>
      </c>
      <c r="CD53" s="8">
        <v>84.02</v>
      </c>
      <c r="CE53" s="8">
        <v>67.89</v>
      </c>
      <c r="CF53" s="8">
        <v>67.89</v>
      </c>
      <c r="CV53" s="8">
        <v>86.3</v>
      </c>
      <c r="CW53" s="8">
        <v>86.3</v>
      </c>
      <c r="CZ53" s="8">
        <v>85.06</v>
      </c>
      <c r="DP53" s="8">
        <v>85.39</v>
      </c>
      <c r="DQ53" s="8">
        <v>80.42</v>
      </c>
      <c r="DR53" s="8">
        <v>87.51</v>
      </c>
      <c r="DS53" s="8">
        <v>85.35</v>
      </c>
      <c r="EI53" s="8">
        <v>72.319999999999993</v>
      </c>
      <c r="EY53" s="8">
        <v>76.84</v>
      </c>
      <c r="EZ53" s="8">
        <v>70.69</v>
      </c>
      <c r="FA53" s="8">
        <v>84.39</v>
      </c>
      <c r="FE53" s="8">
        <v>81.94</v>
      </c>
      <c r="FL53" s="8">
        <v>74.319999999999993</v>
      </c>
      <c r="FM53" s="8">
        <v>79.430000000000007</v>
      </c>
      <c r="FQ53" s="8">
        <v>78.02</v>
      </c>
      <c r="FR53" s="8">
        <v>93.32</v>
      </c>
      <c r="FS53" s="8">
        <v>76.760000000000005</v>
      </c>
      <c r="FV53" s="8">
        <v>80.150000000000006</v>
      </c>
      <c r="FW53" s="8">
        <v>79.180000000000007</v>
      </c>
      <c r="FX53" s="8">
        <v>80.17</v>
      </c>
      <c r="FY53" s="8">
        <v>81.489999999999995</v>
      </c>
      <c r="FZ53" s="8">
        <v>82.22</v>
      </c>
      <c r="GA53" s="8">
        <v>87.58</v>
      </c>
      <c r="GB53" s="8">
        <v>87.96</v>
      </c>
      <c r="GC53" s="8">
        <v>87.32</v>
      </c>
      <c r="GD53" s="8">
        <v>88.26</v>
      </c>
      <c r="GE53" s="8">
        <v>87.68</v>
      </c>
      <c r="GF53" s="8">
        <v>88.71</v>
      </c>
      <c r="GG53" s="8">
        <v>84.68</v>
      </c>
      <c r="GH53" s="8">
        <v>79.599999999999994</v>
      </c>
      <c r="GI53" s="8">
        <v>79.900000000000006</v>
      </c>
      <c r="GJ53" s="8">
        <v>79.87</v>
      </c>
      <c r="GK53" s="8">
        <v>78.89</v>
      </c>
      <c r="GL53" s="8">
        <v>84.66</v>
      </c>
      <c r="GM53" s="8">
        <v>86.45</v>
      </c>
      <c r="GN53" s="8">
        <v>82.87</v>
      </c>
      <c r="GO53" s="8">
        <v>78.05</v>
      </c>
      <c r="GP53" s="8">
        <v>68.19</v>
      </c>
      <c r="GQ53" s="8">
        <v>85.62</v>
      </c>
      <c r="GR53" s="8">
        <v>84.65</v>
      </c>
      <c r="GS53" s="8">
        <v>70.12</v>
      </c>
      <c r="GT53" s="8">
        <v>77.22</v>
      </c>
      <c r="GU53" s="8">
        <v>81.290000000000006</v>
      </c>
      <c r="GV53" s="8">
        <v>80.61</v>
      </c>
      <c r="GW53" s="8">
        <v>72.48</v>
      </c>
      <c r="GX53" s="8">
        <v>83.43</v>
      </c>
      <c r="HD53" s="8">
        <v>85.19</v>
      </c>
      <c r="HF53" s="8">
        <v>83.58</v>
      </c>
      <c r="HG53" s="8">
        <v>68.87</v>
      </c>
      <c r="HH53" s="8">
        <v>68.87</v>
      </c>
      <c r="HX53" s="8">
        <v>74.92</v>
      </c>
      <c r="HY53" s="8">
        <v>74.92</v>
      </c>
      <c r="IB53" s="8">
        <v>76</v>
      </c>
    </row>
    <row r="54" spans="1:240" x14ac:dyDescent="0.2">
      <c r="A54" s="9">
        <v>44287</v>
      </c>
      <c r="G54" s="8">
        <v>80.25</v>
      </c>
      <c r="W54" s="8">
        <v>83.91</v>
      </c>
      <c r="X54" s="8">
        <v>78.650000000000006</v>
      </c>
      <c r="Y54" s="8">
        <v>74.87</v>
      </c>
      <c r="AC54" s="8">
        <v>81.56</v>
      </c>
      <c r="AJ54" s="8">
        <v>83.56</v>
      </c>
      <c r="AK54" s="8">
        <v>74.53</v>
      </c>
      <c r="AO54" s="8">
        <v>91.93</v>
      </c>
      <c r="AP54" s="8">
        <v>93.34</v>
      </c>
      <c r="AQ54" s="8">
        <v>91.37</v>
      </c>
      <c r="AT54" s="8">
        <v>79.47</v>
      </c>
      <c r="AU54" s="8">
        <v>77.349999999999994</v>
      </c>
      <c r="AV54" s="8">
        <v>80.709999999999994</v>
      </c>
      <c r="AW54" s="8">
        <v>83.11</v>
      </c>
      <c r="AX54" s="8">
        <v>80.77</v>
      </c>
      <c r="AY54" s="8">
        <v>88.37</v>
      </c>
      <c r="AZ54" s="8">
        <v>89.26</v>
      </c>
      <c r="BA54" s="8">
        <v>86.79</v>
      </c>
      <c r="BB54" s="8">
        <v>87.8</v>
      </c>
      <c r="BC54" s="8">
        <v>87.65</v>
      </c>
      <c r="BD54" s="8">
        <v>89.94</v>
      </c>
      <c r="BE54" s="8">
        <v>86.89</v>
      </c>
      <c r="BF54" s="8">
        <v>79.040000000000006</v>
      </c>
      <c r="BG54" s="8">
        <v>79.39</v>
      </c>
      <c r="BH54" s="8">
        <v>78.290000000000006</v>
      </c>
      <c r="BI54" s="8">
        <v>79.209999999999994</v>
      </c>
      <c r="BJ54" s="8">
        <v>84.48</v>
      </c>
      <c r="BK54" s="8">
        <v>85.51</v>
      </c>
      <c r="BL54" s="8">
        <v>83.5</v>
      </c>
      <c r="BM54" s="8">
        <v>78.319999999999993</v>
      </c>
      <c r="BN54" s="8">
        <v>66.150000000000006</v>
      </c>
      <c r="BO54" s="8">
        <v>85.37</v>
      </c>
      <c r="BP54" s="8">
        <v>83.69</v>
      </c>
      <c r="BQ54" s="8">
        <v>69.709999999999994</v>
      </c>
      <c r="BR54" s="8">
        <v>77.61</v>
      </c>
      <c r="BS54" s="8">
        <v>82.44</v>
      </c>
      <c r="BT54" s="8">
        <v>81.2</v>
      </c>
      <c r="BU54" s="8">
        <v>71.569999999999993</v>
      </c>
      <c r="BV54" s="8">
        <v>82.9</v>
      </c>
      <c r="CB54" s="8">
        <v>79.739999999999995</v>
      </c>
      <c r="CD54" s="8">
        <v>84.14</v>
      </c>
      <c r="CE54" s="8">
        <v>68.09</v>
      </c>
      <c r="CF54" s="8">
        <v>68.09</v>
      </c>
      <c r="CV54" s="8">
        <v>81.709999999999994</v>
      </c>
      <c r="CW54" s="8">
        <v>81.7</v>
      </c>
      <c r="CZ54" s="8">
        <v>85.06</v>
      </c>
      <c r="DP54" s="8">
        <v>85.42</v>
      </c>
      <c r="DQ54" s="8">
        <v>80.930000000000007</v>
      </c>
      <c r="DR54" s="8">
        <v>88.65</v>
      </c>
      <c r="DS54" s="8">
        <v>84.66</v>
      </c>
      <c r="EI54" s="8">
        <v>74.459999999999994</v>
      </c>
      <c r="EY54" s="8">
        <v>85.44</v>
      </c>
      <c r="EZ54" s="8">
        <v>79.33</v>
      </c>
      <c r="FA54" s="8">
        <v>71.02</v>
      </c>
      <c r="FE54" s="8">
        <v>81.61</v>
      </c>
      <c r="FL54" s="8">
        <v>74.319999999999993</v>
      </c>
      <c r="FM54" s="8">
        <v>79.430000000000007</v>
      </c>
      <c r="FQ54" s="8">
        <v>78.02</v>
      </c>
      <c r="FR54" s="8">
        <v>93.34</v>
      </c>
      <c r="FS54" s="8">
        <v>76.760000000000005</v>
      </c>
      <c r="FV54" s="8">
        <v>80.27</v>
      </c>
      <c r="FW54" s="8">
        <v>79.430000000000007</v>
      </c>
      <c r="FX54" s="8">
        <v>79.98</v>
      </c>
      <c r="FY54" s="8">
        <v>81.14</v>
      </c>
      <c r="FZ54" s="8">
        <v>83.1</v>
      </c>
      <c r="GA54" s="8">
        <v>87.94</v>
      </c>
      <c r="GB54" s="8">
        <v>89.88</v>
      </c>
      <c r="GC54" s="8">
        <v>86.26</v>
      </c>
      <c r="GD54" s="8">
        <v>87.45</v>
      </c>
      <c r="GE54" s="8">
        <v>87.89</v>
      </c>
      <c r="GF54" s="8">
        <v>89.31</v>
      </c>
      <c r="GG54" s="8">
        <v>84.89</v>
      </c>
      <c r="GH54" s="8">
        <v>79.59</v>
      </c>
      <c r="GI54" s="8">
        <v>79.72</v>
      </c>
      <c r="GJ54" s="8">
        <v>79.48</v>
      </c>
      <c r="GK54" s="8">
        <v>79.45</v>
      </c>
      <c r="GL54" s="8">
        <v>88.54</v>
      </c>
      <c r="GM54" s="8">
        <v>92.3</v>
      </c>
      <c r="GN54" s="8">
        <v>85.12</v>
      </c>
      <c r="GO54" s="8">
        <v>78.05</v>
      </c>
      <c r="GP54" s="8">
        <v>68.03</v>
      </c>
      <c r="GQ54" s="8">
        <v>85.84</v>
      </c>
      <c r="GR54" s="8">
        <v>83.74</v>
      </c>
      <c r="GS54" s="8">
        <v>70.19</v>
      </c>
      <c r="GT54" s="8">
        <v>76.989999999999995</v>
      </c>
      <c r="GU54" s="8">
        <v>82.39</v>
      </c>
      <c r="GV54" s="8">
        <v>80.459999999999994</v>
      </c>
      <c r="GW54" s="8">
        <v>72.67</v>
      </c>
      <c r="GX54" s="8">
        <v>83.15</v>
      </c>
      <c r="HD54" s="8">
        <v>83.72</v>
      </c>
      <c r="HF54" s="8">
        <v>83.56</v>
      </c>
      <c r="HG54" s="8">
        <v>69.13</v>
      </c>
      <c r="HH54" s="8">
        <v>69.13</v>
      </c>
      <c r="HX54" s="8">
        <v>75.489999999999995</v>
      </c>
      <c r="HY54" s="8">
        <v>75.489999999999995</v>
      </c>
      <c r="IB54" s="8">
        <v>76</v>
      </c>
    </row>
    <row r="55" spans="1:240" x14ac:dyDescent="0.2">
      <c r="A55" s="9">
        <v>44317</v>
      </c>
      <c r="G55" s="8">
        <v>80.790000000000006</v>
      </c>
      <c r="W55" s="8">
        <v>78.319999999999993</v>
      </c>
      <c r="X55" s="8">
        <v>73.19</v>
      </c>
      <c r="Y55" s="8">
        <v>81.260000000000005</v>
      </c>
      <c r="AC55" s="8">
        <v>81.540000000000006</v>
      </c>
      <c r="AJ55" s="8">
        <v>83.56</v>
      </c>
      <c r="AK55" s="8">
        <v>74.53</v>
      </c>
      <c r="AO55" s="8">
        <v>91.61</v>
      </c>
      <c r="AP55" s="8">
        <v>92.04</v>
      </c>
      <c r="AQ55" s="8">
        <v>91.37</v>
      </c>
      <c r="AT55" s="8">
        <v>79.760000000000005</v>
      </c>
      <c r="AU55" s="8">
        <v>77.260000000000005</v>
      </c>
      <c r="AV55" s="8">
        <v>81.349999999999994</v>
      </c>
      <c r="AW55" s="8">
        <v>83.71</v>
      </c>
      <c r="AX55" s="8">
        <v>81.08</v>
      </c>
      <c r="AY55" s="8">
        <v>88.27</v>
      </c>
      <c r="AZ55" s="8">
        <v>90.27</v>
      </c>
      <c r="BA55" s="8">
        <v>86.31</v>
      </c>
      <c r="BB55" s="8">
        <v>84.99</v>
      </c>
      <c r="BC55" s="8">
        <v>86.43</v>
      </c>
      <c r="BD55" s="8">
        <v>90.58</v>
      </c>
      <c r="BE55" s="8">
        <v>88.06</v>
      </c>
      <c r="BF55" s="8">
        <v>79.150000000000006</v>
      </c>
      <c r="BG55" s="8">
        <v>79.239999999999995</v>
      </c>
      <c r="BH55" s="8">
        <v>79.489999999999995</v>
      </c>
      <c r="BI55" s="8">
        <v>78.61</v>
      </c>
      <c r="BJ55" s="8">
        <v>88.81</v>
      </c>
      <c r="BK55" s="8">
        <v>88.51</v>
      </c>
      <c r="BL55" s="8">
        <v>88.83</v>
      </c>
      <c r="BM55" s="8">
        <v>77.989999999999995</v>
      </c>
      <c r="BN55" s="8">
        <v>66.27</v>
      </c>
      <c r="BO55" s="8">
        <v>85.16</v>
      </c>
      <c r="BP55" s="8">
        <v>84.06</v>
      </c>
      <c r="BQ55" s="8">
        <v>70.02</v>
      </c>
      <c r="BR55" s="8">
        <v>77.14</v>
      </c>
      <c r="BS55" s="8">
        <v>81.52</v>
      </c>
      <c r="BT55" s="8">
        <v>82.19</v>
      </c>
      <c r="BU55" s="8">
        <v>71.38</v>
      </c>
      <c r="BV55" s="8">
        <v>84.11</v>
      </c>
      <c r="CB55" s="8">
        <v>79.33</v>
      </c>
      <c r="CD55" s="8">
        <v>82.79</v>
      </c>
      <c r="CE55" s="8">
        <v>68.47</v>
      </c>
      <c r="CF55" s="8">
        <v>68.47</v>
      </c>
      <c r="CV55" s="8">
        <v>86.47</v>
      </c>
      <c r="CW55" s="8">
        <v>86.47</v>
      </c>
      <c r="CZ55" s="8">
        <v>85.06</v>
      </c>
      <c r="DP55" s="8">
        <v>85.42</v>
      </c>
      <c r="DQ55" s="8">
        <v>81.7</v>
      </c>
      <c r="DR55" s="8">
        <v>87.76</v>
      </c>
      <c r="DS55" s="8">
        <v>84.98</v>
      </c>
      <c r="EI55" s="8">
        <v>74.69</v>
      </c>
      <c r="EY55" s="8">
        <v>85.22</v>
      </c>
      <c r="EZ55" s="8">
        <v>78.97</v>
      </c>
      <c r="FA55" s="8">
        <v>75.900000000000006</v>
      </c>
      <c r="FE55" s="8">
        <v>81.31</v>
      </c>
      <c r="FL55" s="8">
        <v>74.319999999999993</v>
      </c>
      <c r="FM55" s="8">
        <v>79.430000000000007</v>
      </c>
      <c r="FQ55" s="8">
        <v>77.92</v>
      </c>
      <c r="FR55" s="8">
        <v>92.04</v>
      </c>
      <c r="FS55" s="8">
        <v>76.760000000000005</v>
      </c>
      <c r="FV55" s="8">
        <v>80.38</v>
      </c>
      <c r="FW55" s="8">
        <v>79.2</v>
      </c>
      <c r="FX55" s="8">
        <v>80.58</v>
      </c>
      <c r="FY55" s="8">
        <v>81.84</v>
      </c>
      <c r="FZ55" s="8">
        <v>82.47</v>
      </c>
      <c r="GA55" s="8">
        <v>88.02</v>
      </c>
      <c r="GB55" s="8">
        <v>91.03</v>
      </c>
      <c r="GC55" s="8">
        <v>86.32</v>
      </c>
      <c r="GD55" s="8">
        <v>86.74</v>
      </c>
      <c r="GE55" s="8">
        <v>87.23</v>
      </c>
      <c r="GF55" s="8">
        <v>89.78</v>
      </c>
      <c r="GG55" s="8">
        <v>84.89</v>
      </c>
      <c r="GH55" s="8">
        <v>79.42</v>
      </c>
      <c r="GI55" s="8">
        <v>79.209999999999994</v>
      </c>
      <c r="GJ55" s="8">
        <v>80.36</v>
      </c>
      <c r="GK55" s="8">
        <v>78.64</v>
      </c>
      <c r="GL55" s="8">
        <v>92.44</v>
      </c>
      <c r="GM55" s="8">
        <v>94.9</v>
      </c>
      <c r="GN55" s="8">
        <v>90.08</v>
      </c>
      <c r="GO55" s="8">
        <v>77.400000000000006</v>
      </c>
      <c r="GP55" s="8">
        <v>67.89</v>
      </c>
      <c r="GQ55" s="8">
        <v>85.34</v>
      </c>
      <c r="GR55" s="8">
        <v>84.01</v>
      </c>
      <c r="GS55" s="8">
        <v>69.680000000000007</v>
      </c>
      <c r="GT55" s="8">
        <v>76.209999999999994</v>
      </c>
      <c r="GU55" s="8">
        <v>81.040000000000006</v>
      </c>
      <c r="GV55" s="8">
        <v>81.08</v>
      </c>
      <c r="GW55" s="8">
        <v>72.47</v>
      </c>
      <c r="GX55" s="8">
        <v>84.07</v>
      </c>
      <c r="HD55" s="8">
        <v>84.65</v>
      </c>
      <c r="HF55" s="8">
        <v>84.24</v>
      </c>
      <c r="HG55" s="8">
        <v>69.53</v>
      </c>
      <c r="HH55" s="8">
        <v>69.53</v>
      </c>
      <c r="HX55" s="8">
        <v>75.599999999999994</v>
      </c>
      <c r="HY55" s="8">
        <v>75.599999999999994</v>
      </c>
      <c r="IB55" s="8">
        <v>76</v>
      </c>
    </row>
    <row r="56" spans="1:240" x14ac:dyDescent="0.2">
      <c r="A56" s="9">
        <v>44348</v>
      </c>
      <c r="G56" s="8">
        <v>81.69</v>
      </c>
      <c r="W56" s="8">
        <v>88.16</v>
      </c>
      <c r="X56" s="8">
        <v>82.38</v>
      </c>
      <c r="Y56" s="8">
        <v>91.35</v>
      </c>
      <c r="AC56" s="8">
        <v>81.739999999999995</v>
      </c>
      <c r="AJ56" s="8">
        <v>83.56</v>
      </c>
      <c r="AK56" s="8">
        <v>74.53</v>
      </c>
      <c r="AO56" s="8">
        <v>90.89</v>
      </c>
      <c r="AP56" s="8">
        <v>92.06</v>
      </c>
      <c r="AQ56" s="8">
        <v>90.4</v>
      </c>
      <c r="AT56" s="8">
        <v>79.31</v>
      </c>
      <c r="AU56" s="8">
        <v>77.27</v>
      </c>
      <c r="AV56" s="8">
        <v>80.650000000000006</v>
      </c>
      <c r="AW56" s="8">
        <v>83.65</v>
      </c>
      <c r="AX56" s="8">
        <v>79.760000000000005</v>
      </c>
      <c r="AY56" s="8">
        <v>88.87</v>
      </c>
      <c r="AZ56" s="8">
        <v>91.51</v>
      </c>
      <c r="BA56" s="8">
        <v>85.99</v>
      </c>
      <c r="BB56" s="8">
        <v>86.67</v>
      </c>
      <c r="BC56" s="8">
        <v>86.47</v>
      </c>
      <c r="BD56" s="8">
        <v>90.06</v>
      </c>
      <c r="BE56" s="8">
        <v>89.2</v>
      </c>
      <c r="BF56" s="8">
        <v>79.44</v>
      </c>
      <c r="BG56" s="8">
        <v>79.55</v>
      </c>
      <c r="BH56" s="8">
        <v>79.39</v>
      </c>
      <c r="BI56" s="8">
        <v>79.260000000000005</v>
      </c>
      <c r="BJ56" s="8">
        <v>86.98</v>
      </c>
      <c r="BK56" s="8">
        <v>82.03</v>
      </c>
      <c r="BL56" s="8">
        <v>90.59</v>
      </c>
      <c r="BM56" s="8">
        <v>78.319999999999993</v>
      </c>
      <c r="BN56" s="8">
        <v>66.11</v>
      </c>
      <c r="BO56" s="8">
        <v>85.53</v>
      </c>
      <c r="BP56" s="8">
        <v>84.09</v>
      </c>
      <c r="BQ56" s="8">
        <v>70.099999999999994</v>
      </c>
      <c r="BR56" s="8">
        <v>77.72</v>
      </c>
      <c r="BS56" s="8">
        <v>81.91</v>
      </c>
      <c r="BT56" s="8">
        <v>82.32</v>
      </c>
      <c r="BU56" s="8">
        <v>71.45</v>
      </c>
      <c r="BV56" s="8">
        <v>84.26</v>
      </c>
      <c r="CB56" s="8">
        <v>79.14</v>
      </c>
      <c r="CD56" s="8">
        <v>85.08</v>
      </c>
      <c r="CE56" s="8">
        <v>68.239999999999995</v>
      </c>
      <c r="CF56" s="8">
        <v>68.239999999999995</v>
      </c>
      <c r="CV56" s="8">
        <v>85.36</v>
      </c>
      <c r="CW56" s="8">
        <v>85.36</v>
      </c>
      <c r="CZ56" s="8">
        <v>85.06</v>
      </c>
      <c r="DP56" s="8">
        <v>85.07</v>
      </c>
      <c r="DQ56" s="8">
        <v>81.06</v>
      </c>
      <c r="DR56" s="8">
        <v>87.52</v>
      </c>
      <c r="DS56" s="8">
        <v>84.63</v>
      </c>
      <c r="EI56" s="8">
        <v>75.790000000000006</v>
      </c>
      <c r="EY56" s="8">
        <v>100.53</v>
      </c>
      <c r="EZ56" s="8">
        <v>93.2</v>
      </c>
      <c r="FA56" s="8">
        <v>88.15</v>
      </c>
      <c r="FE56" s="8">
        <v>81.91</v>
      </c>
      <c r="FL56" s="8">
        <v>74.319999999999993</v>
      </c>
      <c r="FM56" s="8">
        <v>79.430000000000007</v>
      </c>
      <c r="FQ56" s="8">
        <v>76.88</v>
      </c>
      <c r="FR56" s="8">
        <v>92.06</v>
      </c>
      <c r="FS56" s="8">
        <v>75.63</v>
      </c>
      <c r="FV56" s="8">
        <v>80.08</v>
      </c>
      <c r="FW56" s="8">
        <v>79.19</v>
      </c>
      <c r="FX56" s="8">
        <v>79.73</v>
      </c>
      <c r="FY56" s="8">
        <v>82.05</v>
      </c>
      <c r="FZ56" s="8">
        <v>82.5</v>
      </c>
      <c r="GA56" s="8">
        <v>88.08</v>
      </c>
      <c r="GB56" s="8">
        <v>91.22</v>
      </c>
      <c r="GC56" s="8">
        <v>85.75</v>
      </c>
      <c r="GD56" s="8">
        <v>86.65</v>
      </c>
      <c r="GE56" s="8">
        <v>87.47</v>
      </c>
      <c r="GF56" s="8">
        <v>89.09</v>
      </c>
      <c r="GG56" s="8">
        <v>85.77</v>
      </c>
      <c r="GH56" s="8">
        <v>79.64</v>
      </c>
      <c r="GI56" s="8">
        <v>79.97</v>
      </c>
      <c r="GJ56" s="8">
        <v>80.11</v>
      </c>
      <c r="GK56" s="8">
        <v>78.69</v>
      </c>
      <c r="GL56" s="8">
        <v>91.16</v>
      </c>
      <c r="GM56" s="8">
        <v>90.41</v>
      </c>
      <c r="GN56" s="8">
        <v>91.45</v>
      </c>
      <c r="GO56" s="8">
        <v>77.709999999999994</v>
      </c>
      <c r="GP56" s="8">
        <v>68.67</v>
      </c>
      <c r="GQ56" s="8">
        <v>85.98</v>
      </c>
      <c r="GR56" s="8">
        <v>83.92</v>
      </c>
      <c r="GS56" s="8">
        <v>69.48</v>
      </c>
      <c r="GT56" s="8">
        <v>76.739999999999995</v>
      </c>
      <c r="GU56" s="8">
        <v>81.209999999999994</v>
      </c>
      <c r="GV56" s="8">
        <v>80.88</v>
      </c>
      <c r="GW56" s="8">
        <v>72.11</v>
      </c>
      <c r="GX56" s="8">
        <v>83.93</v>
      </c>
      <c r="HD56" s="8">
        <v>84.25</v>
      </c>
      <c r="HF56" s="8">
        <v>83.94</v>
      </c>
      <c r="HG56" s="8">
        <v>69.33</v>
      </c>
      <c r="HH56" s="8">
        <v>69.33</v>
      </c>
      <c r="HX56" s="8">
        <v>76.7</v>
      </c>
      <c r="HY56" s="8">
        <v>76.7</v>
      </c>
      <c r="IB56" s="8">
        <v>76</v>
      </c>
    </row>
    <row r="57" spans="1:240" x14ac:dyDescent="0.2">
      <c r="A57" s="9">
        <v>44378</v>
      </c>
      <c r="G57" s="8">
        <v>84.88</v>
      </c>
      <c r="W57" s="8">
        <v>85</v>
      </c>
      <c r="X57" s="8">
        <v>79.489999999999995</v>
      </c>
      <c r="Y57" s="8">
        <v>85.23</v>
      </c>
      <c r="AC57" s="8">
        <v>82</v>
      </c>
      <c r="AJ57" s="8">
        <v>83.56</v>
      </c>
      <c r="AK57" s="8">
        <v>74.53</v>
      </c>
      <c r="AO57" s="8">
        <v>90.42</v>
      </c>
      <c r="AP57" s="8">
        <v>90.2</v>
      </c>
      <c r="AQ57" s="8">
        <v>90.4</v>
      </c>
      <c r="AT57" s="8">
        <v>79.56</v>
      </c>
      <c r="AU57" s="8">
        <v>77.150000000000006</v>
      </c>
      <c r="AV57" s="8">
        <v>80.8</v>
      </c>
      <c r="AW57" s="8">
        <v>83.78</v>
      </c>
      <c r="AX57" s="8">
        <v>81.45</v>
      </c>
      <c r="AY57" s="8">
        <v>89.24</v>
      </c>
      <c r="AZ57" s="8">
        <v>91.59</v>
      </c>
      <c r="BA57" s="8">
        <v>86.32</v>
      </c>
      <c r="BB57" s="8">
        <v>87.89</v>
      </c>
      <c r="BC57" s="8">
        <v>86.41</v>
      </c>
      <c r="BD57" s="8">
        <v>90.19</v>
      </c>
      <c r="BE57" s="8">
        <v>89.96</v>
      </c>
      <c r="BF57" s="8">
        <v>79.66</v>
      </c>
      <c r="BG57" s="8">
        <v>79.56</v>
      </c>
      <c r="BH57" s="8">
        <v>79.53</v>
      </c>
      <c r="BI57" s="8">
        <v>79.87</v>
      </c>
      <c r="BJ57" s="8">
        <v>85.58</v>
      </c>
      <c r="BK57" s="8">
        <v>81.56</v>
      </c>
      <c r="BL57" s="8">
        <v>88.48</v>
      </c>
      <c r="BM57" s="8">
        <v>79.03</v>
      </c>
      <c r="BN57" s="8">
        <v>66.349999999999994</v>
      </c>
      <c r="BO57" s="8">
        <v>85.28</v>
      </c>
      <c r="BP57" s="8">
        <v>85.14</v>
      </c>
      <c r="BQ57" s="8">
        <v>71.650000000000006</v>
      </c>
      <c r="BR57" s="8">
        <v>78.05</v>
      </c>
      <c r="BS57" s="8">
        <v>82.84</v>
      </c>
      <c r="BT57" s="8">
        <v>82.23</v>
      </c>
      <c r="BU57" s="8">
        <v>71.790000000000006</v>
      </c>
      <c r="BV57" s="8">
        <v>84.08</v>
      </c>
      <c r="CB57" s="8">
        <v>79.760000000000005</v>
      </c>
      <c r="CD57" s="8">
        <v>82.84</v>
      </c>
      <c r="CE57" s="8">
        <v>68.08</v>
      </c>
      <c r="CF57" s="8">
        <v>68.08</v>
      </c>
      <c r="CV57" s="8">
        <v>90.73</v>
      </c>
      <c r="CW57" s="8">
        <v>90.73</v>
      </c>
      <c r="CZ57" s="8">
        <v>85.06</v>
      </c>
      <c r="DP57" s="8">
        <v>85.78</v>
      </c>
      <c r="DQ57" s="8">
        <v>82.05</v>
      </c>
      <c r="DR57" s="8">
        <v>88.02</v>
      </c>
      <c r="DS57" s="8">
        <v>85.39</v>
      </c>
      <c r="EI57" s="8">
        <v>79.64</v>
      </c>
      <c r="EY57" s="8">
        <v>94.11</v>
      </c>
      <c r="EZ57" s="8">
        <v>87.42</v>
      </c>
      <c r="FA57" s="8">
        <v>76.83</v>
      </c>
      <c r="FE57" s="8">
        <v>82.23</v>
      </c>
      <c r="FL57" s="8">
        <v>74.319999999999993</v>
      </c>
      <c r="FM57" s="8">
        <v>79.430000000000007</v>
      </c>
      <c r="FQ57" s="8">
        <v>76.73</v>
      </c>
      <c r="FR57" s="8">
        <v>90.2</v>
      </c>
      <c r="FS57" s="8">
        <v>75.63</v>
      </c>
      <c r="FV57" s="8">
        <v>79.78</v>
      </c>
      <c r="FW57" s="8">
        <v>79.010000000000005</v>
      </c>
      <c r="FX57" s="8">
        <v>79.36</v>
      </c>
      <c r="FY57" s="8">
        <v>81.23</v>
      </c>
      <c r="FZ57" s="8">
        <v>82.36</v>
      </c>
      <c r="GA57" s="8">
        <v>88.13</v>
      </c>
      <c r="GB57" s="8">
        <v>91.57</v>
      </c>
      <c r="GC57" s="8">
        <v>85.29</v>
      </c>
      <c r="GD57" s="8">
        <v>86.61</v>
      </c>
      <c r="GE57" s="8">
        <v>87.61</v>
      </c>
      <c r="GF57" s="8">
        <v>89.06</v>
      </c>
      <c r="GG57" s="8">
        <v>85.77</v>
      </c>
      <c r="GH57" s="8">
        <v>79.81</v>
      </c>
      <c r="GI57" s="8">
        <v>79.91</v>
      </c>
      <c r="GJ57" s="8">
        <v>80.2</v>
      </c>
      <c r="GK57" s="8">
        <v>79.209999999999994</v>
      </c>
      <c r="GL57" s="8">
        <v>88.88</v>
      </c>
      <c r="GM57" s="8">
        <v>88.33</v>
      </c>
      <c r="GN57" s="8">
        <v>89.01</v>
      </c>
      <c r="GO57" s="8">
        <v>78.16</v>
      </c>
      <c r="GP57" s="8">
        <v>68.94</v>
      </c>
      <c r="GQ57" s="8">
        <v>85.15</v>
      </c>
      <c r="GR57" s="8">
        <v>84.69</v>
      </c>
      <c r="GS57" s="8">
        <v>70.94</v>
      </c>
      <c r="GT57" s="8">
        <v>76.8</v>
      </c>
      <c r="GU57" s="8">
        <v>82.08</v>
      </c>
      <c r="GV57" s="8">
        <v>81.150000000000006</v>
      </c>
      <c r="GW57" s="8">
        <v>72.11</v>
      </c>
      <c r="GX57" s="8">
        <v>84.3</v>
      </c>
      <c r="HD57" s="8">
        <v>83.91</v>
      </c>
      <c r="HF57" s="8">
        <v>83.52</v>
      </c>
      <c r="HG57" s="8">
        <v>68.66</v>
      </c>
      <c r="HH57" s="8">
        <v>68.66</v>
      </c>
      <c r="HX57" s="8">
        <v>78.41</v>
      </c>
      <c r="HY57" s="8">
        <v>78.41</v>
      </c>
      <c r="IB57" s="8">
        <v>76</v>
      </c>
    </row>
    <row r="58" spans="1:240" x14ac:dyDescent="0.2">
      <c r="A58" s="9">
        <v>44409</v>
      </c>
      <c r="G58" s="8">
        <v>86.26</v>
      </c>
      <c r="W58" s="8">
        <v>84.81</v>
      </c>
      <c r="X58" s="8">
        <v>79.489999999999995</v>
      </c>
      <c r="Y58" s="8">
        <v>76.19</v>
      </c>
      <c r="AC58" s="8">
        <v>81.47</v>
      </c>
      <c r="AJ58" s="8">
        <v>83.56</v>
      </c>
      <c r="AK58" s="8">
        <v>74.53</v>
      </c>
      <c r="AO58" s="8">
        <v>90.43</v>
      </c>
      <c r="AP58" s="8">
        <v>90.25</v>
      </c>
      <c r="AQ58" s="8">
        <v>90.4</v>
      </c>
      <c r="AT58" s="8">
        <v>80.03</v>
      </c>
      <c r="AU58" s="8">
        <v>77.22</v>
      </c>
      <c r="AV58" s="8">
        <v>81.73</v>
      </c>
      <c r="AW58" s="8">
        <v>83.15</v>
      </c>
      <c r="AX58" s="8">
        <v>82.33</v>
      </c>
      <c r="AY58" s="8">
        <v>89.55</v>
      </c>
      <c r="AZ58" s="8">
        <v>92.04</v>
      </c>
      <c r="BA58" s="8">
        <v>87.33</v>
      </c>
      <c r="BB58" s="8">
        <v>86.76</v>
      </c>
      <c r="BC58" s="8">
        <v>86.39</v>
      </c>
      <c r="BD58" s="8">
        <v>91.44</v>
      </c>
      <c r="BE58" s="8">
        <v>90.06</v>
      </c>
      <c r="BF58" s="8">
        <v>79.900000000000006</v>
      </c>
      <c r="BG58" s="8">
        <v>80.09</v>
      </c>
      <c r="BH58" s="8">
        <v>79.680000000000007</v>
      </c>
      <c r="BI58" s="8">
        <v>79.77</v>
      </c>
      <c r="BJ58" s="8">
        <v>84.53</v>
      </c>
      <c r="BK58" s="8">
        <v>77.989999999999995</v>
      </c>
      <c r="BL58" s="8">
        <v>89.38</v>
      </c>
      <c r="BM58" s="8">
        <v>79.22</v>
      </c>
      <c r="BN58" s="8">
        <v>66.27</v>
      </c>
      <c r="BO58" s="8">
        <v>85.62</v>
      </c>
      <c r="BP58" s="8">
        <v>85.15</v>
      </c>
      <c r="BQ58" s="8">
        <v>71.44</v>
      </c>
      <c r="BR58" s="8">
        <v>78.27</v>
      </c>
      <c r="BS58" s="8">
        <v>83.32</v>
      </c>
      <c r="BT58" s="8">
        <v>83.08</v>
      </c>
      <c r="BU58" s="8">
        <v>71.510000000000005</v>
      </c>
      <c r="BV58" s="8">
        <v>85.14</v>
      </c>
      <c r="CB58" s="8">
        <v>79.41</v>
      </c>
      <c r="CD58" s="8">
        <v>83.37</v>
      </c>
      <c r="CE58" s="8">
        <v>67.849999999999994</v>
      </c>
      <c r="CF58" s="8">
        <v>67.849999999999994</v>
      </c>
      <c r="CV58" s="8">
        <v>91.04</v>
      </c>
      <c r="CW58" s="8">
        <v>91.04</v>
      </c>
      <c r="CZ58" s="8">
        <v>85.06</v>
      </c>
      <c r="DP58" s="8">
        <v>85.91</v>
      </c>
      <c r="DQ58" s="8">
        <v>81.87</v>
      </c>
      <c r="DR58" s="8">
        <v>89.33</v>
      </c>
      <c r="DS58" s="8">
        <v>84.94</v>
      </c>
      <c r="EI58" s="8">
        <v>81.44</v>
      </c>
      <c r="EY58" s="8">
        <v>93.93</v>
      </c>
      <c r="EZ58" s="8">
        <v>87.42</v>
      </c>
      <c r="FA58" s="8">
        <v>71.55</v>
      </c>
      <c r="FE58" s="8">
        <v>81.52</v>
      </c>
      <c r="FL58" s="8">
        <v>74.319999999999993</v>
      </c>
      <c r="FM58" s="8">
        <v>79.430000000000007</v>
      </c>
      <c r="FQ58" s="8">
        <v>76.73</v>
      </c>
      <c r="FR58" s="8">
        <v>90.25</v>
      </c>
      <c r="FS58" s="8">
        <v>75.63</v>
      </c>
      <c r="FV58" s="8">
        <v>80.38</v>
      </c>
      <c r="FW58" s="8">
        <v>78.849999999999994</v>
      </c>
      <c r="FX58" s="8">
        <v>80.37</v>
      </c>
      <c r="FY58" s="8">
        <v>81.680000000000007</v>
      </c>
      <c r="FZ58" s="8">
        <v>83.99</v>
      </c>
      <c r="GA58" s="8">
        <v>88.34</v>
      </c>
      <c r="GB58" s="8">
        <v>90.98</v>
      </c>
      <c r="GC58" s="8">
        <v>86.28</v>
      </c>
      <c r="GD58" s="8">
        <v>86.86</v>
      </c>
      <c r="GE58" s="8">
        <v>87.33</v>
      </c>
      <c r="GF58" s="8">
        <v>90.3</v>
      </c>
      <c r="GG58" s="8">
        <v>86.18</v>
      </c>
      <c r="GH58" s="8">
        <v>79.94</v>
      </c>
      <c r="GI58" s="8">
        <v>79.900000000000006</v>
      </c>
      <c r="GJ58" s="8">
        <v>80.47</v>
      </c>
      <c r="GK58" s="8">
        <v>79.36</v>
      </c>
      <c r="GL58" s="8">
        <v>88.21</v>
      </c>
      <c r="GM58" s="8">
        <v>85.72</v>
      </c>
      <c r="GN58" s="8">
        <v>89.95</v>
      </c>
      <c r="GO58" s="8">
        <v>78.53</v>
      </c>
      <c r="GP58" s="8">
        <v>68.819999999999993</v>
      </c>
      <c r="GQ58" s="8">
        <v>85.46</v>
      </c>
      <c r="GR58" s="8">
        <v>84.92</v>
      </c>
      <c r="GS58" s="8">
        <v>71.069999999999993</v>
      </c>
      <c r="GT58" s="8">
        <v>77.25</v>
      </c>
      <c r="GU58" s="8">
        <v>82.7</v>
      </c>
      <c r="GV58" s="8">
        <v>81.83</v>
      </c>
      <c r="GW58" s="8">
        <v>72.489999999999995</v>
      </c>
      <c r="GX58" s="8">
        <v>85.09</v>
      </c>
      <c r="HD58" s="8">
        <v>84.86</v>
      </c>
      <c r="HF58" s="8">
        <v>82.83</v>
      </c>
      <c r="HG58" s="8">
        <v>68.239999999999995</v>
      </c>
      <c r="HH58" s="8">
        <v>68.239999999999995</v>
      </c>
      <c r="HX58" s="8">
        <v>78.73</v>
      </c>
      <c r="HY58" s="8">
        <v>78.73</v>
      </c>
      <c r="IB58" s="8">
        <v>76</v>
      </c>
    </row>
    <row r="59" spans="1:240" x14ac:dyDescent="0.2">
      <c r="A59" s="9">
        <v>44440</v>
      </c>
      <c r="G59" s="8">
        <v>86.78</v>
      </c>
      <c r="W59" s="8">
        <v>81.430000000000007</v>
      </c>
      <c r="X59" s="8">
        <v>76.069999999999993</v>
      </c>
      <c r="Y59" s="8">
        <v>85.87</v>
      </c>
      <c r="AC59" s="8">
        <v>81.7</v>
      </c>
      <c r="AJ59" s="8">
        <v>83.56</v>
      </c>
      <c r="AK59" s="8">
        <v>74.53</v>
      </c>
      <c r="AO59" s="8">
        <v>91.94</v>
      </c>
      <c r="AP59" s="8">
        <v>90.3</v>
      </c>
      <c r="AQ59" s="8">
        <v>92.39</v>
      </c>
      <c r="AT59" s="8">
        <v>79.84</v>
      </c>
      <c r="AU59" s="8">
        <v>77.510000000000005</v>
      </c>
      <c r="AV59" s="8">
        <v>80.42</v>
      </c>
      <c r="AW59" s="8">
        <v>84.59</v>
      </c>
      <c r="AX59" s="8">
        <v>83.05</v>
      </c>
      <c r="AY59" s="8">
        <v>88.36</v>
      </c>
      <c r="AZ59" s="8">
        <v>90.54</v>
      </c>
      <c r="BA59" s="8">
        <v>87.65</v>
      </c>
      <c r="BB59" s="8">
        <v>83.95</v>
      </c>
      <c r="BC59" s="8">
        <v>87.1</v>
      </c>
      <c r="BD59" s="8">
        <v>90.12</v>
      </c>
      <c r="BE59" s="8">
        <v>87.83</v>
      </c>
      <c r="BF59" s="8">
        <v>79.75</v>
      </c>
      <c r="BG59" s="8">
        <v>79.98</v>
      </c>
      <c r="BH59" s="8">
        <v>79.5</v>
      </c>
      <c r="BI59" s="8">
        <v>79.59</v>
      </c>
      <c r="BJ59" s="8">
        <v>80.58</v>
      </c>
      <c r="BK59" s="8">
        <v>72.09</v>
      </c>
      <c r="BL59" s="8">
        <v>86.94</v>
      </c>
      <c r="BM59" s="8">
        <v>78.81</v>
      </c>
      <c r="BN59" s="8">
        <v>66.05</v>
      </c>
      <c r="BO59" s="8">
        <v>85.9</v>
      </c>
      <c r="BP59" s="8">
        <v>85.06</v>
      </c>
      <c r="BQ59" s="8">
        <v>71.569999999999993</v>
      </c>
      <c r="BR59" s="8">
        <v>77.260000000000005</v>
      </c>
      <c r="BS59" s="8">
        <v>83.18</v>
      </c>
      <c r="BT59" s="8">
        <v>81.59</v>
      </c>
      <c r="BU59" s="8">
        <v>72.53</v>
      </c>
      <c r="BV59" s="8">
        <v>83.18</v>
      </c>
      <c r="CB59" s="8">
        <v>79.900000000000006</v>
      </c>
      <c r="CD59" s="8">
        <v>83.56</v>
      </c>
      <c r="CE59" s="8">
        <v>68.09</v>
      </c>
      <c r="CF59" s="8">
        <v>68.09</v>
      </c>
      <c r="CV59" s="8">
        <v>92.24</v>
      </c>
      <c r="CW59" s="8">
        <v>92.24</v>
      </c>
      <c r="CZ59" s="8">
        <v>85.69</v>
      </c>
      <c r="DP59" s="8">
        <v>86.33</v>
      </c>
      <c r="DQ59" s="8">
        <v>81.34</v>
      </c>
      <c r="DR59" s="8">
        <v>89.85</v>
      </c>
      <c r="DS59" s="8">
        <v>85.52</v>
      </c>
      <c r="EI59" s="8">
        <v>81.93</v>
      </c>
      <c r="EY59" s="8">
        <v>86.82</v>
      </c>
      <c r="EZ59" s="8">
        <v>80.37</v>
      </c>
      <c r="FA59" s="8">
        <v>79.790000000000006</v>
      </c>
      <c r="FE59" s="8">
        <v>81.760000000000005</v>
      </c>
      <c r="FL59" s="8">
        <v>74.319999999999993</v>
      </c>
      <c r="FM59" s="8">
        <v>79.430000000000007</v>
      </c>
      <c r="FQ59" s="8">
        <v>85.69</v>
      </c>
      <c r="FR59" s="8">
        <v>90.3</v>
      </c>
      <c r="FS59" s="8">
        <v>85.38</v>
      </c>
      <c r="FV59" s="8">
        <v>80.069999999999993</v>
      </c>
      <c r="FW59" s="8">
        <v>79.2</v>
      </c>
      <c r="FX59" s="8">
        <v>78.98</v>
      </c>
      <c r="FY59" s="8">
        <v>82.7</v>
      </c>
      <c r="FZ59" s="8">
        <v>83.91</v>
      </c>
      <c r="GA59" s="8">
        <v>88.14</v>
      </c>
      <c r="GB59" s="8">
        <v>90.25</v>
      </c>
      <c r="GC59" s="8">
        <v>86.82</v>
      </c>
      <c r="GD59" s="8">
        <v>86.02</v>
      </c>
      <c r="GE59" s="8">
        <v>87.75</v>
      </c>
      <c r="GF59" s="8">
        <v>89.75</v>
      </c>
      <c r="GG59" s="8">
        <v>86.1</v>
      </c>
      <c r="GH59" s="8">
        <v>79.86</v>
      </c>
      <c r="GI59" s="8">
        <v>79.900000000000006</v>
      </c>
      <c r="GJ59" s="8">
        <v>80.290000000000006</v>
      </c>
      <c r="GK59" s="8">
        <v>79.290000000000006</v>
      </c>
      <c r="GL59" s="8">
        <v>82.97</v>
      </c>
      <c r="GM59" s="8">
        <v>77.5</v>
      </c>
      <c r="GN59" s="8">
        <v>87.18</v>
      </c>
      <c r="GO59" s="8">
        <v>78.23</v>
      </c>
      <c r="GP59" s="8">
        <v>68.63</v>
      </c>
      <c r="GQ59" s="8">
        <v>85.94</v>
      </c>
      <c r="GR59" s="8">
        <v>84.93</v>
      </c>
      <c r="GS59" s="8">
        <v>71.03</v>
      </c>
      <c r="GT59" s="8">
        <v>76.78</v>
      </c>
      <c r="GU59" s="8">
        <v>82.13</v>
      </c>
      <c r="GV59" s="8">
        <v>81.11</v>
      </c>
      <c r="GW59" s="8">
        <v>73.819999999999993</v>
      </c>
      <c r="GX59" s="8">
        <v>83.61</v>
      </c>
      <c r="HD59" s="8">
        <v>83.22</v>
      </c>
      <c r="HF59" s="8">
        <v>82.9</v>
      </c>
      <c r="HG59" s="8">
        <v>68.760000000000005</v>
      </c>
      <c r="HH59" s="8">
        <v>68.760000000000005</v>
      </c>
      <c r="HX59" s="8">
        <v>79.599999999999994</v>
      </c>
      <c r="HY59" s="8">
        <v>79.599999999999994</v>
      </c>
      <c r="IB59" s="8">
        <v>83.7</v>
      </c>
    </row>
    <row r="60" spans="1:240" x14ac:dyDescent="0.2">
      <c r="A60" s="9">
        <v>44470</v>
      </c>
      <c r="G60" s="8">
        <v>92.38</v>
      </c>
      <c r="W60" s="8">
        <v>80.489999999999995</v>
      </c>
      <c r="X60" s="8">
        <v>74.95</v>
      </c>
      <c r="Y60" s="8">
        <v>98.23</v>
      </c>
      <c r="AC60" s="8">
        <v>80.78</v>
      </c>
      <c r="AJ60" s="8">
        <v>83.56</v>
      </c>
      <c r="AK60" s="8">
        <v>74.53</v>
      </c>
      <c r="AO60" s="8">
        <v>91.95</v>
      </c>
      <c r="AP60" s="8">
        <v>90.35</v>
      </c>
      <c r="AQ60" s="8">
        <v>92.39</v>
      </c>
      <c r="AT60" s="8">
        <v>79.77</v>
      </c>
      <c r="AU60" s="8">
        <v>77.19</v>
      </c>
      <c r="AV60" s="8">
        <v>80.88</v>
      </c>
      <c r="AW60" s="8">
        <v>81.83</v>
      </c>
      <c r="AX60" s="8">
        <v>83.57</v>
      </c>
      <c r="AY60" s="8">
        <v>88.6</v>
      </c>
      <c r="AZ60" s="8">
        <v>91.67</v>
      </c>
      <c r="BA60" s="8">
        <v>87.95</v>
      </c>
      <c r="BB60" s="8">
        <v>83.69</v>
      </c>
      <c r="BC60" s="8">
        <v>86.41</v>
      </c>
      <c r="BD60" s="8">
        <v>89.93</v>
      </c>
      <c r="BE60" s="8">
        <v>88.56</v>
      </c>
      <c r="BF60" s="8">
        <v>79.22</v>
      </c>
      <c r="BG60" s="8">
        <v>78.55</v>
      </c>
      <c r="BH60" s="8">
        <v>79.77</v>
      </c>
      <c r="BI60" s="8">
        <v>79.680000000000007</v>
      </c>
      <c r="BJ60" s="8">
        <v>80.95</v>
      </c>
      <c r="BK60" s="8">
        <v>74.13</v>
      </c>
      <c r="BL60" s="8">
        <v>85.97</v>
      </c>
      <c r="BM60" s="8">
        <v>79.33</v>
      </c>
      <c r="BN60" s="8">
        <v>66.290000000000006</v>
      </c>
      <c r="BO60" s="8">
        <v>85.97</v>
      </c>
      <c r="BP60" s="8">
        <v>85.64</v>
      </c>
      <c r="BQ60" s="8">
        <v>71.55</v>
      </c>
      <c r="BR60" s="8">
        <v>78.16</v>
      </c>
      <c r="BS60" s="8">
        <v>83.48</v>
      </c>
      <c r="BT60" s="8">
        <v>81.8</v>
      </c>
      <c r="BU60" s="8">
        <v>73.27</v>
      </c>
      <c r="BV60" s="8">
        <v>83.29</v>
      </c>
      <c r="CB60" s="8">
        <v>80.97</v>
      </c>
      <c r="CD60" s="8">
        <v>83.09</v>
      </c>
      <c r="CE60" s="8">
        <v>68.709999999999994</v>
      </c>
      <c r="CF60" s="8">
        <v>68.709999999999994</v>
      </c>
      <c r="CV60" s="8">
        <v>90.32</v>
      </c>
      <c r="CW60" s="8">
        <v>90.32</v>
      </c>
      <c r="CZ60" s="8">
        <v>85.69</v>
      </c>
      <c r="DC60" s="8">
        <v>101.44</v>
      </c>
      <c r="DD60" s="8">
        <v>85.34</v>
      </c>
      <c r="DP60" s="8">
        <v>86.72</v>
      </c>
      <c r="DQ60" s="8">
        <v>82.36</v>
      </c>
      <c r="DR60" s="8">
        <v>88.99</v>
      </c>
      <c r="DS60" s="8">
        <v>86.45</v>
      </c>
      <c r="EI60" s="8">
        <v>86.1</v>
      </c>
      <c r="EY60" s="8">
        <v>70.42</v>
      </c>
      <c r="EZ60" s="8">
        <v>64.17</v>
      </c>
      <c r="FA60" s="8">
        <v>94.32</v>
      </c>
      <c r="FE60" s="8">
        <v>80.819999999999993</v>
      </c>
      <c r="FL60" s="8">
        <v>74.319999999999993</v>
      </c>
      <c r="FM60" s="8">
        <v>79.430000000000007</v>
      </c>
      <c r="FQ60" s="8">
        <v>85.69</v>
      </c>
      <c r="FR60" s="8">
        <v>90.35</v>
      </c>
      <c r="FS60" s="8">
        <v>85.38</v>
      </c>
      <c r="FV60" s="8">
        <v>80.23</v>
      </c>
      <c r="FW60" s="8">
        <v>78.930000000000007</v>
      </c>
      <c r="FX60" s="8">
        <v>79.81</v>
      </c>
      <c r="FY60" s="8">
        <v>80.39</v>
      </c>
      <c r="FZ60" s="8">
        <v>84.83</v>
      </c>
      <c r="GA60" s="8">
        <v>87.89</v>
      </c>
      <c r="GB60" s="8">
        <v>90.19</v>
      </c>
      <c r="GC60" s="8">
        <v>86.92</v>
      </c>
      <c r="GD60" s="8">
        <v>85.96</v>
      </c>
      <c r="GE60" s="8">
        <v>86.91</v>
      </c>
      <c r="GF60" s="8">
        <v>89.47</v>
      </c>
      <c r="GG60" s="8">
        <v>86.08</v>
      </c>
      <c r="GH60" s="8">
        <v>80.02</v>
      </c>
      <c r="GI60" s="8">
        <v>79.53</v>
      </c>
      <c r="GJ60" s="8">
        <v>80.66</v>
      </c>
      <c r="GK60" s="8">
        <v>79.88</v>
      </c>
      <c r="GL60" s="8">
        <v>83.41</v>
      </c>
      <c r="GM60" s="8">
        <v>78.489999999999995</v>
      </c>
      <c r="GN60" s="8">
        <v>87.16</v>
      </c>
      <c r="GO60" s="8">
        <v>78.87</v>
      </c>
      <c r="GP60" s="8">
        <v>68.91</v>
      </c>
      <c r="GQ60" s="8">
        <v>86.13</v>
      </c>
      <c r="GR60" s="8">
        <v>85.34</v>
      </c>
      <c r="GS60" s="8">
        <v>71.290000000000006</v>
      </c>
      <c r="GT60" s="8">
        <v>77.64</v>
      </c>
      <c r="GU60" s="8">
        <v>82.95</v>
      </c>
      <c r="GV60" s="8">
        <v>81.34</v>
      </c>
      <c r="GW60" s="8">
        <v>74.510000000000005</v>
      </c>
      <c r="GX60" s="8">
        <v>83.68</v>
      </c>
      <c r="HD60" s="8">
        <v>84.84</v>
      </c>
      <c r="HF60" s="8">
        <v>84.04</v>
      </c>
      <c r="HG60" s="8">
        <v>69.38</v>
      </c>
      <c r="HH60" s="8">
        <v>69.38</v>
      </c>
      <c r="HX60" s="8">
        <v>79.849999999999994</v>
      </c>
      <c r="HY60" s="8">
        <v>79.849999999999994</v>
      </c>
      <c r="IB60" s="8">
        <v>83.7</v>
      </c>
      <c r="IE60" s="8">
        <v>82.83</v>
      </c>
      <c r="IF60" s="8">
        <v>75.260000000000005</v>
      </c>
    </row>
    <row r="61" spans="1:240" x14ac:dyDescent="0.2">
      <c r="A61" s="9">
        <v>44501</v>
      </c>
      <c r="G61" s="8">
        <v>98.53</v>
      </c>
      <c r="W61" s="8">
        <v>80.33</v>
      </c>
      <c r="X61" s="8">
        <v>74.790000000000006</v>
      </c>
      <c r="Y61" s="8">
        <v>98.51</v>
      </c>
      <c r="AC61" s="8">
        <v>81.45</v>
      </c>
      <c r="AJ61" s="8">
        <v>83.56</v>
      </c>
      <c r="AK61" s="8">
        <v>74.53</v>
      </c>
      <c r="AO61" s="8">
        <v>92.05</v>
      </c>
      <c r="AP61" s="8">
        <v>90.82</v>
      </c>
      <c r="AQ61" s="8">
        <v>92.39</v>
      </c>
      <c r="AT61" s="8">
        <v>80.66</v>
      </c>
      <c r="AU61" s="8">
        <v>78.03</v>
      </c>
      <c r="AV61" s="8">
        <v>81.7</v>
      </c>
      <c r="AW61" s="8">
        <v>83.53</v>
      </c>
      <c r="AX61" s="8">
        <v>84.39</v>
      </c>
      <c r="AY61" s="8">
        <v>89.75</v>
      </c>
      <c r="AZ61" s="8">
        <v>92.45</v>
      </c>
      <c r="BA61" s="8">
        <v>90.27</v>
      </c>
      <c r="BB61" s="8">
        <v>87.06</v>
      </c>
      <c r="BC61" s="8">
        <v>84.85</v>
      </c>
      <c r="BD61" s="8">
        <v>90.69</v>
      </c>
      <c r="BE61" s="8">
        <v>90.21</v>
      </c>
      <c r="BF61" s="8">
        <v>80.650000000000006</v>
      </c>
      <c r="BG61" s="8">
        <v>79.739999999999995</v>
      </c>
      <c r="BH61" s="8">
        <v>81.67</v>
      </c>
      <c r="BI61" s="8">
        <v>81.010000000000005</v>
      </c>
      <c r="BJ61" s="8">
        <v>83.82</v>
      </c>
      <c r="BK61" s="8">
        <v>79.58</v>
      </c>
      <c r="BL61" s="8">
        <v>86.75</v>
      </c>
      <c r="BM61" s="8">
        <v>79.94</v>
      </c>
      <c r="BN61" s="8">
        <v>66.81</v>
      </c>
      <c r="BO61" s="8">
        <v>86.22</v>
      </c>
      <c r="BP61" s="8">
        <v>86.11</v>
      </c>
      <c r="BQ61" s="8">
        <v>72.819999999999993</v>
      </c>
      <c r="BR61" s="8">
        <v>78.150000000000006</v>
      </c>
      <c r="BS61" s="8">
        <v>84.83</v>
      </c>
      <c r="BT61" s="8">
        <v>81.34</v>
      </c>
      <c r="BU61" s="8">
        <v>72.58</v>
      </c>
      <c r="BV61" s="8">
        <v>82.88</v>
      </c>
      <c r="CB61" s="8">
        <v>80.98</v>
      </c>
      <c r="CD61" s="8">
        <v>83.61</v>
      </c>
      <c r="CE61" s="8">
        <v>68.959999999999994</v>
      </c>
      <c r="CF61" s="8">
        <v>68.959999999999994</v>
      </c>
      <c r="CV61" s="8">
        <v>92.64</v>
      </c>
      <c r="CW61" s="8">
        <v>92.64</v>
      </c>
      <c r="CZ61" s="8">
        <v>85.69</v>
      </c>
      <c r="DC61" s="8">
        <v>101.44</v>
      </c>
      <c r="DD61" s="8">
        <v>85.34</v>
      </c>
      <c r="DP61" s="8">
        <v>87.11</v>
      </c>
      <c r="DQ61" s="8">
        <v>82.69</v>
      </c>
      <c r="DR61" s="8">
        <v>88.75</v>
      </c>
      <c r="DS61" s="8">
        <v>87.19</v>
      </c>
      <c r="EI61" s="8">
        <v>90.52</v>
      </c>
      <c r="EY61" s="8">
        <v>74.67</v>
      </c>
      <c r="EZ61" s="8">
        <v>68.23</v>
      </c>
      <c r="FA61" s="8">
        <v>94.63</v>
      </c>
      <c r="FE61" s="8">
        <v>81.459999999999994</v>
      </c>
      <c r="FL61" s="8">
        <v>74.319999999999993</v>
      </c>
      <c r="FM61" s="8">
        <v>79.430000000000007</v>
      </c>
      <c r="FQ61" s="8">
        <v>85.72</v>
      </c>
      <c r="FR61" s="8">
        <v>90.82</v>
      </c>
      <c r="FS61" s="8">
        <v>85.38</v>
      </c>
      <c r="FV61" s="8">
        <v>80.930000000000007</v>
      </c>
      <c r="FW61" s="8">
        <v>79.569999999999993</v>
      </c>
      <c r="FX61" s="8">
        <v>80.739999999999995</v>
      </c>
      <c r="FY61" s="8">
        <v>81.93</v>
      </c>
      <c r="FZ61" s="8">
        <v>84.64</v>
      </c>
      <c r="GA61" s="8">
        <v>88.01</v>
      </c>
      <c r="GB61" s="8">
        <v>90.65</v>
      </c>
      <c r="GC61" s="8">
        <v>87.73</v>
      </c>
      <c r="GD61" s="8">
        <v>85.14</v>
      </c>
      <c r="GE61" s="8">
        <v>86.63</v>
      </c>
      <c r="GF61" s="8">
        <v>89.79</v>
      </c>
      <c r="GG61" s="8">
        <v>86.45</v>
      </c>
      <c r="GH61" s="8">
        <v>80.83</v>
      </c>
      <c r="GI61" s="8">
        <v>79.64</v>
      </c>
      <c r="GJ61" s="8">
        <v>82.42</v>
      </c>
      <c r="GK61" s="8">
        <v>80.599999999999994</v>
      </c>
      <c r="GL61" s="8">
        <v>86.09</v>
      </c>
      <c r="GM61" s="8">
        <v>82.35</v>
      </c>
      <c r="GN61" s="8">
        <v>88.87</v>
      </c>
      <c r="GO61" s="8">
        <v>78.88</v>
      </c>
      <c r="GP61" s="8">
        <v>67.72</v>
      </c>
      <c r="GQ61" s="8">
        <v>85.88</v>
      </c>
      <c r="GR61" s="8">
        <v>85.54</v>
      </c>
      <c r="GS61" s="8">
        <v>72.13</v>
      </c>
      <c r="GT61" s="8">
        <v>77.05</v>
      </c>
      <c r="GU61" s="8">
        <v>84.15</v>
      </c>
      <c r="GV61" s="8">
        <v>80.900000000000006</v>
      </c>
      <c r="GW61" s="8">
        <v>73.42</v>
      </c>
      <c r="GX61" s="8">
        <v>83.46</v>
      </c>
      <c r="HD61" s="8">
        <v>85.02</v>
      </c>
      <c r="HF61" s="8">
        <v>84.72</v>
      </c>
      <c r="HG61" s="8">
        <v>69.83</v>
      </c>
      <c r="HH61" s="8">
        <v>69.83</v>
      </c>
      <c r="HX61" s="8">
        <v>80.459999999999994</v>
      </c>
      <c r="HY61" s="8">
        <v>80.459999999999994</v>
      </c>
      <c r="IB61" s="8">
        <v>83.7</v>
      </c>
      <c r="IE61" s="8">
        <v>82.83</v>
      </c>
      <c r="IF61" s="8">
        <v>75.260000000000005</v>
      </c>
    </row>
    <row r="62" spans="1:240" x14ac:dyDescent="0.2">
      <c r="A62" s="9">
        <v>44531</v>
      </c>
      <c r="G62" s="8">
        <v>99.11</v>
      </c>
      <c r="W62" s="8">
        <v>98.34</v>
      </c>
      <c r="X62" s="8">
        <v>91.95</v>
      </c>
      <c r="Y62" s="8">
        <v>98.73</v>
      </c>
      <c r="AC62" s="8">
        <v>83.78</v>
      </c>
      <c r="AJ62" s="8">
        <v>83.56</v>
      </c>
      <c r="AK62" s="8">
        <v>74.53</v>
      </c>
      <c r="AO62" s="8">
        <v>91.83</v>
      </c>
      <c r="AP62" s="8">
        <v>90.96</v>
      </c>
      <c r="AQ62" s="8">
        <v>92.08</v>
      </c>
      <c r="AT62" s="8">
        <v>81.19</v>
      </c>
      <c r="AU62" s="8">
        <v>78.319999999999993</v>
      </c>
      <c r="AV62" s="8">
        <v>82.1</v>
      </c>
      <c r="AW62" s="8">
        <v>85.25</v>
      </c>
      <c r="AX62" s="8">
        <v>85.38</v>
      </c>
      <c r="AY62" s="8">
        <v>89.77</v>
      </c>
      <c r="AZ62" s="8">
        <v>93.85</v>
      </c>
      <c r="BA62" s="8">
        <v>87.59</v>
      </c>
      <c r="BB62" s="8">
        <v>88.05</v>
      </c>
      <c r="BC62" s="8">
        <v>85.6</v>
      </c>
      <c r="BD62" s="8">
        <v>90.63</v>
      </c>
      <c r="BE62" s="8">
        <v>89.09</v>
      </c>
      <c r="BF62" s="8">
        <v>82.6</v>
      </c>
      <c r="BG62" s="8">
        <v>83.27</v>
      </c>
      <c r="BH62" s="8">
        <v>81.47</v>
      </c>
      <c r="BI62" s="8">
        <v>82.67</v>
      </c>
      <c r="BJ62" s="8">
        <v>87.25</v>
      </c>
      <c r="BK62" s="8">
        <v>83.65</v>
      </c>
      <c r="BL62" s="8">
        <v>89.64</v>
      </c>
      <c r="BM62" s="8">
        <v>80.34</v>
      </c>
      <c r="BN62" s="8">
        <v>67.2</v>
      </c>
      <c r="BO62" s="8">
        <v>86.99</v>
      </c>
      <c r="BP62" s="8">
        <v>85.01</v>
      </c>
      <c r="BQ62" s="8">
        <v>72.48</v>
      </c>
      <c r="BR62" s="8">
        <v>78.53</v>
      </c>
      <c r="BS62" s="8">
        <v>86.42</v>
      </c>
      <c r="BT62" s="8">
        <v>81.53</v>
      </c>
      <c r="BU62" s="8">
        <v>74.33</v>
      </c>
      <c r="BV62" s="8">
        <v>82.78</v>
      </c>
      <c r="CB62" s="8">
        <v>81.28</v>
      </c>
      <c r="CD62" s="8">
        <v>85.25</v>
      </c>
      <c r="CE62" s="8">
        <v>69.05</v>
      </c>
      <c r="CF62" s="8">
        <v>69.05</v>
      </c>
      <c r="CV62" s="8">
        <v>93.45</v>
      </c>
      <c r="CW62" s="8">
        <v>93.45</v>
      </c>
      <c r="CZ62" s="8">
        <v>85.69</v>
      </c>
      <c r="DC62" s="8">
        <v>101.44</v>
      </c>
      <c r="DD62" s="8">
        <v>87.2</v>
      </c>
      <c r="DP62" s="8">
        <v>88.59</v>
      </c>
      <c r="DQ62" s="8">
        <v>85.7</v>
      </c>
      <c r="DR62" s="8">
        <v>90.48</v>
      </c>
      <c r="DS62" s="8">
        <v>88.21</v>
      </c>
      <c r="EI62" s="8">
        <v>90.46</v>
      </c>
      <c r="EY62" s="8">
        <v>77.64</v>
      </c>
      <c r="EZ62" s="8">
        <v>71.069999999999993</v>
      </c>
      <c r="FA62" s="8">
        <v>94.83</v>
      </c>
      <c r="FE62" s="8">
        <v>83.81</v>
      </c>
      <c r="FL62" s="8">
        <v>74.319999999999993</v>
      </c>
      <c r="FM62" s="8">
        <v>79.430000000000007</v>
      </c>
      <c r="FQ62" s="8">
        <v>87.32</v>
      </c>
      <c r="FR62" s="8">
        <v>90.96</v>
      </c>
      <c r="FS62" s="8">
        <v>87.08</v>
      </c>
      <c r="FV62" s="8">
        <v>81.599999999999994</v>
      </c>
      <c r="FW62" s="8">
        <v>80.040000000000006</v>
      </c>
      <c r="FX62" s="8">
        <v>81.03</v>
      </c>
      <c r="FY62" s="8">
        <v>84.05</v>
      </c>
      <c r="FZ62" s="8">
        <v>85.96</v>
      </c>
      <c r="GA62" s="8">
        <v>88.74</v>
      </c>
      <c r="GB62" s="8">
        <v>92.41</v>
      </c>
      <c r="GC62" s="8">
        <v>86.97</v>
      </c>
      <c r="GD62" s="8">
        <v>86.4</v>
      </c>
      <c r="GE62" s="8">
        <v>87.07</v>
      </c>
      <c r="GF62" s="8">
        <v>90.41</v>
      </c>
      <c r="GG62" s="8">
        <v>87</v>
      </c>
      <c r="GH62" s="8">
        <v>82.92</v>
      </c>
      <c r="GI62" s="8">
        <v>83.26</v>
      </c>
      <c r="GJ62" s="8">
        <v>82.48</v>
      </c>
      <c r="GK62" s="8">
        <v>82.89</v>
      </c>
      <c r="GL62" s="8">
        <v>88.37</v>
      </c>
      <c r="GM62" s="8">
        <v>84.27</v>
      </c>
      <c r="GN62" s="8">
        <v>91.44</v>
      </c>
      <c r="GO62" s="8">
        <v>79.319999999999993</v>
      </c>
      <c r="GP62" s="8">
        <v>68.09</v>
      </c>
      <c r="GQ62" s="8">
        <v>86.77</v>
      </c>
      <c r="GR62" s="8">
        <v>84.66</v>
      </c>
      <c r="GS62" s="8">
        <v>71.290000000000006</v>
      </c>
      <c r="GT62" s="8">
        <v>77.67</v>
      </c>
      <c r="GU62" s="8">
        <v>85.88</v>
      </c>
      <c r="GV62" s="8">
        <v>80.95</v>
      </c>
      <c r="GW62" s="8">
        <v>74.849999999999994</v>
      </c>
      <c r="GX62" s="8">
        <v>83.03</v>
      </c>
      <c r="HD62" s="8">
        <v>84.3</v>
      </c>
      <c r="HF62" s="8">
        <v>84.47</v>
      </c>
      <c r="HG62" s="8">
        <v>70.12</v>
      </c>
      <c r="HH62" s="8">
        <v>70.12</v>
      </c>
      <c r="HX62" s="8">
        <v>83.32</v>
      </c>
      <c r="HY62" s="8">
        <v>83.32</v>
      </c>
      <c r="IB62" s="8">
        <v>83.7</v>
      </c>
      <c r="IE62" s="8">
        <v>83.25</v>
      </c>
      <c r="IF62" s="8">
        <v>75.260000000000005</v>
      </c>
    </row>
    <row r="63" spans="1:240" x14ac:dyDescent="0.2">
      <c r="A63" s="9">
        <v>44562</v>
      </c>
      <c r="G63" s="8">
        <v>99.8</v>
      </c>
      <c r="W63" s="8">
        <v>96.02</v>
      </c>
      <c r="X63" s="8">
        <v>90.15</v>
      </c>
      <c r="Y63" s="8">
        <v>75.64</v>
      </c>
      <c r="AC63" s="8">
        <v>85.24</v>
      </c>
      <c r="AJ63" s="8">
        <v>83.56</v>
      </c>
      <c r="AK63" s="8">
        <v>74.53</v>
      </c>
      <c r="AO63" s="8">
        <v>91.8</v>
      </c>
      <c r="AP63" s="8">
        <v>90.82</v>
      </c>
      <c r="AQ63" s="8">
        <v>92.08</v>
      </c>
      <c r="AT63" s="8">
        <v>81.77</v>
      </c>
      <c r="AU63" s="8">
        <v>78.34</v>
      </c>
      <c r="AV63" s="8">
        <v>83.39</v>
      </c>
      <c r="AW63" s="8">
        <v>85.89</v>
      </c>
      <c r="AX63" s="8">
        <v>85.53</v>
      </c>
      <c r="AY63" s="8">
        <v>93.96</v>
      </c>
      <c r="AZ63" s="8">
        <v>99.66</v>
      </c>
      <c r="BA63" s="8">
        <v>91.95</v>
      </c>
      <c r="BB63" s="8">
        <v>93.52</v>
      </c>
      <c r="BC63" s="8">
        <v>88.19</v>
      </c>
      <c r="BD63" s="8">
        <v>94.81</v>
      </c>
      <c r="BE63" s="8">
        <v>91.37</v>
      </c>
      <c r="BF63" s="8">
        <v>82.28</v>
      </c>
      <c r="BG63" s="8">
        <v>83.09</v>
      </c>
      <c r="BH63" s="8">
        <v>80.92</v>
      </c>
      <c r="BI63" s="8">
        <v>82.36</v>
      </c>
      <c r="BJ63" s="8">
        <v>88.06</v>
      </c>
      <c r="BK63" s="8">
        <v>83.11</v>
      </c>
      <c r="BL63" s="8">
        <v>91.54</v>
      </c>
      <c r="BM63" s="8">
        <v>81.88</v>
      </c>
      <c r="BN63" s="8">
        <v>66.5</v>
      </c>
      <c r="BO63" s="8">
        <v>86.88</v>
      </c>
      <c r="BP63" s="8">
        <v>87.5</v>
      </c>
      <c r="BQ63" s="8">
        <v>74.78</v>
      </c>
      <c r="BR63" s="8">
        <v>80.569999999999993</v>
      </c>
      <c r="BS63" s="8">
        <v>87.23</v>
      </c>
      <c r="BT63" s="8">
        <v>84.4</v>
      </c>
      <c r="BU63" s="8">
        <v>77.95</v>
      </c>
      <c r="BV63" s="8">
        <v>85.51</v>
      </c>
      <c r="CB63" s="8">
        <v>81.64</v>
      </c>
      <c r="CD63" s="8">
        <v>85.22</v>
      </c>
      <c r="CE63" s="8">
        <v>69.290000000000006</v>
      </c>
      <c r="CF63" s="8">
        <v>69.290000000000006</v>
      </c>
      <c r="CV63" s="8">
        <v>93.06</v>
      </c>
      <c r="CW63" s="8">
        <v>93.06</v>
      </c>
      <c r="CZ63" s="8">
        <v>85.69</v>
      </c>
      <c r="DC63" s="8">
        <v>101.44</v>
      </c>
      <c r="DD63" s="8">
        <v>87.2</v>
      </c>
      <c r="DP63" s="8">
        <v>90.17</v>
      </c>
      <c r="DQ63" s="8">
        <v>85.94</v>
      </c>
      <c r="DR63" s="8">
        <v>91.93</v>
      </c>
      <c r="DS63" s="8">
        <v>90.15</v>
      </c>
      <c r="EI63" s="8">
        <v>91.09</v>
      </c>
      <c r="EY63" s="8">
        <v>72.790000000000006</v>
      </c>
      <c r="EZ63" s="8">
        <v>67.06</v>
      </c>
      <c r="FA63" s="8">
        <v>76.31</v>
      </c>
      <c r="FE63" s="8">
        <v>85.49</v>
      </c>
      <c r="FL63" s="8">
        <v>74.319999999999993</v>
      </c>
      <c r="FM63" s="8">
        <v>79.430000000000007</v>
      </c>
      <c r="FQ63" s="8">
        <v>87.32</v>
      </c>
      <c r="FR63" s="8">
        <v>90.82</v>
      </c>
      <c r="FS63" s="8">
        <v>87.08</v>
      </c>
      <c r="FV63" s="8">
        <v>82.08</v>
      </c>
      <c r="FW63" s="8">
        <v>79.95</v>
      </c>
      <c r="FX63" s="8">
        <v>82.32</v>
      </c>
      <c r="FY63" s="8">
        <v>83.66</v>
      </c>
      <c r="FZ63" s="8">
        <v>86.34</v>
      </c>
      <c r="GA63" s="8">
        <v>91.66</v>
      </c>
      <c r="GB63" s="8">
        <v>96.82</v>
      </c>
      <c r="GC63" s="8">
        <v>88.95</v>
      </c>
      <c r="GD63" s="8">
        <v>91</v>
      </c>
      <c r="GE63" s="8">
        <v>89.75</v>
      </c>
      <c r="GF63" s="8">
        <v>93.39</v>
      </c>
      <c r="GG63" s="8">
        <v>87.74</v>
      </c>
      <c r="GH63" s="8">
        <v>82.34</v>
      </c>
      <c r="GI63" s="8">
        <v>83.06</v>
      </c>
      <c r="GJ63" s="8">
        <v>81.62</v>
      </c>
      <c r="GK63" s="8">
        <v>82.12</v>
      </c>
      <c r="GL63" s="8">
        <v>90</v>
      </c>
      <c r="GM63" s="8">
        <v>85.42</v>
      </c>
      <c r="GN63" s="8">
        <v>93.46</v>
      </c>
      <c r="GO63" s="8">
        <v>80.94</v>
      </c>
      <c r="GP63" s="8">
        <v>68.5</v>
      </c>
      <c r="GQ63" s="8">
        <v>86.77</v>
      </c>
      <c r="GR63" s="8">
        <v>87.17</v>
      </c>
      <c r="GS63" s="8">
        <v>73.22</v>
      </c>
      <c r="GT63" s="8">
        <v>79.989999999999995</v>
      </c>
      <c r="GU63" s="8">
        <v>86.12</v>
      </c>
      <c r="GV63" s="8">
        <v>83.21</v>
      </c>
      <c r="GW63" s="8">
        <v>77.83</v>
      </c>
      <c r="GX63" s="8">
        <v>85.02</v>
      </c>
      <c r="HD63" s="8">
        <v>84.2</v>
      </c>
      <c r="HF63" s="8">
        <v>85.08</v>
      </c>
      <c r="HG63" s="8">
        <v>70.290000000000006</v>
      </c>
      <c r="HH63" s="8">
        <v>70.290000000000006</v>
      </c>
      <c r="HX63" s="8">
        <v>81.319999999999993</v>
      </c>
      <c r="HY63" s="8">
        <v>81.319999999999993</v>
      </c>
      <c r="IB63" s="8">
        <v>83.7</v>
      </c>
      <c r="IE63" s="8">
        <v>88.02</v>
      </c>
      <c r="IF63" s="8">
        <v>75.260000000000005</v>
      </c>
    </row>
    <row r="64" spans="1:240" x14ac:dyDescent="0.2">
      <c r="A64" s="9">
        <v>44593</v>
      </c>
      <c r="G64" s="8">
        <v>104.68</v>
      </c>
      <c r="W64" s="8">
        <v>86.04</v>
      </c>
      <c r="X64" s="8">
        <v>80.75</v>
      </c>
      <c r="Y64" s="8">
        <v>69.239999999999995</v>
      </c>
      <c r="AC64" s="8">
        <v>84.87</v>
      </c>
      <c r="AJ64" s="8">
        <v>86.22</v>
      </c>
      <c r="AK64" s="8">
        <v>80.069999999999993</v>
      </c>
      <c r="AO64" s="8">
        <v>91.81</v>
      </c>
      <c r="AP64" s="8">
        <v>90.87</v>
      </c>
      <c r="AQ64" s="8">
        <v>92.08</v>
      </c>
      <c r="AT64" s="8">
        <v>82.03</v>
      </c>
      <c r="AU64" s="8">
        <v>79.290000000000006</v>
      </c>
      <c r="AV64" s="8">
        <v>83.05</v>
      </c>
      <c r="AW64" s="8">
        <v>81.89</v>
      </c>
      <c r="AX64" s="8">
        <v>87.78</v>
      </c>
      <c r="AY64" s="8">
        <v>93.6</v>
      </c>
      <c r="AZ64" s="8">
        <v>93.55</v>
      </c>
      <c r="BA64" s="8">
        <v>93.32</v>
      </c>
      <c r="BB64" s="8">
        <v>92.6</v>
      </c>
      <c r="BC64" s="8">
        <v>91.01</v>
      </c>
      <c r="BD64" s="8">
        <v>95.7</v>
      </c>
      <c r="BE64" s="8">
        <v>93.59</v>
      </c>
      <c r="BF64" s="8">
        <v>82.84</v>
      </c>
      <c r="BG64" s="8">
        <v>82.99</v>
      </c>
      <c r="BH64" s="8">
        <v>81.22</v>
      </c>
      <c r="BI64" s="8">
        <v>84.34</v>
      </c>
      <c r="BJ64" s="8">
        <v>88.59</v>
      </c>
      <c r="BK64" s="8">
        <v>85.82</v>
      </c>
      <c r="BL64" s="8">
        <v>90.31</v>
      </c>
      <c r="BM64" s="8">
        <v>82.77</v>
      </c>
      <c r="BN64" s="8">
        <v>66.42</v>
      </c>
      <c r="BO64" s="8">
        <v>87.13</v>
      </c>
      <c r="BP64" s="8">
        <v>89.94</v>
      </c>
      <c r="BQ64" s="8">
        <v>76.27</v>
      </c>
      <c r="BR64" s="8">
        <v>80.06</v>
      </c>
      <c r="BS64" s="8">
        <v>89.31</v>
      </c>
      <c r="BT64" s="8">
        <v>89.47</v>
      </c>
      <c r="BU64" s="8">
        <v>78.47</v>
      </c>
      <c r="BV64" s="8">
        <v>91.4</v>
      </c>
      <c r="CB64" s="8">
        <v>82.21</v>
      </c>
      <c r="CD64" s="8">
        <v>85.34</v>
      </c>
      <c r="CE64" s="8">
        <v>69.38</v>
      </c>
      <c r="CF64" s="8">
        <v>69.38</v>
      </c>
      <c r="CV64" s="8">
        <v>94.27</v>
      </c>
      <c r="CW64" s="8">
        <v>94.27</v>
      </c>
      <c r="CZ64" s="8">
        <v>85.69</v>
      </c>
      <c r="DC64" s="8">
        <v>101.44</v>
      </c>
      <c r="DD64" s="8">
        <v>87.2</v>
      </c>
      <c r="DP64" s="8">
        <v>92.62</v>
      </c>
      <c r="DQ64" s="8">
        <v>88.06</v>
      </c>
      <c r="DR64" s="8">
        <v>91.55</v>
      </c>
      <c r="DS64" s="8">
        <v>94.24</v>
      </c>
      <c r="EI64" s="8">
        <v>98.21</v>
      </c>
      <c r="EY64" s="8">
        <v>70.16</v>
      </c>
      <c r="EZ64" s="8">
        <v>64.64</v>
      </c>
      <c r="FA64" s="8">
        <v>73.47</v>
      </c>
      <c r="FE64" s="8">
        <v>85.15</v>
      </c>
      <c r="FL64" s="8">
        <v>79.67</v>
      </c>
      <c r="FM64" s="8">
        <v>84.59</v>
      </c>
      <c r="FQ64" s="8">
        <v>87.32</v>
      </c>
      <c r="FR64" s="8">
        <v>90.87</v>
      </c>
      <c r="FS64" s="8">
        <v>87.08</v>
      </c>
      <c r="FV64" s="8">
        <v>81.709999999999994</v>
      </c>
      <c r="FW64" s="8">
        <v>80.3</v>
      </c>
      <c r="FX64" s="8">
        <v>81.430000000000007</v>
      </c>
      <c r="FY64" s="8">
        <v>79.63</v>
      </c>
      <c r="FZ64" s="8">
        <v>87.44</v>
      </c>
      <c r="GA64" s="8">
        <v>93.69</v>
      </c>
      <c r="GB64" s="8">
        <v>98.39</v>
      </c>
      <c r="GC64" s="8">
        <v>90.95</v>
      </c>
      <c r="GD64" s="8">
        <v>94.47</v>
      </c>
      <c r="GE64" s="8">
        <v>91.12</v>
      </c>
      <c r="GF64" s="8">
        <v>95.25</v>
      </c>
      <c r="GG64" s="8">
        <v>90.17</v>
      </c>
      <c r="GH64" s="8">
        <v>82.15</v>
      </c>
      <c r="GI64" s="8">
        <v>82.71</v>
      </c>
      <c r="GJ64" s="8">
        <v>81.89</v>
      </c>
      <c r="GK64" s="8">
        <v>81.63</v>
      </c>
      <c r="GL64" s="8">
        <v>91.86</v>
      </c>
      <c r="GM64" s="8">
        <v>88.77</v>
      </c>
      <c r="GN64" s="8">
        <v>94.08</v>
      </c>
      <c r="GO64" s="8">
        <v>80.67</v>
      </c>
      <c r="GP64" s="8">
        <v>69</v>
      </c>
      <c r="GQ64" s="8">
        <v>86.5</v>
      </c>
      <c r="GR64" s="8">
        <v>88.93</v>
      </c>
      <c r="GS64" s="8">
        <v>73.92</v>
      </c>
      <c r="GT64" s="8">
        <v>78.34</v>
      </c>
      <c r="GU64" s="8">
        <v>86.38</v>
      </c>
      <c r="GV64" s="8">
        <v>86.54</v>
      </c>
      <c r="GW64" s="8">
        <v>77.16</v>
      </c>
      <c r="GX64" s="8">
        <v>89.78</v>
      </c>
      <c r="HD64" s="8">
        <v>86.59</v>
      </c>
      <c r="HF64" s="8">
        <v>85.82</v>
      </c>
      <c r="HG64" s="8">
        <v>70.150000000000006</v>
      </c>
      <c r="HH64" s="8">
        <v>70.150000000000006</v>
      </c>
      <c r="HX64" s="8">
        <v>83</v>
      </c>
      <c r="HY64" s="8">
        <v>83</v>
      </c>
      <c r="IB64" s="8">
        <v>83.7</v>
      </c>
      <c r="IE64" s="8">
        <v>88.02</v>
      </c>
      <c r="IF64" s="8">
        <v>75.260000000000005</v>
      </c>
    </row>
    <row r="65" spans="1:240" x14ac:dyDescent="0.2">
      <c r="A65" s="9">
        <v>44621</v>
      </c>
      <c r="G65" s="8">
        <v>119.27</v>
      </c>
      <c r="W65" s="8">
        <v>86.35</v>
      </c>
      <c r="X65" s="8">
        <v>81</v>
      </c>
      <c r="Y65" s="8">
        <v>71.64</v>
      </c>
      <c r="AC65" s="8">
        <v>90.94</v>
      </c>
      <c r="AJ65" s="8">
        <v>86.22</v>
      </c>
      <c r="AK65" s="8">
        <v>80.069999999999993</v>
      </c>
      <c r="AO65" s="8">
        <v>90.68</v>
      </c>
      <c r="AP65" s="8">
        <v>90.91</v>
      </c>
      <c r="AQ65" s="8">
        <v>90.63</v>
      </c>
      <c r="AT65" s="8">
        <v>82.87</v>
      </c>
      <c r="AU65" s="8">
        <v>80.89</v>
      </c>
      <c r="AV65" s="8">
        <v>82.14</v>
      </c>
      <c r="AW65" s="8">
        <v>88.38</v>
      </c>
      <c r="AX65" s="8">
        <v>88.35</v>
      </c>
      <c r="AY65" s="8">
        <v>92.36</v>
      </c>
      <c r="AZ65" s="8">
        <v>96.28</v>
      </c>
      <c r="BA65" s="8">
        <v>90.84</v>
      </c>
      <c r="BB65" s="8">
        <v>89.99</v>
      </c>
      <c r="BC65" s="8">
        <v>90.2</v>
      </c>
      <c r="BD65" s="8">
        <v>94.6</v>
      </c>
      <c r="BE65" s="8">
        <v>88.8</v>
      </c>
      <c r="BF65" s="8">
        <v>82.91</v>
      </c>
      <c r="BG65" s="8">
        <v>82.73</v>
      </c>
      <c r="BH65" s="8">
        <v>83.27</v>
      </c>
      <c r="BI65" s="8">
        <v>82.79</v>
      </c>
      <c r="BJ65" s="8">
        <v>89.81</v>
      </c>
      <c r="BK65" s="8">
        <v>84.85</v>
      </c>
      <c r="BL65" s="8">
        <v>93.28</v>
      </c>
      <c r="BM65" s="8">
        <v>82.53</v>
      </c>
      <c r="BN65" s="8">
        <v>65.33</v>
      </c>
      <c r="BO65" s="8">
        <v>87.51</v>
      </c>
      <c r="BP65" s="8">
        <v>89.73</v>
      </c>
      <c r="BQ65" s="8">
        <v>77.91</v>
      </c>
      <c r="BR65" s="8">
        <v>80.98</v>
      </c>
      <c r="BS65" s="8">
        <v>86.73</v>
      </c>
      <c r="BT65" s="8">
        <v>88.12</v>
      </c>
      <c r="BU65" s="8">
        <v>79.42</v>
      </c>
      <c r="BV65" s="8">
        <v>89.63</v>
      </c>
      <c r="CB65" s="8">
        <v>82.36</v>
      </c>
      <c r="CD65" s="8">
        <v>85.32</v>
      </c>
      <c r="CE65" s="8">
        <v>70.040000000000006</v>
      </c>
      <c r="CF65" s="8">
        <v>70.040000000000006</v>
      </c>
      <c r="CV65" s="8">
        <v>95.91</v>
      </c>
      <c r="CW65" s="8">
        <v>95.91</v>
      </c>
      <c r="CZ65" s="8">
        <v>85.69</v>
      </c>
      <c r="DC65" s="8">
        <v>101.44</v>
      </c>
      <c r="DD65" s="8">
        <v>89.11</v>
      </c>
      <c r="DP65" s="8">
        <v>92.68</v>
      </c>
      <c r="DQ65" s="8">
        <v>88.71</v>
      </c>
      <c r="DR65" s="8">
        <v>92.06</v>
      </c>
      <c r="DS65" s="8">
        <v>93.92</v>
      </c>
      <c r="EI65" s="8">
        <v>109.85</v>
      </c>
      <c r="EY65" s="8">
        <v>72.400000000000006</v>
      </c>
      <c r="EZ65" s="8">
        <v>66.739999999999995</v>
      </c>
      <c r="FA65" s="8">
        <v>74.67</v>
      </c>
      <c r="FE65" s="8">
        <v>90.67</v>
      </c>
      <c r="FL65" s="8">
        <v>79.67</v>
      </c>
      <c r="FM65" s="8">
        <v>84.59</v>
      </c>
      <c r="FQ65" s="8">
        <v>88.22</v>
      </c>
      <c r="FR65" s="8">
        <v>90.91</v>
      </c>
      <c r="FS65" s="8">
        <v>88.05</v>
      </c>
      <c r="FV65" s="8">
        <v>83.31</v>
      </c>
      <c r="FW65" s="8">
        <v>82.6</v>
      </c>
      <c r="FX65" s="8">
        <v>81.150000000000006</v>
      </c>
      <c r="FY65" s="8">
        <v>87.31</v>
      </c>
      <c r="FZ65" s="8">
        <v>88.67</v>
      </c>
      <c r="GA65" s="8">
        <v>92.19</v>
      </c>
      <c r="GB65" s="8">
        <v>98.56</v>
      </c>
      <c r="GC65" s="8">
        <v>88.9</v>
      </c>
      <c r="GD65" s="8">
        <v>91.71</v>
      </c>
      <c r="GE65" s="8">
        <v>91.37</v>
      </c>
      <c r="GF65" s="8">
        <v>94.66</v>
      </c>
      <c r="GG65" s="8">
        <v>85.07</v>
      </c>
      <c r="GH65" s="8">
        <v>83.19</v>
      </c>
      <c r="GI65" s="8">
        <v>83.17</v>
      </c>
      <c r="GJ65" s="8">
        <v>83.68</v>
      </c>
      <c r="GK65" s="8">
        <v>82.6</v>
      </c>
      <c r="GL65" s="8">
        <v>94.3</v>
      </c>
      <c r="GM65" s="8">
        <v>89.2</v>
      </c>
      <c r="GN65" s="8">
        <v>98.16</v>
      </c>
      <c r="GO65" s="8">
        <v>81.489999999999995</v>
      </c>
      <c r="GP65" s="8">
        <v>69.45</v>
      </c>
      <c r="GQ65" s="8">
        <v>87.88</v>
      </c>
      <c r="GR65" s="8">
        <v>89.19</v>
      </c>
      <c r="GS65" s="8">
        <v>75.39</v>
      </c>
      <c r="GT65" s="8">
        <v>79.86</v>
      </c>
      <c r="GU65" s="8">
        <v>85.66</v>
      </c>
      <c r="GV65" s="8">
        <v>86.44</v>
      </c>
      <c r="GW65" s="8">
        <v>80.19</v>
      </c>
      <c r="GX65" s="8">
        <v>88.57</v>
      </c>
      <c r="HD65" s="8">
        <v>86.28</v>
      </c>
      <c r="HF65" s="8">
        <v>85.98</v>
      </c>
      <c r="HG65" s="8">
        <v>70.8</v>
      </c>
      <c r="HH65" s="8">
        <v>70.8</v>
      </c>
      <c r="HX65" s="8">
        <v>85.83</v>
      </c>
      <c r="HY65" s="8">
        <v>85.83</v>
      </c>
      <c r="IB65" s="8">
        <v>83.7</v>
      </c>
      <c r="IE65" s="8">
        <v>88.02</v>
      </c>
      <c r="IF65" s="8">
        <v>75.260000000000005</v>
      </c>
    </row>
    <row r="66" spans="1:240" x14ac:dyDescent="0.2">
      <c r="A66" s="9">
        <v>44652</v>
      </c>
      <c r="G66" s="8">
        <v>104.72</v>
      </c>
      <c r="W66" s="8">
        <v>101.44</v>
      </c>
      <c r="X66" s="8">
        <v>95.22</v>
      </c>
      <c r="Y66" s="8">
        <v>80.83</v>
      </c>
      <c r="AC66" s="8">
        <v>91.89</v>
      </c>
      <c r="AJ66" s="8">
        <v>86.22</v>
      </c>
      <c r="AK66" s="8">
        <v>80.069999999999993</v>
      </c>
      <c r="AO66" s="8">
        <v>90.32</v>
      </c>
      <c r="AP66" s="8">
        <v>89.23</v>
      </c>
      <c r="AQ66" s="8">
        <v>90.63</v>
      </c>
      <c r="AT66" s="8">
        <v>83.42</v>
      </c>
      <c r="AU66" s="8">
        <v>81.5</v>
      </c>
      <c r="AV66" s="8">
        <v>82.56</v>
      </c>
      <c r="AW66" s="8">
        <v>90.95</v>
      </c>
      <c r="AX66" s="8">
        <v>88.01</v>
      </c>
      <c r="AY66" s="8">
        <v>93.26</v>
      </c>
      <c r="AZ66" s="8">
        <v>99.51</v>
      </c>
      <c r="BA66" s="8">
        <v>89.84</v>
      </c>
      <c r="BB66" s="8">
        <v>91.01</v>
      </c>
      <c r="BC66" s="8">
        <v>91.54</v>
      </c>
      <c r="BD66" s="8">
        <v>95.05</v>
      </c>
      <c r="BE66" s="8">
        <v>87.97</v>
      </c>
      <c r="BF66" s="8">
        <v>83.45</v>
      </c>
      <c r="BG66" s="8">
        <v>83.51</v>
      </c>
      <c r="BH66" s="8">
        <v>83.01</v>
      </c>
      <c r="BI66" s="8">
        <v>83.79</v>
      </c>
      <c r="BJ66" s="8">
        <v>92.74</v>
      </c>
      <c r="BK66" s="8">
        <v>87.12</v>
      </c>
      <c r="BL66" s="8">
        <v>96.73</v>
      </c>
      <c r="BM66" s="8">
        <v>83.24</v>
      </c>
      <c r="BN66" s="8">
        <v>66.39</v>
      </c>
      <c r="BO66" s="8">
        <v>87.06</v>
      </c>
      <c r="BP66" s="8">
        <v>89.8</v>
      </c>
      <c r="BQ66" s="8">
        <v>79.709999999999994</v>
      </c>
      <c r="BR66" s="8">
        <v>81.489999999999995</v>
      </c>
      <c r="BS66" s="8">
        <v>87.66</v>
      </c>
      <c r="BT66" s="8">
        <v>88.06</v>
      </c>
      <c r="BU66" s="8">
        <v>80.03</v>
      </c>
      <c r="BV66" s="8">
        <v>89.45</v>
      </c>
      <c r="CB66" s="8">
        <v>82.34</v>
      </c>
      <c r="CD66" s="8">
        <v>85.63</v>
      </c>
      <c r="CE66" s="8">
        <v>70.239999999999995</v>
      </c>
      <c r="CF66" s="8">
        <v>70.239999999999995</v>
      </c>
      <c r="CV66" s="8">
        <v>96.4</v>
      </c>
      <c r="CW66" s="8">
        <v>96.4</v>
      </c>
      <c r="CZ66" s="8">
        <v>85.69</v>
      </c>
      <c r="DC66" s="8">
        <v>101.44</v>
      </c>
      <c r="DD66" s="8">
        <v>89.11</v>
      </c>
      <c r="DP66" s="8">
        <v>93.32</v>
      </c>
      <c r="DQ66" s="8">
        <v>91.05</v>
      </c>
      <c r="DR66" s="8">
        <v>93.92</v>
      </c>
      <c r="DS66" s="8">
        <v>93.52</v>
      </c>
      <c r="EI66" s="8">
        <v>101.41</v>
      </c>
      <c r="EY66" s="8">
        <v>80.31</v>
      </c>
      <c r="EZ66" s="8">
        <v>74.099999999999994</v>
      </c>
      <c r="FA66" s="8">
        <v>81.03</v>
      </c>
      <c r="FE66" s="8">
        <v>91.26</v>
      </c>
      <c r="FL66" s="8">
        <v>79.67</v>
      </c>
      <c r="FM66" s="8">
        <v>84.59</v>
      </c>
      <c r="FQ66" s="8">
        <v>88.11</v>
      </c>
      <c r="FR66" s="8">
        <v>89.23</v>
      </c>
      <c r="FS66" s="8">
        <v>88.05</v>
      </c>
      <c r="FV66" s="8">
        <v>84.22</v>
      </c>
      <c r="FW66" s="8">
        <v>83.65</v>
      </c>
      <c r="FX66" s="8">
        <v>82.05</v>
      </c>
      <c r="FY66" s="8">
        <v>88.57</v>
      </c>
      <c r="FZ66" s="8">
        <v>89.12</v>
      </c>
      <c r="GA66" s="8">
        <v>92.55</v>
      </c>
      <c r="GB66" s="8">
        <v>99.08</v>
      </c>
      <c r="GC66" s="8">
        <v>88.93</v>
      </c>
      <c r="GD66" s="8">
        <v>92.07</v>
      </c>
      <c r="GE66" s="8">
        <v>92.11</v>
      </c>
      <c r="GF66" s="8">
        <v>94.39</v>
      </c>
      <c r="GG66" s="8">
        <v>85.5</v>
      </c>
      <c r="GH66" s="8">
        <v>83.78</v>
      </c>
      <c r="GI66" s="8">
        <v>83.71</v>
      </c>
      <c r="GJ66" s="8">
        <v>83.72</v>
      </c>
      <c r="GK66" s="8">
        <v>83.85</v>
      </c>
      <c r="GL66" s="8">
        <v>95.34</v>
      </c>
      <c r="GM66" s="8">
        <v>89.08</v>
      </c>
      <c r="GN66" s="8">
        <v>100.16</v>
      </c>
      <c r="GO66" s="8">
        <v>82.17</v>
      </c>
      <c r="GP66" s="8">
        <v>69.77</v>
      </c>
      <c r="GQ66" s="8">
        <v>88.23</v>
      </c>
      <c r="GR66" s="8">
        <v>88.99</v>
      </c>
      <c r="GS66" s="8">
        <v>77.25</v>
      </c>
      <c r="GT66" s="8">
        <v>80.38</v>
      </c>
      <c r="GU66" s="8">
        <v>86.81</v>
      </c>
      <c r="GV66" s="8">
        <v>86.15</v>
      </c>
      <c r="GW66" s="8">
        <v>80.08</v>
      </c>
      <c r="GX66" s="8">
        <v>88.2</v>
      </c>
      <c r="HD66" s="8">
        <v>85.23</v>
      </c>
      <c r="HF66" s="8">
        <v>85.52</v>
      </c>
      <c r="HG66" s="8">
        <v>71.099999999999994</v>
      </c>
      <c r="HH66" s="8">
        <v>71.099999999999994</v>
      </c>
      <c r="HX66" s="8">
        <v>84.97</v>
      </c>
      <c r="HY66" s="8">
        <v>84.97</v>
      </c>
      <c r="IB66" s="8">
        <v>83.7</v>
      </c>
      <c r="IE66" s="8">
        <v>88.02</v>
      </c>
      <c r="IF66" s="8">
        <v>75.260000000000005</v>
      </c>
    </row>
    <row r="67" spans="1:240" x14ac:dyDescent="0.2">
      <c r="A67" s="9">
        <v>44682</v>
      </c>
      <c r="G67" s="8">
        <v>109.87</v>
      </c>
      <c r="W67" s="8">
        <v>86.26</v>
      </c>
      <c r="X67" s="8">
        <v>80.69</v>
      </c>
      <c r="Y67" s="8">
        <v>84.1</v>
      </c>
      <c r="AC67" s="8">
        <v>90.5</v>
      </c>
      <c r="AJ67" s="8">
        <v>86.22</v>
      </c>
      <c r="AK67" s="8">
        <v>80.069999999999993</v>
      </c>
      <c r="AO67" s="8">
        <v>90.34</v>
      </c>
      <c r="AP67" s="8">
        <v>89.3</v>
      </c>
      <c r="AQ67" s="8">
        <v>90.63</v>
      </c>
      <c r="AT67" s="8">
        <v>84.56</v>
      </c>
      <c r="AU67" s="8">
        <v>83.65</v>
      </c>
      <c r="AV67" s="8">
        <v>83.55</v>
      </c>
      <c r="AW67" s="8">
        <v>88.96</v>
      </c>
      <c r="AX67" s="8">
        <v>88.33</v>
      </c>
      <c r="AY67" s="8">
        <v>94.18</v>
      </c>
      <c r="AZ67" s="8">
        <v>99.36</v>
      </c>
      <c r="BA67" s="8">
        <v>90.99</v>
      </c>
      <c r="BB67" s="8">
        <v>92.99</v>
      </c>
      <c r="BC67" s="8">
        <v>91.11</v>
      </c>
      <c r="BD67" s="8">
        <v>96.22</v>
      </c>
      <c r="BE67" s="8">
        <v>90.26</v>
      </c>
      <c r="BF67" s="8">
        <v>83.15</v>
      </c>
      <c r="BG67" s="8">
        <v>82.9</v>
      </c>
      <c r="BH67" s="8">
        <v>83.47</v>
      </c>
      <c r="BI67" s="8">
        <v>83.18</v>
      </c>
      <c r="BJ67" s="8">
        <v>93.69</v>
      </c>
      <c r="BK67" s="8">
        <v>86.44</v>
      </c>
      <c r="BL67" s="8">
        <v>98.98</v>
      </c>
      <c r="BM67" s="8">
        <v>83.24</v>
      </c>
      <c r="BN67" s="8">
        <v>66.84</v>
      </c>
      <c r="BO67" s="8">
        <v>87.08</v>
      </c>
      <c r="BP67" s="8">
        <v>90.99</v>
      </c>
      <c r="BQ67" s="8">
        <v>80.099999999999994</v>
      </c>
      <c r="BR67" s="8">
        <v>80.53</v>
      </c>
      <c r="BS67" s="8">
        <v>88.02</v>
      </c>
      <c r="BT67" s="8">
        <v>88.35</v>
      </c>
      <c r="BU67" s="8">
        <v>78.55</v>
      </c>
      <c r="BV67" s="8">
        <v>90.07</v>
      </c>
      <c r="CB67" s="8">
        <v>83.21</v>
      </c>
      <c r="CD67" s="8">
        <v>86.11</v>
      </c>
      <c r="CE67" s="8">
        <v>70.13</v>
      </c>
      <c r="CF67" s="8">
        <v>70.13</v>
      </c>
      <c r="CV67" s="8">
        <v>97.33</v>
      </c>
      <c r="CW67" s="8">
        <v>97.33</v>
      </c>
      <c r="CZ67" s="8">
        <v>85.69</v>
      </c>
      <c r="DC67" s="8">
        <v>101.44</v>
      </c>
      <c r="DD67" s="8">
        <v>89.11</v>
      </c>
      <c r="DP67" s="8">
        <v>94.92</v>
      </c>
      <c r="DQ67" s="8">
        <v>92.78</v>
      </c>
      <c r="DR67" s="8">
        <v>94.87</v>
      </c>
      <c r="DS67" s="8">
        <v>95.44</v>
      </c>
      <c r="EI67" s="8">
        <v>105.37</v>
      </c>
      <c r="EY67" s="8">
        <v>81</v>
      </c>
      <c r="EZ67" s="8">
        <v>74.64</v>
      </c>
      <c r="FA67" s="8">
        <v>84.52</v>
      </c>
      <c r="FE67" s="8">
        <v>89.97</v>
      </c>
      <c r="FL67" s="8">
        <v>79.67</v>
      </c>
      <c r="FM67" s="8">
        <v>84.59</v>
      </c>
      <c r="FQ67" s="8">
        <v>88.11</v>
      </c>
      <c r="FR67" s="8">
        <v>89.3</v>
      </c>
      <c r="FS67" s="8">
        <v>88.05</v>
      </c>
      <c r="FV67" s="8">
        <v>84.73</v>
      </c>
      <c r="FW67" s="8">
        <v>84.19</v>
      </c>
      <c r="FX67" s="8">
        <v>82.7</v>
      </c>
      <c r="FY67" s="8">
        <v>86.75</v>
      </c>
      <c r="FZ67" s="8">
        <v>90.46</v>
      </c>
      <c r="GA67" s="8">
        <v>93.41</v>
      </c>
      <c r="GB67" s="8">
        <v>99.18</v>
      </c>
      <c r="GC67" s="8">
        <v>89.66</v>
      </c>
      <c r="GD67" s="8">
        <v>92.83</v>
      </c>
      <c r="GE67" s="8">
        <v>93.27</v>
      </c>
      <c r="GF67" s="8">
        <v>95.33</v>
      </c>
      <c r="GG67" s="8">
        <v>86.92</v>
      </c>
      <c r="GH67" s="8">
        <v>83.28</v>
      </c>
      <c r="GI67" s="8">
        <v>82.51</v>
      </c>
      <c r="GJ67" s="8">
        <v>84.09</v>
      </c>
      <c r="GK67" s="8">
        <v>83.34</v>
      </c>
      <c r="GL67" s="8">
        <v>96.43</v>
      </c>
      <c r="GM67" s="8">
        <v>90.71</v>
      </c>
      <c r="GN67" s="8">
        <v>100.81</v>
      </c>
      <c r="GO67" s="8">
        <v>81.99</v>
      </c>
      <c r="GP67" s="8">
        <v>70.09</v>
      </c>
      <c r="GQ67" s="8">
        <v>87.6</v>
      </c>
      <c r="GR67" s="8">
        <v>89.85</v>
      </c>
      <c r="GS67" s="8">
        <v>77.44</v>
      </c>
      <c r="GT67" s="8">
        <v>79.36</v>
      </c>
      <c r="GU67" s="8">
        <v>87.39</v>
      </c>
      <c r="GV67" s="8">
        <v>86.52</v>
      </c>
      <c r="GW67" s="8">
        <v>79.16</v>
      </c>
      <c r="GX67" s="8">
        <v>89.03</v>
      </c>
      <c r="HD67" s="8">
        <v>87.15</v>
      </c>
      <c r="HF67" s="8">
        <v>86.21</v>
      </c>
      <c r="HG67" s="8">
        <v>71.16</v>
      </c>
      <c r="HH67" s="8">
        <v>71.16</v>
      </c>
      <c r="HX67" s="8">
        <v>86.15</v>
      </c>
      <c r="HY67" s="8">
        <v>86.15</v>
      </c>
      <c r="IB67" s="8">
        <v>83.7</v>
      </c>
      <c r="IE67" s="8">
        <v>88.02</v>
      </c>
      <c r="IF67" s="8">
        <v>75.260000000000005</v>
      </c>
    </row>
    <row r="68" spans="1:240" x14ac:dyDescent="0.2">
      <c r="A68" s="9">
        <v>44713</v>
      </c>
      <c r="G68" s="8">
        <v>116.98</v>
      </c>
      <c r="W68" s="8">
        <v>94.72</v>
      </c>
      <c r="X68" s="8">
        <v>88.59</v>
      </c>
      <c r="Y68" s="8">
        <v>94.03</v>
      </c>
      <c r="AC68" s="8">
        <v>92.52</v>
      </c>
      <c r="AJ68" s="8">
        <v>86.22</v>
      </c>
      <c r="AK68" s="8">
        <v>80.069999999999993</v>
      </c>
      <c r="AO68" s="8">
        <v>92.22</v>
      </c>
      <c r="AP68" s="8">
        <v>89.81</v>
      </c>
      <c r="AQ68" s="8">
        <v>92.89</v>
      </c>
      <c r="AT68" s="8">
        <v>85.63</v>
      </c>
      <c r="AU68" s="8">
        <v>84.17</v>
      </c>
      <c r="AV68" s="8">
        <v>84.87</v>
      </c>
      <c r="AW68" s="8">
        <v>91.49</v>
      </c>
      <c r="AX68" s="8">
        <v>89.56</v>
      </c>
      <c r="AY68" s="8">
        <v>94.63</v>
      </c>
      <c r="AZ68" s="8">
        <v>99.59</v>
      </c>
      <c r="BA68" s="8">
        <v>89.79</v>
      </c>
      <c r="BB68" s="8">
        <v>93.6</v>
      </c>
      <c r="BC68" s="8">
        <v>90.85</v>
      </c>
      <c r="BD68" s="8">
        <v>97.71</v>
      </c>
      <c r="BE68" s="8">
        <v>91.85</v>
      </c>
      <c r="BF68" s="8">
        <v>83.91</v>
      </c>
      <c r="BG68" s="8">
        <v>84.45</v>
      </c>
      <c r="BH68" s="8">
        <v>83.16</v>
      </c>
      <c r="BI68" s="8">
        <v>83.79</v>
      </c>
      <c r="BJ68" s="8">
        <v>97.15</v>
      </c>
      <c r="BK68" s="8">
        <v>88.27</v>
      </c>
      <c r="BL68" s="8">
        <v>103.73</v>
      </c>
      <c r="BM68" s="8">
        <v>84.51</v>
      </c>
      <c r="BN68" s="8">
        <v>69.8</v>
      </c>
      <c r="BO68" s="8">
        <v>88.88</v>
      </c>
      <c r="BP68" s="8">
        <v>91.69</v>
      </c>
      <c r="BQ68" s="8">
        <v>81.19</v>
      </c>
      <c r="BR68" s="8">
        <v>82.32</v>
      </c>
      <c r="BS68" s="8">
        <v>88.41</v>
      </c>
      <c r="BT68" s="8">
        <v>88.72</v>
      </c>
      <c r="BU68" s="8">
        <v>78.77</v>
      </c>
      <c r="BV68" s="8">
        <v>90.46</v>
      </c>
      <c r="CB68" s="8">
        <v>82.53</v>
      </c>
      <c r="CD68" s="8">
        <v>85.91</v>
      </c>
      <c r="CE68" s="8">
        <v>70.31</v>
      </c>
      <c r="CF68" s="8">
        <v>70.31</v>
      </c>
      <c r="CV68" s="8">
        <v>97.79</v>
      </c>
      <c r="CW68" s="8">
        <v>97.79</v>
      </c>
      <c r="CZ68" s="8">
        <v>85.69</v>
      </c>
      <c r="DC68" s="8">
        <v>101.44</v>
      </c>
      <c r="DD68" s="8">
        <v>87.02</v>
      </c>
      <c r="DP68" s="8">
        <v>95.8</v>
      </c>
      <c r="DQ68" s="8">
        <v>92.2</v>
      </c>
      <c r="DR68" s="8">
        <v>94.85</v>
      </c>
      <c r="DS68" s="8">
        <v>97.15</v>
      </c>
      <c r="EI68" s="8">
        <v>110.71</v>
      </c>
      <c r="EY68" s="8">
        <v>88.25</v>
      </c>
      <c r="EZ68" s="8">
        <v>81.19</v>
      </c>
      <c r="FA68" s="8">
        <v>96.01</v>
      </c>
      <c r="FE68" s="8">
        <v>91.49</v>
      </c>
      <c r="FL68" s="8">
        <v>79.67</v>
      </c>
      <c r="FM68" s="8">
        <v>84.59</v>
      </c>
      <c r="FQ68" s="8">
        <v>88.98</v>
      </c>
      <c r="FR68" s="8">
        <v>89.81</v>
      </c>
      <c r="FS68" s="8">
        <v>88.94</v>
      </c>
      <c r="FV68" s="8">
        <v>85.74</v>
      </c>
      <c r="FW68" s="8">
        <v>84.97</v>
      </c>
      <c r="FX68" s="8">
        <v>83.76</v>
      </c>
      <c r="FY68" s="8">
        <v>89.48</v>
      </c>
      <c r="FZ68" s="8">
        <v>90.98</v>
      </c>
      <c r="GA68" s="8">
        <v>93.35</v>
      </c>
      <c r="GB68" s="8">
        <v>98.82</v>
      </c>
      <c r="GC68" s="8">
        <v>88.99</v>
      </c>
      <c r="GD68" s="8">
        <v>92.85</v>
      </c>
      <c r="GE68" s="8">
        <v>91.61</v>
      </c>
      <c r="GF68" s="8">
        <v>96.57</v>
      </c>
      <c r="GG68" s="8">
        <v>88.55</v>
      </c>
      <c r="GH68" s="8">
        <v>83.87</v>
      </c>
      <c r="GI68" s="8">
        <v>84.23</v>
      </c>
      <c r="GJ68" s="8">
        <v>83.6</v>
      </c>
      <c r="GK68" s="8">
        <v>83.62</v>
      </c>
      <c r="GL68" s="8">
        <v>99.13</v>
      </c>
      <c r="GM68" s="8">
        <v>90.69</v>
      </c>
      <c r="GN68" s="8">
        <v>105.74</v>
      </c>
      <c r="GO68" s="8">
        <v>83.19</v>
      </c>
      <c r="GP68" s="8">
        <v>72.930000000000007</v>
      </c>
      <c r="GQ68" s="8">
        <v>89.38</v>
      </c>
      <c r="GR68" s="8">
        <v>90.44</v>
      </c>
      <c r="GS68" s="8">
        <v>79.16</v>
      </c>
      <c r="GT68" s="8">
        <v>80.87</v>
      </c>
      <c r="GU68" s="8">
        <v>87.25</v>
      </c>
      <c r="GV68" s="8">
        <v>86.69</v>
      </c>
      <c r="GW68" s="8">
        <v>79.31</v>
      </c>
      <c r="GX68" s="8">
        <v>89.22</v>
      </c>
      <c r="HD68" s="8">
        <v>86.82</v>
      </c>
      <c r="HF68" s="8">
        <v>86.14</v>
      </c>
      <c r="HG68" s="8">
        <v>71.22</v>
      </c>
      <c r="HH68" s="8">
        <v>71.22</v>
      </c>
      <c r="HX68" s="8">
        <v>87.31</v>
      </c>
      <c r="HY68" s="8">
        <v>87.31</v>
      </c>
      <c r="IB68" s="8">
        <v>83.7</v>
      </c>
      <c r="IE68" s="8">
        <v>89.66</v>
      </c>
      <c r="IF68" s="8">
        <v>75.260000000000005</v>
      </c>
    </row>
    <row r="69" spans="1:240" x14ac:dyDescent="0.2">
      <c r="A69" s="9">
        <v>44743</v>
      </c>
      <c r="G69" s="8">
        <v>117.75</v>
      </c>
      <c r="N69" s="8">
        <v>80.95</v>
      </c>
      <c r="W69" s="8">
        <v>96.76</v>
      </c>
      <c r="X69" s="8">
        <v>90.45</v>
      </c>
      <c r="Y69" s="8">
        <v>98.01</v>
      </c>
      <c r="AC69" s="8">
        <v>92.65</v>
      </c>
      <c r="AJ69" s="8">
        <v>86.22</v>
      </c>
      <c r="AK69" s="8">
        <v>80.069999999999993</v>
      </c>
      <c r="AO69" s="8">
        <v>92.24</v>
      </c>
      <c r="AP69" s="8">
        <v>89.9</v>
      </c>
      <c r="AQ69" s="8">
        <v>92.89</v>
      </c>
      <c r="AT69" s="8">
        <v>86.65</v>
      </c>
      <c r="AU69" s="8">
        <v>84.4</v>
      </c>
      <c r="AV69" s="8">
        <v>86.01</v>
      </c>
      <c r="AW69" s="8">
        <v>93.13</v>
      </c>
      <c r="AX69" s="8">
        <v>92.22</v>
      </c>
      <c r="AY69" s="8">
        <v>95.88</v>
      </c>
      <c r="AZ69" s="8">
        <v>101.21</v>
      </c>
      <c r="BA69" s="8">
        <v>91.03</v>
      </c>
      <c r="BB69" s="8">
        <v>94.85</v>
      </c>
      <c r="BC69" s="8">
        <v>91.98</v>
      </c>
      <c r="BD69" s="8">
        <v>98.34</v>
      </c>
      <c r="BE69" s="8">
        <v>93.27</v>
      </c>
      <c r="BF69" s="8">
        <v>87.92</v>
      </c>
      <c r="BG69" s="8">
        <v>90.27</v>
      </c>
      <c r="BH69" s="8">
        <v>85.79</v>
      </c>
      <c r="BI69" s="8">
        <v>86.29</v>
      </c>
      <c r="BJ69" s="8">
        <v>100.01</v>
      </c>
      <c r="BK69" s="8">
        <v>92.96</v>
      </c>
      <c r="BL69" s="8">
        <v>105.1</v>
      </c>
      <c r="BM69" s="8">
        <v>86.13</v>
      </c>
      <c r="BN69" s="8">
        <v>70.28</v>
      </c>
      <c r="BO69" s="8">
        <v>90.75</v>
      </c>
      <c r="BP69" s="8">
        <v>93.43</v>
      </c>
      <c r="BQ69" s="8">
        <v>85.85</v>
      </c>
      <c r="BR69" s="8">
        <v>83.22</v>
      </c>
      <c r="BS69" s="8">
        <v>89.92</v>
      </c>
      <c r="BT69" s="8">
        <v>89.69</v>
      </c>
      <c r="BU69" s="8">
        <v>79.59</v>
      </c>
      <c r="BV69" s="8">
        <v>91.46</v>
      </c>
      <c r="CB69" s="8">
        <v>83.44</v>
      </c>
      <c r="CD69" s="8">
        <v>86.17</v>
      </c>
      <c r="CE69" s="8">
        <v>70.5</v>
      </c>
      <c r="CF69" s="8">
        <v>70.5</v>
      </c>
      <c r="CT69" s="8">
        <v>88.83</v>
      </c>
      <c r="CU69" s="8">
        <v>88.83</v>
      </c>
      <c r="CV69" s="8">
        <v>97.76</v>
      </c>
      <c r="CW69" s="8">
        <v>97.76</v>
      </c>
      <c r="CZ69" s="8">
        <v>85.69</v>
      </c>
      <c r="DC69" s="8">
        <v>104.48</v>
      </c>
      <c r="DD69" s="8">
        <v>87.02</v>
      </c>
      <c r="DP69" s="8">
        <v>96.56</v>
      </c>
      <c r="DQ69" s="8">
        <v>92.18</v>
      </c>
      <c r="DR69" s="8">
        <v>95.48</v>
      </c>
      <c r="DS69" s="8">
        <v>98.15</v>
      </c>
      <c r="EI69" s="8">
        <v>113.37</v>
      </c>
      <c r="EP69" s="8">
        <v>80.95</v>
      </c>
      <c r="EY69" s="8">
        <v>98.99</v>
      </c>
      <c r="EZ69" s="8">
        <v>91.43</v>
      </c>
      <c r="FA69" s="8">
        <v>96.97</v>
      </c>
      <c r="FE69" s="8">
        <v>91.56</v>
      </c>
      <c r="FL69" s="8">
        <v>79.67</v>
      </c>
      <c r="FM69" s="8">
        <v>84.59</v>
      </c>
      <c r="FQ69" s="8">
        <v>88.98</v>
      </c>
      <c r="FR69" s="8">
        <v>89.9</v>
      </c>
      <c r="FS69" s="8">
        <v>88.94</v>
      </c>
      <c r="FV69" s="8">
        <v>86.58</v>
      </c>
      <c r="FW69" s="8">
        <v>85.26</v>
      </c>
      <c r="FX69" s="8">
        <v>84.57</v>
      </c>
      <c r="FY69" s="8">
        <v>89.94</v>
      </c>
      <c r="FZ69" s="8">
        <v>93.49</v>
      </c>
      <c r="GA69" s="8">
        <v>94.24</v>
      </c>
      <c r="GB69" s="8">
        <v>99.25</v>
      </c>
      <c r="GC69" s="8">
        <v>89.07</v>
      </c>
      <c r="GD69" s="8">
        <v>93.54</v>
      </c>
      <c r="GE69" s="8">
        <v>93.06</v>
      </c>
      <c r="GF69" s="8">
        <v>96.72</v>
      </c>
      <c r="GG69" s="8">
        <v>90.51</v>
      </c>
      <c r="GH69" s="8">
        <v>87.24</v>
      </c>
      <c r="GI69" s="8">
        <v>89.26</v>
      </c>
      <c r="GJ69" s="8">
        <v>85.91</v>
      </c>
      <c r="GK69" s="8">
        <v>85.99</v>
      </c>
      <c r="GL69" s="8">
        <v>102.72</v>
      </c>
      <c r="GM69" s="8">
        <v>97.39</v>
      </c>
      <c r="GN69" s="8">
        <v>106.75</v>
      </c>
      <c r="GO69" s="8">
        <v>84.62</v>
      </c>
      <c r="GP69" s="8">
        <v>74.38</v>
      </c>
      <c r="GQ69" s="8">
        <v>91.44</v>
      </c>
      <c r="GR69" s="8">
        <v>91.72</v>
      </c>
      <c r="GS69" s="8">
        <v>83.12</v>
      </c>
      <c r="GT69" s="8">
        <v>81.44</v>
      </c>
      <c r="GU69" s="8">
        <v>88.87</v>
      </c>
      <c r="GV69" s="8">
        <v>87.65</v>
      </c>
      <c r="GW69" s="8">
        <v>79.819999999999993</v>
      </c>
      <c r="GX69" s="8">
        <v>90.33</v>
      </c>
      <c r="HD69" s="8">
        <v>87.48</v>
      </c>
      <c r="HF69" s="8">
        <v>86.21</v>
      </c>
      <c r="HG69" s="8">
        <v>71.42</v>
      </c>
      <c r="HH69" s="8">
        <v>71.42</v>
      </c>
      <c r="HV69" s="8">
        <v>95</v>
      </c>
      <c r="HW69" s="8">
        <v>95</v>
      </c>
      <c r="HX69" s="8">
        <v>88.05</v>
      </c>
      <c r="HY69" s="8">
        <v>88.05</v>
      </c>
      <c r="IB69" s="8">
        <v>83.7</v>
      </c>
      <c r="IE69" s="8">
        <v>88.56</v>
      </c>
      <c r="IF69" s="8">
        <v>78.12</v>
      </c>
    </row>
    <row r="70" spans="1:240" x14ac:dyDescent="0.2">
      <c r="A70" s="9">
        <v>44774</v>
      </c>
      <c r="G70" s="8">
        <v>108.62</v>
      </c>
      <c r="N70" s="8">
        <v>81.150000000000006</v>
      </c>
      <c r="W70" s="8">
        <v>90.38</v>
      </c>
      <c r="X70" s="8">
        <v>84.3</v>
      </c>
      <c r="Y70" s="8">
        <v>102.1</v>
      </c>
      <c r="AC70" s="8">
        <v>93.06</v>
      </c>
      <c r="AJ70" s="8">
        <v>86.22</v>
      </c>
      <c r="AK70" s="8">
        <v>80.069999999999993</v>
      </c>
      <c r="AO70" s="8">
        <v>91.99</v>
      </c>
      <c r="AP70" s="8">
        <v>88.73</v>
      </c>
      <c r="AQ70" s="8">
        <v>92.89</v>
      </c>
      <c r="AT70" s="8">
        <v>87.9</v>
      </c>
      <c r="AU70" s="8">
        <v>84.78</v>
      </c>
      <c r="AV70" s="8">
        <v>87.91</v>
      </c>
      <c r="AW70" s="8">
        <v>96.23</v>
      </c>
      <c r="AX70" s="8">
        <v>93.21</v>
      </c>
      <c r="AY70" s="8">
        <v>95.66</v>
      </c>
      <c r="AZ70" s="8">
        <v>100.49</v>
      </c>
      <c r="BA70" s="8">
        <v>90.58</v>
      </c>
      <c r="BB70" s="8">
        <v>91.04</v>
      </c>
      <c r="BC70" s="8">
        <v>94.5</v>
      </c>
      <c r="BD70" s="8">
        <v>99.08</v>
      </c>
      <c r="BE70" s="8">
        <v>93.52</v>
      </c>
      <c r="BF70" s="8">
        <v>90.16</v>
      </c>
      <c r="BG70" s="8">
        <v>94.17</v>
      </c>
      <c r="BH70" s="8">
        <v>87.11</v>
      </c>
      <c r="BI70" s="8">
        <v>86.76</v>
      </c>
      <c r="BJ70" s="8">
        <v>103.04</v>
      </c>
      <c r="BK70" s="8">
        <v>96.8</v>
      </c>
      <c r="BL70" s="8">
        <v>107.47</v>
      </c>
      <c r="BM70" s="8">
        <v>87.44</v>
      </c>
      <c r="BN70" s="8">
        <v>71.650000000000006</v>
      </c>
      <c r="BO70" s="8">
        <v>92.31</v>
      </c>
      <c r="BP70" s="8">
        <v>92.88</v>
      </c>
      <c r="BQ70" s="8">
        <v>87.35</v>
      </c>
      <c r="BR70" s="8">
        <v>84.7</v>
      </c>
      <c r="BS70" s="8">
        <v>91.91</v>
      </c>
      <c r="BT70" s="8">
        <v>91.5</v>
      </c>
      <c r="BU70" s="8">
        <v>80.709999999999994</v>
      </c>
      <c r="BV70" s="8">
        <v>93.4</v>
      </c>
      <c r="CB70" s="8">
        <v>86.74</v>
      </c>
      <c r="CD70" s="8">
        <v>88.48</v>
      </c>
      <c r="CE70" s="8">
        <v>70.680000000000007</v>
      </c>
      <c r="CF70" s="8">
        <v>70.680000000000007</v>
      </c>
      <c r="CT70" s="8">
        <v>89.27</v>
      </c>
      <c r="CU70" s="8">
        <v>89.27</v>
      </c>
      <c r="CV70" s="8">
        <v>98.55</v>
      </c>
      <c r="CW70" s="8">
        <v>98.55</v>
      </c>
      <c r="CZ70" s="8">
        <v>85.69</v>
      </c>
      <c r="DC70" s="8">
        <v>104.48</v>
      </c>
      <c r="DD70" s="8">
        <v>87.02</v>
      </c>
      <c r="DP70" s="8">
        <v>97.12</v>
      </c>
      <c r="DQ70" s="8">
        <v>92.83</v>
      </c>
      <c r="DR70" s="8">
        <v>96.87</v>
      </c>
      <c r="DS70" s="8">
        <v>98.23</v>
      </c>
      <c r="EI70" s="8">
        <v>104.72</v>
      </c>
      <c r="EP70" s="8">
        <v>81.150000000000006</v>
      </c>
      <c r="EY70" s="8">
        <v>93.17</v>
      </c>
      <c r="EZ70" s="8">
        <v>85.77</v>
      </c>
      <c r="FA70" s="8">
        <v>99.62</v>
      </c>
      <c r="FE70" s="8">
        <v>92.15</v>
      </c>
      <c r="FL70" s="8">
        <v>79.67</v>
      </c>
      <c r="FM70" s="8">
        <v>86.29</v>
      </c>
      <c r="FQ70" s="8">
        <v>88.9</v>
      </c>
      <c r="FR70" s="8">
        <v>88.73</v>
      </c>
      <c r="FS70" s="8">
        <v>88.94</v>
      </c>
      <c r="FV70" s="8">
        <v>87.71</v>
      </c>
      <c r="FW70" s="8">
        <v>85.63</v>
      </c>
      <c r="FX70" s="8">
        <v>86.17</v>
      </c>
      <c r="FY70" s="8">
        <v>92.65</v>
      </c>
      <c r="FZ70" s="8">
        <v>94.49</v>
      </c>
      <c r="GA70" s="8">
        <v>94.66</v>
      </c>
      <c r="GB70" s="8">
        <v>99.43</v>
      </c>
      <c r="GC70" s="8">
        <v>89.32</v>
      </c>
      <c r="GD70" s="8">
        <v>91.01</v>
      </c>
      <c r="GE70" s="8">
        <v>95.55</v>
      </c>
      <c r="GF70" s="8">
        <v>97.49</v>
      </c>
      <c r="GG70" s="8">
        <v>90.62</v>
      </c>
      <c r="GH70" s="8">
        <v>89.23</v>
      </c>
      <c r="GI70" s="8">
        <v>92.88</v>
      </c>
      <c r="GJ70" s="8">
        <v>87.35</v>
      </c>
      <c r="GK70" s="8">
        <v>86.46</v>
      </c>
      <c r="GL70" s="8">
        <v>104.18</v>
      </c>
      <c r="GM70" s="8">
        <v>99.48</v>
      </c>
      <c r="GN70" s="8">
        <v>107.68</v>
      </c>
      <c r="GO70" s="8">
        <v>85.95</v>
      </c>
      <c r="GP70" s="8">
        <v>75.48</v>
      </c>
      <c r="GQ70" s="8">
        <v>92.78</v>
      </c>
      <c r="GR70" s="8">
        <v>91.7</v>
      </c>
      <c r="GS70" s="8">
        <v>85</v>
      </c>
      <c r="GT70" s="8">
        <v>82.75</v>
      </c>
      <c r="GU70" s="8">
        <v>90.95</v>
      </c>
      <c r="GV70" s="8">
        <v>88.55</v>
      </c>
      <c r="GW70" s="8">
        <v>80.849999999999994</v>
      </c>
      <c r="GX70" s="8">
        <v>91.19</v>
      </c>
      <c r="HD70" s="8">
        <v>91.14</v>
      </c>
      <c r="HF70" s="8">
        <v>87.72</v>
      </c>
      <c r="HG70" s="8">
        <v>71.680000000000007</v>
      </c>
      <c r="HH70" s="8">
        <v>71.680000000000007</v>
      </c>
      <c r="HV70" s="8">
        <v>95.35</v>
      </c>
      <c r="HW70" s="8">
        <v>95.35</v>
      </c>
      <c r="HX70" s="8">
        <v>89.24</v>
      </c>
      <c r="HY70" s="8">
        <v>89.24</v>
      </c>
      <c r="IB70" s="8">
        <v>83.7</v>
      </c>
      <c r="IE70" s="8">
        <v>89.2</v>
      </c>
      <c r="IF70" s="8">
        <v>80.27</v>
      </c>
    </row>
    <row r="71" spans="1:240" x14ac:dyDescent="0.2">
      <c r="A71" s="9">
        <v>44805</v>
      </c>
      <c r="G71" s="8">
        <v>98.05</v>
      </c>
      <c r="N71" s="8">
        <v>81.84</v>
      </c>
      <c r="W71" s="8">
        <v>103.11</v>
      </c>
      <c r="X71" s="8">
        <v>96.27</v>
      </c>
      <c r="Y71" s="8">
        <v>111.74</v>
      </c>
      <c r="AC71" s="8">
        <v>94.54</v>
      </c>
      <c r="AJ71" s="8">
        <v>86.22</v>
      </c>
      <c r="AK71" s="8">
        <v>80.069999999999993</v>
      </c>
      <c r="AO71" s="8">
        <v>92.7</v>
      </c>
      <c r="AP71" s="8">
        <v>88.82</v>
      </c>
      <c r="AQ71" s="8">
        <v>93.77</v>
      </c>
      <c r="AT71" s="8">
        <v>89.47</v>
      </c>
      <c r="AU71" s="8">
        <v>88.7</v>
      </c>
      <c r="AV71" s="8">
        <v>88.11</v>
      </c>
      <c r="AW71" s="8">
        <v>95.5</v>
      </c>
      <c r="AX71" s="8">
        <v>92.98</v>
      </c>
      <c r="AY71" s="8">
        <v>95.34</v>
      </c>
      <c r="AZ71" s="8">
        <v>100.1</v>
      </c>
      <c r="BA71" s="8">
        <v>90.95</v>
      </c>
      <c r="BB71" s="8">
        <v>89.7</v>
      </c>
      <c r="BC71" s="8">
        <v>95.41</v>
      </c>
      <c r="BD71" s="8">
        <v>98.83</v>
      </c>
      <c r="BE71" s="8">
        <v>92.39</v>
      </c>
      <c r="BF71" s="8">
        <v>91.42</v>
      </c>
      <c r="BG71" s="8">
        <v>94.72</v>
      </c>
      <c r="BH71" s="8">
        <v>89</v>
      </c>
      <c r="BI71" s="8">
        <v>88.49</v>
      </c>
      <c r="BJ71" s="8">
        <v>96.71</v>
      </c>
      <c r="BK71" s="8">
        <v>89.6</v>
      </c>
      <c r="BL71" s="8">
        <v>101.87</v>
      </c>
      <c r="BM71" s="8">
        <v>87.08</v>
      </c>
      <c r="BN71" s="8">
        <v>71.67</v>
      </c>
      <c r="BO71" s="8">
        <v>91.89</v>
      </c>
      <c r="BP71" s="8">
        <v>93.08</v>
      </c>
      <c r="BQ71" s="8">
        <v>85.98</v>
      </c>
      <c r="BR71" s="8">
        <v>84.77</v>
      </c>
      <c r="BS71" s="8">
        <v>90.96</v>
      </c>
      <c r="BT71" s="8">
        <v>90.87</v>
      </c>
      <c r="BU71" s="8">
        <v>82.14</v>
      </c>
      <c r="BV71" s="8">
        <v>92.39</v>
      </c>
      <c r="CB71" s="8">
        <v>86.03</v>
      </c>
      <c r="CD71" s="8">
        <v>88.65</v>
      </c>
      <c r="CE71" s="8">
        <v>71.42</v>
      </c>
      <c r="CF71" s="8">
        <v>71.42</v>
      </c>
      <c r="CT71" s="8">
        <v>89.72</v>
      </c>
      <c r="CU71" s="8">
        <v>89.72</v>
      </c>
      <c r="CV71" s="8">
        <v>98.6</v>
      </c>
      <c r="CW71" s="8">
        <v>98.6</v>
      </c>
      <c r="CZ71" s="8">
        <v>89.01</v>
      </c>
      <c r="DC71" s="8">
        <v>104.48</v>
      </c>
      <c r="DD71" s="8">
        <v>88.18</v>
      </c>
      <c r="DP71" s="8">
        <v>97.95</v>
      </c>
      <c r="DQ71" s="8">
        <v>94.28</v>
      </c>
      <c r="DR71" s="8">
        <v>96.62</v>
      </c>
      <c r="DS71" s="8">
        <v>99.53</v>
      </c>
      <c r="EI71" s="8">
        <v>98.45</v>
      </c>
      <c r="EP71" s="8">
        <v>81.84</v>
      </c>
      <c r="EY71" s="8">
        <v>101.26</v>
      </c>
      <c r="EZ71" s="8">
        <v>93.16</v>
      </c>
      <c r="FA71" s="8">
        <v>109.89</v>
      </c>
      <c r="FE71" s="8">
        <v>92.88</v>
      </c>
      <c r="FL71" s="8">
        <v>79.67</v>
      </c>
      <c r="FM71" s="8">
        <v>86.29</v>
      </c>
      <c r="FQ71" s="8">
        <v>89.86</v>
      </c>
      <c r="FR71" s="8">
        <v>88.82</v>
      </c>
      <c r="FS71" s="8">
        <v>89.96</v>
      </c>
      <c r="FV71" s="8">
        <v>89.39</v>
      </c>
      <c r="FW71" s="8">
        <v>89.77</v>
      </c>
      <c r="FX71" s="8">
        <v>86.78</v>
      </c>
      <c r="FY71" s="8">
        <v>92.69</v>
      </c>
      <c r="FZ71" s="8">
        <v>93.58</v>
      </c>
      <c r="GA71" s="8">
        <v>94.79</v>
      </c>
      <c r="GB71" s="8">
        <v>98.95</v>
      </c>
      <c r="GC71" s="8">
        <v>89.61</v>
      </c>
      <c r="GD71" s="8">
        <v>90.08</v>
      </c>
      <c r="GE71" s="8">
        <v>96.48</v>
      </c>
      <c r="GF71" s="8">
        <v>97.73</v>
      </c>
      <c r="GG71" s="8">
        <v>91.03</v>
      </c>
      <c r="GH71" s="8">
        <v>90.48</v>
      </c>
      <c r="GI71" s="8">
        <v>93.32</v>
      </c>
      <c r="GJ71" s="8">
        <v>89</v>
      </c>
      <c r="GK71" s="8">
        <v>88.33</v>
      </c>
      <c r="GL71" s="8">
        <v>98.04</v>
      </c>
      <c r="GM71" s="8">
        <v>93.03</v>
      </c>
      <c r="GN71" s="8">
        <v>101.82</v>
      </c>
      <c r="GO71" s="8">
        <v>86.33</v>
      </c>
      <c r="GP71" s="8">
        <v>75.7</v>
      </c>
      <c r="GQ71" s="8">
        <v>92.53</v>
      </c>
      <c r="GR71" s="8">
        <v>92.29</v>
      </c>
      <c r="GS71" s="8">
        <v>84.26</v>
      </c>
      <c r="GT71" s="8">
        <v>83.62</v>
      </c>
      <c r="GU71" s="8">
        <v>91.11</v>
      </c>
      <c r="GV71" s="8">
        <v>88.6</v>
      </c>
      <c r="GW71" s="8">
        <v>82.83</v>
      </c>
      <c r="GX71" s="8">
        <v>90.55</v>
      </c>
      <c r="HD71" s="8">
        <v>91.54</v>
      </c>
      <c r="HF71" s="8">
        <v>87.88</v>
      </c>
      <c r="HG71" s="8">
        <v>72.45</v>
      </c>
      <c r="HH71" s="8">
        <v>72.45</v>
      </c>
      <c r="HV71" s="8">
        <v>95.67</v>
      </c>
      <c r="HW71" s="8">
        <v>95.67</v>
      </c>
      <c r="HX71" s="8">
        <v>88.04</v>
      </c>
      <c r="HY71" s="8">
        <v>88.04</v>
      </c>
      <c r="IB71" s="8">
        <v>86.34</v>
      </c>
      <c r="IE71" s="8">
        <v>89.61</v>
      </c>
      <c r="IF71" s="8">
        <v>80.27</v>
      </c>
    </row>
    <row r="72" spans="1:240" x14ac:dyDescent="0.2">
      <c r="A72" s="9">
        <v>44835</v>
      </c>
      <c r="G72" s="8">
        <v>107.44</v>
      </c>
      <c r="N72" s="8">
        <v>81.819999999999993</v>
      </c>
      <c r="W72" s="8">
        <v>102.82</v>
      </c>
      <c r="X72" s="8">
        <v>106.32</v>
      </c>
      <c r="Y72" s="8">
        <v>95.57</v>
      </c>
      <c r="AC72" s="8">
        <v>95.76</v>
      </c>
      <c r="AJ72" s="8">
        <v>86.22</v>
      </c>
      <c r="AK72" s="8">
        <v>80.069999999999993</v>
      </c>
      <c r="AO72" s="8">
        <v>92.73</v>
      </c>
      <c r="AP72" s="8">
        <v>89</v>
      </c>
      <c r="AQ72" s="8">
        <v>93.77</v>
      </c>
      <c r="AT72" s="8">
        <v>89.57</v>
      </c>
      <c r="AU72" s="8">
        <v>88.42</v>
      </c>
      <c r="AV72" s="8">
        <v>89.22</v>
      </c>
      <c r="AW72" s="8">
        <v>91.99</v>
      </c>
      <c r="AX72" s="8">
        <v>93.17</v>
      </c>
      <c r="AY72" s="8">
        <v>95.19</v>
      </c>
      <c r="AZ72" s="8">
        <v>98.81</v>
      </c>
      <c r="BA72" s="8">
        <v>92.15</v>
      </c>
      <c r="BB72" s="8">
        <v>89.37</v>
      </c>
      <c r="BC72" s="8">
        <v>94.51</v>
      </c>
      <c r="BD72" s="8">
        <v>98.03</v>
      </c>
      <c r="BE72" s="8">
        <v>94.22</v>
      </c>
      <c r="BF72" s="8">
        <v>91.87</v>
      </c>
      <c r="BG72" s="8">
        <v>94.33</v>
      </c>
      <c r="BH72" s="8">
        <v>90.01</v>
      </c>
      <c r="BI72" s="8">
        <v>89.74</v>
      </c>
      <c r="BJ72" s="8">
        <v>90.38</v>
      </c>
      <c r="BK72" s="8">
        <v>86.64</v>
      </c>
      <c r="BL72" s="8">
        <v>93.06</v>
      </c>
      <c r="BM72" s="8">
        <v>88.17</v>
      </c>
      <c r="BN72" s="8">
        <v>71.77</v>
      </c>
      <c r="BO72" s="8">
        <v>92.09</v>
      </c>
      <c r="BP72" s="8">
        <v>93.75</v>
      </c>
      <c r="BQ72" s="8">
        <v>86.15</v>
      </c>
      <c r="BR72" s="8">
        <v>85.7</v>
      </c>
      <c r="BS72" s="8">
        <v>93.38</v>
      </c>
      <c r="BT72" s="8">
        <v>91.74</v>
      </c>
      <c r="BU72" s="8">
        <v>82.29</v>
      </c>
      <c r="BV72" s="8">
        <v>93.39</v>
      </c>
      <c r="CB72" s="8">
        <v>86.09</v>
      </c>
      <c r="CD72" s="8">
        <v>88.57</v>
      </c>
      <c r="CE72" s="8">
        <v>71.84</v>
      </c>
      <c r="CF72" s="8">
        <v>71.84</v>
      </c>
      <c r="CT72" s="8">
        <v>90.05</v>
      </c>
      <c r="CU72" s="8">
        <v>90.05</v>
      </c>
      <c r="CV72" s="8">
        <v>97.87</v>
      </c>
      <c r="CW72" s="8">
        <v>97.87</v>
      </c>
      <c r="CZ72" s="8">
        <v>89.01</v>
      </c>
      <c r="DC72" s="8">
        <v>104.48</v>
      </c>
      <c r="DD72" s="8">
        <v>88.18</v>
      </c>
      <c r="DP72" s="8">
        <v>97.49</v>
      </c>
      <c r="DQ72" s="8">
        <v>93.85</v>
      </c>
      <c r="DR72" s="8">
        <v>95.76</v>
      </c>
      <c r="DS72" s="8">
        <v>99.29</v>
      </c>
      <c r="EI72" s="8">
        <v>101.7</v>
      </c>
      <c r="EP72" s="8">
        <v>81.819999999999993</v>
      </c>
      <c r="EY72" s="8">
        <v>92.84</v>
      </c>
      <c r="EZ72" s="8">
        <v>89.55</v>
      </c>
      <c r="FA72" s="8">
        <v>94.83</v>
      </c>
      <c r="FE72" s="8">
        <v>94.95</v>
      </c>
      <c r="FL72" s="8">
        <v>79.67</v>
      </c>
      <c r="FM72" s="8">
        <v>86.29</v>
      </c>
      <c r="FQ72" s="8">
        <v>89.87</v>
      </c>
      <c r="FR72" s="8">
        <v>89</v>
      </c>
      <c r="FS72" s="8">
        <v>89.96</v>
      </c>
      <c r="FV72" s="8">
        <v>89.69</v>
      </c>
      <c r="FW72" s="8">
        <v>89.14</v>
      </c>
      <c r="FX72" s="8">
        <v>88.53</v>
      </c>
      <c r="FY72" s="8">
        <v>90.25</v>
      </c>
      <c r="FZ72" s="8">
        <v>94.03</v>
      </c>
      <c r="GA72" s="8">
        <v>94.82</v>
      </c>
      <c r="GB72" s="8">
        <v>99</v>
      </c>
      <c r="GC72" s="8">
        <v>90.48</v>
      </c>
      <c r="GD72" s="8">
        <v>89.15</v>
      </c>
      <c r="GE72" s="8">
        <v>95.38</v>
      </c>
      <c r="GF72" s="8">
        <v>97.46</v>
      </c>
      <c r="GG72" s="8">
        <v>93.02</v>
      </c>
      <c r="GH72" s="8">
        <v>91.1</v>
      </c>
      <c r="GI72" s="8">
        <v>92.91</v>
      </c>
      <c r="GJ72" s="8">
        <v>90.26</v>
      </c>
      <c r="GK72" s="8">
        <v>89.6</v>
      </c>
      <c r="GL72" s="8">
        <v>90.95</v>
      </c>
      <c r="GM72" s="8">
        <v>89.36</v>
      </c>
      <c r="GN72" s="8">
        <v>92.14</v>
      </c>
      <c r="GO72" s="8">
        <v>87.14</v>
      </c>
      <c r="GP72" s="8">
        <v>75.86</v>
      </c>
      <c r="GQ72" s="8">
        <v>92.65</v>
      </c>
      <c r="GR72" s="8">
        <v>92.98</v>
      </c>
      <c r="GS72" s="8">
        <v>84.14</v>
      </c>
      <c r="GT72" s="8">
        <v>84.23</v>
      </c>
      <c r="GU72" s="8">
        <v>93.55</v>
      </c>
      <c r="GV72" s="8">
        <v>89.21</v>
      </c>
      <c r="GW72" s="8">
        <v>82.83</v>
      </c>
      <c r="GX72" s="8">
        <v>91.37</v>
      </c>
      <c r="HD72" s="8">
        <v>91.12</v>
      </c>
      <c r="HF72" s="8">
        <v>88.5</v>
      </c>
      <c r="HG72" s="8">
        <v>72.86</v>
      </c>
      <c r="HH72" s="8">
        <v>72.86</v>
      </c>
      <c r="HV72" s="8">
        <v>95.95</v>
      </c>
      <c r="HW72" s="8">
        <v>95.95</v>
      </c>
      <c r="HX72" s="8">
        <v>87.62</v>
      </c>
      <c r="HY72" s="8">
        <v>87.62</v>
      </c>
      <c r="IB72" s="8">
        <v>86.34</v>
      </c>
      <c r="IE72" s="8">
        <v>90.21</v>
      </c>
      <c r="IF72" s="8">
        <v>80.27</v>
      </c>
    </row>
    <row r="73" spans="1:240" x14ac:dyDescent="0.2">
      <c r="A73" s="9">
        <v>44866</v>
      </c>
      <c r="G73" s="8">
        <v>110.43</v>
      </c>
      <c r="N73" s="8">
        <v>81.73</v>
      </c>
      <c r="W73" s="8">
        <v>104.78</v>
      </c>
      <c r="X73" s="8">
        <v>106.23</v>
      </c>
      <c r="Y73" s="8">
        <v>100.63</v>
      </c>
      <c r="AC73" s="8">
        <v>98.66</v>
      </c>
      <c r="AJ73" s="8">
        <v>86.22</v>
      </c>
      <c r="AK73" s="8">
        <v>80.069999999999993</v>
      </c>
      <c r="AO73" s="8">
        <v>93</v>
      </c>
      <c r="AP73" s="8">
        <v>90.24</v>
      </c>
      <c r="AQ73" s="8">
        <v>93.77</v>
      </c>
      <c r="AT73" s="8">
        <v>90.39</v>
      </c>
      <c r="AU73" s="8">
        <v>88.65</v>
      </c>
      <c r="AV73" s="8">
        <v>89.4</v>
      </c>
      <c r="AW73" s="8">
        <v>96.62</v>
      </c>
      <c r="AX73" s="8">
        <v>95.56</v>
      </c>
      <c r="AY73" s="8">
        <v>95.92</v>
      </c>
      <c r="AZ73" s="8">
        <v>99.05</v>
      </c>
      <c r="BA73" s="8">
        <v>93.09</v>
      </c>
      <c r="BB73" s="8">
        <v>89.25</v>
      </c>
      <c r="BC73" s="8">
        <v>94.95</v>
      </c>
      <c r="BD73" s="8">
        <v>99.35</v>
      </c>
      <c r="BE73" s="8">
        <v>95.9</v>
      </c>
      <c r="BF73" s="8">
        <v>93.1</v>
      </c>
      <c r="BG73" s="8">
        <v>95.14</v>
      </c>
      <c r="BH73" s="8">
        <v>93.12</v>
      </c>
      <c r="BI73" s="8">
        <v>89.73</v>
      </c>
      <c r="BJ73" s="8">
        <v>91.06</v>
      </c>
      <c r="BK73" s="8">
        <v>90.36</v>
      </c>
      <c r="BL73" s="8">
        <v>91.51</v>
      </c>
      <c r="BM73" s="8">
        <v>88.34</v>
      </c>
      <c r="BN73" s="8">
        <v>71.78</v>
      </c>
      <c r="BO73" s="8">
        <v>92.28</v>
      </c>
      <c r="BP73" s="8">
        <v>93.7</v>
      </c>
      <c r="BQ73" s="8">
        <v>87.94</v>
      </c>
      <c r="BR73" s="8">
        <v>84.93</v>
      </c>
      <c r="BS73" s="8">
        <v>94.36</v>
      </c>
      <c r="BT73" s="8">
        <v>90.58</v>
      </c>
      <c r="BU73" s="8">
        <v>82.73</v>
      </c>
      <c r="BV73" s="8">
        <v>91.94</v>
      </c>
      <c r="CB73" s="8">
        <v>85.9</v>
      </c>
      <c r="CD73" s="8">
        <v>89.02</v>
      </c>
      <c r="CE73" s="8">
        <v>71.86</v>
      </c>
      <c r="CF73" s="8">
        <v>71.86</v>
      </c>
      <c r="CT73" s="8">
        <v>90.49</v>
      </c>
      <c r="CU73" s="8">
        <v>90.49</v>
      </c>
      <c r="CV73" s="8">
        <v>98.02</v>
      </c>
      <c r="CW73" s="8">
        <v>98.02</v>
      </c>
      <c r="CZ73" s="8">
        <v>89.01</v>
      </c>
      <c r="DC73" s="8">
        <v>104.48</v>
      </c>
      <c r="DD73" s="8">
        <v>88.18</v>
      </c>
      <c r="DP73" s="8">
        <v>99.53</v>
      </c>
      <c r="DQ73" s="8">
        <v>99.19</v>
      </c>
      <c r="DR73" s="8">
        <v>96.24</v>
      </c>
      <c r="DS73" s="8">
        <v>101.5</v>
      </c>
      <c r="EI73" s="8">
        <v>106.25</v>
      </c>
      <c r="EP73" s="8">
        <v>81.73</v>
      </c>
      <c r="EY73" s="8">
        <v>91.67</v>
      </c>
      <c r="EZ73" s="8">
        <v>85.78</v>
      </c>
      <c r="FA73" s="8">
        <v>97.41</v>
      </c>
      <c r="FE73" s="8">
        <v>97.67</v>
      </c>
      <c r="FL73" s="8">
        <v>79.67</v>
      </c>
      <c r="FM73" s="8">
        <v>86.29</v>
      </c>
      <c r="FQ73" s="8">
        <v>89.96</v>
      </c>
      <c r="FR73" s="8">
        <v>90.24</v>
      </c>
      <c r="FS73" s="8">
        <v>89.96</v>
      </c>
      <c r="FV73" s="8">
        <v>90.44</v>
      </c>
      <c r="FW73" s="8">
        <v>89.48</v>
      </c>
      <c r="FX73" s="8">
        <v>88.52</v>
      </c>
      <c r="FY73" s="8">
        <v>94.53</v>
      </c>
      <c r="FZ73" s="8">
        <v>95.78</v>
      </c>
      <c r="GA73" s="8">
        <v>95.49</v>
      </c>
      <c r="GB73" s="8">
        <v>98.96</v>
      </c>
      <c r="GC73" s="8">
        <v>91.41</v>
      </c>
      <c r="GD73" s="8">
        <v>89.59</v>
      </c>
      <c r="GE73" s="8">
        <v>95.82</v>
      </c>
      <c r="GF73" s="8">
        <v>98.83</v>
      </c>
      <c r="GG73" s="8">
        <v>94.22</v>
      </c>
      <c r="GH73" s="8">
        <v>92.56</v>
      </c>
      <c r="GI73" s="8">
        <v>94.11</v>
      </c>
      <c r="GJ73" s="8">
        <v>93.49</v>
      </c>
      <c r="GK73" s="8">
        <v>89.58</v>
      </c>
      <c r="GL73" s="8">
        <v>94.65</v>
      </c>
      <c r="GM73" s="8">
        <v>95.39</v>
      </c>
      <c r="GN73" s="8">
        <v>94.08</v>
      </c>
      <c r="GO73" s="8">
        <v>87.25</v>
      </c>
      <c r="GP73" s="8">
        <v>75.790000000000006</v>
      </c>
      <c r="GQ73" s="8">
        <v>92.65</v>
      </c>
      <c r="GR73" s="8">
        <v>92.89</v>
      </c>
      <c r="GS73" s="8">
        <v>86.01</v>
      </c>
      <c r="GT73" s="8">
        <v>83.68</v>
      </c>
      <c r="GU73" s="8">
        <v>94.26</v>
      </c>
      <c r="GV73" s="8">
        <v>88.91</v>
      </c>
      <c r="GW73" s="8">
        <v>83.58</v>
      </c>
      <c r="GX73" s="8">
        <v>90.7</v>
      </c>
      <c r="HD73" s="8">
        <v>91.25</v>
      </c>
      <c r="HF73" s="8">
        <v>88.47</v>
      </c>
      <c r="HG73" s="8">
        <v>72.87</v>
      </c>
      <c r="HH73" s="8">
        <v>72.87</v>
      </c>
      <c r="HV73" s="8">
        <v>96.43</v>
      </c>
      <c r="HW73" s="8">
        <v>96.43</v>
      </c>
      <c r="HX73" s="8">
        <v>88.9</v>
      </c>
      <c r="HY73" s="8">
        <v>88.9</v>
      </c>
      <c r="IB73" s="8">
        <v>86.34</v>
      </c>
      <c r="IE73" s="8">
        <v>89.44</v>
      </c>
      <c r="IF73" s="8">
        <v>80.27</v>
      </c>
    </row>
    <row r="74" spans="1:240" x14ac:dyDescent="0.2">
      <c r="A74" s="9">
        <v>44896</v>
      </c>
      <c r="G74" s="8">
        <v>105.17</v>
      </c>
      <c r="N74" s="8">
        <v>81.41</v>
      </c>
      <c r="W74" s="8">
        <v>131.38</v>
      </c>
      <c r="X74" s="8">
        <v>117.9</v>
      </c>
      <c r="Y74" s="8">
        <v>149.66999999999999</v>
      </c>
      <c r="AC74" s="8">
        <v>99.86</v>
      </c>
      <c r="AJ74" s="8">
        <v>86.22</v>
      </c>
      <c r="AK74" s="8">
        <v>80.069999999999993</v>
      </c>
      <c r="AO74" s="8">
        <v>94.85</v>
      </c>
      <c r="AP74" s="8">
        <v>89.12</v>
      </c>
      <c r="AQ74" s="8">
        <v>96.42</v>
      </c>
      <c r="AT74" s="8">
        <v>91.66</v>
      </c>
      <c r="AU74" s="8">
        <v>89.59</v>
      </c>
      <c r="AV74" s="8">
        <v>90.6</v>
      </c>
      <c r="AW74" s="8">
        <v>100.34</v>
      </c>
      <c r="AX74" s="8">
        <v>96.78</v>
      </c>
      <c r="AY74" s="8">
        <v>95.66</v>
      </c>
      <c r="AZ74" s="8">
        <v>98.52</v>
      </c>
      <c r="BA74" s="8">
        <v>92.94</v>
      </c>
      <c r="BB74" s="8">
        <v>86.7</v>
      </c>
      <c r="BC74" s="8">
        <v>96.05</v>
      </c>
      <c r="BD74" s="8">
        <v>100.31</v>
      </c>
      <c r="BE74" s="8">
        <v>95.46</v>
      </c>
      <c r="BF74" s="8">
        <v>94.5</v>
      </c>
      <c r="BG74" s="8">
        <v>95.77</v>
      </c>
      <c r="BH74" s="8">
        <v>95.05</v>
      </c>
      <c r="BI74" s="8">
        <v>91.84</v>
      </c>
      <c r="BJ74" s="8">
        <v>94.56</v>
      </c>
      <c r="BK74" s="8">
        <v>94.94</v>
      </c>
      <c r="BL74" s="8">
        <v>94.21</v>
      </c>
      <c r="BM74" s="8">
        <v>89.66</v>
      </c>
      <c r="BN74" s="8">
        <v>73.42</v>
      </c>
      <c r="BO74" s="8">
        <v>93.03</v>
      </c>
      <c r="BP74" s="8">
        <v>92.63</v>
      </c>
      <c r="BQ74" s="8">
        <v>89.42</v>
      </c>
      <c r="BR74" s="8">
        <v>86.91</v>
      </c>
      <c r="BS74" s="8">
        <v>96.09</v>
      </c>
      <c r="BT74" s="8">
        <v>89.66</v>
      </c>
      <c r="BU74" s="8">
        <v>83.07</v>
      </c>
      <c r="BV74" s="8">
        <v>90.79</v>
      </c>
      <c r="CB74" s="8">
        <v>86.26</v>
      </c>
      <c r="CD74" s="8">
        <v>89.37</v>
      </c>
      <c r="CE74" s="8">
        <v>71.86</v>
      </c>
      <c r="CF74" s="8">
        <v>71.86</v>
      </c>
      <c r="CT74" s="8">
        <v>90.72</v>
      </c>
      <c r="CU74" s="8">
        <v>90.72</v>
      </c>
      <c r="CV74" s="8">
        <v>98.24</v>
      </c>
      <c r="CW74" s="8">
        <v>98.24</v>
      </c>
      <c r="CZ74" s="8">
        <v>89.01</v>
      </c>
      <c r="DC74" s="8">
        <v>104.48</v>
      </c>
      <c r="DD74" s="8">
        <v>91.4</v>
      </c>
      <c r="DP74" s="8">
        <v>100.53</v>
      </c>
      <c r="DQ74" s="8">
        <v>100.57</v>
      </c>
      <c r="DR74" s="8">
        <v>98.96</v>
      </c>
      <c r="DS74" s="8">
        <v>101.42</v>
      </c>
      <c r="EI74" s="8">
        <v>101.33</v>
      </c>
      <c r="EP74" s="8">
        <v>81.41</v>
      </c>
      <c r="EY74" s="8">
        <v>112.27</v>
      </c>
      <c r="EZ74" s="8">
        <v>92.54</v>
      </c>
      <c r="FA74" s="8">
        <v>137.19</v>
      </c>
      <c r="FE74" s="8">
        <v>99.32</v>
      </c>
      <c r="FL74" s="8">
        <v>79.67</v>
      </c>
      <c r="FM74" s="8">
        <v>86.29</v>
      </c>
      <c r="FQ74" s="8">
        <v>90.54</v>
      </c>
      <c r="FR74" s="8">
        <v>89.12</v>
      </c>
      <c r="FS74" s="8">
        <v>90.66</v>
      </c>
      <c r="FV74" s="8">
        <v>91.9</v>
      </c>
      <c r="FW74" s="8">
        <v>90.55</v>
      </c>
      <c r="FX74" s="8">
        <v>89.94</v>
      </c>
      <c r="FY74" s="8">
        <v>98.18</v>
      </c>
      <c r="FZ74" s="8">
        <v>97.21</v>
      </c>
      <c r="GA74" s="8">
        <v>95.96</v>
      </c>
      <c r="GB74" s="8">
        <v>99.25</v>
      </c>
      <c r="GC74" s="8">
        <v>92.22</v>
      </c>
      <c r="GD74" s="8">
        <v>89.31</v>
      </c>
      <c r="GE74" s="8">
        <v>96.43</v>
      </c>
      <c r="GF74" s="8">
        <v>100.06</v>
      </c>
      <c r="GG74" s="8">
        <v>94.45</v>
      </c>
      <c r="GH74" s="8">
        <v>94.28</v>
      </c>
      <c r="GI74" s="8">
        <v>95.37</v>
      </c>
      <c r="GJ74" s="8">
        <v>95.27</v>
      </c>
      <c r="GK74" s="8">
        <v>91.84</v>
      </c>
      <c r="GL74" s="8">
        <v>97.5</v>
      </c>
      <c r="GM74" s="8">
        <v>98.11</v>
      </c>
      <c r="GN74" s="8">
        <v>97.03</v>
      </c>
      <c r="GO74" s="8">
        <v>88.55</v>
      </c>
      <c r="GP74" s="8">
        <v>75.88</v>
      </c>
      <c r="GQ74" s="8">
        <v>93.63</v>
      </c>
      <c r="GR74" s="8">
        <v>91.74</v>
      </c>
      <c r="GS74" s="8">
        <v>87.38</v>
      </c>
      <c r="GT74" s="8">
        <v>85.79</v>
      </c>
      <c r="GU74" s="8">
        <v>96.2</v>
      </c>
      <c r="GV74" s="8">
        <v>87.81</v>
      </c>
      <c r="GW74" s="8">
        <v>84.07</v>
      </c>
      <c r="GX74" s="8">
        <v>89.05</v>
      </c>
      <c r="HD74" s="8">
        <v>90.28</v>
      </c>
      <c r="HF74" s="8">
        <v>88.74</v>
      </c>
      <c r="HG74" s="8">
        <v>72.84</v>
      </c>
      <c r="HH74" s="8">
        <v>72.84</v>
      </c>
      <c r="HV74" s="8">
        <v>96.72</v>
      </c>
      <c r="HW74" s="8">
        <v>96.72</v>
      </c>
      <c r="HX74" s="8">
        <v>89.59</v>
      </c>
      <c r="HY74" s="8">
        <v>89.59</v>
      </c>
      <c r="IB74" s="8">
        <v>86.34</v>
      </c>
      <c r="IE74" s="8">
        <v>89.44</v>
      </c>
      <c r="IF74" s="8">
        <v>80.27</v>
      </c>
    </row>
    <row r="75" spans="1:240" x14ac:dyDescent="0.2">
      <c r="A75" s="9">
        <v>44927</v>
      </c>
      <c r="G75" s="8">
        <v>102.58</v>
      </c>
      <c r="N75" s="8">
        <v>81.819999999999993</v>
      </c>
      <c r="W75" s="8">
        <v>117.85</v>
      </c>
      <c r="X75" s="8">
        <v>118.23</v>
      </c>
      <c r="Y75" s="8">
        <v>115.11</v>
      </c>
      <c r="AC75" s="8">
        <v>100.72</v>
      </c>
      <c r="AJ75" s="8">
        <v>86.22</v>
      </c>
      <c r="AK75" s="8">
        <v>80.069999999999993</v>
      </c>
      <c r="AO75" s="8">
        <v>94.88</v>
      </c>
      <c r="AP75" s="8">
        <v>89.24</v>
      </c>
      <c r="AQ75" s="8">
        <v>96.42</v>
      </c>
      <c r="AT75" s="8">
        <v>91.72</v>
      </c>
      <c r="AU75" s="8">
        <v>90.26</v>
      </c>
      <c r="AV75" s="8">
        <v>90.88</v>
      </c>
      <c r="AW75" s="8">
        <v>98.28</v>
      </c>
      <c r="AX75" s="8">
        <v>95.54</v>
      </c>
      <c r="AY75" s="8">
        <v>95.9</v>
      </c>
      <c r="AZ75" s="8">
        <v>98.11</v>
      </c>
      <c r="BA75" s="8">
        <v>93.81</v>
      </c>
      <c r="BB75" s="8">
        <v>88.79</v>
      </c>
      <c r="BC75" s="8">
        <v>96.01</v>
      </c>
      <c r="BD75" s="8">
        <v>100</v>
      </c>
      <c r="BE75" s="8">
        <v>95.26</v>
      </c>
      <c r="BF75" s="8">
        <v>93.89</v>
      </c>
      <c r="BG75" s="8">
        <v>94.87</v>
      </c>
      <c r="BH75" s="8">
        <v>95.12</v>
      </c>
      <c r="BI75" s="8">
        <v>90.99</v>
      </c>
      <c r="BJ75" s="8">
        <v>92.36</v>
      </c>
      <c r="BK75" s="8">
        <v>92.33</v>
      </c>
      <c r="BL75" s="8">
        <v>92.32</v>
      </c>
      <c r="BM75" s="8">
        <v>90.79</v>
      </c>
      <c r="BN75" s="8">
        <v>74.09</v>
      </c>
      <c r="BO75" s="8">
        <v>92.69</v>
      </c>
      <c r="BP75" s="8">
        <v>94.87</v>
      </c>
      <c r="BQ75" s="8">
        <v>89.89</v>
      </c>
      <c r="BR75" s="8">
        <v>88.58</v>
      </c>
      <c r="BS75" s="8">
        <v>96.39</v>
      </c>
      <c r="BT75" s="8">
        <v>92.42</v>
      </c>
      <c r="BU75" s="8">
        <v>84.57</v>
      </c>
      <c r="BV75" s="8">
        <v>93.78</v>
      </c>
      <c r="CB75" s="8">
        <v>87.03</v>
      </c>
      <c r="CD75" s="8">
        <v>89.55</v>
      </c>
      <c r="CE75" s="8">
        <v>71.95</v>
      </c>
      <c r="CF75" s="8">
        <v>71.95</v>
      </c>
      <c r="CT75" s="8">
        <v>91.14</v>
      </c>
      <c r="CU75" s="8">
        <v>91.14</v>
      </c>
      <c r="CV75" s="8">
        <v>98.21</v>
      </c>
      <c r="CW75" s="8">
        <v>98.21</v>
      </c>
      <c r="CZ75" s="8">
        <v>89.01</v>
      </c>
      <c r="DC75" s="8">
        <v>104.48</v>
      </c>
      <c r="DD75" s="8">
        <v>91.4</v>
      </c>
      <c r="DP75" s="8">
        <v>99.61</v>
      </c>
      <c r="DQ75" s="8">
        <v>98.14</v>
      </c>
      <c r="DR75" s="8">
        <v>97.98</v>
      </c>
      <c r="DS75" s="8">
        <v>100.86</v>
      </c>
      <c r="EI75" s="8">
        <v>98.95</v>
      </c>
      <c r="EP75" s="8">
        <v>81.819999999999993</v>
      </c>
      <c r="EY75" s="8">
        <v>107.27</v>
      </c>
      <c r="EZ75" s="8">
        <v>99.51</v>
      </c>
      <c r="FA75" s="8">
        <v>115.23</v>
      </c>
      <c r="FE75" s="8">
        <v>100.2</v>
      </c>
      <c r="FL75" s="8">
        <v>79.67</v>
      </c>
      <c r="FM75" s="8">
        <v>86.29</v>
      </c>
      <c r="FQ75" s="8">
        <v>90.55</v>
      </c>
      <c r="FR75" s="8">
        <v>89.24</v>
      </c>
      <c r="FS75" s="8">
        <v>90.66</v>
      </c>
      <c r="FV75" s="8">
        <v>92.19</v>
      </c>
      <c r="FW75" s="8">
        <v>91.79</v>
      </c>
      <c r="FX75" s="8">
        <v>90.2</v>
      </c>
      <c r="FY75" s="8">
        <v>95.86</v>
      </c>
      <c r="FZ75" s="8">
        <v>96.6</v>
      </c>
      <c r="GA75" s="8">
        <v>96.15</v>
      </c>
      <c r="GB75" s="8">
        <v>98.91</v>
      </c>
      <c r="GC75" s="8">
        <v>92.38</v>
      </c>
      <c r="GD75" s="8">
        <v>90.61</v>
      </c>
      <c r="GE75" s="8">
        <v>96.8</v>
      </c>
      <c r="GF75" s="8">
        <v>99.95</v>
      </c>
      <c r="GG75" s="8">
        <v>94.44</v>
      </c>
      <c r="GH75" s="8">
        <v>93.89</v>
      </c>
      <c r="GI75" s="8">
        <v>94.68</v>
      </c>
      <c r="GJ75" s="8">
        <v>95.66</v>
      </c>
      <c r="GK75" s="8">
        <v>91.04</v>
      </c>
      <c r="GL75" s="8">
        <v>94.06</v>
      </c>
      <c r="GM75" s="8">
        <v>92.98</v>
      </c>
      <c r="GN75" s="8">
        <v>94.87</v>
      </c>
      <c r="GO75" s="8">
        <v>89.71</v>
      </c>
      <c r="GP75" s="8">
        <v>75.97</v>
      </c>
      <c r="GQ75" s="8">
        <v>93.58</v>
      </c>
      <c r="GR75" s="8">
        <v>94.52</v>
      </c>
      <c r="GS75" s="8">
        <v>88.01</v>
      </c>
      <c r="GT75" s="8">
        <v>87.43</v>
      </c>
      <c r="GU75" s="8">
        <v>96.15</v>
      </c>
      <c r="GV75" s="8">
        <v>90.81</v>
      </c>
      <c r="GW75" s="8">
        <v>85.29</v>
      </c>
      <c r="GX75" s="8">
        <v>92.67</v>
      </c>
      <c r="HD75" s="8">
        <v>91.27</v>
      </c>
      <c r="HF75" s="8">
        <v>89.14</v>
      </c>
      <c r="HG75" s="8">
        <v>72.94</v>
      </c>
      <c r="HH75" s="8">
        <v>72.94</v>
      </c>
      <c r="HV75" s="8">
        <v>97.07</v>
      </c>
      <c r="HW75" s="8">
        <v>97.07</v>
      </c>
      <c r="HX75" s="8">
        <v>91.45</v>
      </c>
      <c r="HY75" s="8">
        <v>91.45</v>
      </c>
      <c r="IB75" s="8">
        <v>86.34</v>
      </c>
      <c r="IE75" s="8">
        <v>89.44</v>
      </c>
      <c r="IF75" s="8">
        <v>80.27</v>
      </c>
    </row>
    <row r="76" spans="1:240" x14ac:dyDescent="0.2">
      <c r="A76" s="9">
        <v>44958</v>
      </c>
      <c r="G76" s="8">
        <v>104.94</v>
      </c>
      <c r="N76" s="8">
        <v>81.400000000000006</v>
      </c>
      <c r="W76" s="8">
        <v>103.04</v>
      </c>
      <c r="X76" s="8">
        <v>107.81</v>
      </c>
      <c r="Y76" s="8">
        <v>93.82</v>
      </c>
      <c r="AC76" s="8">
        <v>100.42</v>
      </c>
      <c r="AJ76" s="8">
        <v>90.5</v>
      </c>
      <c r="AK76" s="8">
        <v>89.45</v>
      </c>
      <c r="AO76" s="8">
        <v>94.9</v>
      </c>
      <c r="AP76" s="8">
        <v>89.35</v>
      </c>
      <c r="AQ76" s="8">
        <v>96.42</v>
      </c>
      <c r="AT76" s="8">
        <v>91.79</v>
      </c>
      <c r="AU76" s="8">
        <v>90.18</v>
      </c>
      <c r="AV76" s="8">
        <v>91.2</v>
      </c>
      <c r="AW76" s="8">
        <v>92.65</v>
      </c>
      <c r="AX76" s="8">
        <v>98.05</v>
      </c>
      <c r="AY76" s="8">
        <v>96.72</v>
      </c>
      <c r="AZ76" s="8">
        <v>98.61</v>
      </c>
      <c r="BA76" s="8">
        <v>95.63</v>
      </c>
      <c r="BB76" s="8">
        <v>89.98</v>
      </c>
      <c r="BC76" s="8">
        <v>96.53</v>
      </c>
      <c r="BD76" s="8">
        <v>100.97</v>
      </c>
      <c r="BE76" s="8">
        <v>95.56</v>
      </c>
      <c r="BF76" s="8">
        <v>94.24</v>
      </c>
      <c r="BG76" s="8">
        <v>95.91</v>
      </c>
      <c r="BH76" s="8">
        <v>95.71</v>
      </c>
      <c r="BI76" s="8">
        <v>89.98</v>
      </c>
      <c r="BJ76" s="8">
        <v>94.74</v>
      </c>
      <c r="BK76" s="8">
        <v>96.29</v>
      </c>
      <c r="BL76" s="8">
        <v>93.53</v>
      </c>
      <c r="BM76" s="8">
        <v>92.1</v>
      </c>
      <c r="BN76" s="8">
        <v>76.59</v>
      </c>
      <c r="BO76" s="8">
        <v>92.45</v>
      </c>
      <c r="BP76" s="8">
        <v>97.62</v>
      </c>
      <c r="BQ76" s="8">
        <v>90.57</v>
      </c>
      <c r="BR76" s="8">
        <v>89.72</v>
      </c>
      <c r="BS76" s="8">
        <v>97.21</v>
      </c>
      <c r="BT76" s="8">
        <v>94.02</v>
      </c>
      <c r="BU76" s="8">
        <v>85.74</v>
      </c>
      <c r="BV76" s="8">
        <v>95.45</v>
      </c>
      <c r="CB76" s="8">
        <v>90.03</v>
      </c>
      <c r="CD76" s="8">
        <v>91.86</v>
      </c>
      <c r="CE76" s="8">
        <v>72.099999999999994</v>
      </c>
      <c r="CF76" s="8">
        <v>72.099999999999994</v>
      </c>
      <c r="CT76" s="8">
        <v>91.64</v>
      </c>
      <c r="CU76" s="8">
        <v>91.64</v>
      </c>
      <c r="CV76" s="8">
        <v>98.21</v>
      </c>
      <c r="CW76" s="8">
        <v>98.21</v>
      </c>
      <c r="CZ76" s="8">
        <v>89.01</v>
      </c>
      <c r="DC76" s="8">
        <v>104.48</v>
      </c>
      <c r="DD76" s="8">
        <v>91.4</v>
      </c>
      <c r="DP76" s="8">
        <v>101.37</v>
      </c>
      <c r="DQ76" s="8">
        <v>99.18</v>
      </c>
      <c r="DR76" s="8">
        <v>99.41</v>
      </c>
      <c r="DS76" s="8">
        <v>102.97</v>
      </c>
      <c r="EI76" s="8">
        <v>99.27</v>
      </c>
      <c r="EP76" s="8">
        <v>81.400000000000006</v>
      </c>
      <c r="EY76" s="8">
        <v>95.09</v>
      </c>
      <c r="EZ76" s="8">
        <v>92.69</v>
      </c>
      <c r="FA76" s="8">
        <v>95.76</v>
      </c>
      <c r="FE76" s="8">
        <v>100.26</v>
      </c>
      <c r="FL76" s="8">
        <v>86.24</v>
      </c>
      <c r="FM76" s="8">
        <v>90.81</v>
      </c>
      <c r="FQ76" s="8">
        <v>90.56</v>
      </c>
      <c r="FR76" s="8">
        <v>89.35</v>
      </c>
      <c r="FS76" s="8">
        <v>90.66</v>
      </c>
      <c r="FV76" s="8">
        <v>92.17</v>
      </c>
      <c r="FW76" s="8">
        <v>91.7</v>
      </c>
      <c r="FX76" s="8">
        <v>90.73</v>
      </c>
      <c r="FY76" s="8">
        <v>91.07</v>
      </c>
      <c r="FZ76" s="8">
        <v>97.78</v>
      </c>
      <c r="GA76" s="8">
        <v>96.27</v>
      </c>
      <c r="GB76" s="8">
        <v>98.19</v>
      </c>
      <c r="GC76" s="8">
        <v>93.79</v>
      </c>
      <c r="GD76" s="8">
        <v>90.81</v>
      </c>
      <c r="GE76" s="8">
        <v>96.93</v>
      </c>
      <c r="GF76" s="8">
        <v>100.06</v>
      </c>
      <c r="GG76" s="8">
        <v>94.63</v>
      </c>
      <c r="GH76" s="8">
        <v>93.8</v>
      </c>
      <c r="GI76" s="8">
        <v>95.15</v>
      </c>
      <c r="GJ76" s="8">
        <v>95.97</v>
      </c>
      <c r="GK76" s="8">
        <v>89.81</v>
      </c>
      <c r="GL76" s="8">
        <v>97.27</v>
      </c>
      <c r="GM76" s="8">
        <v>99.62</v>
      </c>
      <c r="GN76" s="8">
        <v>95.49</v>
      </c>
      <c r="GO76" s="8">
        <v>90.65</v>
      </c>
      <c r="GP76" s="8">
        <v>78.180000000000007</v>
      </c>
      <c r="GQ76" s="8">
        <v>92.87</v>
      </c>
      <c r="GR76" s="8">
        <v>96.83</v>
      </c>
      <c r="GS76" s="8">
        <v>89.07</v>
      </c>
      <c r="GT76" s="8">
        <v>87.96</v>
      </c>
      <c r="GU76" s="8">
        <v>96.89</v>
      </c>
      <c r="GV76" s="8">
        <v>92.12</v>
      </c>
      <c r="GW76" s="8">
        <v>86.26</v>
      </c>
      <c r="GX76" s="8">
        <v>94.09</v>
      </c>
      <c r="HD76" s="8">
        <v>96.15</v>
      </c>
      <c r="HF76" s="8">
        <v>91.1</v>
      </c>
      <c r="HG76" s="8">
        <v>73.06</v>
      </c>
      <c r="HH76" s="8">
        <v>73.06</v>
      </c>
      <c r="HV76" s="8">
        <v>97.39</v>
      </c>
      <c r="HW76" s="8">
        <v>97.39</v>
      </c>
      <c r="HX76" s="8">
        <v>93.24</v>
      </c>
      <c r="HY76" s="8">
        <v>93.24</v>
      </c>
      <c r="IB76" s="8">
        <v>86.34</v>
      </c>
      <c r="IE76" s="8">
        <v>89.44</v>
      </c>
      <c r="IF76" s="8">
        <v>81.3</v>
      </c>
    </row>
    <row r="77" spans="1:240" x14ac:dyDescent="0.2">
      <c r="A77" s="9">
        <v>44986</v>
      </c>
      <c r="G77" s="8">
        <v>106.02</v>
      </c>
      <c r="N77" s="8">
        <v>85.88</v>
      </c>
      <c r="W77" s="8">
        <v>104.15</v>
      </c>
      <c r="X77" s="8">
        <v>109.13</v>
      </c>
      <c r="Y77" s="8">
        <v>94.62</v>
      </c>
      <c r="AC77" s="8">
        <v>100.72</v>
      </c>
      <c r="AJ77" s="8">
        <v>90.5</v>
      </c>
      <c r="AK77" s="8">
        <v>89.45</v>
      </c>
      <c r="AO77" s="8">
        <v>96.6</v>
      </c>
      <c r="AP77" s="8">
        <v>90.73</v>
      </c>
      <c r="AQ77" s="8">
        <v>98.21</v>
      </c>
      <c r="AT77" s="8">
        <v>92.35</v>
      </c>
      <c r="AU77" s="8">
        <v>90.27</v>
      </c>
      <c r="AV77" s="8">
        <v>91.14</v>
      </c>
      <c r="AW77" s="8">
        <v>97.28</v>
      </c>
      <c r="AX77" s="8">
        <v>99.64</v>
      </c>
      <c r="AY77" s="8">
        <v>96.23</v>
      </c>
      <c r="AZ77" s="8">
        <v>97.38</v>
      </c>
      <c r="BA77" s="8">
        <v>94.82</v>
      </c>
      <c r="BB77" s="8">
        <v>88.91</v>
      </c>
      <c r="BC77" s="8">
        <v>96.96</v>
      </c>
      <c r="BD77" s="8">
        <v>101.3</v>
      </c>
      <c r="BE77" s="8">
        <v>95.21</v>
      </c>
      <c r="BF77" s="8">
        <v>96.08</v>
      </c>
      <c r="BG77" s="8">
        <v>97.02</v>
      </c>
      <c r="BH77" s="8">
        <v>97.1</v>
      </c>
      <c r="BI77" s="8">
        <v>93.47</v>
      </c>
      <c r="BJ77" s="8">
        <v>95.84</v>
      </c>
      <c r="BK77" s="8">
        <v>96.76</v>
      </c>
      <c r="BL77" s="8">
        <v>95.1</v>
      </c>
      <c r="BM77" s="8">
        <v>92.62</v>
      </c>
      <c r="BN77" s="8">
        <v>76.569999999999993</v>
      </c>
      <c r="BO77" s="8">
        <v>93.58</v>
      </c>
      <c r="BP77" s="8">
        <v>96.85</v>
      </c>
      <c r="BQ77" s="8">
        <v>90.99</v>
      </c>
      <c r="BR77" s="8">
        <v>90.94</v>
      </c>
      <c r="BS77" s="8">
        <v>97.6</v>
      </c>
      <c r="BT77" s="8">
        <v>95.19</v>
      </c>
      <c r="BU77" s="8">
        <v>84.48</v>
      </c>
      <c r="BV77" s="8">
        <v>97.06</v>
      </c>
      <c r="CB77" s="8">
        <v>89.85</v>
      </c>
      <c r="CD77" s="8">
        <v>92.56</v>
      </c>
      <c r="CE77" s="8">
        <v>72.67</v>
      </c>
      <c r="CF77" s="8">
        <v>72.67</v>
      </c>
      <c r="CT77" s="8">
        <v>92.32</v>
      </c>
      <c r="CU77" s="8">
        <v>92.32</v>
      </c>
      <c r="CV77" s="8">
        <v>98.21</v>
      </c>
      <c r="CW77" s="8">
        <v>98.21</v>
      </c>
      <c r="CZ77" s="8">
        <v>89.01</v>
      </c>
      <c r="DC77" s="8">
        <v>104.48</v>
      </c>
      <c r="DD77" s="8">
        <v>96.12</v>
      </c>
      <c r="DP77" s="8">
        <v>102.01</v>
      </c>
      <c r="DQ77" s="8">
        <v>99.82</v>
      </c>
      <c r="DR77" s="8">
        <v>100.46</v>
      </c>
      <c r="DS77" s="8">
        <v>103.38</v>
      </c>
      <c r="EI77" s="8">
        <v>99.99</v>
      </c>
      <c r="EP77" s="8">
        <v>85.88</v>
      </c>
      <c r="EY77" s="8">
        <v>95.8</v>
      </c>
      <c r="EZ77" s="8">
        <v>93.05</v>
      </c>
      <c r="FA77" s="8">
        <v>96.95</v>
      </c>
      <c r="FE77" s="8">
        <v>101.07</v>
      </c>
      <c r="FL77" s="8">
        <v>86.24</v>
      </c>
      <c r="FM77" s="8">
        <v>90.81</v>
      </c>
      <c r="FQ77" s="8">
        <v>92.01</v>
      </c>
      <c r="FR77" s="8">
        <v>90.73</v>
      </c>
      <c r="FS77" s="8">
        <v>92.13</v>
      </c>
      <c r="FV77" s="8">
        <v>92.21</v>
      </c>
      <c r="FW77" s="8">
        <v>91.33</v>
      </c>
      <c r="FX77" s="8">
        <v>90.08</v>
      </c>
      <c r="FY77" s="8">
        <v>94.78</v>
      </c>
      <c r="FZ77" s="8">
        <v>98.67</v>
      </c>
      <c r="GA77" s="8">
        <v>96.12</v>
      </c>
      <c r="GB77" s="8">
        <v>97.83</v>
      </c>
      <c r="GC77" s="8">
        <v>93.83</v>
      </c>
      <c r="GD77" s="8">
        <v>90.28</v>
      </c>
      <c r="GE77" s="8">
        <v>97.28</v>
      </c>
      <c r="GF77" s="8">
        <v>100.36</v>
      </c>
      <c r="GG77" s="8">
        <v>93.85</v>
      </c>
      <c r="GH77" s="8">
        <v>95.67</v>
      </c>
      <c r="GI77" s="8">
        <v>96.29</v>
      </c>
      <c r="GJ77" s="8">
        <v>97.11</v>
      </c>
      <c r="GK77" s="8">
        <v>93.36</v>
      </c>
      <c r="GL77" s="8">
        <v>98.08</v>
      </c>
      <c r="GM77" s="8">
        <v>99.98</v>
      </c>
      <c r="GN77" s="8">
        <v>96.64</v>
      </c>
      <c r="GO77" s="8">
        <v>91.09</v>
      </c>
      <c r="GP77" s="8">
        <v>78.5</v>
      </c>
      <c r="GQ77" s="8">
        <v>94.23</v>
      </c>
      <c r="GR77" s="8">
        <v>96.03</v>
      </c>
      <c r="GS77" s="8">
        <v>89.18</v>
      </c>
      <c r="GT77" s="8">
        <v>88.81</v>
      </c>
      <c r="GU77" s="8">
        <v>97.34</v>
      </c>
      <c r="GV77" s="8">
        <v>92.55</v>
      </c>
      <c r="GW77" s="8">
        <v>84.69</v>
      </c>
      <c r="GX77" s="8">
        <v>95.22</v>
      </c>
      <c r="HD77" s="8">
        <v>96.33</v>
      </c>
      <c r="HF77" s="8">
        <v>91.29</v>
      </c>
      <c r="HG77" s="8">
        <v>73.599999999999994</v>
      </c>
      <c r="HH77" s="8">
        <v>73.599999999999994</v>
      </c>
      <c r="HV77" s="8">
        <v>97.68</v>
      </c>
      <c r="HW77" s="8">
        <v>97.68</v>
      </c>
      <c r="HX77" s="8">
        <v>93.76</v>
      </c>
      <c r="HY77" s="8">
        <v>93.76</v>
      </c>
      <c r="IB77" s="8">
        <v>86.34</v>
      </c>
      <c r="IE77" s="8">
        <v>89.44</v>
      </c>
      <c r="IF77" s="8">
        <v>81.3</v>
      </c>
    </row>
    <row r="78" spans="1:240" x14ac:dyDescent="0.2">
      <c r="A78" s="9">
        <v>45017</v>
      </c>
      <c r="G78" s="8">
        <v>107.28</v>
      </c>
      <c r="N78" s="8">
        <v>85.15</v>
      </c>
      <c r="W78" s="8">
        <v>111.13</v>
      </c>
      <c r="X78" s="8">
        <v>112.78</v>
      </c>
      <c r="Y78" s="8">
        <v>106.55</v>
      </c>
      <c r="AC78" s="8">
        <v>100.01</v>
      </c>
      <c r="AJ78" s="8">
        <v>90.5</v>
      </c>
      <c r="AK78" s="8">
        <v>89.45</v>
      </c>
      <c r="AO78" s="8">
        <v>96.62</v>
      </c>
      <c r="AP78" s="8">
        <v>90.84</v>
      </c>
      <c r="AQ78" s="8">
        <v>98.21</v>
      </c>
      <c r="AT78" s="8">
        <v>93.67</v>
      </c>
      <c r="AU78" s="8">
        <v>93.17</v>
      </c>
      <c r="AV78" s="8">
        <v>92.27</v>
      </c>
      <c r="AW78" s="8">
        <v>95.25</v>
      </c>
      <c r="AX78" s="8">
        <v>98.7</v>
      </c>
      <c r="AY78" s="8">
        <v>96.38</v>
      </c>
      <c r="AZ78" s="8">
        <v>98</v>
      </c>
      <c r="BA78" s="8">
        <v>92.31</v>
      </c>
      <c r="BB78" s="8">
        <v>90.16</v>
      </c>
      <c r="BC78" s="8">
        <v>98.25</v>
      </c>
      <c r="BD78" s="8">
        <v>100.7</v>
      </c>
      <c r="BE78" s="8">
        <v>95.42</v>
      </c>
      <c r="BF78" s="8">
        <v>96.29</v>
      </c>
      <c r="BG78" s="8">
        <v>96.35</v>
      </c>
      <c r="BH78" s="8">
        <v>96.74</v>
      </c>
      <c r="BI78" s="8">
        <v>95.75</v>
      </c>
      <c r="BJ78" s="8">
        <v>94.21</v>
      </c>
      <c r="BK78" s="8">
        <v>91.7</v>
      </c>
      <c r="BL78" s="8">
        <v>95.99</v>
      </c>
      <c r="BM78" s="8">
        <v>92.91</v>
      </c>
      <c r="BN78" s="8">
        <v>76.680000000000007</v>
      </c>
      <c r="BO78" s="8">
        <v>92.38</v>
      </c>
      <c r="BP78" s="8">
        <v>97.39</v>
      </c>
      <c r="BQ78" s="8">
        <v>91.21</v>
      </c>
      <c r="BR78" s="8">
        <v>90.69</v>
      </c>
      <c r="BS78" s="8">
        <v>98.87</v>
      </c>
      <c r="BT78" s="8">
        <v>96.81</v>
      </c>
      <c r="BU78" s="8">
        <v>85.28</v>
      </c>
      <c r="BV78" s="8">
        <v>98.83</v>
      </c>
      <c r="CB78" s="8">
        <v>89.14</v>
      </c>
      <c r="CD78" s="8">
        <v>92.58</v>
      </c>
      <c r="CE78" s="8">
        <v>73.17</v>
      </c>
      <c r="CF78" s="8">
        <v>73.17</v>
      </c>
      <c r="CT78" s="8">
        <v>92.96</v>
      </c>
      <c r="CU78" s="8">
        <v>92.96</v>
      </c>
      <c r="CV78" s="8">
        <v>98.04</v>
      </c>
      <c r="CW78" s="8">
        <v>98.04</v>
      </c>
      <c r="CZ78" s="8">
        <v>89.01</v>
      </c>
      <c r="DC78" s="8">
        <v>104.48</v>
      </c>
      <c r="DD78" s="8">
        <v>96.12</v>
      </c>
      <c r="DP78" s="8">
        <v>101.85</v>
      </c>
      <c r="DQ78" s="8">
        <v>98.87</v>
      </c>
      <c r="DR78" s="8">
        <v>101</v>
      </c>
      <c r="DS78" s="8">
        <v>102.99</v>
      </c>
      <c r="EI78" s="8">
        <v>99.9</v>
      </c>
      <c r="EP78" s="8">
        <v>85.15</v>
      </c>
      <c r="EY78" s="8">
        <v>101.65</v>
      </c>
      <c r="EZ78" s="8">
        <v>96.08</v>
      </c>
      <c r="FA78" s="8">
        <v>106.66</v>
      </c>
      <c r="FE78" s="8">
        <v>99.41</v>
      </c>
      <c r="FL78" s="8">
        <v>86.24</v>
      </c>
      <c r="FM78" s="8">
        <v>90.81</v>
      </c>
      <c r="FQ78" s="8">
        <v>92.02</v>
      </c>
      <c r="FR78" s="8">
        <v>90.84</v>
      </c>
      <c r="FS78" s="8">
        <v>92.13</v>
      </c>
      <c r="FV78" s="8">
        <v>93.7</v>
      </c>
      <c r="FW78" s="8">
        <v>93.9</v>
      </c>
      <c r="FX78" s="8">
        <v>91.66</v>
      </c>
      <c r="FY78" s="8">
        <v>92.89</v>
      </c>
      <c r="FZ78" s="8">
        <v>99.06</v>
      </c>
      <c r="GA78" s="8">
        <v>96.56</v>
      </c>
      <c r="GB78" s="8">
        <v>97.63</v>
      </c>
      <c r="GC78" s="8">
        <v>92.61</v>
      </c>
      <c r="GD78" s="8">
        <v>91.13</v>
      </c>
      <c r="GE78" s="8">
        <v>98.89</v>
      </c>
      <c r="GF78" s="8">
        <v>99.93</v>
      </c>
      <c r="GG78" s="8">
        <v>95.03</v>
      </c>
      <c r="GH78" s="8">
        <v>95.76</v>
      </c>
      <c r="GI78" s="8">
        <v>95.42</v>
      </c>
      <c r="GJ78" s="8">
        <v>96.65</v>
      </c>
      <c r="GK78" s="8">
        <v>95.28</v>
      </c>
      <c r="GL78" s="8">
        <v>97.14</v>
      </c>
      <c r="GM78" s="8">
        <v>95.77</v>
      </c>
      <c r="GN78" s="8">
        <v>98.17</v>
      </c>
      <c r="GO78" s="8">
        <v>91.4</v>
      </c>
      <c r="GP78" s="8">
        <v>78.48</v>
      </c>
      <c r="GQ78" s="8">
        <v>93.06</v>
      </c>
      <c r="GR78" s="8">
        <v>96.48</v>
      </c>
      <c r="GS78" s="8">
        <v>89.12</v>
      </c>
      <c r="GT78" s="8">
        <v>89</v>
      </c>
      <c r="GU78" s="8">
        <v>98.7</v>
      </c>
      <c r="GV78" s="8">
        <v>94.42</v>
      </c>
      <c r="GW78" s="8">
        <v>85.4</v>
      </c>
      <c r="GX78" s="8">
        <v>97.5</v>
      </c>
      <c r="HD78" s="8">
        <v>94.38</v>
      </c>
      <c r="HF78" s="8">
        <v>90.86</v>
      </c>
      <c r="HG78" s="8">
        <v>74.12</v>
      </c>
      <c r="HH78" s="8">
        <v>74.12</v>
      </c>
      <c r="HV78" s="8">
        <v>97.87</v>
      </c>
      <c r="HW78" s="8">
        <v>97.87</v>
      </c>
      <c r="HX78" s="8">
        <v>93.89</v>
      </c>
      <c r="HY78" s="8">
        <v>93.89</v>
      </c>
      <c r="IB78" s="8">
        <v>86.34</v>
      </c>
      <c r="IE78" s="8">
        <v>88.62</v>
      </c>
      <c r="IF78" s="8">
        <v>80.569999999999993</v>
      </c>
    </row>
    <row r="79" spans="1:240" x14ac:dyDescent="0.2">
      <c r="A79" s="9">
        <v>45047</v>
      </c>
      <c r="G79" s="8">
        <v>103.15</v>
      </c>
      <c r="N79" s="8">
        <v>86.33</v>
      </c>
      <c r="W79" s="8">
        <v>95.66</v>
      </c>
      <c r="X79" s="8">
        <v>92.91</v>
      </c>
      <c r="Y79" s="8">
        <v>98.13</v>
      </c>
      <c r="AC79" s="8">
        <v>99.43</v>
      </c>
      <c r="AJ79" s="8">
        <v>90.5</v>
      </c>
      <c r="AK79" s="8">
        <v>89.45</v>
      </c>
      <c r="AO79" s="8">
        <v>96.65</v>
      </c>
      <c r="AP79" s="8">
        <v>90.94</v>
      </c>
      <c r="AQ79" s="8">
        <v>98.21</v>
      </c>
      <c r="AT79" s="8">
        <v>95.22</v>
      </c>
      <c r="AU79" s="8">
        <v>96.28</v>
      </c>
      <c r="AV79" s="8">
        <v>92.69</v>
      </c>
      <c r="AW79" s="8">
        <v>98.64</v>
      </c>
      <c r="AX79" s="8">
        <v>98.15</v>
      </c>
      <c r="AY79" s="8">
        <v>96.64</v>
      </c>
      <c r="AZ79" s="8">
        <v>95.75</v>
      </c>
      <c r="BA79" s="8">
        <v>92.97</v>
      </c>
      <c r="BB79" s="8">
        <v>90.85</v>
      </c>
      <c r="BC79" s="8">
        <v>98.54</v>
      </c>
      <c r="BD79" s="8">
        <v>101.89</v>
      </c>
      <c r="BE79" s="8">
        <v>97.49</v>
      </c>
      <c r="BF79" s="8">
        <v>96.09</v>
      </c>
      <c r="BG79" s="8">
        <v>95.96</v>
      </c>
      <c r="BH79" s="8">
        <v>97.11</v>
      </c>
      <c r="BI79" s="8">
        <v>95.26</v>
      </c>
      <c r="BJ79" s="8">
        <v>96.69</v>
      </c>
      <c r="BK79" s="8">
        <v>93.19</v>
      </c>
      <c r="BL79" s="8">
        <v>99.2</v>
      </c>
      <c r="BM79" s="8">
        <v>92.82</v>
      </c>
      <c r="BN79" s="8">
        <v>76.77</v>
      </c>
      <c r="BO79" s="8">
        <v>92.43</v>
      </c>
      <c r="BP79" s="8">
        <v>97.83</v>
      </c>
      <c r="BQ79" s="8">
        <v>91.64</v>
      </c>
      <c r="BR79" s="8">
        <v>90.69</v>
      </c>
      <c r="BS79" s="8">
        <v>97.98</v>
      </c>
      <c r="BT79" s="8">
        <v>97.04</v>
      </c>
      <c r="BU79" s="8">
        <v>84.08</v>
      </c>
      <c r="BV79" s="8">
        <v>99.33</v>
      </c>
      <c r="CB79" s="8">
        <v>90.12</v>
      </c>
      <c r="CD79" s="8">
        <v>92.72</v>
      </c>
      <c r="CE79" s="8">
        <v>73.13</v>
      </c>
      <c r="CF79" s="8">
        <v>73.13</v>
      </c>
      <c r="CT79" s="8">
        <v>93.28</v>
      </c>
      <c r="CU79" s="8">
        <v>93.28</v>
      </c>
      <c r="CV79" s="8">
        <v>98.16</v>
      </c>
      <c r="CW79" s="8">
        <v>98.16</v>
      </c>
      <c r="CZ79" s="8">
        <v>89.01</v>
      </c>
      <c r="DC79" s="8">
        <v>104.48</v>
      </c>
      <c r="DD79" s="8">
        <v>96.12</v>
      </c>
      <c r="DP79" s="8">
        <v>102.11</v>
      </c>
      <c r="DQ79" s="8">
        <v>100.14</v>
      </c>
      <c r="DR79" s="8">
        <v>100.64</v>
      </c>
      <c r="DS79" s="8">
        <v>103.38</v>
      </c>
      <c r="EI79" s="8">
        <v>99.59</v>
      </c>
      <c r="EP79" s="8">
        <v>86.33</v>
      </c>
      <c r="EY79" s="8">
        <v>96.42</v>
      </c>
      <c r="EZ79" s="8">
        <v>91.14</v>
      </c>
      <c r="FA79" s="8">
        <v>101.17</v>
      </c>
      <c r="FE79" s="8">
        <v>98.87</v>
      </c>
      <c r="FL79" s="8">
        <v>86.24</v>
      </c>
      <c r="FM79" s="8">
        <v>90.81</v>
      </c>
      <c r="FQ79" s="8">
        <v>92.03</v>
      </c>
      <c r="FR79" s="8">
        <v>90.94</v>
      </c>
      <c r="FS79" s="8">
        <v>92.13</v>
      </c>
      <c r="FV79" s="8">
        <v>95.24</v>
      </c>
      <c r="FW79" s="8">
        <v>97.08</v>
      </c>
      <c r="FX79" s="8">
        <v>91.89</v>
      </c>
      <c r="FY79" s="8">
        <v>96.24</v>
      </c>
      <c r="FZ79" s="8">
        <v>98.9</v>
      </c>
      <c r="GA79" s="8">
        <v>96.84</v>
      </c>
      <c r="GB79" s="8">
        <v>96.7</v>
      </c>
      <c r="GC79" s="8">
        <v>92.57</v>
      </c>
      <c r="GD79" s="8">
        <v>91.3</v>
      </c>
      <c r="GE79" s="8">
        <v>99.82</v>
      </c>
      <c r="GF79" s="8">
        <v>100.5</v>
      </c>
      <c r="GG79" s="8">
        <v>95.93</v>
      </c>
      <c r="GH79" s="8">
        <v>95.56</v>
      </c>
      <c r="GI79" s="8">
        <v>95.15</v>
      </c>
      <c r="GJ79" s="8">
        <v>96.68</v>
      </c>
      <c r="GK79" s="8">
        <v>94.91</v>
      </c>
      <c r="GL79" s="8">
        <v>97.81</v>
      </c>
      <c r="GM79" s="8">
        <v>94.81</v>
      </c>
      <c r="GN79" s="8">
        <v>100.06</v>
      </c>
      <c r="GO79" s="8">
        <v>91.21</v>
      </c>
      <c r="GP79" s="8">
        <v>78.739999999999995</v>
      </c>
      <c r="GQ79" s="8">
        <v>93.25</v>
      </c>
      <c r="GR79" s="8">
        <v>96.49</v>
      </c>
      <c r="GS79" s="8">
        <v>89.32</v>
      </c>
      <c r="GT79" s="8">
        <v>88.85</v>
      </c>
      <c r="GU79" s="8">
        <v>97.67</v>
      </c>
      <c r="GV79" s="8">
        <v>94.11</v>
      </c>
      <c r="GW79" s="8">
        <v>84.57</v>
      </c>
      <c r="GX79" s="8">
        <v>97.38</v>
      </c>
      <c r="HD79" s="8">
        <v>95.2</v>
      </c>
      <c r="HF79" s="8">
        <v>91.28</v>
      </c>
      <c r="HG79" s="8">
        <v>73.98</v>
      </c>
      <c r="HH79" s="8">
        <v>73.98</v>
      </c>
      <c r="HV79" s="8">
        <v>98.08</v>
      </c>
      <c r="HW79" s="8">
        <v>98.08</v>
      </c>
      <c r="HX79" s="8">
        <v>94.97</v>
      </c>
      <c r="HY79" s="8">
        <v>94.97</v>
      </c>
      <c r="IB79" s="8">
        <v>86.34</v>
      </c>
      <c r="IE79" s="8">
        <v>88.62</v>
      </c>
      <c r="IF79" s="8">
        <v>80.569999999999993</v>
      </c>
    </row>
    <row r="80" spans="1:240" x14ac:dyDescent="0.2">
      <c r="A80" s="9">
        <v>45078</v>
      </c>
      <c r="G80" s="8">
        <v>101.48</v>
      </c>
      <c r="N80" s="8">
        <v>86.04</v>
      </c>
      <c r="W80" s="8">
        <v>108.22</v>
      </c>
      <c r="X80" s="8">
        <v>97.96</v>
      </c>
      <c r="Y80" s="8">
        <v>121.98</v>
      </c>
      <c r="AC80" s="8">
        <v>102.69</v>
      </c>
      <c r="AJ80" s="8">
        <v>90.5</v>
      </c>
      <c r="AK80" s="8">
        <v>89.45</v>
      </c>
      <c r="AO80" s="8">
        <v>97.61</v>
      </c>
      <c r="AP80" s="8">
        <v>91.31</v>
      </c>
      <c r="AQ80" s="8">
        <v>99.32</v>
      </c>
      <c r="AT80" s="8">
        <v>94.88</v>
      </c>
      <c r="AU80" s="8">
        <v>96.61</v>
      </c>
      <c r="AV80" s="8">
        <v>91.82</v>
      </c>
      <c r="AW80" s="8">
        <v>98.24</v>
      </c>
      <c r="AX80" s="8">
        <v>97.39</v>
      </c>
      <c r="AY80" s="8">
        <v>95.61</v>
      </c>
      <c r="AZ80" s="8">
        <v>94.33</v>
      </c>
      <c r="BA80" s="8">
        <v>92.38</v>
      </c>
      <c r="BB80" s="8">
        <v>87.5</v>
      </c>
      <c r="BC80" s="8">
        <v>98.25</v>
      </c>
      <c r="BD80" s="8">
        <v>101.61</v>
      </c>
      <c r="BE80" s="8">
        <v>97.24</v>
      </c>
      <c r="BF80" s="8">
        <v>96.63</v>
      </c>
      <c r="BG80" s="8">
        <v>96.24</v>
      </c>
      <c r="BH80" s="8">
        <v>98.41</v>
      </c>
      <c r="BI80" s="8">
        <v>95.44</v>
      </c>
      <c r="BJ80" s="8">
        <v>96.82</v>
      </c>
      <c r="BK80" s="8">
        <v>96.04</v>
      </c>
      <c r="BL80" s="8">
        <v>97.31</v>
      </c>
      <c r="BM80" s="8">
        <v>93.09</v>
      </c>
      <c r="BN80" s="8">
        <v>76.83</v>
      </c>
      <c r="BO80" s="8">
        <v>93.48</v>
      </c>
      <c r="BP80" s="8">
        <v>97.62</v>
      </c>
      <c r="BQ80" s="8">
        <v>91.62</v>
      </c>
      <c r="BR80" s="8">
        <v>91.41</v>
      </c>
      <c r="BS80" s="8">
        <v>97.97</v>
      </c>
      <c r="BT80" s="8">
        <v>94.51</v>
      </c>
      <c r="BU80" s="8">
        <v>84.39</v>
      </c>
      <c r="BV80" s="8">
        <v>96.28</v>
      </c>
      <c r="CB80" s="8">
        <v>89.94</v>
      </c>
      <c r="CD80" s="8">
        <v>91.94</v>
      </c>
      <c r="CE80" s="8">
        <v>73.040000000000006</v>
      </c>
      <c r="CF80" s="8">
        <v>73.040000000000006</v>
      </c>
      <c r="CT80" s="8">
        <v>93.62</v>
      </c>
      <c r="CU80" s="8">
        <v>93.62</v>
      </c>
      <c r="CV80" s="8">
        <v>99.49</v>
      </c>
      <c r="CW80" s="8">
        <v>99.49</v>
      </c>
      <c r="CZ80" s="8">
        <v>89.01</v>
      </c>
      <c r="DC80" s="8">
        <v>104.48</v>
      </c>
      <c r="DD80" s="8">
        <v>102.09</v>
      </c>
      <c r="DP80" s="8">
        <v>102.23</v>
      </c>
      <c r="DQ80" s="8">
        <v>100.52</v>
      </c>
      <c r="DR80" s="8">
        <v>100.86</v>
      </c>
      <c r="DS80" s="8">
        <v>103.39</v>
      </c>
      <c r="EI80" s="8">
        <v>98.06</v>
      </c>
      <c r="EP80" s="8">
        <v>86.04</v>
      </c>
      <c r="EY80" s="8">
        <v>108.92</v>
      </c>
      <c r="EZ80" s="8">
        <v>99.09</v>
      </c>
      <c r="FA80" s="8">
        <v>119.79</v>
      </c>
      <c r="FE80" s="8">
        <v>101.92</v>
      </c>
      <c r="FL80" s="8">
        <v>86.24</v>
      </c>
      <c r="FM80" s="8">
        <v>90.81</v>
      </c>
      <c r="FQ80" s="8">
        <v>94.79</v>
      </c>
      <c r="FR80" s="8">
        <v>91.31</v>
      </c>
      <c r="FS80" s="8">
        <v>95.07</v>
      </c>
      <c r="FV80" s="8">
        <v>94.84</v>
      </c>
      <c r="FW80" s="8">
        <v>97.22</v>
      </c>
      <c r="FX80" s="8">
        <v>90.95</v>
      </c>
      <c r="FY80" s="8">
        <v>96.36</v>
      </c>
      <c r="FZ80" s="8">
        <v>98.24</v>
      </c>
      <c r="GA80" s="8">
        <v>95.76</v>
      </c>
      <c r="GB80" s="8">
        <v>95.23</v>
      </c>
      <c r="GC80" s="8">
        <v>91.91</v>
      </c>
      <c r="GD80" s="8">
        <v>89.64</v>
      </c>
      <c r="GE80" s="8">
        <v>98.56</v>
      </c>
      <c r="GF80" s="8">
        <v>99.98</v>
      </c>
      <c r="GG80" s="8">
        <v>95.26</v>
      </c>
      <c r="GH80" s="8">
        <v>96.1</v>
      </c>
      <c r="GI80" s="8">
        <v>95.38</v>
      </c>
      <c r="GJ80" s="8">
        <v>97.75</v>
      </c>
      <c r="GK80" s="8">
        <v>95.31</v>
      </c>
      <c r="GL80" s="8">
        <v>98.6</v>
      </c>
      <c r="GM80" s="8">
        <v>100.61</v>
      </c>
      <c r="GN80" s="8">
        <v>97.06</v>
      </c>
      <c r="GO80" s="8">
        <v>91.74</v>
      </c>
      <c r="GP80" s="8">
        <v>80.3</v>
      </c>
      <c r="GQ80" s="8">
        <v>94.11</v>
      </c>
      <c r="GR80" s="8">
        <v>96.47</v>
      </c>
      <c r="GS80" s="8">
        <v>89.65</v>
      </c>
      <c r="GT80" s="8">
        <v>89.65</v>
      </c>
      <c r="GU80" s="8">
        <v>97.69</v>
      </c>
      <c r="GV80" s="8">
        <v>92.21</v>
      </c>
      <c r="GW80" s="8">
        <v>85.19</v>
      </c>
      <c r="GX80" s="8">
        <v>94.6</v>
      </c>
      <c r="HD80" s="8">
        <v>95.11</v>
      </c>
      <c r="HF80" s="8">
        <v>90.72</v>
      </c>
      <c r="HG80" s="8">
        <v>73.83</v>
      </c>
      <c r="HH80" s="8">
        <v>73.83</v>
      </c>
      <c r="HV80" s="8">
        <v>98.59</v>
      </c>
      <c r="HW80" s="8">
        <v>98.59</v>
      </c>
      <c r="HX80" s="8">
        <v>95.1</v>
      </c>
      <c r="HY80" s="8">
        <v>95.1</v>
      </c>
      <c r="IB80" s="8">
        <v>86.34</v>
      </c>
      <c r="IE80" s="8">
        <v>87.91</v>
      </c>
      <c r="IF80" s="8">
        <v>80.27</v>
      </c>
    </row>
    <row r="81" spans="1:251" x14ac:dyDescent="0.2">
      <c r="A81" s="9">
        <v>45108</v>
      </c>
      <c r="G81" s="8">
        <v>102.82</v>
      </c>
      <c r="N81" s="8">
        <v>90.95</v>
      </c>
      <c r="W81" s="8">
        <v>102.85</v>
      </c>
      <c r="X81" s="8">
        <v>97.28</v>
      </c>
      <c r="Y81" s="8">
        <v>109.51</v>
      </c>
      <c r="AC81" s="8">
        <v>102.62</v>
      </c>
      <c r="AJ81" s="8">
        <v>90.5</v>
      </c>
      <c r="AK81" s="8">
        <v>89.45</v>
      </c>
      <c r="AO81" s="8">
        <v>97.63</v>
      </c>
      <c r="AP81" s="8">
        <v>91.4</v>
      </c>
      <c r="AQ81" s="8">
        <v>99.32</v>
      </c>
      <c r="AT81" s="8">
        <v>95.2</v>
      </c>
      <c r="AU81" s="8">
        <v>96.68</v>
      </c>
      <c r="AV81" s="8">
        <v>92.31</v>
      </c>
      <c r="AW81" s="8">
        <v>97.69</v>
      </c>
      <c r="AX81" s="8">
        <v>98.31</v>
      </c>
      <c r="AY81" s="8">
        <v>96.68</v>
      </c>
      <c r="AZ81" s="8">
        <v>95.11</v>
      </c>
      <c r="BA81" s="8">
        <v>94.05</v>
      </c>
      <c r="BB81" s="8">
        <v>88.5</v>
      </c>
      <c r="BC81" s="8">
        <v>98.76</v>
      </c>
      <c r="BD81" s="8">
        <v>102.45</v>
      </c>
      <c r="BE81" s="8">
        <v>99.07</v>
      </c>
      <c r="BF81" s="8">
        <v>98.6</v>
      </c>
      <c r="BG81" s="8">
        <v>97.46</v>
      </c>
      <c r="BH81" s="8">
        <v>102.21</v>
      </c>
      <c r="BI81" s="8">
        <v>96.75</v>
      </c>
      <c r="BJ81" s="8">
        <v>94.3</v>
      </c>
      <c r="BK81" s="8">
        <v>94.95</v>
      </c>
      <c r="BL81" s="8">
        <v>93.79</v>
      </c>
      <c r="BM81" s="8">
        <v>92.82</v>
      </c>
      <c r="BN81" s="8">
        <v>77.209999999999994</v>
      </c>
      <c r="BO81" s="8">
        <v>93.99</v>
      </c>
      <c r="BP81" s="8">
        <v>97.8</v>
      </c>
      <c r="BQ81" s="8">
        <v>93.29</v>
      </c>
      <c r="BR81" s="8">
        <v>90.07</v>
      </c>
      <c r="BS81" s="8">
        <v>97.81</v>
      </c>
      <c r="BT81" s="8">
        <v>95.5</v>
      </c>
      <c r="BU81" s="8">
        <v>84.68</v>
      </c>
      <c r="BV81" s="8">
        <v>97.4</v>
      </c>
      <c r="CB81" s="8">
        <v>91.61</v>
      </c>
      <c r="CD81" s="8">
        <v>91.85</v>
      </c>
      <c r="CE81" s="8">
        <v>73.23</v>
      </c>
      <c r="CF81" s="8">
        <v>73.23</v>
      </c>
      <c r="CT81" s="8">
        <v>94</v>
      </c>
      <c r="CU81" s="8">
        <v>94</v>
      </c>
      <c r="CV81" s="8">
        <v>99.64</v>
      </c>
      <c r="CW81" s="8">
        <v>99.64</v>
      </c>
      <c r="CZ81" s="8">
        <v>89.01</v>
      </c>
      <c r="DC81" s="8">
        <v>104.34</v>
      </c>
      <c r="DD81" s="8">
        <v>102.09</v>
      </c>
      <c r="DP81" s="8">
        <v>102.72</v>
      </c>
      <c r="DQ81" s="8">
        <v>101.6</v>
      </c>
      <c r="DR81" s="8">
        <v>100.86</v>
      </c>
      <c r="DS81" s="8">
        <v>104.03</v>
      </c>
      <c r="EI81" s="8">
        <v>97.8</v>
      </c>
      <c r="EP81" s="8">
        <v>90.95</v>
      </c>
      <c r="EY81" s="8">
        <v>102.67</v>
      </c>
      <c r="EZ81" s="8">
        <v>98.63</v>
      </c>
      <c r="FA81" s="8">
        <v>107.38</v>
      </c>
      <c r="FE81" s="8">
        <v>101.93</v>
      </c>
      <c r="FL81" s="8">
        <v>86.24</v>
      </c>
      <c r="FM81" s="8">
        <v>90.81</v>
      </c>
      <c r="FQ81" s="8">
        <v>94.8</v>
      </c>
      <c r="FR81" s="8">
        <v>91.4</v>
      </c>
      <c r="FS81" s="8">
        <v>95.07</v>
      </c>
      <c r="FV81" s="8">
        <v>94.94</v>
      </c>
      <c r="FW81" s="8">
        <v>97.3</v>
      </c>
      <c r="FX81" s="8">
        <v>91.21</v>
      </c>
      <c r="FY81" s="8">
        <v>95.77</v>
      </c>
      <c r="FZ81" s="8">
        <v>98.34</v>
      </c>
      <c r="GA81" s="8">
        <v>96.37</v>
      </c>
      <c r="GB81" s="8">
        <v>95.17</v>
      </c>
      <c r="GC81" s="8">
        <v>92.88</v>
      </c>
      <c r="GD81" s="8">
        <v>88.47</v>
      </c>
      <c r="GE81" s="8">
        <v>99.38</v>
      </c>
      <c r="GF81" s="8">
        <v>101.04</v>
      </c>
      <c r="GG81" s="8">
        <v>97.22</v>
      </c>
      <c r="GH81" s="8">
        <v>98.25</v>
      </c>
      <c r="GI81" s="8">
        <v>96.69</v>
      </c>
      <c r="GJ81" s="8">
        <v>102.1</v>
      </c>
      <c r="GK81" s="8">
        <v>96.33</v>
      </c>
      <c r="GL81" s="8">
        <v>95.88</v>
      </c>
      <c r="GM81" s="8">
        <v>98.91</v>
      </c>
      <c r="GN81" s="8">
        <v>93.62</v>
      </c>
      <c r="GO81" s="8">
        <v>91.53</v>
      </c>
      <c r="GP81" s="8">
        <v>80.430000000000007</v>
      </c>
      <c r="GQ81" s="8">
        <v>95.13</v>
      </c>
      <c r="GR81" s="8">
        <v>96.72</v>
      </c>
      <c r="GS81" s="8">
        <v>91.11</v>
      </c>
      <c r="GT81" s="8">
        <v>88.53</v>
      </c>
      <c r="GU81" s="8">
        <v>97.53</v>
      </c>
      <c r="GV81" s="8">
        <v>92.98</v>
      </c>
      <c r="GW81" s="8">
        <v>85.04</v>
      </c>
      <c r="GX81" s="8">
        <v>95.69</v>
      </c>
      <c r="HD81" s="8">
        <v>95.59</v>
      </c>
      <c r="HF81" s="8">
        <v>91.1</v>
      </c>
      <c r="HG81" s="8">
        <v>73.73</v>
      </c>
      <c r="HH81" s="8">
        <v>73.73</v>
      </c>
      <c r="HV81" s="8">
        <v>98.71</v>
      </c>
      <c r="HW81" s="8">
        <v>98.71</v>
      </c>
      <c r="HX81" s="8">
        <v>94.63</v>
      </c>
      <c r="HY81" s="8">
        <v>94.63</v>
      </c>
      <c r="IB81" s="8">
        <v>86.34</v>
      </c>
      <c r="IE81" s="8">
        <v>85.11</v>
      </c>
      <c r="IF81" s="8">
        <v>90.2</v>
      </c>
    </row>
    <row r="82" spans="1:251" x14ac:dyDescent="0.2">
      <c r="A82" s="9">
        <v>45139</v>
      </c>
      <c r="G82" s="8">
        <v>112.46</v>
      </c>
      <c r="N82" s="8">
        <v>93.58</v>
      </c>
      <c r="W82" s="8">
        <v>98.8</v>
      </c>
      <c r="X82" s="8">
        <v>93.49</v>
      </c>
      <c r="Y82" s="8">
        <v>105.16</v>
      </c>
      <c r="AC82" s="8">
        <v>100.94</v>
      </c>
      <c r="AJ82" s="8">
        <v>90.5</v>
      </c>
      <c r="AK82" s="8">
        <v>89.45</v>
      </c>
      <c r="AO82" s="8">
        <v>97.83</v>
      </c>
      <c r="AP82" s="8">
        <v>92.39</v>
      </c>
      <c r="AQ82" s="8">
        <v>99.32</v>
      </c>
      <c r="AT82" s="8">
        <v>96.71</v>
      </c>
      <c r="AU82" s="8">
        <v>96.58</v>
      </c>
      <c r="AV82" s="8">
        <v>96.4</v>
      </c>
      <c r="AW82" s="8">
        <v>97.56</v>
      </c>
      <c r="AX82" s="8">
        <v>98.08</v>
      </c>
      <c r="AY82" s="8">
        <v>97.14</v>
      </c>
      <c r="AZ82" s="8">
        <v>95.88</v>
      </c>
      <c r="BA82" s="8">
        <v>93.61</v>
      </c>
      <c r="BB82" s="8">
        <v>87.65</v>
      </c>
      <c r="BC82" s="8">
        <v>100.05</v>
      </c>
      <c r="BD82" s="8">
        <v>103.38</v>
      </c>
      <c r="BE82" s="8">
        <v>99.72</v>
      </c>
      <c r="BF82" s="8">
        <v>98.37</v>
      </c>
      <c r="BG82" s="8">
        <v>97.37</v>
      </c>
      <c r="BH82" s="8">
        <v>100.97</v>
      </c>
      <c r="BI82" s="8">
        <v>97.33</v>
      </c>
      <c r="BJ82" s="8">
        <v>93.36</v>
      </c>
      <c r="BK82" s="8">
        <v>92.7</v>
      </c>
      <c r="BL82" s="8">
        <v>93.78</v>
      </c>
      <c r="BM82" s="8">
        <v>92.95</v>
      </c>
      <c r="BN82" s="8">
        <v>77.040000000000006</v>
      </c>
      <c r="BO82" s="8">
        <v>95.21</v>
      </c>
      <c r="BP82" s="8">
        <v>98.24</v>
      </c>
      <c r="BQ82" s="8">
        <v>95.32</v>
      </c>
      <c r="BR82" s="8">
        <v>89.44</v>
      </c>
      <c r="BS82" s="8">
        <v>97.88</v>
      </c>
      <c r="BT82" s="8">
        <v>95.13</v>
      </c>
      <c r="BU82" s="8">
        <v>84.5</v>
      </c>
      <c r="BV82" s="8">
        <v>96.99</v>
      </c>
      <c r="CB82" s="8">
        <v>92.52</v>
      </c>
      <c r="CD82" s="8">
        <v>93.53</v>
      </c>
      <c r="CE82" s="8">
        <v>73.61</v>
      </c>
      <c r="CF82" s="8">
        <v>73.61</v>
      </c>
      <c r="CT82" s="8">
        <v>94.36</v>
      </c>
      <c r="CU82" s="8">
        <v>94.36</v>
      </c>
      <c r="CV82" s="8">
        <v>100.15</v>
      </c>
      <c r="CW82" s="8">
        <v>100.15</v>
      </c>
      <c r="CZ82" s="8">
        <v>89.01</v>
      </c>
      <c r="DC82" s="8">
        <v>104.34</v>
      </c>
      <c r="DD82" s="8">
        <v>102.1</v>
      </c>
      <c r="DP82" s="8">
        <v>103.06</v>
      </c>
      <c r="DQ82" s="8">
        <v>100.89</v>
      </c>
      <c r="DR82" s="8">
        <v>101.29</v>
      </c>
      <c r="DS82" s="8">
        <v>104.56</v>
      </c>
      <c r="EI82" s="8">
        <v>106.27</v>
      </c>
      <c r="EP82" s="8">
        <v>93.58</v>
      </c>
      <c r="EY82" s="8">
        <v>98.51</v>
      </c>
      <c r="EZ82" s="8">
        <v>93.4</v>
      </c>
      <c r="FA82" s="8">
        <v>104.34</v>
      </c>
      <c r="FE82" s="8">
        <v>100.68</v>
      </c>
      <c r="FL82" s="8">
        <v>86.24</v>
      </c>
      <c r="FM82" s="8">
        <v>90.81</v>
      </c>
      <c r="FQ82" s="8">
        <v>94.87</v>
      </c>
      <c r="FR82" s="8">
        <v>92.39</v>
      </c>
      <c r="FS82" s="8">
        <v>95.07</v>
      </c>
      <c r="FV82" s="8">
        <v>96.64</v>
      </c>
      <c r="FW82" s="8">
        <v>97.38</v>
      </c>
      <c r="FX82" s="8">
        <v>95.03</v>
      </c>
      <c r="FY82" s="8">
        <v>97.08</v>
      </c>
      <c r="FZ82" s="8">
        <v>99</v>
      </c>
      <c r="GA82" s="8">
        <v>96.73</v>
      </c>
      <c r="GB82" s="8">
        <v>95.54</v>
      </c>
      <c r="GC82" s="8">
        <v>93.21</v>
      </c>
      <c r="GD82" s="8">
        <v>86.97</v>
      </c>
      <c r="GE82" s="8">
        <v>99.89</v>
      </c>
      <c r="GF82" s="8">
        <v>101.93</v>
      </c>
      <c r="GG82" s="8">
        <v>98.41</v>
      </c>
      <c r="GH82" s="8">
        <v>98.16</v>
      </c>
      <c r="GI82" s="8">
        <v>96.85</v>
      </c>
      <c r="GJ82" s="8">
        <v>100.75</v>
      </c>
      <c r="GK82" s="8">
        <v>97.2</v>
      </c>
      <c r="GL82" s="8">
        <v>93.9</v>
      </c>
      <c r="GM82" s="8">
        <v>95.32</v>
      </c>
      <c r="GN82" s="8">
        <v>92.8</v>
      </c>
      <c r="GO82" s="8">
        <v>91.69</v>
      </c>
      <c r="GP82" s="8">
        <v>80.42</v>
      </c>
      <c r="GQ82" s="8">
        <v>95.98</v>
      </c>
      <c r="GR82" s="8">
        <v>97.37</v>
      </c>
      <c r="GS82" s="8">
        <v>92.99</v>
      </c>
      <c r="GT82" s="8">
        <v>87.84</v>
      </c>
      <c r="GU82" s="8">
        <v>97.9</v>
      </c>
      <c r="GV82" s="8">
        <v>92.58</v>
      </c>
      <c r="GW82" s="8">
        <v>84.95</v>
      </c>
      <c r="GX82" s="8">
        <v>95.17</v>
      </c>
      <c r="HD82" s="8">
        <v>95.78</v>
      </c>
      <c r="HF82" s="8">
        <v>92.94</v>
      </c>
      <c r="HG82" s="8">
        <v>74.06</v>
      </c>
      <c r="HH82" s="8">
        <v>74.06</v>
      </c>
      <c r="HV82" s="8">
        <v>98.82</v>
      </c>
      <c r="HW82" s="8">
        <v>98.82</v>
      </c>
      <c r="HX82" s="8">
        <v>95.06</v>
      </c>
      <c r="HY82" s="8">
        <v>95.06</v>
      </c>
      <c r="IB82" s="8">
        <v>86.34</v>
      </c>
      <c r="IE82" s="8">
        <v>84.88</v>
      </c>
      <c r="IF82" s="8">
        <v>90.4</v>
      </c>
    </row>
    <row r="83" spans="1:251" x14ac:dyDescent="0.2">
      <c r="A83" s="9">
        <v>45170</v>
      </c>
      <c r="G83" s="8">
        <v>117.07</v>
      </c>
      <c r="N83" s="8">
        <v>94.06</v>
      </c>
      <c r="W83" s="8">
        <v>101.59</v>
      </c>
      <c r="X83" s="8">
        <v>94.12</v>
      </c>
      <c r="Y83" s="8">
        <v>111.2</v>
      </c>
      <c r="AC83" s="8">
        <v>100.76</v>
      </c>
      <c r="AJ83" s="8">
        <v>90.5</v>
      </c>
      <c r="AK83" s="8">
        <v>89.45</v>
      </c>
      <c r="AO83" s="8">
        <v>98.24</v>
      </c>
      <c r="AP83" s="8">
        <v>94.34</v>
      </c>
      <c r="AQ83" s="8">
        <v>99.31</v>
      </c>
      <c r="AT83" s="8">
        <v>97.03</v>
      </c>
      <c r="AU83" s="8">
        <v>97</v>
      </c>
      <c r="AV83" s="8">
        <v>95.9</v>
      </c>
      <c r="AW83" s="8">
        <v>98.92</v>
      </c>
      <c r="AX83" s="8">
        <v>99.83</v>
      </c>
      <c r="AY83" s="8">
        <v>95.1</v>
      </c>
      <c r="AZ83" s="8">
        <v>93.59</v>
      </c>
      <c r="BA83" s="8">
        <v>94.05</v>
      </c>
      <c r="BB83" s="8">
        <v>79.8</v>
      </c>
      <c r="BC83" s="8">
        <v>98.69</v>
      </c>
      <c r="BD83" s="8">
        <v>102.01</v>
      </c>
      <c r="BE83" s="8">
        <v>100.05</v>
      </c>
      <c r="BF83" s="8">
        <v>97.98</v>
      </c>
      <c r="BG83" s="8">
        <v>96.86</v>
      </c>
      <c r="BH83" s="8">
        <v>101.15</v>
      </c>
      <c r="BI83" s="8">
        <v>96.56</v>
      </c>
      <c r="BJ83" s="8">
        <v>90.99</v>
      </c>
      <c r="BK83" s="8">
        <v>89.35</v>
      </c>
      <c r="BL83" s="8">
        <v>92.11</v>
      </c>
      <c r="BM83" s="8">
        <v>93.03</v>
      </c>
      <c r="BN83" s="8">
        <v>79</v>
      </c>
      <c r="BO83" s="8">
        <v>94.55</v>
      </c>
      <c r="BP83" s="8">
        <v>97.97</v>
      </c>
      <c r="BQ83" s="8">
        <v>93.89</v>
      </c>
      <c r="BR83" s="8">
        <v>90.01</v>
      </c>
      <c r="BS83" s="8">
        <v>97.74</v>
      </c>
      <c r="BT83" s="8">
        <v>94.69</v>
      </c>
      <c r="BU83" s="8">
        <v>85.58</v>
      </c>
      <c r="BV83" s="8">
        <v>96.28</v>
      </c>
      <c r="CB83" s="8">
        <v>93.77</v>
      </c>
      <c r="CD83" s="8">
        <v>94.41</v>
      </c>
      <c r="CE83" s="8">
        <v>77.52</v>
      </c>
      <c r="CF83" s="8">
        <v>77.52</v>
      </c>
      <c r="CT83" s="8">
        <v>94.45</v>
      </c>
      <c r="CU83" s="8">
        <v>94.45</v>
      </c>
      <c r="CV83" s="8">
        <v>100.15</v>
      </c>
      <c r="CW83" s="8">
        <v>100.15</v>
      </c>
      <c r="CZ83" s="8">
        <v>93.12</v>
      </c>
      <c r="DC83" s="8">
        <v>104.34</v>
      </c>
      <c r="DD83" s="8">
        <v>103.21</v>
      </c>
      <c r="DP83" s="8">
        <v>102.46</v>
      </c>
      <c r="DQ83" s="8">
        <v>102.23</v>
      </c>
      <c r="DR83" s="8">
        <v>100.96</v>
      </c>
      <c r="DS83" s="8">
        <v>103.36</v>
      </c>
      <c r="EI83" s="8">
        <v>110.13</v>
      </c>
      <c r="EP83" s="8">
        <v>94.06</v>
      </c>
      <c r="EY83" s="8">
        <v>100.8</v>
      </c>
      <c r="EZ83" s="8">
        <v>93.47</v>
      </c>
      <c r="FA83" s="8">
        <v>108.99</v>
      </c>
      <c r="FE83" s="8">
        <v>100.36</v>
      </c>
      <c r="FL83" s="8">
        <v>86.24</v>
      </c>
      <c r="FM83" s="8">
        <v>90.81</v>
      </c>
      <c r="FQ83" s="8">
        <v>96.63</v>
      </c>
      <c r="FR83" s="8">
        <v>94.34</v>
      </c>
      <c r="FS83" s="8">
        <v>96.82</v>
      </c>
      <c r="FV83" s="8">
        <v>97</v>
      </c>
      <c r="FW83" s="8">
        <v>97.61</v>
      </c>
      <c r="FX83" s="8">
        <v>95.08</v>
      </c>
      <c r="FY83" s="8">
        <v>98.57</v>
      </c>
      <c r="FZ83" s="8">
        <v>99.86</v>
      </c>
      <c r="GA83" s="8">
        <v>95.98</v>
      </c>
      <c r="GB83" s="8">
        <v>94.06</v>
      </c>
      <c r="GC83" s="8">
        <v>93.91</v>
      </c>
      <c r="GD83" s="8">
        <v>82.23</v>
      </c>
      <c r="GE83" s="8">
        <v>99.43</v>
      </c>
      <c r="GF83" s="8">
        <v>100.85</v>
      </c>
      <c r="GG83" s="8">
        <v>100.69</v>
      </c>
      <c r="GH83" s="8">
        <v>97.81</v>
      </c>
      <c r="GI83" s="8">
        <v>96.23</v>
      </c>
      <c r="GJ83" s="8">
        <v>101.13</v>
      </c>
      <c r="GK83" s="8">
        <v>96.44</v>
      </c>
      <c r="GL83" s="8">
        <v>91.12</v>
      </c>
      <c r="GM83" s="8">
        <v>91.71</v>
      </c>
      <c r="GN83" s="8">
        <v>90.61</v>
      </c>
      <c r="GO83" s="8">
        <v>91.96</v>
      </c>
      <c r="GP83" s="8">
        <v>81.709999999999994</v>
      </c>
      <c r="GQ83" s="8">
        <v>95.77</v>
      </c>
      <c r="GR83" s="8">
        <v>97.44</v>
      </c>
      <c r="GS83" s="8">
        <v>91.53</v>
      </c>
      <c r="GT83" s="8">
        <v>88.75</v>
      </c>
      <c r="GU83" s="8">
        <v>97.81</v>
      </c>
      <c r="GV83" s="8">
        <v>92.33</v>
      </c>
      <c r="GW83" s="8">
        <v>85.76</v>
      </c>
      <c r="GX83" s="8">
        <v>94.55</v>
      </c>
      <c r="HD83" s="8">
        <v>98.02</v>
      </c>
      <c r="HF83" s="8">
        <v>93.27</v>
      </c>
      <c r="HG83" s="8">
        <v>77.89</v>
      </c>
      <c r="HH83" s="8">
        <v>77.89</v>
      </c>
      <c r="HV83" s="8">
        <v>98.65</v>
      </c>
      <c r="HW83" s="8">
        <v>98.65</v>
      </c>
      <c r="HX83" s="8">
        <v>97.26</v>
      </c>
      <c r="HY83" s="8">
        <v>97.26</v>
      </c>
      <c r="IB83" s="8">
        <v>89.68</v>
      </c>
      <c r="IE83" s="8">
        <v>84.88</v>
      </c>
      <c r="IF83" s="8">
        <v>90.4</v>
      </c>
    </row>
    <row r="84" spans="1:251" x14ac:dyDescent="0.2">
      <c r="A84" s="9">
        <v>45200</v>
      </c>
      <c r="G84" s="8">
        <v>115.1</v>
      </c>
      <c r="N84" s="8">
        <v>94.42</v>
      </c>
      <c r="W84" s="8">
        <v>96.53</v>
      </c>
      <c r="X84" s="8">
        <v>96.82</v>
      </c>
      <c r="Y84" s="8">
        <v>94.33</v>
      </c>
      <c r="AC84" s="8">
        <v>99.35</v>
      </c>
      <c r="AJ84" s="8">
        <v>90.5</v>
      </c>
      <c r="AK84" s="8">
        <v>89.45</v>
      </c>
      <c r="AO84" s="8">
        <v>98.26</v>
      </c>
      <c r="AP84" s="8">
        <v>94.42</v>
      </c>
      <c r="AQ84" s="8">
        <v>99.31</v>
      </c>
      <c r="AT84" s="8">
        <v>97.16</v>
      </c>
      <c r="AU84" s="8">
        <v>96.93</v>
      </c>
      <c r="AV84" s="8">
        <v>96.4</v>
      </c>
      <c r="AW84" s="8">
        <v>99.63</v>
      </c>
      <c r="AX84" s="8">
        <v>99.19</v>
      </c>
      <c r="AY84" s="8">
        <v>95.59</v>
      </c>
      <c r="AZ84" s="8">
        <v>93.3</v>
      </c>
      <c r="BA84" s="8">
        <v>96.47</v>
      </c>
      <c r="BB84" s="8">
        <v>80.040000000000006</v>
      </c>
      <c r="BC84" s="8">
        <v>98.15</v>
      </c>
      <c r="BD84" s="8">
        <v>103.27</v>
      </c>
      <c r="BE84" s="8">
        <v>100.55</v>
      </c>
      <c r="BF84" s="8">
        <v>98.32</v>
      </c>
      <c r="BG84" s="8">
        <v>97.86</v>
      </c>
      <c r="BH84" s="8">
        <v>100.35</v>
      </c>
      <c r="BI84" s="8">
        <v>96.98</v>
      </c>
      <c r="BJ84" s="8">
        <v>89.27</v>
      </c>
      <c r="BK84" s="8">
        <v>88.57</v>
      </c>
      <c r="BL84" s="8">
        <v>89.72</v>
      </c>
      <c r="BM84" s="8">
        <v>93.37</v>
      </c>
      <c r="BN84" s="8">
        <v>80.64</v>
      </c>
      <c r="BO84" s="8">
        <v>95.59</v>
      </c>
      <c r="BP84" s="8">
        <v>98.16</v>
      </c>
      <c r="BQ84" s="8">
        <v>94.24</v>
      </c>
      <c r="BR84" s="8">
        <v>89.9</v>
      </c>
      <c r="BS84" s="8">
        <v>98.36</v>
      </c>
      <c r="BT84" s="8">
        <v>93.45</v>
      </c>
      <c r="BU84" s="8">
        <v>84.73</v>
      </c>
      <c r="BV84" s="8">
        <v>94.97</v>
      </c>
      <c r="CB84" s="8">
        <v>93.14</v>
      </c>
      <c r="CD84" s="8">
        <v>94.62</v>
      </c>
      <c r="CE84" s="8">
        <v>80.12</v>
      </c>
      <c r="CF84" s="8">
        <v>80.12</v>
      </c>
      <c r="CT84" s="8">
        <v>94.18</v>
      </c>
      <c r="CU84" s="8">
        <v>94.18</v>
      </c>
      <c r="CV84" s="8">
        <v>100.18</v>
      </c>
      <c r="CW84" s="8">
        <v>100.18</v>
      </c>
      <c r="CZ84" s="8">
        <v>93.12</v>
      </c>
      <c r="DC84" s="8">
        <v>97.51</v>
      </c>
      <c r="DD84" s="8">
        <v>103.75</v>
      </c>
      <c r="DP84" s="8">
        <v>100.74</v>
      </c>
      <c r="DQ84" s="8">
        <v>102.21</v>
      </c>
      <c r="DR84" s="8">
        <v>98.47</v>
      </c>
      <c r="DS84" s="8">
        <v>101.72</v>
      </c>
      <c r="EI84" s="8">
        <v>110.75</v>
      </c>
      <c r="EP84" s="8">
        <v>94.42</v>
      </c>
      <c r="EY84" s="8">
        <v>93.74</v>
      </c>
      <c r="EZ84" s="8">
        <v>92.16</v>
      </c>
      <c r="FA84" s="8">
        <v>95.81</v>
      </c>
      <c r="FE84" s="8">
        <v>99.54</v>
      </c>
      <c r="FL84" s="8">
        <v>86.24</v>
      </c>
      <c r="FM84" s="8">
        <v>90.81</v>
      </c>
      <c r="FQ84" s="8">
        <v>96.64</v>
      </c>
      <c r="FR84" s="8">
        <v>94.42</v>
      </c>
      <c r="FS84" s="8">
        <v>96.82</v>
      </c>
      <c r="FV84" s="8">
        <v>96.98</v>
      </c>
      <c r="FW84" s="8">
        <v>97.41</v>
      </c>
      <c r="FX84" s="8">
        <v>95.62</v>
      </c>
      <c r="FY84" s="8">
        <v>98.59</v>
      </c>
      <c r="FZ84" s="8">
        <v>98.86</v>
      </c>
      <c r="GA84" s="8">
        <v>96.04</v>
      </c>
      <c r="GB84" s="8">
        <v>93.78</v>
      </c>
      <c r="GC84" s="8">
        <v>96.7</v>
      </c>
      <c r="GD84" s="8">
        <v>80.91</v>
      </c>
      <c r="GE84" s="8">
        <v>98.26</v>
      </c>
      <c r="GF84" s="8">
        <v>102.15</v>
      </c>
      <c r="GG84" s="8">
        <v>101.07</v>
      </c>
      <c r="GH84" s="8">
        <v>98.3</v>
      </c>
      <c r="GI84" s="8">
        <v>97.59</v>
      </c>
      <c r="GJ84" s="8">
        <v>100.6</v>
      </c>
      <c r="GK84" s="8">
        <v>96.85</v>
      </c>
      <c r="GL84" s="8">
        <v>91.64</v>
      </c>
      <c r="GM84" s="8">
        <v>95.73</v>
      </c>
      <c r="GN84" s="8">
        <v>88.62</v>
      </c>
      <c r="GO84" s="8">
        <v>92.23</v>
      </c>
      <c r="GP84" s="8">
        <v>82.85</v>
      </c>
      <c r="GQ84" s="8">
        <v>96.83</v>
      </c>
      <c r="GR84" s="8">
        <v>97.72</v>
      </c>
      <c r="GS84" s="8">
        <v>91.97</v>
      </c>
      <c r="GT84" s="8">
        <v>88.5</v>
      </c>
      <c r="GU84" s="8">
        <v>98.52</v>
      </c>
      <c r="GV84" s="8">
        <v>92.26</v>
      </c>
      <c r="GW84" s="8">
        <v>85.5</v>
      </c>
      <c r="GX84" s="8">
        <v>94.55</v>
      </c>
      <c r="HD84" s="8">
        <v>95.49</v>
      </c>
      <c r="HF84" s="8">
        <v>93.13</v>
      </c>
      <c r="HG84" s="8">
        <v>80.5</v>
      </c>
      <c r="HH84" s="8">
        <v>80.5</v>
      </c>
      <c r="HV84" s="8">
        <v>98.23</v>
      </c>
      <c r="HW84" s="8">
        <v>98.23</v>
      </c>
      <c r="HX84" s="8">
        <v>97.4</v>
      </c>
      <c r="HY84" s="8">
        <v>97.4</v>
      </c>
      <c r="IB84" s="8">
        <v>89.68</v>
      </c>
      <c r="IE84" s="8">
        <v>86.08</v>
      </c>
      <c r="IF84" s="8">
        <v>91.27</v>
      </c>
    </row>
    <row r="85" spans="1:251" x14ac:dyDescent="0.2">
      <c r="A85" s="9">
        <v>45231</v>
      </c>
      <c r="G85" s="8">
        <v>108.57</v>
      </c>
      <c r="N85" s="8">
        <v>95</v>
      </c>
      <c r="W85" s="8">
        <v>99.22</v>
      </c>
      <c r="X85" s="8">
        <v>99.19</v>
      </c>
      <c r="Y85" s="8">
        <v>97.48</v>
      </c>
      <c r="AC85" s="8">
        <v>100.31</v>
      </c>
      <c r="AJ85" s="8">
        <v>90.5</v>
      </c>
      <c r="AK85" s="8">
        <v>89.45</v>
      </c>
      <c r="AO85" s="8">
        <v>98.34</v>
      </c>
      <c r="AP85" s="8">
        <v>94.81</v>
      </c>
      <c r="AQ85" s="8">
        <v>99.31</v>
      </c>
      <c r="AT85" s="8">
        <v>97.49</v>
      </c>
      <c r="AU85" s="8">
        <v>97.14</v>
      </c>
      <c r="AV85" s="8">
        <v>96.51</v>
      </c>
      <c r="AW85" s="8">
        <v>102.61</v>
      </c>
      <c r="AX85" s="8">
        <v>99.23</v>
      </c>
      <c r="AY85" s="8">
        <v>94.01</v>
      </c>
      <c r="AZ85" s="8">
        <v>92.43</v>
      </c>
      <c r="BA85" s="8">
        <v>97.09</v>
      </c>
      <c r="BB85" s="8">
        <v>72.47</v>
      </c>
      <c r="BC85" s="8">
        <v>96.27</v>
      </c>
      <c r="BD85" s="8">
        <v>102.45</v>
      </c>
      <c r="BE85" s="8">
        <v>101.17</v>
      </c>
      <c r="BF85" s="8">
        <v>98.26</v>
      </c>
      <c r="BG85" s="8">
        <v>97.74</v>
      </c>
      <c r="BH85" s="8">
        <v>100.3</v>
      </c>
      <c r="BI85" s="8">
        <v>97.02</v>
      </c>
      <c r="BJ85" s="8">
        <v>91.96</v>
      </c>
      <c r="BK85" s="8">
        <v>91.9</v>
      </c>
      <c r="BL85" s="8">
        <v>91.94</v>
      </c>
      <c r="BM85" s="8">
        <v>94.21</v>
      </c>
      <c r="BN85" s="8">
        <v>80.41</v>
      </c>
      <c r="BO85" s="8">
        <v>95.03</v>
      </c>
      <c r="BP85" s="8">
        <v>97.21</v>
      </c>
      <c r="BQ85" s="8">
        <v>96.01</v>
      </c>
      <c r="BR85" s="8">
        <v>91.04</v>
      </c>
      <c r="BS85" s="8">
        <v>99.92</v>
      </c>
      <c r="BT85" s="8">
        <v>93.41</v>
      </c>
      <c r="BU85" s="8">
        <v>84.5</v>
      </c>
      <c r="BV85" s="8">
        <v>94.96</v>
      </c>
      <c r="CB85" s="8">
        <v>92.76</v>
      </c>
      <c r="CD85" s="8">
        <v>94.54</v>
      </c>
      <c r="CE85" s="8">
        <v>80.33</v>
      </c>
      <c r="CF85" s="8">
        <v>80.33</v>
      </c>
      <c r="CT85" s="8">
        <v>94.36</v>
      </c>
      <c r="CU85" s="8">
        <v>94.36</v>
      </c>
      <c r="CV85" s="8">
        <v>100.18</v>
      </c>
      <c r="CW85" s="8">
        <v>100.18</v>
      </c>
      <c r="CZ85" s="8">
        <v>93.12</v>
      </c>
      <c r="DC85" s="8">
        <v>97.51</v>
      </c>
      <c r="DD85" s="8">
        <v>104.45</v>
      </c>
      <c r="DP85" s="8">
        <v>100.63</v>
      </c>
      <c r="DQ85" s="8">
        <v>101.91</v>
      </c>
      <c r="DR85" s="8">
        <v>98.86</v>
      </c>
      <c r="DS85" s="8">
        <v>101.36</v>
      </c>
      <c r="EI85" s="8">
        <v>107.32</v>
      </c>
      <c r="EP85" s="8">
        <v>95</v>
      </c>
      <c r="EY85" s="8">
        <v>97.43</v>
      </c>
      <c r="EZ85" s="8">
        <v>95.7</v>
      </c>
      <c r="FA85" s="8">
        <v>99.67</v>
      </c>
      <c r="FE85" s="8">
        <v>100.41</v>
      </c>
      <c r="FL85" s="8">
        <v>86.24</v>
      </c>
      <c r="FM85" s="8">
        <v>90.81</v>
      </c>
      <c r="FQ85" s="8">
        <v>96.66</v>
      </c>
      <c r="FR85" s="8">
        <v>94.81</v>
      </c>
      <c r="FS85" s="8">
        <v>96.82</v>
      </c>
      <c r="FV85" s="8">
        <v>97.53</v>
      </c>
      <c r="FW85" s="8">
        <v>97.71</v>
      </c>
      <c r="FX85" s="8">
        <v>95.79</v>
      </c>
      <c r="FY85" s="8">
        <v>102.28</v>
      </c>
      <c r="FZ85" s="8">
        <v>99.41</v>
      </c>
      <c r="GA85" s="8">
        <v>95.19</v>
      </c>
      <c r="GB85" s="8">
        <v>93.25</v>
      </c>
      <c r="GC85" s="8">
        <v>97.05</v>
      </c>
      <c r="GD85" s="8">
        <v>75.42</v>
      </c>
      <c r="GE85" s="8">
        <v>98.01</v>
      </c>
      <c r="GF85" s="8">
        <v>102.04</v>
      </c>
      <c r="GG85" s="8">
        <v>101.34</v>
      </c>
      <c r="GH85" s="8">
        <v>98.04</v>
      </c>
      <c r="GI85" s="8">
        <v>97.15</v>
      </c>
      <c r="GJ85" s="8">
        <v>100.67</v>
      </c>
      <c r="GK85" s="8">
        <v>96.5</v>
      </c>
      <c r="GL85" s="8">
        <v>93.86</v>
      </c>
      <c r="GM85" s="8">
        <v>96.5</v>
      </c>
      <c r="GN85" s="8">
        <v>91.88</v>
      </c>
      <c r="GO85" s="8">
        <v>93.06</v>
      </c>
      <c r="GP85" s="8">
        <v>82.86</v>
      </c>
      <c r="GQ85" s="8">
        <v>96.75</v>
      </c>
      <c r="GR85" s="8">
        <v>96.53</v>
      </c>
      <c r="GS85" s="8">
        <v>93.58</v>
      </c>
      <c r="GT85" s="8">
        <v>89.9</v>
      </c>
      <c r="GU85" s="8">
        <v>99.77</v>
      </c>
      <c r="GV85" s="8">
        <v>92.01</v>
      </c>
      <c r="GW85" s="8">
        <v>85.3</v>
      </c>
      <c r="GX85" s="8">
        <v>94.29</v>
      </c>
      <c r="HD85" s="8">
        <v>95.62</v>
      </c>
      <c r="HF85" s="8">
        <v>93.5</v>
      </c>
      <c r="HG85" s="8">
        <v>80.650000000000006</v>
      </c>
      <c r="HH85" s="8">
        <v>80.650000000000006</v>
      </c>
      <c r="HV85" s="8">
        <v>98.33</v>
      </c>
      <c r="HW85" s="8">
        <v>98.33</v>
      </c>
      <c r="HX85" s="8">
        <v>97.82</v>
      </c>
      <c r="HY85" s="8">
        <v>97.82</v>
      </c>
      <c r="IB85" s="8">
        <v>89.68</v>
      </c>
      <c r="IE85" s="8">
        <v>86.08</v>
      </c>
      <c r="IF85" s="8">
        <v>91.27</v>
      </c>
    </row>
    <row r="86" spans="1:251" x14ac:dyDescent="0.2">
      <c r="A86" s="9">
        <v>45261</v>
      </c>
      <c r="G86" s="8">
        <v>105.5</v>
      </c>
      <c r="N86" s="8">
        <v>95.39</v>
      </c>
      <c r="W86" s="8">
        <v>113.56</v>
      </c>
      <c r="X86" s="8">
        <v>103.53</v>
      </c>
      <c r="Y86" s="8">
        <v>126.89</v>
      </c>
      <c r="AC86" s="8">
        <v>101.99</v>
      </c>
      <c r="AJ86" s="8">
        <v>90.5</v>
      </c>
      <c r="AK86" s="8">
        <v>89.45</v>
      </c>
      <c r="AO86" s="8">
        <v>98.83</v>
      </c>
      <c r="AP86" s="8">
        <v>95.61</v>
      </c>
      <c r="AQ86" s="8">
        <v>99.72</v>
      </c>
      <c r="AT86" s="8">
        <v>98.64</v>
      </c>
      <c r="AU86" s="8">
        <v>97.44</v>
      </c>
      <c r="AV86" s="8">
        <v>97.18</v>
      </c>
      <c r="AW86" s="8">
        <v>105.75</v>
      </c>
      <c r="AX86" s="8">
        <v>103.05</v>
      </c>
      <c r="AY86" s="8">
        <v>91.84</v>
      </c>
      <c r="AZ86" s="8">
        <v>92.38</v>
      </c>
      <c r="BA86" s="8">
        <v>94.63</v>
      </c>
      <c r="BB86" s="8">
        <v>67.77</v>
      </c>
      <c r="BC86" s="8">
        <v>96.06</v>
      </c>
      <c r="BD86" s="8">
        <v>98.58</v>
      </c>
      <c r="BE86" s="8">
        <v>98.36</v>
      </c>
      <c r="BF86" s="8">
        <v>99.04</v>
      </c>
      <c r="BG86" s="8">
        <v>98.09</v>
      </c>
      <c r="BH86" s="8">
        <v>100.37</v>
      </c>
      <c r="BI86" s="8">
        <v>99.23</v>
      </c>
      <c r="BJ86" s="8">
        <v>91.85</v>
      </c>
      <c r="BK86" s="8">
        <v>91.8</v>
      </c>
      <c r="BL86" s="8">
        <v>91.83</v>
      </c>
      <c r="BM86" s="8">
        <v>95.67</v>
      </c>
      <c r="BN86" s="8">
        <v>80.56</v>
      </c>
      <c r="BO86" s="8">
        <v>95.95</v>
      </c>
      <c r="BP86" s="8">
        <v>98.1</v>
      </c>
      <c r="BQ86" s="8">
        <v>95.73</v>
      </c>
      <c r="BR86" s="8">
        <v>93.45</v>
      </c>
      <c r="BS86" s="8">
        <v>101.6</v>
      </c>
      <c r="BT86" s="8">
        <v>93.87</v>
      </c>
      <c r="BU86" s="8">
        <v>86.76</v>
      </c>
      <c r="BV86" s="8">
        <v>95.11</v>
      </c>
      <c r="CB86" s="8">
        <v>94.71</v>
      </c>
      <c r="CD86" s="8">
        <v>94.37</v>
      </c>
      <c r="CE86" s="8">
        <v>80.37</v>
      </c>
      <c r="CF86" s="8">
        <v>80.37</v>
      </c>
      <c r="CT86" s="8">
        <v>94.69</v>
      </c>
      <c r="CU86" s="8">
        <v>94.69</v>
      </c>
      <c r="CV86" s="8">
        <v>100.18</v>
      </c>
      <c r="CW86" s="8">
        <v>100.18</v>
      </c>
      <c r="CZ86" s="8">
        <v>93.12</v>
      </c>
      <c r="DC86" s="8">
        <v>97.51</v>
      </c>
      <c r="DD86" s="8">
        <v>105.14</v>
      </c>
      <c r="DP86" s="8">
        <v>101.65</v>
      </c>
      <c r="DQ86" s="8">
        <v>102.85</v>
      </c>
      <c r="DR86" s="8">
        <v>101.51</v>
      </c>
      <c r="DS86" s="8">
        <v>101.45</v>
      </c>
      <c r="EI86" s="8">
        <v>100.54</v>
      </c>
      <c r="EP86" s="8">
        <v>95.39</v>
      </c>
      <c r="EY86" s="8">
        <v>113.33</v>
      </c>
      <c r="EZ86" s="8">
        <v>103.89</v>
      </c>
      <c r="FA86" s="8">
        <v>123.83</v>
      </c>
      <c r="FE86" s="8">
        <v>101.66</v>
      </c>
      <c r="FL86" s="8">
        <v>86.24</v>
      </c>
      <c r="FM86" s="8">
        <v>90.81</v>
      </c>
      <c r="FQ86" s="8">
        <v>97.64</v>
      </c>
      <c r="FR86" s="8">
        <v>95.61</v>
      </c>
      <c r="FS86" s="8">
        <v>97.81</v>
      </c>
      <c r="FV86" s="8">
        <v>98.85</v>
      </c>
      <c r="FW86" s="8">
        <v>98.38</v>
      </c>
      <c r="FX86" s="8">
        <v>96.67</v>
      </c>
      <c r="FY86" s="8">
        <v>105.79</v>
      </c>
      <c r="FZ86" s="8">
        <v>102.26</v>
      </c>
      <c r="GA86" s="8">
        <v>93.87</v>
      </c>
      <c r="GB86" s="8">
        <v>93.09</v>
      </c>
      <c r="GC86" s="8">
        <v>97</v>
      </c>
      <c r="GD86" s="8">
        <v>70.55</v>
      </c>
      <c r="GE86" s="8">
        <v>97.95</v>
      </c>
      <c r="GF86" s="8">
        <v>98.62</v>
      </c>
      <c r="GG86" s="8">
        <v>100.72</v>
      </c>
      <c r="GH86" s="8">
        <v>99.18</v>
      </c>
      <c r="GI86" s="8">
        <v>97.97</v>
      </c>
      <c r="GJ86" s="8">
        <v>100.75</v>
      </c>
      <c r="GK86" s="8">
        <v>99.13</v>
      </c>
      <c r="GL86" s="8">
        <v>94.01</v>
      </c>
      <c r="GM86" s="8">
        <v>94.22</v>
      </c>
      <c r="GN86" s="8">
        <v>93.78</v>
      </c>
      <c r="GO86" s="8">
        <v>94.54</v>
      </c>
      <c r="GP86" s="8">
        <v>83.11</v>
      </c>
      <c r="GQ86" s="8">
        <v>97.46</v>
      </c>
      <c r="GR86" s="8">
        <v>97.32</v>
      </c>
      <c r="GS86" s="8">
        <v>92.99</v>
      </c>
      <c r="GT86" s="8">
        <v>92.5</v>
      </c>
      <c r="GU86" s="8">
        <v>101.35</v>
      </c>
      <c r="GV86" s="8">
        <v>92.55</v>
      </c>
      <c r="GW86" s="8">
        <v>87.73</v>
      </c>
      <c r="GX86" s="8">
        <v>94.18</v>
      </c>
      <c r="HD86" s="8">
        <v>96.2</v>
      </c>
      <c r="HF86" s="8">
        <v>92.84</v>
      </c>
      <c r="HG86" s="8">
        <v>80.760000000000005</v>
      </c>
      <c r="HH86" s="8">
        <v>80.760000000000005</v>
      </c>
      <c r="HV86" s="8">
        <v>98.8</v>
      </c>
      <c r="HW86" s="8">
        <v>98.8</v>
      </c>
      <c r="HX86" s="8">
        <v>98.42</v>
      </c>
      <c r="HY86" s="8">
        <v>98.42</v>
      </c>
      <c r="IB86" s="8">
        <v>89.68</v>
      </c>
      <c r="IE86" s="8">
        <v>86.08</v>
      </c>
      <c r="IF86" s="8">
        <v>91.27</v>
      </c>
    </row>
    <row r="87" spans="1:251" x14ac:dyDescent="0.2">
      <c r="A87" s="9">
        <v>45292</v>
      </c>
      <c r="G87" s="8">
        <v>103.7</v>
      </c>
      <c r="N87" s="8">
        <v>95.02</v>
      </c>
      <c r="W87" s="8">
        <v>106.07</v>
      </c>
      <c r="X87" s="8">
        <v>105.73</v>
      </c>
      <c r="Y87" s="8">
        <v>105.65</v>
      </c>
      <c r="AC87" s="8">
        <v>103.01</v>
      </c>
      <c r="AJ87" s="8">
        <v>90.5</v>
      </c>
      <c r="AK87" s="8">
        <v>89.45</v>
      </c>
      <c r="AO87" s="8">
        <v>98.88</v>
      </c>
      <c r="AP87" s="8">
        <v>95.81</v>
      </c>
      <c r="AQ87" s="8">
        <v>99.72</v>
      </c>
      <c r="AT87" s="8">
        <v>98.87</v>
      </c>
      <c r="AU87" s="8">
        <v>97.84</v>
      </c>
      <c r="AV87" s="8">
        <v>98.09</v>
      </c>
      <c r="AW87" s="8">
        <v>102.8</v>
      </c>
      <c r="AX87" s="8">
        <v>102.32</v>
      </c>
      <c r="AY87" s="8">
        <v>92.41</v>
      </c>
      <c r="AZ87" s="8">
        <v>91.94</v>
      </c>
      <c r="BA87" s="8">
        <v>97.14</v>
      </c>
      <c r="BB87" s="8">
        <v>67.680000000000007</v>
      </c>
      <c r="BC87" s="8">
        <v>97.65</v>
      </c>
      <c r="BD87" s="8">
        <v>98.55</v>
      </c>
      <c r="BE87" s="8">
        <v>98.86</v>
      </c>
      <c r="BF87" s="8">
        <v>98.32</v>
      </c>
      <c r="BG87" s="8">
        <v>97.48</v>
      </c>
      <c r="BH87" s="8">
        <v>100.76</v>
      </c>
      <c r="BI87" s="8">
        <v>97.15</v>
      </c>
      <c r="BJ87" s="8">
        <v>92.97</v>
      </c>
      <c r="BK87" s="8">
        <v>90.57</v>
      </c>
      <c r="BL87" s="8">
        <v>94.73</v>
      </c>
      <c r="BM87" s="8">
        <v>97.13</v>
      </c>
      <c r="BN87" s="8">
        <v>80.64</v>
      </c>
      <c r="BO87" s="8">
        <v>95.4</v>
      </c>
      <c r="BP87" s="8">
        <v>99.55</v>
      </c>
      <c r="BQ87" s="8">
        <v>97.3</v>
      </c>
      <c r="BR87" s="8">
        <v>96.26</v>
      </c>
      <c r="BS87" s="8">
        <v>101.64</v>
      </c>
      <c r="BT87" s="8">
        <v>95.75</v>
      </c>
      <c r="BU87" s="8">
        <v>85.98</v>
      </c>
      <c r="BV87" s="8">
        <v>97.46</v>
      </c>
      <c r="CB87" s="8">
        <v>93.83</v>
      </c>
      <c r="CD87" s="8">
        <v>94.29</v>
      </c>
      <c r="CE87" s="8">
        <v>80.5</v>
      </c>
      <c r="CF87" s="8">
        <v>80.5</v>
      </c>
      <c r="CT87" s="8">
        <v>94.93</v>
      </c>
      <c r="CU87" s="8">
        <v>94.93</v>
      </c>
      <c r="CV87" s="8">
        <v>100.19</v>
      </c>
      <c r="CW87" s="8">
        <v>100.19</v>
      </c>
      <c r="CZ87" s="8">
        <v>93.12</v>
      </c>
      <c r="DC87" s="8">
        <v>100.93</v>
      </c>
      <c r="DD87" s="8">
        <v>105.14</v>
      </c>
      <c r="DP87" s="8">
        <v>101.3</v>
      </c>
      <c r="DQ87" s="8">
        <v>100.97</v>
      </c>
      <c r="DR87" s="8">
        <v>101.78</v>
      </c>
      <c r="DS87" s="8">
        <v>101.1</v>
      </c>
      <c r="EI87" s="8">
        <v>98.74</v>
      </c>
      <c r="EP87" s="8">
        <v>95.02</v>
      </c>
      <c r="EY87" s="8">
        <v>101.36</v>
      </c>
      <c r="EZ87" s="8">
        <v>97.93</v>
      </c>
      <c r="FA87" s="8">
        <v>104.92</v>
      </c>
      <c r="FE87" s="8">
        <v>102.78</v>
      </c>
      <c r="FL87" s="8">
        <v>86.24</v>
      </c>
      <c r="FM87" s="8">
        <v>90.81</v>
      </c>
      <c r="FQ87" s="8">
        <v>97.66</v>
      </c>
      <c r="FR87" s="8">
        <v>95.81</v>
      </c>
      <c r="FS87" s="8">
        <v>97.81</v>
      </c>
      <c r="FV87" s="8">
        <v>98.85</v>
      </c>
      <c r="FW87" s="8">
        <v>98.54</v>
      </c>
      <c r="FX87" s="8">
        <v>97.59</v>
      </c>
      <c r="FY87" s="8">
        <v>102.19</v>
      </c>
      <c r="FZ87" s="8">
        <v>101.21</v>
      </c>
      <c r="GA87" s="8">
        <v>93.93</v>
      </c>
      <c r="GB87" s="8">
        <v>92.89</v>
      </c>
      <c r="GC87" s="8">
        <v>98.13</v>
      </c>
      <c r="GD87" s="8">
        <v>70.89</v>
      </c>
      <c r="GE87" s="8">
        <v>98.4</v>
      </c>
      <c r="GF87" s="8">
        <v>98.16</v>
      </c>
      <c r="GG87" s="8">
        <v>100.09</v>
      </c>
      <c r="GH87" s="8">
        <v>98.5</v>
      </c>
      <c r="GI87" s="8">
        <v>97.48</v>
      </c>
      <c r="GJ87" s="8">
        <v>101.34</v>
      </c>
      <c r="GK87" s="8">
        <v>96.87</v>
      </c>
      <c r="GL87" s="8">
        <v>94.7</v>
      </c>
      <c r="GM87" s="8">
        <v>91.4</v>
      </c>
      <c r="GN87" s="8">
        <v>97.14</v>
      </c>
      <c r="GO87" s="8">
        <v>95.86</v>
      </c>
      <c r="GP87" s="8">
        <v>82.94</v>
      </c>
      <c r="GQ87" s="8">
        <v>97.27</v>
      </c>
      <c r="GR87" s="8">
        <v>98.77</v>
      </c>
      <c r="GS87" s="8">
        <v>94.87</v>
      </c>
      <c r="GT87" s="8">
        <v>94.91</v>
      </c>
      <c r="GU87" s="8">
        <v>100.69</v>
      </c>
      <c r="GV87" s="8">
        <v>94.17</v>
      </c>
      <c r="GW87" s="8">
        <v>86.59</v>
      </c>
      <c r="GX87" s="8">
        <v>96.76</v>
      </c>
      <c r="HD87" s="8">
        <v>95.61</v>
      </c>
      <c r="HF87" s="8">
        <v>93.71</v>
      </c>
      <c r="HG87" s="8">
        <v>80.84</v>
      </c>
      <c r="HH87" s="8">
        <v>80.84</v>
      </c>
      <c r="HV87" s="8">
        <v>98.92</v>
      </c>
      <c r="HW87" s="8">
        <v>98.92</v>
      </c>
      <c r="HX87" s="8">
        <v>100.36</v>
      </c>
      <c r="HY87" s="8">
        <v>100.36</v>
      </c>
      <c r="IB87" s="8">
        <v>89.68</v>
      </c>
      <c r="IE87" s="8">
        <v>86.94</v>
      </c>
      <c r="IF87" s="8">
        <v>91.27</v>
      </c>
    </row>
    <row r="88" spans="1:251" x14ac:dyDescent="0.2">
      <c r="A88" s="9">
        <v>45323</v>
      </c>
      <c r="G88" s="8">
        <v>109.7</v>
      </c>
      <c r="N88" s="8">
        <v>96.22</v>
      </c>
      <c r="W88" s="8">
        <v>101.47</v>
      </c>
      <c r="X88" s="8">
        <v>105.66</v>
      </c>
      <c r="Y88" s="8">
        <v>94.65</v>
      </c>
      <c r="AC88" s="8">
        <v>101.65</v>
      </c>
      <c r="AJ88" s="8">
        <v>95.6</v>
      </c>
      <c r="AK88" s="8">
        <v>96.15</v>
      </c>
      <c r="AO88" s="8">
        <v>98.89</v>
      </c>
      <c r="AP88" s="8">
        <v>95.9</v>
      </c>
      <c r="AQ88" s="8">
        <v>99.72</v>
      </c>
      <c r="AT88" s="8">
        <v>98.17</v>
      </c>
      <c r="AU88" s="8">
        <v>98.37</v>
      </c>
      <c r="AV88" s="8">
        <v>97.43</v>
      </c>
      <c r="AW88" s="8">
        <v>98.4</v>
      </c>
      <c r="AX88" s="8">
        <v>99.55</v>
      </c>
      <c r="AY88" s="8">
        <v>93.48</v>
      </c>
      <c r="AZ88" s="8">
        <v>90.3</v>
      </c>
      <c r="BA88" s="8">
        <v>97.53</v>
      </c>
      <c r="BB88" s="8">
        <v>74.72</v>
      </c>
      <c r="BC88" s="8">
        <v>97.71</v>
      </c>
      <c r="BD88" s="8">
        <v>100.4</v>
      </c>
      <c r="BE88" s="8">
        <v>99.12</v>
      </c>
      <c r="BF88" s="8">
        <v>97.64</v>
      </c>
      <c r="BG88" s="8">
        <v>97.13</v>
      </c>
      <c r="BH88" s="8">
        <v>99.87</v>
      </c>
      <c r="BI88" s="8">
        <v>96.12</v>
      </c>
      <c r="BJ88" s="8">
        <v>93.74</v>
      </c>
      <c r="BK88" s="8">
        <v>90.94</v>
      </c>
      <c r="BL88" s="8">
        <v>95.82</v>
      </c>
      <c r="BM88" s="8">
        <v>96.19</v>
      </c>
      <c r="BN88" s="8">
        <v>81.08</v>
      </c>
      <c r="BO88" s="8">
        <v>94.97</v>
      </c>
      <c r="BP88" s="8">
        <v>100.11</v>
      </c>
      <c r="BQ88" s="8">
        <v>97.59</v>
      </c>
      <c r="BR88" s="8">
        <v>93.92</v>
      </c>
      <c r="BS88" s="8">
        <v>100.85</v>
      </c>
      <c r="BT88" s="8">
        <v>96.89</v>
      </c>
      <c r="BU88" s="8">
        <v>86.2</v>
      </c>
      <c r="BV88" s="8">
        <v>98.76</v>
      </c>
      <c r="CB88" s="8">
        <v>93.1</v>
      </c>
      <c r="CD88" s="8">
        <v>95.55</v>
      </c>
      <c r="CE88" s="8">
        <v>80.599999999999994</v>
      </c>
      <c r="CF88" s="8">
        <v>80.599999999999994</v>
      </c>
      <c r="CT88" s="8">
        <v>95.14</v>
      </c>
      <c r="CU88" s="8">
        <v>95.14</v>
      </c>
      <c r="CV88" s="8">
        <v>100.19</v>
      </c>
      <c r="CW88" s="8">
        <v>100.19</v>
      </c>
      <c r="CZ88" s="8">
        <v>93.12</v>
      </c>
      <c r="DC88" s="8">
        <v>100.93</v>
      </c>
      <c r="DD88" s="8">
        <v>103.97</v>
      </c>
      <c r="DP88" s="8">
        <v>101.21</v>
      </c>
      <c r="DQ88" s="8">
        <v>101.54</v>
      </c>
      <c r="DR88" s="8">
        <v>99.76</v>
      </c>
      <c r="DS88" s="8">
        <v>101.97</v>
      </c>
      <c r="EI88" s="8">
        <v>102.46</v>
      </c>
      <c r="EP88" s="8">
        <v>96.22</v>
      </c>
      <c r="EY88" s="8">
        <v>94</v>
      </c>
      <c r="EZ88" s="8">
        <v>92.43</v>
      </c>
      <c r="FA88" s="8">
        <v>95.41</v>
      </c>
      <c r="FE88" s="8">
        <v>101.67</v>
      </c>
      <c r="FL88" s="8">
        <v>94.56</v>
      </c>
      <c r="FM88" s="8">
        <v>96.44</v>
      </c>
      <c r="FQ88" s="8">
        <v>97.66</v>
      </c>
      <c r="FR88" s="8">
        <v>95.9</v>
      </c>
      <c r="FS88" s="8">
        <v>97.81</v>
      </c>
      <c r="FV88" s="8">
        <v>98.18</v>
      </c>
      <c r="FW88" s="8">
        <v>98.77</v>
      </c>
      <c r="FX88" s="8">
        <v>96.94</v>
      </c>
      <c r="FY88" s="8">
        <v>98.42</v>
      </c>
      <c r="FZ88" s="8">
        <v>99.65</v>
      </c>
      <c r="GA88" s="8">
        <v>94.2</v>
      </c>
      <c r="GB88" s="8">
        <v>91.13</v>
      </c>
      <c r="GC88" s="8">
        <v>97.22</v>
      </c>
      <c r="GD88" s="8">
        <v>76.19</v>
      </c>
      <c r="GE88" s="8">
        <v>98.33</v>
      </c>
      <c r="GF88" s="8">
        <v>99.17</v>
      </c>
      <c r="GG88" s="8">
        <v>99.4</v>
      </c>
      <c r="GH88" s="8">
        <v>97.77</v>
      </c>
      <c r="GI88" s="8">
        <v>97.13</v>
      </c>
      <c r="GJ88" s="8">
        <v>100.55</v>
      </c>
      <c r="GK88" s="8">
        <v>95.68</v>
      </c>
      <c r="GL88" s="8">
        <v>95.97</v>
      </c>
      <c r="GM88" s="8">
        <v>91.61</v>
      </c>
      <c r="GN88" s="8">
        <v>99.21</v>
      </c>
      <c r="GO88" s="8">
        <v>94.84</v>
      </c>
      <c r="GP88" s="8">
        <v>83.1</v>
      </c>
      <c r="GQ88" s="8">
        <v>96.62</v>
      </c>
      <c r="GR88" s="8">
        <v>99.16</v>
      </c>
      <c r="GS88" s="8">
        <v>95.39</v>
      </c>
      <c r="GT88" s="8">
        <v>92.46</v>
      </c>
      <c r="GU88" s="8">
        <v>100.21</v>
      </c>
      <c r="GV88" s="8">
        <v>95.01</v>
      </c>
      <c r="GW88" s="8">
        <v>86.56</v>
      </c>
      <c r="GX88" s="8">
        <v>97.91</v>
      </c>
      <c r="HD88" s="8">
        <v>97.55</v>
      </c>
      <c r="HF88" s="8">
        <v>94.93</v>
      </c>
      <c r="HG88" s="8">
        <v>81.03</v>
      </c>
      <c r="HH88" s="8">
        <v>81.03</v>
      </c>
      <c r="HV88" s="8">
        <v>99.07</v>
      </c>
      <c r="HW88" s="8">
        <v>99.07</v>
      </c>
      <c r="HX88" s="8">
        <v>100.44</v>
      </c>
      <c r="HY88" s="8">
        <v>100.44</v>
      </c>
      <c r="IB88" s="8">
        <v>89.68</v>
      </c>
      <c r="IE88" s="8">
        <v>82.76</v>
      </c>
      <c r="IF88" s="8">
        <v>88.82</v>
      </c>
    </row>
    <row r="89" spans="1:251" x14ac:dyDescent="0.2">
      <c r="A89" s="9">
        <v>45352</v>
      </c>
      <c r="G89" s="8">
        <v>110.5</v>
      </c>
      <c r="N89" s="8">
        <v>96.21</v>
      </c>
      <c r="W89" s="8">
        <v>95.38</v>
      </c>
      <c r="X89" s="8">
        <v>99.05</v>
      </c>
      <c r="Y89" s="8">
        <v>89.35</v>
      </c>
      <c r="AC89" s="8">
        <v>102.04</v>
      </c>
      <c r="AJ89" s="8">
        <v>95.6</v>
      </c>
      <c r="AK89" s="8">
        <v>96.15</v>
      </c>
      <c r="AO89" s="8">
        <v>99.12</v>
      </c>
      <c r="AP89" s="8">
        <v>96.22</v>
      </c>
      <c r="AQ89" s="8">
        <v>99.92</v>
      </c>
      <c r="AT89" s="8">
        <v>98.59</v>
      </c>
      <c r="AU89" s="8">
        <v>97.95</v>
      </c>
      <c r="AV89" s="8">
        <v>97.78</v>
      </c>
      <c r="AW89" s="8">
        <v>99.94</v>
      </c>
      <c r="AX89" s="8">
        <v>102.1</v>
      </c>
      <c r="AY89" s="8">
        <v>93.79</v>
      </c>
      <c r="AZ89" s="8">
        <v>89.74</v>
      </c>
      <c r="BA89" s="8">
        <v>96.63</v>
      </c>
      <c r="BB89" s="8">
        <v>77</v>
      </c>
      <c r="BC89" s="8">
        <v>97.95</v>
      </c>
      <c r="BD89" s="8">
        <v>102.27</v>
      </c>
      <c r="BE89" s="8">
        <v>98.38</v>
      </c>
      <c r="BF89" s="8">
        <v>98.14</v>
      </c>
      <c r="BG89" s="8">
        <v>97.98</v>
      </c>
      <c r="BH89" s="8">
        <v>99.61</v>
      </c>
      <c r="BI89" s="8">
        <v>96.85</v>
      </c>
      <c r="BJ89" s="8">
        <v>93.79</v>
      </c>
      <c r="BK89" s="8">
        <v>89.23</v>
      </c>
      <c r="BL89" s="8">
        <v>97.2</v>
      </c>
      <c r="BM89" s="8">
        <v>95.5</v>
      </c>
      <c r="BN89" s="8">
        <v>81.06</v>
      </c>
      <c r="BO89" s="8">
        <v>96.21</v>
      </c>
      <c r="BP89" s="8">
        <v>99.09</v>
      </c>
      <c r="BQ89" s="8">
        <v>96.34</v>
      </c>
      <c r="BR89" s="8">
        <v>93.57</v>
      </c>
      <c r="BS89" s="8">
        <v>99.67</v>
      </c>
      <c r="BT89" s="8">
        <v>97.6</v>
      </c>
      <c r="BU89" s="8">
        <v>86.85</v>
      </c>
      <c r="BV89" s="8">
        <v>99.48</v>
      </c>
      <c r="CB89" s="8">
        <v>95.39</v>
      </c>
      <c r="CD89" s="8">
        <v>96.33</v>
      </c>
      <c r="CE89" s="8">
        <v>82.39</v>
      </c>
      <c r="CF89" s="8">
        <v>82.39</v>
      </c>
      <c r="CT89" s="8">
        <v>95.44</v>
      </c>
      <c r="CU89" s="8">
        <v>95.44</v>
      </c>
      <c r="CV89" s="8">
        <v>100.19</v>
      </c>
      <c r="CW89" s="8">
        <v>100.19</v>
      </c>
      <c r="CZ89" s="8">
        <v>93.12</v>
      </c>
      <c r="DC89" s="8">
        <v>100.93</v>
      </c>
      <c r="DD89" s="8">
        <v>100.72</v>
      </c>
      <c r="DP89" s="8">
        <v>101.96</v>
      </c>
      <c r="DQ89" s="8">
        <v>101.56</v>
      </c>
      <c r="DR89" s="8">
        <v>101.48</v>
      </c>
      <c r="DS89" s="8">
        <v>102.31</v>
      </c>
      <c r="EI89" s="8">
        <v>102.77</v>
      </c>
      <c r="EP89" s="8">
        <v>96.21</v>
      </c>
      <c r="EY89" s="8">
        <v>95.34</v>
      </c>
      <c r="EZ89" s="8">
        <v>96.86</v>
      </c>
      <c r="FA89" s="8">
        <v>93.16</v>
      </c>
      <c r="FE89" s="8">
        <v>101.55</v>
      </c>
      <c r="FL89" s="8">
        <v>94.56</v>
      </c>
      <c r="FM89" s="8">
        <v>96.44</v>
      </c>
      <c r="FQ89" s="8">
        <v>98.67</v>
      </c>
      <c r="FR89" s="8">
        <v>96.22</v>
      </c>
      <c r="FS89" s="8">
        <v>98.87</v>
      </c>
      <c r="FV89" s="8">
        <v>98.59</v>
      </c>
      <c r="FW89" s="8">
        <v>98.56</v>
      </c>
      <c r="FX89" s="8">
        <v>97.41</v>
      </c>
      <c r="FY89" s="8">
        <v>99.89</v>
      </c>
      <c r="FZ89" s="8">
        <v>100.94</v>
      </c>
      <c r="GA89" s="8">
        <v>94.96</v>
      </c>
      <c r="GB89" s="8">
        <v>91.18</v>
      </c>
      <c r="GC89" s="8">
        <v>97.31</v>
      </c>
      <c r="GD89" s="8">
        <v>79.39</v>
      </c>
      <c r="GE89" s="8">
        <v>98.83</v>
      </c>
      <c r="GF89" s="8">
        <v>101.41</v>
      </c>
      <c r="GG89" s="8">
        <v>98.59</v>
      </c>
      <c r="GH89" s="8">
        <v>98.3</v>
      </c>
      <c r="GI89" s="8">
        <v>97.92</v>
      </c>
      <c r="GJ89" s="8">
        <v>100.23</v>
      </c>
      <c r="GK89" s="8">
        <v>96.76</v>
      </c>
      <c r="GL89" s="8">
        <v>96.34</v>
      </c>
      <c r="GM89" s="8">
        <v>91.43</v>
      </c>
      <c r="GN89" s="8">
        <v>100.01</v>
      </c>
      <c r="GO89" s="8">
        <v>94.51</v>
      </c>
      <c r="GP89" s="8">
        <v>83.32</v>
      </c>
      <c r="GQ89" s="8">
        <v>97.3</v>
      </c>
      <c r="GR89" s="8">
        <v>98.24</v>
      </c>
      <c r="GS89" s="8">
        <v>94.26</v>
      </c>
      <c r="GT89" s="8">
        <v>92.44</v>
      </c>
      <c r="GU89" s="8">
        <v>99.69</v>
      </c>
      <c r="GV89" s="8">
        <v>96.17</v>
      </c>
      <c r="GW89" s="8">
        <v>87.75</v>
      </c>
      <c r="GX89" s="8">
        <v>99.04</v>
      </c>
      <c r="HD89" s="8">
        <v>98.85</v>
      </c>
      <c r="HF89" s="8">
        <v>95.47</v>
      </c>
      <c r="HG89" s="8">
        <v>82.96</v>
      </c>
      <c r="HH89" s="8">
        <v>82.96</v>
      </c>
      <c r="HV89" s="8">
        <v>99.03</v>
      </c>
      <c r="HW89" s="8">
        <v>99.03</v>
      </c>
      <c r="HX89" s="8">
        <v>100.35</v>
      </c>
      <c r="HY89" s="8">
        <v>100.35</v>
      </c>
      <c r="IB89" s="8">
        <v>89.68</v>
      </c>
      <c r="IE89" s="8">
        <v>82.76</v>
      </c>
      <c r="IF89" s="8">
        <v>88.82</v>
      </c>
    </row>
    <row r="90" spans="1:251" x14ac:dyDescent="0.2">
      <c r="A90" s="9">
        <v>45383</v>
      </c>
      <c r="B90" s="8">
        <v>95.94</v>
      </c>
      <c r="C90" s="8">
        <v>104.17</v>
      </c>
      <c r="D90" s="8">
        <v>103.66</v>
      </c>
      <c r="E90" s="8">
        <v>103.56</v>
      </c>
      <c r="F90" s="8">
        <v>98.61</v>
      </c>
      <c r="G90" s="8">
        <v>112.97</v>
      </c>
      <c r="H90" s="8">
        <v>93.97</v>
      </c>
      <c r="I90" s="8">
        <v>93.52</v>
      </c>
      <c r="J90" s="8">
        <v>139.37</v>
      </c>
      <c r="K90" s="8">
        <v>139.37</v>
      </c>
      <c r="L90" s="8">
        <v>98.4</v>
      </c>
      <c r="M90" s="8">
        <v>98.4</v>
      </c>
      <c r="N90" s="8">
        <v>96.77</v>
      </c>
      <c r="O90" s="8">
        <v>98.48</v>
      </c>
      <c r="P90" s="8">
        <v>96.79</v>
      </c>
      <c r="Q90" s="8">
        <v>94.07</v>
      </c>
      <c r="R90" s="8">
        <v>100.98</v>
      </c>
      <c r="S90" s="8">
        <v>86.05</v>
      </c>
      <c r="T90" s="8">
        <v>91.09</v>
      </c>
      <c r="U90" s="8">
        <v>103.79</v>
      </c>
      <c r="V90" s="8">
        <v>87.31</v>
      </c>
      <c r="W90" s="8">
        <v>98.05</v>
      </c>
      <c r="X90" s="8">
        <v>96.26</v>
      </c>
      <c r="Y90" s="8">
        <v>99.78</v>
      </c>
      <c r="Z90" s="8">
        <v>97.41</v>
      </c>
      <c r="AA90" s="8">
        <v>101.92</v>
      </c>
      <c r="AB90" s="8">
        <v>98.95</v>
      </c>
      <c r="AC90" s="8">
        <v>100.66</v>
      </c>
      <c r="AD90" s="8">
        <v>95.57</v>
      </c>
      <c r="AE90" s="8">
        <v>92.5</v>
      </c>
      <c r="AF90" s="8">
        <v>97.16</v>
      </c>
      <c r="AG90" s="8">
        <v>95.72</v>
      </c>
      <c r="AH90" s="8">
        <v>95.72</v>
      </c>
      <c r="AI90" s="8">
        <v>95.11</v>
      </c>
      <c r="AJ90" s="8">
        <v>95.6</v>
      </c>
      <c r="AK90" s="8">
        <v>96.15</v>
      </c>
      <c r="AL90" s="8">
        <v>96.23</v>
      </c>
      <c r="AM90" s="8">
        <v>91.89</v>
      </c>
      <c r="AN90" s="8">
        <v>91.89</v>
      </c>
      <c r="AO90" s="8">
        <v>99.18</v>
      </c>
      <c r="AP90" s="8">
        <v>96.53</v>
      </c>
      <c r="AQ90" s="8">
        <v>99.92</v>
      </c>
      <c r="AR90" s="8">
        <v>96.91</v>
      </c>
      <c r="AS90" s="8">
        <v>95.99</v>
      </c>
      <c r="AT90" s="8">
        <v>98.14</v>
      </c>
      <c r="AU90" s="8">
        <v>98.25</v>
      </c>
      <c r="AV90" s="8">
        <v>97</v>
      </c>
      <c r="AW90" s="8">
        <v>100.11</v>
      </c>
      <c r="AX90" s="8">
        <v>100.14</v>
      </c>
      <c r="AY90" s="8">
        <v>93.99</v>
      </c>
      <c r="AZ90" s="8">
        <v>90.8</v>
      </c>
      <c r="BA90" s="8">
        <v>96.64</v>
      </c>
      <c r="BB90" s="8">
        <v>75.52</v>
      </c>
      <c r="BC90" s="8">
        <v>98.71</v>
      </c>
      <c r="BD90" s="8">
        <v>100.82</v>
      </c>
      <c r="BE90" s="8">
        <v>100.05</v>
      </c>
      <c r="BF90" s="8">
        <v>98.1</v>
      </c>
      <c r="BG90" s="8">
        <v>97.75</v>
      </c>
      <c r="BH90" s="8">
        <v>99.61</v>
      </c>
      <c r="BI90" s="8">
        <v>97.09</v>
      </c>
      <c r="BJ90" s="8">
        <v>97.01</v>
      </c>
      <c r="BK90" s="8">
        <v>94.16</v>
      </c>
      <c r="BL90" s="8">
        <v>99.11</v>
      </c>
      <c r="BM90" s="8">
        <v>95.99</v>
      </c>
      <c r="BN90" s="8">
        <v>80.86</v>
      </c>
      <c r="BO90" s="8">
        <v>95.16</v>
      </c>
      <c r="BP90" s="8">
        <v>99.75</v>
      </c>
      <c r="BQ90" s="8">
        <v>100.35</v>
      </c>
      <c r="BR90" s="8">
        <v>94.27</v>
      </c>
      <c r="BS90" s="8">
        <v>98.41</v>
      </c>
      <c r="BT90" s="8">
        <v>96.77</v>
      </c>
      <c r="BU90" s="8">
        <v>85.34</v>
      </c>
      <c r="BV90" s="8">
        <v>98.77</v>
      </c>
      <c r="BW90" s="8">
        <v>95.46</v>
      </c>
      <c r="BX90" s="8">
        <v>96.29</v>
      </c>
      <c r="BY90" s="8">
        <v>94.81</v>
      </c>
      <c r="BZ90" s="8">
        <v>93.15</v>
      </c>
      <c r="CA90" s="8">
        <v>97.83</v>
      </c>
      <c r="CB90" s="8">
        <v>93.1</v>
      </c>
      <c r="CC90" s="8">
        <v>104.99</v>
      </c>
      <c r="CD90" s="8">
        <v>96.14</v>
      </c>
      <c r="CE90" s="8">
        <v>83.17</v>
      </c>
      <c r="CF90" s="8">
        <v>83.17</v>
      </c>
      <c r="CG90" s="8">
        <v>98.04</v>
      </c>
      <c r="CH90" s="8">
        <v>99.43</v>
      </c>
      <c r="CI90" s="8">
        <v>106.1</v>
      </c>
      <c r="CJ90" s="8">
        <v>94.79</v>
      </c>
      <c r="CK90" s="8">
        <v>107.25</v>
      </c>
      <c r="CL90" s="8">
        <v>99.93</v>
      </c>
      <c r="CM90" s="8">
        <v>104.83</v>
      </c>
      <c r="CN90" s="8">
        <v>97.74</v>
      </c>
      <c r="CO90" s="8">
        <v>99.43</v>
      </c>
      <c r="CP90" s="8">
        <v>91.3</v>
      </c>
      <c r="CQ90" s="8">
        <v>90.76</v>
      </c>
      <c r="CR90" s="8">
        <v>97</v>
      </c>
      <c r="CS90" s="8">
        <v>97.3</v>
      </c>
      <c r="CT90" s="8">
        <v>95.58</v>
      </c>
      <c r="CU90" s="8">
        <v>95.58</v>
      </c>
      <c r="CV90" s="8">
        <v>100.17</v>
      </c>
      <c r="CW90" s="8">
        <v>100.17</v>
      </c>
      <c r="CX90" s="8">
        <v>95.91</v>
      </c>
      <c r="CY90" s="8">
        <v>97.11</v>
      </c>
      <c r="CZ90" s="8">
        <v>93.12</v>
      </c>
      <c r="DA90" s="8">
        <v>98.52</v>
      </c>
      <c r="DB90" s="8">
        <v>92.87</v>
      </c>
      <c r="DC90" s="8">
        <v>100.93</v>
      </c>
      <c r="DD90" s="8">
        <v>103.5</v>
      </c>
      <c r="DE90" s="8">
        <v>95.93</v>
      </c>
      <c r="DF90" s="8">
        <v>92.76</v>
      </c>
      <c r="DG90" s="8">
        <v>92.64</v>
      </c>
      <c r="DH90" s="8">
        <v>94.05</v>
      </c>
      <c r="DI90" s="8">
        <v>96.05</v>
      </c>
      <c r="DJ90" s="8">
        <v>96.05</v>
      </c>
      <c r="DK90" s="8">
        <v>100.58</v>
      </c>
      <c r="DL90" s="8">
        <v>104.14</v>
      </c>
      <c r="DM90" s="8">
        <v>99.05</v>
      </c>
      <c r="DN90" s="8">
        <v>95.71</v>
      </c>
      <c r="DO90" s="8">
        <v>103.02</v>
      </c>
      <c r="DP90" s="8">
        <v>102.43</v>
      </c>
      <c r="DQ90" s="8">
        <v>100.3</v>
      </c>
      <c r="DR90" s="8">
        <v>101.42</v>
      </c>
      <c r="DS90" s="8">
        <v>103.47</v>
      </c>
      <c r="DT90" s="8">
        <v>89.23</v>
      </c>
      <c r="DU90" s="8">
        <v>83.21</v>
      </c>
      <c r="DV90" s="8">
        <v>91.88</v>
      </c>
      <c r="DW90" s="8">
        <v>93.18</v>
      </c>
      <c r="DX90" s="8">
        <v>93.8</v>
      </c>
      <c r="DY90" s="8">
        <v>102.22</v>
      </c>
      <c r="DZ90" s="8">
        <v>102.77</v>
      </c>
      <c r="EA90" s="8">
        <v>97.49</v>
      </c>
      <c r="EB90" s="8">
        <v>91.69</v>
      </c>
      <c r="EC90" s="8">
        <v>91.55</v>
      </c>
      <c r="ED90" s="8">
        <v>93.34</v>
      </c>
      <c r="EE90" s="8">
        <v>101.54</v>
      </c>
      <c r="EF90" s="8">
        <v>101.21</v>
      </c>
      <c r="EG90" s="8">
        <v>102.86</v>
      </c>
      <c r="EH90" s="8">
        <v>100.07</v>
      </c>
      <c r="EI90" s="8">
        <v>103.99</v>
      </c>
      <c r="EJ90" s="8">
        <v>96.01</v>
      </c>
      <c r="EK90" s="8">
        <v>94.31</v>
      </c>
      <c r="EL90" s="8">
        <v>150.72</v>
      </c>
      <c r="EM90" s="8">
        <v>150.72</v>
      </c>
      <c r="EN90" s="8">
        <v>98.65</v>
      </c>
      <c r="EO90" s="8">
        <v>98.65</v>
      </c>
      <c r="EP90" s="8">
        <v>96.77</v>
      </c>
      <c r="EQ90" s="8">
        <v>98.73</v>
      </c>
      <c r="ER90" s="8">
        <v>98.54</v>
      </c>
      <c r="ES90" s="8">
        <v>95.3</v>
      </c>
      <c r="ET90" s="8">
        <v>102.51</v>
      </c>
      <c r="EU90" s="8">
        <v>86.27</v>
      </c>
      <c r="EV90" s="8">
        <v>95.48</v>
      </c>
      <c r="EW90" s="8">
        <v>99.18</v>
      </c>
      <c r="EX90" s="8">
        <v>94.39</v>
      </c>
      <c r="EY90" s="8">
        <v>98.44</v>
      </c>
      <c r="EZ90" s="8">
        <v>95.59</v>
      </c>
      <c r="FA90" s="8">
        <v>101.32</v>
      </c>
      <c r="FB90" s="8">
        <v>100.21</v>
      </c>
      <c r="FC90" s="8">
        <v>98.47</v>
      </c>
      <c r="FD90" s="8">
        <v>101.44</v>
      </c>
      <c r="FE90" s="8">
        <v>100.46</v>
      </c>
      <c r="FF90" s="8">
        <v>94.75</v>
      </c>
      <c r="FG90" s="8">
        <v>100.31</v>
      </c>
      <c r="FH90" s="8">
        <v>105.52</v>
      </c>
      <c r="FI90" s="8">
        <v>94.98</v>
      </c>
      <c r="FJ90" s="8">
        <v>94.98</v>
      </c>
      <c r="FK90" s="8">
        <v>94.44</v>
      </c>
      <c r="FL90" s="8">
        <v>94.56</v>
      </c>
      <c r="FM90" s="8">
        <v>96.44</v>
      </c>
      <c r="FN90" s="8">
        <v>97.86</v>
      </c>
      <c r="FO90" s="8">
        <v>96.03</v>
      </c>
      <c r="FP90" s="8">
        <v>96.03</v>
      </c>
      <c r="FQ90" s="8">
        <v>98.69</v>
      </c>
      <c r="FR90" s="8">
        <v>96.53</v>
      </c>
      <c r="FS90" s="8">
        <v>98.87</v>
      </c>
      <c r="FT90" s="8">
        <v>96.95</v>
      </c>
      <c r="FU90" s="8">
        <v>96.4</v>
      </c>
      <c r="FV90" s="8">
        <v>98.22</v>
      </c>
      <c r="FW90" s="8">
        <v>98.8</v>
      </c>
      <c r="FX90" s="8">
        <v>96.74</v>
      </c>
      <c r="FY90" s="8">
        <v>99.71</v>
      </c>
      <c r="FZ90" s="8">
        <v>99.72</v>
      </c>
      <c r="GA90" s="8">
        <v>95.24</v>
      </c>
      <c r="GB90" s="8">
        <v>90.98</v>
      </c>
      <c r="GC90" s="8">
        <v>97.52</v>
      </c>
      <c r="GD90" s="8">
        <v>79.430000000000007</v>
      </c>
      <c r="GE90" s="8">
        <v>99.09</v>
      </c>
      <c r="GF90" s="8">
        <v>100.74</v>
      </c>
      <c r="GG90" s="8">
        <v>100.53</v>
      </c>
      <c r="GH90" s="8">
        <v>98.25</v>
      </c>
      <c r="GI90" s="8">
        <v>97.44</v>
      </c>
      <c r="GJ90" s="8">
        <v>100.46</v>
      </c>
      <c r="GK90" s="8">
        <v>96.98</v>
      </c>
      <c r="GL90" s="8">
        <v>99.41</v>
      </c>
      <c r="GM90" s="8">
        <v>97.27</v>
      </c>
      <c r="GN90" s="8">
        <v>100.97</v>
      </c>
      <c r="GO90" s="8">
        <v>95.19</v>
      </c>
      <c r="GP90" s="8">
        <v>83.39</v>
      </c>
      <c r="GQ90" s="8">
        <v>96.3</v>
      </c>
      <c r="GR90" s="8">
        <v>98.73</v>
      </c>
      <c r="GS90" s="8">
        <v>98.63</v>
      </c>
      <c r="GT90" s="8">
        <v>93.36</v>
      </c>
      <c r="GU90" s="8">
        <v>98.12</v>
      </c>
      <c r="GV90" s="8">
        <v>95.32</v>
      </c>
      <c r="GW90" s="8">
        <v>86.32</v>
      </c>
      <c r="GX90" s="8">
        <v>98.4</v>
      </c>
      <c r="GY90" s="8">
        <v>95.77</v>
      </c>
      <c r="GZ90" s="8">
        <v>95.92</v>
      </c>
      <c r="HA90" s="8">
        <v>95.55</v>
      </c>
      <c r="HB90" s="8">
        <v>92.17</v>
      </c>
      <c r="HC90" s="8">
        <v>94.96</v>
      </c>
      <c r="HD90" s="8">
        <v>96.55</v>
      </c>
      <c r="HE90" s="8">
        <v>94.77</v>
      </c>
      <c r="HF90" s="8">
        <v>94.45</v>
      </c>
      <c r="HG90" s="8">
        <v>83.79</v>
      </c>
      <c r="HH90" s="8">
        <v>83.79</v>
      </c>
      <c r="HI90" s="8">
        <v>101.54</v>
      </c>
      <c r="HJ90" s="8">
        <v>106.65</v>
      </c>
      <c r="HK90" s="8">
        <v>110.96</v>
      </c>
      <c r="HL90" s="8">
        <v>102.87</v>
      </c>
      <c r="HM90" s="8">
        <v>111.56</v>
      </c>
      <c r="HN90" s="8">
        <v>99.64</v>
      </c>
      <c r="HO90" s="8">
        <v>102.71</v>
      </c>
      <c r="HP90" s="8">
        <v>96.48</v>
      </c>
      <c r="HQ90" s="8">
        <v>105.21</v>
      </c>
      <c r="HR90" s="8">
        <v>88.96</v>
      </c>
      <c r="HS90" s="8">
        <v>86.83</v>
      </c>
      <c r="HT90" s="8">
        <v>103</v>
      </c>
      <c r="HU90" s="8">
        <v>95.46</v>
      </c>
      <c r="HV90" s="8">
        <v>99.04</v>
      </c>
      <c r="HW90" s="8">
        <v>99.04</v>
      </c>
      <c r="HX90" s="8">
        <v>100.91</v>
      </c>
      <c r="HY90" s="8">
        <v>100.91</v>
      </c>
      <c r="HZ90" s="8">
        <v>93.01</v>
      </c>
      <c r="IA90" s="8">
        <v>96</v>
      </c>
      <c r="IB90" s="8">
        <v>89.68</v>
      </c>
      <c r="IC90" s="8">
        <v>85.82</v>
      </c>
      <c r="ID90" s="8">
        <v>86.75</v>
      </c>
      <c r="IE90" s="8">
        <v>84.05</v>
      </c>
      <c r="IF90" s="8">
        <v>88.82</v>
      </c>
      <c r="IG90" s="8">
        <v>96.41</v>
      </c>
      <c r="IH90" s="8">
        <v>99.32</v>
      </c>
      <c r="II90" s="8">
        <v>100.07</v>
      </c>
      <c r="IJ90" s="8">
        <v>96.01</v>
      </c>
      <c r="IK90" s="8">
        <v>97.18</v>
      </c>
      <c r="IL90" s="8">
        <v>97.18</v>
      </c>
      <c r="IM90" s="8">
        <v>102.4</v>
      </c>
      <c r="IN90" s="8">
        <v>102.12</v>
      </c>
      <c r="IO90" s="8">
        <v>100.12</v>
      </c>
      <c r="IP90" s="8">
        <v>97.8</v>
      </c>
      <c r="IQ90" s="8">
        <v>110</v>
      </c>
    </row>
    <row r="91" spans="1:251" x14ac:dyDescent="0.2">
      <c r="A91" s="9">
        <v>45413</v>
      </c>
      <c r="B91" s="8">
        <v>95.49</v>
      </c>
      <c r="C91" s="8">
        <v>103.59</v>
      </c>
      <c r="D91" s="8">
        <v>103.07</v>
      </c>
      <c r="E91" s="8">
        <v>102.15</v>
      </c>
      <c r="F91" s="8">
        <v>98.29</v>
      </c>
      <c r="G91" s="8">
        <v>111.92</v>
      </c>
      <c r="H91" s="8">
        <v>94.59</v>
      </c>
      <c r="I91" s="8">
        <v>94.15</v>
      </c>
      <c r="J91" s="8">
        <v>139.37</v>
      </c>
      <c r="K91" s="8">
        <v>139.37</v>
      </c>
      <c r="L91" s="8">
        <v>97.76</v>
      </c>
      <c r="M91" s="8">
        <v>97.76</v>
      </c>
      <c r="N91" s="8">
        <v>94.61</v>
      </c>
      <c r="O91" s="8">
        <v>97.94</v>
      </c>
      <c r="P91" s="8">
        <v>95.84</v>
      </c>
      <c r="Q91" s="8">
        <v>95.36</v>
      </c>
      <c r="R91" s="8">
        <v>101.16</v>
      </c>
      <c r="S91" s="8">
        <v>88.64</v>
      </c>
      <c r="T91" s="8">
        <v>91.18</v>
      </c>
      <c r="U91" s="8">
        <v>103.79</v>
      </c>
      <c r="V91" s="8">
        <v>87.43</v>
      </c>
      <c r="W91" s="8">
        <v>95.01</v>
      </c>
      <c r="X91" s="8">
        <v>89.85</v>
      </c>
      <c r="Y91" s="8">
        <v>101.56</v>
      </c>
      <c r="Z91" s="8">
        <v>97.66</v>
      </c>
      <c r="AA91" s="8">
        <v>101.76</v>
      </c>
      <c r="AB91" s="8">
        <v>98.87</v>
      </c>
      <c r="AC91" s="8">
        <v>100.37</v>
      </c>
      <c r="AD91" s="8">
        <v>99.35</v>
      </c>
      <c r="AE91" s="8">
        <v>91.88</v>
      </c>
      <c r="AF91" s="8">
        <v>97.59</v>
      </c>
      <c r="AG91" s="8">
        <v>95.72</v>
      </c>
      <c r="AH91" s="8">
        <v>95.72</v>
      </c>
      <c r="AI91" s="8">
        <v>95.11</v>
      </c>
      <c r="AJ91" s="8">
        <v>95.6</v>
      </c>
      <c r="AK91" s="8">
        <v>96.15</v>
      </c>
      <c r="AL91" s="8">
        <v>96.42</v>
      </c>
      <c r="AM91" s="8">
        <v>92.35</v>
      </c>
      <c r="AN91" s="8">
        <v>92.35</v>
      </c>
      <c r="AO91" s="8">
        <v>99.2</v>
      </c>
      <c r="AP91" s="8">
        <v>96.59</v>
      </c>
      <c r="AQ91" s="8">
        <v>99.92</v>
      </c>
      <c r="AR91" s="8">
        <v>96.89</v>
      </c>
      <c r="AS91" s="8">
        <v>96.59</v>
      </c>
      <c r="AT91" s="8">
        <v>98.33</v>
      </c>
      <c r="AU91" s="8">
        <v>97.95</v>
      </c>
      <c r="AV91" s="8">
        <v>97.55</v>
      </c>
      <c r="AW91" s="8">
        <v>99.36</v>
      </c>
      <c r="AX91" s="8">
        <v>101.14</v>
      </c>
      <c r="AY91" s="8">
        <v>94.51</v>
      </c>
      <c r="AZ91" s="8">
        <v>90.95</v>
      </c>
      <c r="BA91" s="8">
        <v>96.91</v>
      </c>
      <c r="BB91" s="8">
        <v>77.239999999999995</v>
      </c>
      <c r="BC91" s="8">
        <v>98.7</v>
      </c>
      <c r="BD91" s="8">
        <v>101.17</v>
      </c>
      <c r="BE91" s="8">
        <v>100.9</v>
      </c>
      <c r="BF91" s="8">
        <v>97.79</v>
      </c>
      <c r="BG91" s="8">
        <v>97.23</v>
      </c>
      <c r="BH91" s="8">
        <v>99.36</v>
      </c>
      <c r="BI91" s="8">
        <v>97.06</v>
      </c>
      <c r="BJ91" s="8">
        <v>100.08</v>
      </c>
      <c r="BK91" s="8">
        <v>97.93</v>
      </c>
      <c r="BL91" s="8">
        <v>101.66</v>
      </c>
      <c r="BM91" s="8">
        <v>95.61</v>
      </c>
      <c r="BN91" s="8">
        <v>80.77</v>
      </c>
      <c r="BO91" s="8">
        <v>94.83</v>
      </c>
      <c r="BP91" s="8">
        <v>99.2</v>
      </c>
      <c r="BQ91" s="8">
        <v>100.74</v>
      </c>
      <c r="BR91" s="8">
        <v>93.36</v>
      </c>
      <c r="BS91" s="8">
        <v>98.48</v>
      </c>
      <c r="BT91" s="8">
        <v>97.62</v>
      </c>
      <c r="BU91" s="8">
        <v>85.16</v>
      </c>
      <c r="BV91" s="8">
        <v>99.8</v>
      </c>
      <c r="BW91" s="8">
        <v>95.69</v>
      </c>
      <c r="BX91" s="8">
        <v>96.29</v>
      </c>
      <c r="BY91" s="8">
        <v>95.22</v>
      </c>
      <c r="BZ91" s="8">
        <v>92.74</v>
      </c>
      <c r="CA91" s="8">
        <v>97.13</v>
      </c>
      <c r="CB91" s="8">
        <v>95.67</v>
      </c>
      <c r="CC91" s="8">
        <v>104.14</v>
      </c>
      <c r="CD91" s="8">
        <v>94.68</v>
      </c>
      <c r="CE91" s="8">
        <v>83.29</v>
      </c>
      <c r="CF91" s="8">
        <v>83.29</v>
      </c>
      <c r="CG91" s="8">
        <v>96.77</v>
      </c>
      <c r="CH91" s="8">
        <v>98.51</v>
      </c>
      <c r="CI91" s="8">
        <v>103.66</v>
      </c>
      <c r="CJ91" s="8">
        <v>94.33</v>
      </c>
      <c r="CK91" s="8">
        <v>107.46</v>
      </c>
      <c r="CL91" s="8">
        <v>95.09</v>
      </c>
      <c r="CM91" s="8">
        <v>98.53</v>
      </c>
      <c r="CN91" s="8">
        <v>92.14</v>
      </c>
      <c r="CO91" s="8">
        <v>99.78</v>
      </c>
      <c r="CP91" s="8">
        <v>91.97</v>
      </c>
      <c r="CQ91" s="8">
        <v>91.5</v>
      </c>
      <c r="CR91" s="8">
        <v>97</v>
      </c>
      <c r="CS91" s="8">
        <v>97.55</v>
      </c>
      <c r="CT91" s="8">
        <v>96.4</v>
      </c>
      <c r="CU91" s="8">
        <v>96.4</v>
      </c>
      <c r="CV91" s="8">
        <v>100.21</v>
      </c>
      <c r="CW91" s="8">
        <v>100.21</v>
      </c>
      <c r="CX91" s="8">
        <v>95.63</v>
      </c>
      <c r="CY91" s="8">
        <v>96.72</v>
      </c>
      <c r="CZ91" s="8">
        <v>93.12</v>
      </c>
      <c r="DA91" s="8">
        <v>98.55</v>
      </c>
      <c r="DB91" s="8">
        <v>92.87</v>
      </c>
      <c r="DC91" s="8">
        <v>100.93</v>
      </c>
      <c r="DD91" s="8">
        <v>104.32</v>
      </c>
      <c r="DE91" s="8">
        <v>95.85</v>
      </c>
      <c r="DF91" s="8">
        <v>92.39</v>
      </c>
      <c r="DG91" s="8">
        <v>92.07</v>
      </c>
      <c r="DH91" s="8">
        <v>95.49</v>
      </c>
      <c r="DI91" s="8">
        <v>99.79</v>
      </c>
      <c r="DJ91" s="8">
        <v>99.79</v>
      </c>
      <c r="DK91" s="8">
        <v>100.07</v>
      </c>
      <c r="DL91" s="8">
        <v>103.82</v>
      </c>
      <c r="DM91" s="8">
        <v>100.21</v>
      </c>
      <c r="DN91" s="8">
        <v>94.36</v>
      </c>
      <c r="DO91" s="8">
        <v>102.1</v>
      </c>
      <c r="DP91" s="8">
        <v>101.6</v>
      </c>
      <c r="DQ91" s="8">
        <v>100.16</v>
      </c>
      <c r="DR91" s="8">
        <v>101.72</v>
      </c>
      <c r="DS91" s="8">
        <v>101.83</v>
      </c>
      <c r="DT91" s="8">
        <v>89.72</v>
      </c>
      <c r="DU91" s="8">
        <v>84.11</v>
      </c>
      <c r="DV91" s="8">
        <v>92.14</v>
      </c>
      <c r="DW91" s="8">
        <v>93.42</v>
      </c>
      <c r="DX91" s="8">
        <v>93.18</v>
      </c>
      <c r="DY91" s="8">
        <v>102.21</v>
      </c>
      <c r="DZ91" s="8">
        <v>102.76</v>
      </c>
      <c r="EA91" s="8">
        <v>97.46</v>
      </c>
      <c r="EB91" s="8">
        <v>90.91</v>
      </c>
      <c r="EC91" s="8">
        <v>90.68</v>
      </c>
      <c r="ED91" s="8">
        <v>93.29</v>
      </c>
      <c r="EE91" s="8">
        <v>100.82</v>
      </c>
      <c r="EF91" s="8">
        <v>100.48</v>
      </c>
      <c r="EG91" s="8">
        <v>101.97</v>
      </c>
      <c r="EH91" s="8">
        <v>98.2</v>
      </c>
      <c r="EI91" s="8">
        <v>103.47</v>
      </c>
      <c r="EJ91" s="8">
        <v>96.36</v>
      </c>
      <c r="EK91" s="8">
        <v>94.22</v>
      </c>
      <c r="EL91" s="8">
        <v>150.69</v>
      </c>
      <c r="EM91" s="8">
        <v>150.69</v>
      </c>
      <c r="EN91" s="8">
        <v>98</v>
      </c>
      <c r="EO91" s="8">
        <v>98</v>
      </c>
      <c r="EP91" s="8">
        <v>94.61</v>
      </c>
      <c r="EQ91" s="8">
        <v>98.16</v>
      </c>
      <c r="ER91" s="8">
        <v>98.8</v>
      </c>
      <c r="ES91" s="8">
        <v>96.73</v>
      </c>
      <c r="ET91" s="8">
        <v>103.23</v>
      </c>
      <c r="EU91" s="8">
        <v>88.64</v>
      </c>
      <c r="EV91" s="8">
        <v>94.12</v>
      </c>
      <c r="EW91" s="8">
        <v>99.5</v>
      </c>
      <c r="EX91" s="8">
        <v>92.54</v>
      </c>
      <c r="EY91" s="8">
        <v>98.3</v>
      </c>
      <c r="EZ91" s="8">
        <v>92.95</v>
      </c>
      <c r="FA91" s="8">
        <v>104.1</v>
      </c>
      <c r="FB91" s="8">
        <v>100.48</v>
      </c>
      <c r="FC91" s="8">
        <v>100.27</v>
      </c>
      <c r="FD91" s="8">
        <v>99.15</v>
      </c>
      <c r="FE91" s="8">
        <v>100.82</v>
      </c>
      <c r="FF91" s="8">
        <v>94.75</v>
      </c>
      <c r="FG91" s="8">
        <v>100.31</v>
      </c>
      <c r="FH91" s="8">
        <v>105.77</v>
      </c>
      <c r="FI91" s="8">
        <v>95.01</v>
      </c>
      <c r="FJ91" s="8">
        <v>95.01</v>
      </c>
      <c r="FK91" s="8">
        <v>94.58</v>
      </c>
      <c r="FL91" s="8">
        <v>94.56</v>
      </c>
      <c r="FM91" s="8">
        <v>96.44</v>
      </c>
      <c r="FN91" s="8">
        <v>97.97</v>
      </c>
      <c r="FO91" s="8">
        <v>96.38</v>
      </c>
      <c r="FP91" s="8">
        <v>96.38</v>
      </c>
      <c r="FQ91" s="8">
        <v>98.7</v>
      </c>
      <c r="FR91" s="8">
        <v>96.59</v>
      </c>
      <c r="FS91" s="8">
        <v>98.87</v>
      </c>
      <c r="FT91" s="8">
        <v>96.67</v>
      </c>
      <c r="FU91" s="8">
        <v>96.85</v>
      </c>
      <c r="FV91" s="8">
        <v>98.27</v>
      </c>
      <c r="FW91" s="8">
        <v>98.59</v>
      </c>
      <c r="FX91" s="8">
        <v>96.87</v>
      </c>
      <c r="FY91" s="8">
        <v>99.24</v>
      </c>
      <c r="FZ91" s="8">
        <v>100.46</v>
      </c>
      <c r="GA91" s="8">
        <v>95.69</v>
      </c>
      <c r="GB91" s="8">
        <v>92.13</v>
      </c>
      <c r="GC91" s="8">
        <v>97.71</v>
      </c>
      <c r="GD91" s="8">
        <v>80.7</v>
      </c>
      <c r="GE91" s="8">
        <v>99.74</v>
      </c>
      <c r="GF91" s="8">
        <v>100.25</v>
      </c>
      <c r="GG91" s="8">
        <v>100.18</v>
      </c>
      <c r="GH91" s="8">
        <v>97.73</v>
      </c>
      <c r="GI91" s="8">
        <v>96.92</v>
      </c>
      <c r="GJ91" s="8">
        <v>99.87</v>
      </c>
      <c r="GK91" s="8">
        <v>96.54</v>
      </c>
      <c r="GL91" s="8">
        <v>101.6</v>
      </c>
      <c r="GM91" s="8">
        <v>99.75</v>
      </c>
      <c r="GN91" s="8">
        <v>102.94</v>
      </c>
      <c r="GO91" s="8">
        <v>94.72</v>
      </c>
      <c r="GP91" s="8">
        <v>83.95</v>
      </c>
      <c r="GQ91" s="8">
        <v>96.06</v>
      </c>
      <c r="GR91" s="8">
        <v>98.04</v>
      </c>
      <c r="GS91" s="8">
        <v>98.88</v>
      </c>
      <c r="GT91" s="8">
        <v>92.38</v>
      </c>
      <c r="GU91" s="8">
        <v>98.04</v>
      </c>
      <c r="GV91" s="8">
        <v>95.91</v>
      </c>
      <c r="GW91" s="8">
        <v>85.57</v>
      </c>
      <c r="GX91" s="8">
        <v>99.47</v>
      </c>
      <c r="GY91" s="8">
        <v>96.16</v>
      </c>
      <c r="GZ91" s="8">
        <v>96.4</v>
      </c>
      <c r="HA91" s="8">
        <v>95.8</v>
      </c>
      <c r="HB91" s="8">
        <v>93.74</v>
      </c>
      <c r="HC91" s="8">
        <v>97.03</v>
      </c>
      <c r="HD91" s="8">
        <v>99.25</v>
      </c>
      <c r="HE91" s="8">
        <v>97.04</v>
      </c>
      <c r="HF91" s="8">
        <v>96.1</v>
      </c>
      <c r="HG91" s="8">
        <v>83.96</v>
      </c>
      <c r="HH91" s="8">
        <v>83.96</v>
      </c>
      <c r="HI91" s="8">
        <v>98.4</v>
      </c>
      <c r="HJ91" s="8">
        <v>102.62</v>
      </c>
      <c r="HK91" s="8">
        <v>105.46</v>
      </c>
      <c r="HL91" s="8">
        <v>99.81</v>
      </c>
      <c r="HM91" s="8">
        <v>107.3</v>
      </c>
      <c r="HN91" s="8">
        <v>95.36</v>
      </c>
      <c r="HO91" s="8">
        <v>102.92</v>
      </c>
      <c r="HP91" s="8">
        <v>87.24</v>
      </c>
      <c r="HQ91" s="8">
        <v>109.05</v>
      </c>
      <c r="HR91" s="8">
        <v>89.43</v>
      </c>
      <c r="HS91" s="8">
        <v>87.47</v>
      </c>
      <c r="HT91" s="8">
        <v>102.25</v>
      </c>
      <c r="HU91" s="8">
        <v>95.37</v>
      </c>
      <c r="HV91" s="8">
        <v>99.28</v>
      </c>
      <c r="HW91" s="8">
        <v>99.28</v>
      </c>
      <c r="HX91" s="8">
        <v>100.35</v>
      </c>
      <c r="HY91" s="8">
        <v>100.35</v>
      </c>
      <c r="HZ91" s="8">
        <v>93.06</v>
      </c>
      <c r="IA91" s="8">
        <v>96.09</v>
      </c>
      <c r="IB91" s="8">
        <v>89.68</v>
      </c>
      <c r="IC91" s="8">
        <v>85.82</v>
      </c>
      <c r="ID91" s="8">
        <v>86.75</v>
      </c>
      <c r="IE91" s="8">
        <v>84.05</v>
      </c>
      <c r="IF91" s="8">
        <v>88.82</v>
      </c>
      <c r="IG91" s="8">
        <v>96.85</v>
      </c>
      <c r="IH91" s="8">
        <v>102</v>
      </c>
      <c r="II91" s="8">
        <v>103.34</v>
      </c>
      <c r="IJ91" s="8">
        <v>95.87</v>
      </c>
      <c r="IK91" s="8">
        <v>98.1</v>
      </c>
      <c r="IL91" s="8">
        <v>98.1</v>
      </c>
      <c r="IM91" s="8">
        <v>102.64</v>
      </c>
      <c r="IN91" s="8">
        <v>101.11</v>
      </c>
      <c r="IO91" s="8">
        <v>103.45</v>
      </c>
      <c r="IP91" s="8">
        <v>97.28</v>
      </c>
      <c r="IQ91" s="8">
        <v>109.1</v>
      </c>
    </row>
    <row r="92" spans="1:251" x14ac:dyDescent="0.2">
      <c r="A92" s="9">
        <v>45444</v>
      </c>
      <c r="B92" s="8">
        <v>95.47</v>
      </c>
      <c r="C92" s="8">
        <v>101.47</v>
      </c>
      <c r="D92" s="8">
        <v>101.54</v>
      </c>
      <c r="E92" s="8">
        <v>102.17</v>
      </c>
      <c r="F92" s="8">
        <v>99.49</v>
      </c>
      <c r="G92" s="8">
        <v>107.25</v>
      </c>
      <c r="H92" s="8">
        <v>94.59</v>
      </c>
      <c r="I92" s="8">
        <v>94.15</v>
      </c>
      <c r="J92" s="8">
        <v>97.57</v>
      </c>
      <c r="K92" s="8">
        <v>97.57</v>
      </c>
      <c r="L92" s="8">
        <v>97.12</v>
      </c>
      <c r="M92" s="8">
        <v>97.12</v>
      </c>
      <c r="N92" s="8">
        <v>92.38</v>
      </c>
      <c r="O92" s="8">
        <v>97.4</v>
      </c>
      <c r="P92" s="8">
        <v>98.02</v>
      </c>
      <c r="Q92" s="8">
        <v>94.46</v>
      </c>
      <c r="R92" s="8">
        <v>99.08</v>
      </c>
      <c r="S92" s="8">
        <v>89.14</v>
      </c>
      <c r="T92" s="8">
        <v>91.4</v>
      </c>
      <c r="U92" s="8">
        <v>105.11</v>
      </c>
      <c r="V92" s="8">
        <v>87.34</v>
      </c>
      <c r="W92" s="8">
        <v>100.46</v>
      </c>
      <c r="X92" s="8">
        <v>93.3</v>
      </c>
      <c r="Y92" s="8">
        <v>109.81</v>
      </c>
      <c r="Z92" s="8">
        <v>97.8</v>
      </c>
      <c r="AA92" s="8">
        <v>100.57</v>
      </c>
      <c r="AB92" s="8">
        <v>97.62</v>
      </c>
      <c r="AC92" s="8">
        <v>102.71</v>
      </c>
      <c r="AD92" s="8">
        <v>99.35</v>
      </c>
      <c r="AE92" s="8">
        <v>92.14</v>
      </c>
      <c r="AF92" s="8">
        <v>97.59</v>
      </c>
      <c r="AG92" s="8">
        <v>95.72</v>
      </c>
      <c r="AH92" s="8">
        <v>95.72</v>
      </c>
      <c r="AI92" s="8">
        <v>95.11</v>
      </c>
      <c r="AJ92" s="8">
        <v>95.6</v>
      </c>
      <c r="AK92" s="8">
        <v>96.15</v>
      </c>
      <c r="AL92" s="8">
        <v>98.02</v>
      </c>
      <c r="AM92" s="8">
        <v>93.44</v>
      </c>
      <c r="AN92" s="8">
        <v>93.44</v>
      </c>
      <c r="AO92" s="8">
        <v>101.14</v>
      </c>
      <c r="AP92" s="8">
        <v>96.92</v>
      </c>
      <c r="AQ92" s="8">
        <v>102.31</v>
      </c>
      <c r="AR92" s="8">
        <v>97.37</v>
      </c>
      <c r="AS92" s="8">
        <v>96.72</v>
      </c>
      <c r="AT92" s="8">
        <v>98.19</v>
      </c>
      <c r="AU92" s="8">
        <v>98.5</v>
      </c>
      <c r="AV92" s="8">
        <v>96.74</v>
      </c>
      <c r="AW92" s="8">
        <v>98.55</v>
      </c>
      <c r="AX92" s="8">
        <v>101.15</v>
      </c>
      <c r="AY92" s="8">
        <v>94.71</v>
      </c>
      <c r="AZ92" s="8">
        <v>92.4</v>
      </c>
      <c r="BA92" s="8">
        <v>95.79</v>
      </c>
      <c r="BB92" s="8">
        <v>78.81</v>
      </c>
      <c r="BC92" s="8">
        <v>98.69</v>
      </c>
      <c r="BD92" s="8">
        <v>100.3</v>
      </c>
      <c r="BE92" s="8">
        <v>100.54</v>
      </c>
      <c r="BF92" s="8">
        <v>97.81</v>
      </c>
      <c r="BG92" s="8">
        <v>97.24</v>
      </c>
      <c r="BH92" s="8">
        <v>99.18</v>
      </c>
      <c r="BI92" s="8">
        <v>97.32</v>
      </c>
      <c r="BJ92" s="8">
        <v>100.93</v>
      </c>
      <c r="BK92" s="8">
        <v>100.21</v>
      </c>
      <c r="BL92" s="8">
        <v>101.42</v>
      </c>
      <c r="BM92" s="8">
        <v>95.73</v>
      </c>
      <c r="BN92" s="8">
        <v>81.040000000000006</v>
      </c>
      <c r="BO92" s="8">
        <v>95.27</v>
      </c>
      <c r="BP92" s="8">
        <v>99.5</v>
      </c>
      <c r="BQ92" s="8">
        <v>101.26</v>
      </c>
      <c r="BR92" s="8">
        <v>93.12</v>
      </c>
      <c r="BS92" s="8">
        <v>98.71</v>
      </c>
      <c r="BT92" s="8">
        <v>98.14</v>
      </c>
      <c r="BU92" s="8">
        <v>84.91</v>
      </c>
      <c r="BV92" s="8">
        <v>100.47</v>
      </c>
      <c r="BW92" s="8">
        <v>95.53</v>
      </c>
      <c r="BX92" s="8">
        <v>96.55</v>
      </c>
      <c r="BY92" s="8">
        <v>94.74</v>
      </c>
      <c r="BZ92" s="8">
        <v>93.49</v>
      </c>
      <c r="CA92" s="8">
        <v>98.23</v>
      </c>
      <c r="CB92" s="8">
        <v>93.47</v>
      </c>
      <c r="CC92" s="8">
        <v>99.66</v>
      </c>
      <c r="CD92" s="8">
        <v>98.82</v>
      </c>
      <c r="CE92" s="8">
        <v>83.38</v>
      </c>
      <c r="CF92" s="8">
        <v>83.38</v>
      </c>
      <c r="CG92" s="8">
        <v>95.6</v>
      </c>
      <c r="CH92" s="8">
        <v>97.18</v>
      </c>
      <c r="CI92" s="8">
        <v>101.25</v>
      </c>
      <c r="CJ92" s="8">
        <v>93.05</v>
      </c>
      <c r="CK92" s="8">
        <v>108.17</v>
      </c>
      <c r="CL92" s="8">
        <v>96.42</v>
      </c>
      <c r="CM92" s="8">
        <v>95.32</v>
      </c>
      <c r="CN92" s="8">
        <v>97</v>
      </c>
      <c r="CO92" s="8">
        <v>96.54</v>
      </c>
      <c r="CP92" s="8">
        <v>89.05</v>
      </c>
      <c r="CQ92" s="8">
        <v>88.4</v>
      </c>
      <c r="CR92" s="8">
        <v>96.19</v>
      </c>
      <c r="CS92" s="8">
        <v>97.75</v>
      </c>
      <c r="CT92" s="8">
        <v>96.59</v>
      </c>
      <c r="CU92" s="8">
        <v>96.59</v>
      </c>
      <c r="CV92" s="8">
        <v>100.23</v>
      </c>
      <c r="CW92" s="8">
        <v>100.23</v>
      </c>
      <c r="CX92" s="8">
        <v>96.27</v>
      </c>
      <c r="CY92" s="8">
        <v>97.63</v>
      </c>
      <c r="CZ92" s="8">
        <v>93.12</v>
      </c>
      <c r="DA92" s="8">
        <v>98.55</v>
      </c>
      <c r="DB92" s="8">
        <v>92.87</v>
      </c>
      <c r="DC92" s="8">
        <v>100.93</v>
      </c>
      <c r="DD92" s="8">
        <v>104.32</v>
      </c>
      <c r="DE92" s="8">
        <v>95.19</v>
      </c>
      <c r="DF92" s="8">
        <v>91.21</v>
      </c>
      <c r="DG92" s="8">
        <v>90.95</v>
      </c>
      <c r="DH92" s="8">
        <v>93.72</v>
      </c>
      <c r="DI92" s="8">
        <v>94.55</v>
      </c>
      <c r="DJ92" s="8">
        <v>94.55</v>
      </c>
      <c r="DK92" s="8">
        <v>98.43</v>
      </c>
      <c r="DL92" s="8">
        <v>101.5</v>
      </c>
      <c r="DM92" s="8">
        <v>98.43</v>
      </c>
      <c r="DN92" s="8">
        <v>93.89</v>
      </c>
      <c r="DO92" s="8">
        <v>100.08</v>
      </c>
      <c r="DP92" s="8">
        <v>101.77</v>
      </c>
      <c r="DQ92" s="8">
        <v>99.94</v>
      </c>
      <c r="DR92" s="8">
        <v>101.79</v>
      </c>
      <c r="DS92" s="8">
        <v>102.16</v>
      </c>
      <c r="DT92" s="8">
        <v>90.06</v>
      </c>
      <c r="DU92" s="8">
        <v>83.54</v>
      </c>
      <c r="DV92" s="8">
        <v>93.76</v>
      </c>
      <c r="DW92" s="8">
        <v>93.54</v>
      </c>
      <c r="DX92" s="8">
        <v>94.24</v>
      </c>
      <c r="DY92" s="8">
        <v>101.38</v>
      </c>
      <c r="DZ92" s="8">
        <v>101.81</v>
      </c>
      <c r="EA92" s="8">
        <v>97.65</v>
      </c>
      <c r="EB92" s="8">
        <v>92.44</v>
      </c>
      <c r="EC92" s="8">
        <v>92.3</v>
      </c>
      <c r="ED92" s="8">
        <v>94.1</v>
      </c>
      <c r="EE92" s="8">
        <v>99.26</v>
      </c>
      <c r="EF92" s="8">
        <v>98.91</v>
      </c>
      <c r="EG92" s="8">
        <v>101.75</v>
      </c>
      <c r="EH92" s="8">
        <v>99.3</v>
      </c>
      <c r="EI92" s="8">
        <v>98.25</v>
      </c>
      <c r="EJ92" s="8">
        <v>96.36</v>
      </c>
      <c r="EK92" s="8">
        <v>94.26</v>
      </c>
      <c r="EL92" s="8">
        <v>150.69</v>
      </c>
      <c r="EM92" s="8">
        <v>150.69</v>
      </c>
      <c r="EN92" s="8">
        <v>97.36</v>
      </c>
      <c r="EO92" s="8">
        <v>97.36</v>
      </c>
      <c r="EP92" s="8">
        <v>92.38</v>
      </c>
      <c r="EQ92" s="8">
        <v>97.61</v>
      </c>
      <c r="ER92" s="8">
        <v>103.06</v>
      </c>
      <c r="ES92" s="8">
        <v>95.71</v>
      </c>
      <c r="ET92" s="8">
        <v>100.87</v>
      </c>
      <c r="EU92" s="8">
        <v>89.39</v>
      </c>
      <c r="EV92" s="8">
        <v>94.56</v>
      </c>
      <c r="EW92" s="8">
        <v>99.86</v>
      </c>
      <c r="EX92" s="8">
        <v>93</v>
      </c>
      <c r="EY92" s="8">
        <v>108.91</v>
      </c>
      <c r="EZ92" s="8">
        <v>98.56</v>
      </c>
      <c r="FA92" s="8">
        <v>120.47</v>
      </c>
      <c r="FB92" s="8">
        <v>100.04</v>
      </c>
      <c r="FC92" s="8">
        <v>97.6</v>
      </c>
      <c r="FD92" s="8">
        <v>99.87</v>
      </c>
      <c r="FE92" s="8">
        <v>102.32</v>
      </c>
      <c r="FF92" s="8">
        <v>94.75</v>
      </c>
      <c r="FG92" s="8">
        <v>101.29</v>
      </c>
      <c r="FH92" s="8">
        <v>104.3</v>
      </c>
      <c r="FI92" s="8">
        <v>94.99</v>
      </c>
      <c r="FJ92" s="8">
        <v>94.99</v>
      </c>
      <c r="FK92" s="8">
        <v>94.52</v>
      </c>
      <c r="FL92" s="8">
        <v>94.56</v>
      </c>
      <c r="FM92" s="8">
        <v>96.44</v>
      </c>
      <c r="FN92" s="8">
        <v>98.5</v>
      </c>
      <c r="FO92" s="8">
        <v>96.3</v>
      </c>
      <c r="FP92" s="8">
        <v>96.3</v>
      </c>
      <c r="FQ92" s="8">
        <v>99.51</v>
      </c>
      <c r="FR92" s="8">
        <v>96.92</v>
      </c>
      <c r="FS92" s="8">
        <v>99.72</v>
      </c>
      <c r="FT92" s="8">
        <v>96.85</v>
      </c>
      <c r="FU92" s="8">
        <v>96.63</v>
      </c>
      <c r="FV92" s="8">
        <v>97.69</v>
      </c>
      <c r="FW92" s="8">
        <v>98.66</v>
      </c>
      <c r="FX92" s="8">
        <v>95.93</v>
      </c>
      <c r="FY92" s="8">
        <v>97.51</v>
      </c>
      <c r="FZ92" s="8">
        <v>99.63</v>
      </c>
      <c r="GA92" s="8">
        <v>95.27</v>
      </c>
      <c r="GB92" s="8">
        <v>91.6</v>
      </c>
      <c r="GC92" s="8">
        <v>96.42</v>
      </c>
      <c r="GD92" s="8">
        <v>81.36</v>
      </c>
      <c r="GE92" s="8">
        <v>99.07</v>
      </c>
      <c r="GF92" s="8">
        <v>99.81</v>
      </c>
      <c r="GG92" s="8">
        <v>99.95</v>
      </c>
      <c r="GH92" s="8">
        <v>97.77</v>
      </c>
      <c r="GI92" s="8">
        <v>97.15</v>
      </c>
      <c r="GJ92" s="8">
        <v>99.48</v>
      </c>
      <c r="GK92" s="8">
        <v>96.78</v>
      </c>
      <c r="GL92" s="8">
        <v>101.72</v>
      </c>
      <c r="GM92" s="8">
        <v>103.16</v>
      </c>
      <c r="GN92" s="8">
        <v>100.55</v>
      </c>
      <c r="GO92" s="8">
        <v>94.83</v>
      </c>
      <c r="GP92" s="8">
        <v>84.06</v>
      </c>
      <c r="GQ92" s="8">
        <v>96.56</v>
      </c>
      <c r="GR92" s="8">
        <v>98.26</v>
      </c>
      <c r="GS92" s="8">
        <v>99.8</v>
      </c>
      <c r="GT92" s="8">
        <v>92.24</v>
      </c>
      <c r="GU92" s="8">
        <v>97.98</v>
      </c>
      <c r="GV92" s="8">
        <v>95.91</v>
      </c>
      <c r="GW92" s="8">
        <v>85.2</v>
      </c>
      <c r="GX92" s="8">
        <v>99.6</v>
      </c>
      <c r="GY92" s="8">
        <v>95.82</v>
      </c>
      <c r="GZ92" s="8">
        <v>96.4</v>
      </c>
      <c r="HA92" s="8">
        <v>94.97</v>
      </c>
      <c r="HB92" s="8">
        <v>93.83</v>
      </c>
      <c r="HC92" s="8">
        <v>97.13</v>
      </c>
      <c r="HD92" s="8">
        <v>97.21</v>
      </c>
      <c r="HE92" s="8">
        <v>99.69</v>
      </c>
      <c r="HF92" s="8">
        <v>95.24</v>
      </c>
      <c r="HG92" s="8">
        <v>84.07</v>
      </c>
      <c r="HH92" s="8">
        <v>84.07</v>
      </c>
      <c r="HI92" s="8">
        <v>97.54</v>
      </c>
      <c r="HJ92" s="8">
        <v>100.9</v>
      </c>
      <c r="HK92" s="8">
        <v>102.36</v>
      </c>
      <c r="HL92" s="8">
        <v>98.65</v>
      </c>
      <c r="HM92" s="8">
        <v>106.87</v>
      </c>
      <c r="HN92" s="8">
        <v>100.31</v>
      </c>
      <c r="HO92" s="8">
        <v>100.57</v>
      </c>
      <c r="HP92" s="8">
        <v>97.72</v>
      </c>
      <c r="HQ92" s="8">
        <v>107.86</v>
      </c>
      <c r="HR92" s="8">
        <v>85.5</v>
      </c>
      <c r="HS92" s="8">
        <v>83.5</v>
      </c>
      <c r="HT92" s="8">
        <v>98.64</v>
      </c>
      <c r="HU92" s="8">
        <v>95.31</v>
      </c>
      <c r="HV92" s="8">
        <v>99.36</v>
      </c>
      <c r="HW92" s="8">
        <v>99.36</v>
      </c>
      <c r="HX92" s="8">
        <v>100.1</v>
      </c>
      <c r="HY92" s="8">
        <v>100.1</v>
      </c>
      <c r="HZ92" s="8">
        <v>92.99</v>
      </c>
      <c r="IA92" s="8">
        <v>95.95</v>
      </c>
      <c r="IB92" s="8">
        <v>89.68</v>
      </c>
      <c r="IC92" s="8">
        <v>85.82</v>
      </c>
      <c r="ID92" s="8">
        <v>86.75</v>
      </c>
      <c r="IE92" s="8">
        <v>84.05</v>
      </c>
      <c r="IF92" s="8">
        <v>88.82</v>
      </c>
      <c r="IG92" s="8">
        <v>94.98</v>
      </c>
      <c r="IH92" s="8">
        <v>95.62</v>
      </c>
      <c r="II92" s="8">
        <v>95.64</v>
      </c>
      <c r="IJ92" s="8">
        <v>95.81</v>
      </c>
      <c r="IK92" s="8">
        <v>90.86</v>
      </c>
      <c r="IL92" s="8">
        <v>90.86</v>
      </c>
      <c r="IM92" s="8">
        <v>98.4</v>
      </c>
      <c r="IN92" s="8">
        <v>101.73</v>
      </c>
      <c r="IO92" s="8">
        <v>96.17</v>
      </c>
      <c r="IP92" s="8">
        <v>86.86</v>
      </c>
      <c r="IQ92" s="8">
        <v>110.8</v>
      </c>
    </row>
    <row r="93" spans="1:251" x14ac:dyDescent="0.2">
      <c r="A93" s="9">
        <v>45474</v>
      </c>
      <c r="B93" s="8">
        <v>96.86</v>
      </c>
      <c r="C93" s="8">
        <v>101.14</v>
      </c>
      <c r="D93" s="8">
        <v>101.21</v>
      </c>
      <c r="E93" s="8">
        <v>101.08</v>
      </c>
      <c r="F93" s="8">
        <v>98.74</v>
      </c>
      <c r="G93" s="8">
        <v>105.72</v>
      </c>
      <c r="H93" s="8">
        <v>96.15</v>
      </c>
      <c r="I93" s="8">
        <v>97.19</v>
      </c>
      <c r="J93" s="8">
        <v>97.57</v>
      </c>
      <c r="K93" s="8">
        <v>97.57</v>
      </c>
      <c r="L93" s="8">
        <v>98.77</v>
      </c>
      <c r="M93" s="8">
        <v>98.77</v>
      </c>
      <c r="N93" s="8">
        <v>96.26</v>
      </c>
      <c r="O93" s="8">
        <v>98.91</v>
      </c>
      <c r="P93" s="8">
        <v>96.01</v>
      </c>
      <c r="Q93" s="8">
        <v>94.84</v>
      </c>
      <c r="R93" s="8">
        <v>99.03</v>
      </c>
      <c r="S93" s="8">
        <v>90.02</v>
      </c>
      <c r="T93" s="8">
        <v>93.36</v>
      </c>
      <c r="U93" s="8">
        <v>104.15</v>
      </c>
      <c r="V93" s="8">
        <v>90.12</v>
      </c>
      <c r="W93" s="8">
        <v>94.98</v>
      </c>
      <c r="X93" s="8">
        <v>93.35</v>
      </c>
      <c r="Y93" s="8">
        <v>96.52</v>
      </c>
      <c r="Z93" s="8">
        <v>98.02</v>
      </c>
      <c r="AA93" s="8">
        <v>100.04</v>
      </c>
      <c r="AB93" s="8">
        <v>94.05</v>
      </c>
      <c r="AC93" s="8">
        <v>103.57</v>
      </c>
      <c r="AD93" s="8">
        <v>99.76</v>
      </c>
      <c r="AE93" s="8">
        <v>94.41</v>
      </c>
      <c r="AF93" s="8">
        <v>97.95</v>
      </c>
      <c r="AG93" s="8">
        <v>95.72</v>
      </c>
      <c r="AH93" s="8">
        <v>95.72</v>
      </c>
      <c r="AI93" s="8">
        <v>95.11</v>
      </c>
      <c r="AJ93" s="8">
        <v>95.6</v>
      </c>
      <c r="AK93" s="8">
        <v>96.15</v>
      </c>
      <c r="AL93" s="8">
        <v>98.47</v>
      </c>
      <c r="AM93" s="8">
        <v>94.52</v>
      </c>
      <c r="AN93" s="8">
        <v>94.52</v>
      </c>
      <c r="AO93" s="8">
        <v>101.16</v>
      </c>
      <c r="AP93" s="8">
        <v>96.98</v>
      </c>
      <c r="AQ93" s="8">
        <v>102.31</v>
      </c>
      <c r="AR93" s="8">
        <v>97.42</v>
      </c>
      <c r="AS93" s="8">
        <v>97.24</v>
      </c>
      <c r="AT93" s="8">
        <v>99.13</v>
      </c>
      <c r="AU93" s="8">
        <v>98.95</v>
      </c>
      <c r="AV93" s="8">
        <v>98.71</v>
      </c>
      <c r="AW93" s="8">
        <v>98.54</v>
      </c>
      <c r="AX93" s="8">
        <v>101.06</v>
      </c>
      <c r="AY93" s="8">
        <v>95.89</v>
      </c>
      <c r="AZ93" s="8">
        <v>92.2</v>
      </c>
      <c r="BA93" s="8">
        <v>95.36</v>
      </c>
      <c r="BB93" s="8">
        <v>83.5</v>
      </c>
      <c r="BC93" s="8">
        <v>101.71</v>
      </c>
      <c r="BD93" s="8">
        <v>100.61</v>
      </c>
      <c r="BE93" s="8">
        <v>100.71</v>
      </c>
      <c r="BF93" s="8">
        <v>98.03</v>
      </c>
      <c r="BG93" s="8">
        <v>97.52</v>
      </c>
      <c r="BH93" s="8">
        <v>99.76</v>
      </c>
      <c r="BI93" s="8">
        <v>97.04</v>
      </c>
      <c r="BJ93" s="8">
        <v>101.09</v>
      </c>
      <c r="BK93" s="8">
        <v>103.65</v>
      </c>
      <c r="BL93" s="8">
        <v>99.09</v>
      </c>
      <c r="BM93" s="8">
        <v>96.42</v>
      </c>
      <c r="BN93" s="8">
        <v>82.24</v>
      </c>
      <c r="BO93" s="8">
        <v>94.76</v>
      </c>
      <c r="BP93" s="8">
        <v>99.01</v>
      </c>
      <c r="BQ93" s="8">
        <v>101.82</v>
      </c>
      <c r="BR93" s="8">
        <v>94.46</v>
      </c>
      <c r="BS93" s="8">
        <v>99.23</v>
      </c>
      <c r="BT93" s="8">
        <v>98.32</v>
      </c>
      <c r="BU93" s="8">
        <v>85.33</v>
      </c>
      <c r="BV93" s="8">
        <v>100.6</v>
      </c>
      <c r="BW93" s="8">
        <v>95.95</v>
      </c>
      <c r="BX93" s="8">
        <v>96.68</v>
      </c>
      <c r="BY93" s="8">
        <v>95.39</v>
      </c>
      <c r="BZ93" s="8">
        <v>93.57</v>
      </c>
      <c r="CA93" s="8">
        <v>98.31</v>
      </c>
      <c r="CB93" s="8">
        <v>95.99</v>
      </c>
      <c r="CC93" s="8">
        <v>104.09</v>
      </c>
      <c r="CD93" s="8">
        <v>96.55</v>
      </c>
      <c r="CE93" s="8">
        <v>83.49</v>
      </c>
      <c r="CF93" s="8">
        <v>83.49</v>
      </c>
      <c r="CG93" s="8">
        <v>97.56</v>
      </c>
      <c r="CH93" s="8">
        <v>98.67</v>
      </c>
      <c r="CI93" s="8">
        <v>103.93</v>
      </c>
      <c r="CJ93" s="8">
        <v>94.17</v>
      </c>
      <c r="CK93" s="8">
        <v>108.94</v>
      </c>
      <c r="CL93" s="8">
        <v>98.55</v>
      </c>
      <c r="CM93" s="8">
        <v>103.65</v>
      </c>
      <c r="CN93" s="8">
        <v>95.52</v>
      </c>
      <c r="CO93" s="8">
        <v>100.68</v>
      </c>
      <c r="CP93" s="8">
        <v>92.81</v>
      </c>
      <c r="CQ93" s="8">
        <v>92.48</v>
      </c>
      <c r="CR93" s="8">
        <v>96.19</v>
      </c>
      <c r="CS93" s="8">
        <v>99.31</v>
      </c>
      <c r="CT93" s="8">
        <v>96.81</v>
      </c>
      <c r="CU93" s="8">
        <v>96.81</v>
      </c>
      <c r="CV93" s="8">
        <v>100.21</v>
      </c>
      <c r="CW93" s="8">
        <v>100.21</v>
      </c>
      <c r="CX93" s="8">
        <v>96.19</v>
      </c>
      <c r="CY93" s="8">
        <v>97.52</v>
      </c>
      <c r="CZ93" s="8">
        <v>93.12</v>
      </c>
      <c r="DA93" s="8">
        <v>107.17</v>
      </c>
      <c r="DB93" s="8">
        <v>96.86</v>
      </c>
      <c r="DC93" s="8">
        <v>112.23</v>
      </c>
      <c r="DD93" s="8">
        <v>104.64</v>
      </c>
      <c r="DE93" s="8">
        <v>96.58</v>
      </c>
      <c r="DF93" s="8">
        <v>92.78</v>
      </c>
      <c r="DG93" s="8">
        <v>92.68</v>
      </c>
      <c r="DH93" s="8">
        <v>93.83</v>
      </c>
      <c r="DI93" s="8">
        <v>98.59</v>
      </c>
      <c r="DJ93" s="8">
        <v>98.59</v>
      </c>
      <c r="DK93" s="8">
        <v>101.57</v>
      </c>
      <c r="DL93" s="8">
        <v>103.45</v>
      </c>
      <c r="DM93" s="8">
        <v>99.75</v>
      </c>
      <c r="DN93" s="8">
        <v>101.46</v>
      </c>
      <c r="DO93" s="8">
        <v>101.28</v>
      </c>
      <c r="DP93" s="8">
        <v>101.42</v>
      </c>
      <c r="DQ93" s="8">
        <v>100.9</v>
      </c>
      <c r="DR93" s="8">
        <v>101.57</v>
      </c>
      <c r="DS93" s="8">
        <v>101.44</v>
      </c>
      <c r="DT93" s="8">
        <v>91.26</v>
      </c>
      <c r="DU93" s="8">
        <v>84.41</v>
      </c>
      <c r="DV93" s="8">
        <v>93.76</v>
      </c>
      <c r="DW93" s="8">
        <v>96.37</v>
      </c>
      <c r="DX93" s="8">
        <v>94.37</v>
      </c>
      <c r="DY93" s="8">
        <v>100.76</v>
      </c>
      <c r="DZ93" s="8">
        <v>101.12</v>
      </c>
      <c r="EA93" s="8">
        <v>97.65</v>
      </c>
      <c r="EB93" s="8">
        <v>92.76</v>
      </c>
      <c r="EC93" s="8">
        <v>92.3</v>
      </c>
      <c r="ED93" s="8">
        <v>96.86</v>
      </c>
      <c r="EE93" s="8">
        <v>99.37</v>
      </c>
      <c r="EF93" s="8">
        <v>99.4</v>
      </c>
      <c r="EG93" s="8">
        <v>101.94</v>
      </c>
      <c r="EH93" s="8">
        <v>100.48</v>
      </c>
      <c r="EI93" s="8">
        <v>98.02</v>
      </c>
      <c r="EJ93" s="8">
        <v>96.52</v>
      </c>
      <c r="EK93" s="8">
        <v>98.02</v>
      </c>
      <c r="EL93" s="8">
        <v>96.05</v>
      </c>
      <c r="EM93" s="8">
        <v>96.05</v>
      </c>
      <c r="EN93" s="8">
        <v>98.99</v>
      </c>
      <c r="EO93" s="8">
        <v>98.99</v>
      </c>
      <c r="EP93" s="8">
        <v>96.26</v>
      </c>
      <c r="EQ93" s="8">
        <v>99.11</v>
      </c>
      <c r="ER93" s="8">
        <v>98.36</v>
      </c>
      <c r="ES93" s="8">
        <v>96.75</v>
      </c>
      <c r="ET93" s="8">
        <v>102.08</v>
      </c>
      <c r="EU93" s="8">
        <v>90.21</v>
      </c>
      <c r="EV93" s="8">
        <v>95.65</v>
      </c>
      <c r="EW93" s="8">
        <v>99.71</v>
      </c>
      <c r="EX93" s="8">
        <v>94.45</v>
      </c>
      <c r="EY93" s="8">
        <v>97.16</v>
      </c>
      <c r="EZ93" s="8">
        <v>99.56</v>
      </c>
      <c r="FA93" s="8">
        <v>93.96</v>
      </c>
      <c r="FB93" s="8">
        <v>100.47</v>
      </c>
      <c r="FC93" s="8">
        <v>100.2</v>
      </c>
      <c r="FD93" s="8">
        <v>96.17</v>
      </c>
      <c r="FE93" s="8">
        <v>103.22</v>
      </c>
      <c r="FF93" s="8">
        <v>94.85</v>
      </c>
      <c r="FG93" s="8">
        <v>101.7</v>
      </c>
      <c r="FH93" s="8">
        <v>104.3</v>
      </c>
      <c r="FI93" s="8">
        <v>95.02</v>
      </c>
      <c r="FJ93" s="8">
        <v>95.02</v>
      </c>
      <c r="FK93" s="8">
        <v>94.63</v>
      </c>
      <c r="FL93" s="8">
        <v>94.56</v>
      </c>
      <c r="FM93" s="8">
        <v>96.44</v>
      </c>
      <c r="FN93" s="8">
        <v>98.48</v>
      </c>
      <c r="FO93" s="8">
        <v>96.22</v>
      </c>
      <c r="FP93" s="8">
        <v>96.22</v>
      </c>
      <c r="FQ93" s="8">
        <v>99.51</v>
      </c>
      <c r="FR93" s="8">
        <v>96.98</v>
      </c>
      <c r="FS93" s="8">
        <v>99.72</v>
      </c>
      <c r="FT93" s="8">
        <v>97.54</v>
      </c>
      <c r="FU93" s="8">
        <v>97.16</v>
      </c>
      <c r="FV93" s="8">
        <v>98.6</v>
      </c>
      <c r="FW93" s="8">
        <v>98.95</v>
      </c>
      <c r="FX93" s="8">
        <v>97.67</v>
      </c>
      <c r="FY93" s="8">
        <v>97.6</v>
      </c>
      <c r="FZ93" s="8">
        <v>100.44</v>
      </c>
      <c r="GA93" s="8">
        <v>96.27</v>
      </c>
      <c r="GB93" s="8">
        <v>91.85</v>
      </c>
      <c r="GC93" s="8">
        <v>96.31</v>
      </c>
      <c r="GD93" s="8">
        <v>84.82</v>
      </c>
      <c r="GE93" s="8">
        <v>101.22</v>
      </c>
      <c r="GF93" s="8">
        <v>99.94</v>
      </c>
      <c r="GG93" s="8">
        <v>99.77</v>
      </c>
      <c r="GH93" s="8">
        <v>97.79</v>
      </c>
      <c r="GI93" s="8">
        <v>96.94</v>
      </c>
      <c r="GJ93" s="8">
        <v>100.03</v>
      </c>
      <c r="GK93" s="8">
        <v>96.56</v>
      </c>
      <c r="GL93" s="8">
        <v>102.88</v>
      </c>
      <c r="GM93" s="8">
        <v>108.53</v>
      </c>
      <c r="GN93" s="8">
        <v>98.49</v>
      </c>
      <c r="GO93" s="8">
        <v>95.32</v>
      </c>
      <c r="GP93" s="8">
        <v>84.96</v>
      </c>
      <c r="GQ93" s="8">
        <v>96.21</v>
      </c>
      <c r="GR93" s="8">
        <v>97.71</v>
      </c>
      <c r="GS93" s="8">
        <v>99.92</v>
      </c>
      <c r="GT93" s="8">
        <v>93.24</v>
      </c>
      <c r="GU93" s="8">
        <v>98.47</v>
      </c>
      <c r="GV93" s="8">
        <v>95.9</v>
      </c>
      <c r="GW93" s="8">
        <v>85.55</v>
      </c>
      <c r="GX93" s="8">
        <v>99.45</v>
      </c>
      <c r="GY93" s="8">
        <v>96.1</v>
      </c>
      <c r="GZ93" s="8">
        <v>95.79</v>
      </c>
      <c r="HA93" s="8">
        <v>96.58</v>
      </c>
      <c r="HB93" s="8">
        <v>93.84</v>
      </c>
      <c r="HC93" s="8">
        <v>97.09</v>
      </c>
      <c r="HD93" s="8">
        <v>98.5</v>
      </c>
      <c r="HE93" s="8">
        <v>98.92</v>
      </c>
      <c r="HF93" s="8">
        <v>95.16</v>
      </c>
      <c r="HG93" s="8">
        <v>84.21</v>
      </c>
      <c r="HH93" s="8">
        <v>84.21</v>
      </c>
      <c r="HI93" s="8">
        <v>100.23</v>
      </c>
      <c r="HJ93" s="8">
        <v>103.76</v>
      </c>
      <c r="HK93" s="8">
        <v>105.89</v>
      </c>
      <c r="HL93" s="8">
        <v>101.57</v>
      </c>
      <c r="HM93" s="8">
        <v>107.55</v>
      </c>
      <c r="HN93" s="8">
        <v>101.2</v>
      </c>
      <c r="HO93" s="8">
        <v>104.82</v>
      </c>
      <c r="HP93" s="8">
        <v>97.48</v>
      </c>
      <c r="HQ93" s="8">
        <v>107.64</v>
      </c>
      <c r="HR93" s="8">
        <v>89.42</v>
      </c>
      <c r="HS93" s="8">
        <v>87.98</v>
      </c>
      <c r="HT93" s="8">
        <v>98.44</v>
      </c>
      <c r="HU93" s="8">
        <v>97.74</v>
      </c>
      <c r="HV93" s="8">
        <v>99.45</v>
      </c>
      <c r="HW93" s="8">
        <v>99.45</v>
      </c>
      <c r="HX93" s="8">
        <v>98.53</v>
      </c>
      <c r="HY93" s="8">
        <v>98.53</v>
      </c>
      <c r="HZ93" s="8">
        <v>93.32</v>
      </c>
      <c r="IA93" s="8">
        <v>96.58</v>
      </c>
      <c r="IB93" s="8">
        <v>89.68</v>
      </c>
      <c r="IC93" s="8">
        <v>97.93</v>
      </c>
      <c r="ID93" s="8">
        <v>92.8</v>
      </c>
      <c r="IE93" s="8">
        <v>100.89</v>
      </c>
      <c r="IF93" s="8">
        <v>97.71</v>
      </c>
      <c r="IG93" s="8">
        <v>97.08</v>
      </c>
      <c r="IH93" s="8">
        <v>100.97</v>
      </c>
      <c r="II93" s="8">
        <v>102.2</v>
      </c>
      <c r="IJ93" s="8">
        <v>95.36</v>
      </c>
      <c r="IK93" s="8">
        <v>100.78</v>
      </c>
      <c r="IL93" s="8">
        <v>100.78</v>
      </c>
      <c r="IM93" s="8">
        <v>103.42</v>
      </c>
      <c r="IN93" s="8">
        <v>102.56</v>
      </c>
      <c r="IO93" s="8">
        <v>100.63</v>
      </c>
      <c r="IP93" s="8">
        <v>98.49</v>
      </c>
      <c r="IQ93" s="8">
        <v>112.43</v>
      </c>
    </row>
    <row r="94" spans="1:251" x14ac:dyDescent="0.2">
      <c r="A94" s="9">
        <v>45505</v>
      </c>
      <c r="B94" s="8">
        <v>96.86</v>
      </c>
      <c r="C94" s="8">
        <v>99.76</v>
      </c>
      <c r="D94" s="8">
        <v>99.83</v>
      </c>
      <c r="E94" s="8">
        <v>101.04</v>
      </c>
      <c r="F94" s="8">
        <v>98.82</v>
      </c>
      <c r="G94" s="8">
        <v>101.81</v>
      </c>
      <c r="H94" s="8">
        <v>96.29</v>
      </c>
      <c r="I94" s="8">
        <v>97.19</v>
      </c>
      <c r="J94" s="8">
        <v>96.33</v>
      </c>
      <c r="K94" s="8">
        <v>96.33</v>
      </c>
      <c r="L94" s="8">
        <v>98.28</v>
      </c>
      <c r="M94" s="8">
        <v>98.28</v>
      </c>
      <c r="N94" s="8">
        <v>96.17</v>
      </c>
      <c r="O94" s="8">
        <v>98.39</v>
      </c>
      <c r="P94" s="8">
        <v>96.14</v>
      </c>
      <c r="Q94" s="8">
        <v>95.27</v>
      </c>
      <c r="R94" s="8">
        <v>99.56</v>
      </c>
      <c r="S94" s="8">
        <v>90.35</v>
      </c>
      <c r="T94" s="8">
        <v>93.77</v>
      </c>
      <c r="U94" s="8">
        <v>105.65</v>
      </c>
      <c r="V94" s="8">
        <v>90.22</v>
      </c>
      <c r="W94" s="8">
        <v>94.1</v>
      </c>
      <c r="X94" s="8">
        <v>92.9</v>
      </c>
      <c r="Y94" s="8">
        <v>95.01</v>
      </c>
      <c r="Z94" s="8">
        <v>99.18</v>
      </c>
      <c r="AA94" s="8">
        <v>101.7</v>
      </c>
      <c r="AB94" s="8">
        <v>98.68</v>
      </c>
      <c r="AC94" s="8">
        <v>102.78</v>
      </c>
      <c r="AD94" s="8">
        <v>97.97</v>
      </c>
      <c r="AE94" s="8">
        <v>95.33</v>
      </c>
      <c r="AF94" s="8">
        <v>100.36</v>
      </c>
      <c r="AG94" s="8">
        <v>95.72</v>
      </c>
      <c r="AH94" s="8">
        <v>95.72</v>
      </c>
      <c r="AI94" s="8">
        <v>95.12</v>
      </c>
      <c r="AJ94" s="8">
        <v>95.6</v>
      </c>
      <c r="AK94" s="8">
        <v>96.15</v>
      </c>
      <c r="AL94" s="8">
        <v>98.64</v>
      </c>
      <c r="AM94" s="8">
        <v>95.61</v>
      </c>
      <c r="AN94" s="8">
        <v>95.61</v>
      </c>
      <c r="AO94" s="8">
        <v>100.72</v>
      </c>
      <c r="AP94" s="8">
        <v>94.95</v>
      </c>
      <c r="AQ94" s="8">
        <v>102.31</v>
      </c>
      <c r="AR94" s="8">
        <v>96.92</v>
      </c>
      <c r="AS94" s="8">
        <v>97.35</v>
      </c>
      <c r="AT94" s="8">
        <v>98.96</v>
      </c>
      <c r="AU94" s="8">
        <v>98.36</v>
      </c>
      <c r="AV94" s="8">
        <v>98.62</v>
      </c>
      <c r="AW94" s="8">
        <v>101.84</v>
      </c>
      <c r="AX94" s="8">
        <v>100.37</v>
      </c>
      <c r="AY94" s="8">
        <v>95.87</v>
      </c>
      <c r="AZ94" s="8">
        <v>92.05</v>
      </c>
      <c r="BA94" s="8">
        <v>95.23</v>
      </c>
      <c r="BB94" s="8">
        <v>84.34</v>
      </c>
      <c r="BC94" s="8">
        <v>100.99</v>
      </c>
      <c r="BD94" s="8">
        <v>99.94</v>
      </c>
      <c r="BE94" s="8">
        <v>101.53</v>
      </c>
      <c r="BF94" s="8">
        <v>98.13</v>
      </c>
      <c r="BG94" s="8">
        <v>98.41</v>
      </c>
      <c r="BH94" s="8">
        <v>98.64</v>
      </c>
      <c r="BI94" s="8">
        <v>97.13</v>
      </c>
      <c r="BJ94" s="8">
        <v>101.05</v>
      </c>
      <c r="BK94" s="8">
        <v>100.86</v>
      </c>
      <c r="BL94" s="8">
        <v>101.13</v>
      </c>
      <c r="BM94" s="8">
        <v>96.12</v>
      </c>
      <c r="BN94" s="8">
        <v>82.81</v>
      </c>
      <c r="BO94" s="8">
        <v>97.14</v>
      </c>
      <c r="BP94" s="8">
        <v>99.56</v>
      </c>
      <c r="BQ94" s="8">
        <v>101.56</v>
      </c>
      <c r="BR94" s="8">
        <v>93.03</v>
      </c>
      <c r="BS94" s="8">
        <v>99.52</v>
      </c>
      <c r="BT94" s="8">
        <v>98.01</v>
      </c>
      <c r="BU94" s="8">
        <v>85.76</v>
      </c>
      <c r="BV94" s="8">
        <v>100.16</v>
      </c>
      <c r="BW94" s="8">
        <v>96.43</v>
      </c>
      <c r="BX94" s="8">
        <v>97.71</v>
      </c>
      <c r="BY94" s="8">
        <v>95.43</v>
      </c>
      <c r="BZ94" s="8">
        <v>93.31</v>
      </c>
      <c r="CA94" s="8">
        <v>98.03</v>
      </c>
      <c r="CB94" s="8">
        <v>94.21</v>
      </c>
      <c r="CC94" s="8">
        <v>102.81</v>
      </c>
      <c r="CD94" s="8">
        <v>97.06</v>
      </c>
      <c r="CE94" s="8">
        <v>83.24</v>
      </c>
      <c r="CF94" s="8">
        <v>83.24</v>
      </c>
      <c r="CG94" s="8">
        <v>95.74</v>
      </c>
      <c r="CH94" s="8">
        <v>97.78</v>
      </c>
      <c r="CI94" s="8">
        <v>104.1</v>
      </c>
      <c r="CJ94" s="8">
        <v>92.53</v>
      </c>
      <c r="CK94" s="8">
        <v>109.37</v>
      </c>
      <c r="CL94" s="8">
        <v>93.32</v>
      </c>
      <c r="CM94" s="8">
        <v>97.63</v>
      </c>
      <c r="CN94" s="8">
        <v>89.6</v>
      </c>
      <c r="CO94" s="8">
        <v>99.21</v>
      </c>
      <c r="CP94" s="8">
        <v>90.42</v>
      </c>
      <c r="CQ94" s="8">
        <v>89.77</v>
      </c>
      <c r="CR94" s="8">
        <v>97.5</v>
      </c>
      <c r="CS94" s="8">
        <v>97.56</v>
      </c>
      <c r="CT94" s="8">
        <v>97.01</v>
      </c>
      <c r="CU94" s="8">
        <v>97.01</v>
      </c>
      <c r="CV94" s="8">
        <v>100.13</v>
      </c>
      <c r="CW94" s="8">
        <v>100.13</v>
      </c>
      <c r="CX94" s="8">
        <v>96.17</v>
      </c>
      <c r="CY94" s="8">
        <v>97.49</v>
      </c>
      <c r="CZ94" s="8">
        <v>93.12</v>
      </c>
      <c r="DA94" s="8">
        <v>96.81</v>
      </c>
      <c r="DB94" s="8">
        <v>96.86</v>
      </c>
      <c r="DC94" s="8">
        <v>96.31</v>
      </c>
      <c r="DD94" s="8">
        <v>104.64</v>
      </c>
      <c r="DE94" s="8">
        <v>96.73</v>
      </c>
      <c r="DF94" s="8">
        <v>91.76</v>
      </c>
      <c r="DG94" s="8">
        <v>91.31</v>
      </c>
      <c r="DH94" s="8">
        <v>95.98</v>
      </c>
      <c r="DI94" s="8">
        <v>103.15</v>
      </c>
      <c r="DJ94" s="8">
        <v>103.15</v>
      </c>
      <c r="DK94" s="8">
        <v>100.47</v>
      </c>
      <c r="DL94" s="8">
        <v>102.98</v>
      </c>
      <c r="DM94" s="8">
        <v>100.99</v>
      </c>
      <c r="DN94" s="8">
        <v>94.37</v>
      </c>
      <c r="DO94" s="8">
        <v>103.84</v>
      </c>
      <c r="DP94" s="8">
        <v>101.49</v>
      </c>
      <c r="DQ94" s="8">
        <v>100.13</v>
      </c>
      <c r="DR94" s="8">
        <v>101.37</v>
      </c>
      <c r="DS94" s="8">
        <v>101.85</v>
      </c>
      <c r="DT94" s="8">
        <v>92.47</v>
      </c>
      <c r="DU94" s="8">
        <v>87.56</v>
      </c>
      <c r="DV94" s="8">
        <v>93.76</v>
      </c>
      <c r="DW94" s="8">
        <v>96.51</v>
      </c>
      <c r="DX94" s="8">
        <v>95.34</v>
      </c>
      <c r="DY94" s="8">
        <v>100.5</v>
      </c>
      <c r="DZ94" s="8">
        <v>100.83</v>
      </c>
      <c r="EA94" s="8">
        <v>97.65</v>
      </c>
      <c r="EB94" s="8">
        <v>94.05</v>
      </c>
      <c r="EC94" s="8">
        <v>93.55</v>
      </c>
      <c r="ED94" s="8">
        <v>98.48</v>
      </c>
      <c r="EE94" s="8">
        <v>98.39</v>
      </c>
      <c r="EF94" s="8">
        <v>98.41</v>
      </c>
      <c r="EG94" s="8">
        <v>101.12</v>
      </c>
      <c r="EH94" s="8">
        <v>100</v>
      </c>
      <c r="EI94" s="8">
        <v>95.98</v>
      </c>
      <c r="EJ94" s="8">
        <v>96.54</v>
      </c>
      <c r="EK94" s="8">
        <v>98.02</v>
      </c>
      <c r="EL94" s="8">
        <v>95.68</v>
      </c>
      <c r="EM94" s="8">
        <v>95.68</v>
      </c>
      <c r="EN94" s="8">
        <v>98.46</v>
      </c>
      <c r="EO94" s="8">
        <v>98.46</v>
      </c>
      <c r="EP94" s="8">
        <v>96.17</v>
      </c>
      <c r="EQ94" s="8">
        <v>98.56</v>
      </c>
      <c r="ER94" s="8">
        <v>97.92</v>
      </c>
      <c r="ES94" s="8">
        <v>96.82</v>
      </c>
      <c r="ET94" s="8">
        <v>101.98</v>
      </c>
      <c r="EU94" s="8">
        <v>90.52</v>
      </c>
      <c r="EV94" s="8">
        <v>95.06</v>
      </c>
      <c r="EW94" s="8">
        <v>100.17</v>
      </c>
      <c r="EX94" s="8">
        <v>93.56</v>
      </c>
      <c r="EY94" s="8">
        <v>95.77</v>
      </c>
      <c r="EZ94" s="8">
        <v>95.3</v>
      </c>
      <c r="FA94" s="8">
        <v>95.9</v>
      </c>
      <c r="FB94" s="8">
        <v>100.98</v>
      </c>
      <c r="FC94" s="8">
        <v>99.37</v>
      </c>
      <c r="FD94" s="8">
        <v>99.48</v>
      </c>
      <c r="FE94" s="8">
        <v>102.47</v>
      </c>
      <c r="FF94" s="8">
        <v>98.24</v>
      </c>
      <c r="FG94" s="8">
        <v>101.68</v>
      </c>
      <c r="FH94" s="8">
        <v>104.53</v>
      </c>
      <c r="FI94" s="8">
        <v>95.04</v>
      </c>
      <c r="FJ94" s="8">
        <v>95.04</v>
      </c>
      <c r="FK94" s="8">
        <v>94.75</v>
      </c>
      <c r="FL94" s="8">
        <v>94.56</v>
      </c>
      <c r="FM94" s="8">
        <v>96.44</v>
      </c>
      <c r="FN94" s="8">
        <v>98.35</v>
      </c>
      <c r="FO94" s="8">
        <v>96.14</v>
      </c>
      <c r="FP94" s="8">
        <v>96.14</v>
      </c>
      <c r="FQ94" s="8">
        <v>99.36</v>
      </c>
      <c r="FR94" s="8">
        <v>94.95</v>
      </c>
      <c r="FS94" s="8">
        <v>99.72</v>
      </c>
      <c r="FT94" s="8">
        <v>97.01</v>
      </c>
      <c r="FU94" s="8">
        <v>97.4</v>
      </c>
      <c r="FV94" s="8">
        <v>98.6</v>
      </c>
      <c r="FW94" s="8">
        <v>98.57</v>
      </c>
      <c r="FX94" s="8">
        <v>97.72</v>
      </c>
      <c r="FY94" s="8">
        <v>101.28</v>
      </c>
      <c r="FZ94" s="8">
        <v>99.68</v>
      </c>
      <c r="GA94" s="8">
        <v>96.83</v>
      </c>
      <c r="GB94" s="8">
        <v>92.58</v>
      </c>
      <c r="GC94" s="8">
        <v>96.51</v>
      </c>
      <c r="GD94" s="8">
        <v>86.96</v>
      </c>
      <c r="GE94" s="8">
        <v>101.46</v>
      </c>
      <c r="GF94" s="8">
        <v>99.34</v>
      </c>
      <c r="GG94" s="8">
        <v>100.55</v>
      </c>
      <c r="GH94" s="8">
        <v>98</v>
      </c>
      <c r="GI94" s="8">
        <v>98.02</v>
      </c>
      <c r="GJ94" s="8">
        <v>99.08</v>
      </c>
      <c r="GK94" s="8">
        <v>96.81</v>
      </c>
      <c r="GL94" s="8">
        <v>103.8</v>
      </c>
      <c r="GM94" s="8">
        <v>106.26</v>
      </c>
      <c r="GN94" s="8">
        <v>101.84</v>
      </c>
      <c r="GO94" s="8">
        <v>95.39</v>
      </c>
      <c r="GP94" s="8">
        <v>87.74</v>
      </c>
      <c r="GQ94" s="8">
        <v>97.67</v>
      </c>
      <c r="GR94" s="8">
        <v>98.58</v>
      </c>
      <c r="GS94" s="8">
        <v>99.99</v>
      </c>
      <c r="GT94" s="8">
        <v>92.19</v>
      </c>
      <c r="GU94" s="8">
        <v>99.07</v>
      </c>
      <c r="GV94" s="8">
        <v>95.71</v>
      </c>
      <c r="GW94" s="8">
        <v>85.97</v>
      </c>
      <c r="GX94" s="8">
        <v>99.05</v>
      </c>
      <c r="GY94" s="8">
        <v>96.24</v>
      </c>
      <c r="GZ94" s="8">
        <v>96.26</v>
      </c>
      <c r="HA94" s="8">
        <v>96.21</v>
      </c>
      <c r="HB94" s="8">
        <v>94.05</v>
      </c>
      <c r="HC94" s="8">
        <v>97.4</v>
      </c>
      <c r="HD94" s="8">
        <v>97.09</v>
      </c>
      <c r="HE94" s="8">
        <v>98.68</v>
      </c>
      <c r="HF94" s="8">
        <v>96.65</v>
      </c>
      <c r="HG94" s="8">
        <v>84.14</v>
      </c>
      <c r="HH94" s="8">
        <v>84.14</v>
      </c>
      <c r="HI94" s="8">
        <v>99.72</v>
      </c>
      <c r="HJ94" s="8">
        <v>104.05</v>
      </c>
      <c r="HK94" s="8">
        <v>105.89</v>
      </c>
      <c r="HL94" s="8">
        <v>101.35</v>
      </c>
      <c r="HM94" s="8">
        <v>111.01</v>
      </c>
      <c r="HN94" s="8">
        <v>97.41</v>
      </c>
      <c r="HO94" s="8">
        <v>102.73</v>
      </c>
      <c r="HP94" s="8">
        <v>91.47</v>
      </c>
      <c r="HQ94" s="8">
        <v>107.9</v>
      </c>
      <c r="HR94" s="8">
        <v>89.71</v>
      </c>
      <c r="HS94" s="8">
        <v>88.27</v>
      </c>
      <c r="HT94" s="8">
        <v>98.72</v>
      </c>
      <c r="HU94" s="8">
        <v>96.31</v>
      </c>
      <c r="HV94" s="8">
        <v>99.52</v>
      </c>
      <c r="HW94" s="8">
        <v>99.52</v>
      </c>
      <c r="HX94" s="8">
        <v>98.48</v>
      </c>
      <c r="HY94" s="8">
        <v>98.48</v>
      </c>
      <c r="HZ94" s="8">
        <v>93.36</v>
      </c>
      <c r="IA94" s="8">
        <v>96.66</v>
      </c>
      <c r="IB94" s="8">
        <v>89.68</v>
      </c>
      <c r="IC94" s="8">
        <v>91.67</v>
      </c>
      <c r="ID94" s="8">
        <v>92.8</v>
      </c>
      <c r="IE94" s="8">
        <v>87.04</v>
      </c>
      <c r="IF94" s="8">
        <v>98.44</v>
      </c>
      <c r="IG94" s="8">
        <v>96.53</v>
      </c>
      <c r="IH94" s="8">
        <v>95.91</v>
      </c>
      <c r="II94" s="8">
        <v>96.01</v>
      </c>
      <c r="IJ94" s="8">
        <v>95.7</v>
      </c>
      <c r="IK94" s="8">
        <v>100.68</v>
      </c>
      <c r="IL94" s="8">
        <v>100.68</v>
      </c>
      <c r="IM94" s="8">
        <v>103.58</v>
      </c>
      <c r="IN94" s="8">
        <v>99.03</v>
      </c>
      <c r="IO94" s="8">
        <v>102.54</v>
      </c>
      <c r="IP94" s="8">
        <v>101.84</v>
      </c>
      <c r="IQ94" s="8">
        <v>110.38</v>
      </c>
    </row>
    <row r="95" spans="1:251" x14ac:dyDescent="0.2">
      <c r="A95" s="9">
        <v>45536</v>
      </c>
      <c r="B95" s="8">
        <v>96.86</v>
      </c>
      <c r="C95" s="8">
        <v>98.16</v>
      </c>
      <c r="D95" s="8">
        <v>98.2</v>
      </c>
      <c r="E95" s="8">
        <v>100.4</v>
      </c>
      <c r="F95" s="8">
        <v>100.27</v>
      </c>
      <c r="G95" s="8">
        <v>97.12</v>
      </c>
      <c r="H95" s="8">
        <v>96.52</v>
      </c>
      <c r="I95" s="8">
        <v>97.19</v>
      </c>
      <c r="J95" s="8">
        <v>96.33</v>
      </c>
      <c r="K95" s="8">
        <v>96.33</v>
      </c>
      <c r="L95" s="8">
        <v>98.31</v>
      </c>
      <c r="M95" s="8">
        <v>98.31</v>
      </c>
      <c r="N95" s="8">
        <v>95.96</v>
      </c>
      <c r="O95" s="8">
        <v>98.44</v>
      </c>
      <c r="P95" s="8">
        <v>97.53</v>
      </c>
      <c r="Q95" s="8">
        <v>94.94</v>
      </c>
      <c r="R95" s="8">
        <v>98.84</v>
      </c>
      <c r="S95" s="8">
        <v>90.48</v>
      </c>
      <c r="T95" s="8">
        <v>92.81</v>
      </c>
      <c r="U95" s="8">
        <v>100.83</v>
      </c>
      <c r="V95" s="8">
        <v>90.35</v>
      </c>
      <c r="W95" s="8">
        <v>97.71</v>
      </c>
      <c r="X95" s="8">
        <v>95.4</v>
      </c>
      <c r="Y95" s="8">
        <v>100.17</v>
      </c>
      <c r="Z95" s="8">
        <v>99.18</v>
      </c>
      <c r="AA95" s="8">
        <v>102.83</v>
      </c>
      <c r="AB95" s="8">
        <v>99.78</v>
      </c>
      <c r="AC95" s="8">
        <v>101.81</v>
      </c>
      <c r="AD95" s="8">
        <v>97.84</v>
      </c>
      <c r="AE95" s="8">
        <v>95.48</v>
      </c>
      <c r="AF95" s="8">
        <v>99.19</v>
      </c>
      <c r="AG95" s="8">
        <v>95.72</v>
      </c>
      <c r="AH95" s="8">
        <v>95.72</v>
      </c>
      <c r="AI95" s="8">
        <v>95.13</v>
      </c>
      <c r="AJ95" s="8">
        <v>95.6</v>
      </c>
      <c r="AK95" s="8">
        <v>96.15</v>
      </c>
      <c r="AL95" s="8">
        <v>96.72</v>
      </c>
      <c r="AM95" s="8">
        <v>96.48</v>
      </c>
      <c r="AN95" s="8">
        <v>96.48</v>
      </c>
      <c r="AO95" s="8">
        <v>96.89</v>
      </c>
      <c r="AP95" s="8">
        <v>95.16</v>
      </c>
      <c r="AQ95" s="8">
        <v>97.37</v>
      </c>
      <c r="AR95" s="8">
        <v>97.21</v>
      </c>
      <c r="AS95" s="8">
        <v>96.82</v>
      </c>
      <c r="AT95" s="8">
        <v>98.85</v>
      </c>
      <c r="AU95" s="8">
        <v>98.14</v>
      </c>
      <c r="AV95" s="8">
        <v>98.13</v>
      </c>
      <c r="AW95" s="8">
        <v>101.71</v>
      </c>
      <c r="AX95" s="8">
        <v>101.69</v>
      </c>
      <c r="AY95" s="8">
        <v>95.64</v>
      </c>
      <c r="AZ95" s="8">
        <v>92.52</v>
      </c>
      <c r="BA95" s="8">
        <v>95.85</v>
      </c>
      <c r="BB95" s="8">
        <v>85.51</v>
      </c>
      <c r="BC95" s="8">
        <v>99.75</v>
      </c>
      <c r="BD95" s="8">
        <v>98.62</v>
      </c>
      <c r="BE95" s="8">
        <v>100.59</v>
      </c>
      <c r="BF95" s="8">
        <v>97.47</v>
      </c>
      <c r="BG95" s="8">
        <v>98.09</v>
      </c>
      <c r="BH95" s="8">
        <v>98</v>
      </c>
      <c r="BI95" s="8">
        <v>95.86</v>
      </c>
      <c r="BJ95" s="8">
        <v>98.66</v>
      </c>
      <c r="BK95" s="8">
        <v>97.32</v>
      </c>
      <c r="BL95" s="8">
        <v>99.62</v>
      </c>
      <c r="BM95" s="8">
        <v>96.31</v>
      </c>
      <c r="BN95" s="8">
        <v>88.35</v>
      </c>
      <c r="BO95" s="8">
        <v>95.63</v>
      </c>
      <c r="BP95" s="8">
        <v>98.76</v>
      </c>
      <c r="BQ95" s="8">
        <v>100.43</v>
      </c>
      <c r="BR95" s="8">
        <v>93.52</v>
      </c>
      <c r="BS95" s="8">
        <v>99.25</v>
      </c>
      <c r="BT95" s="8">
        <v>96.42</v>
      </c>
      <c r="BU95" s="8">
        <v>86.47</v>
      </c>
      <c r="BV95" s="8">
        <v>98.16</v>
      </c>
      <c r="BW95" s="8">
        <v>96.38</v>
      </c>
      <c r="BX95" s="8">
        <v>97.55</v>
      </c>
      <c r="BY95" s="8">
        <v>95.47</v>
      </c>
      <c r="BZ95" s="8">
        <v>95.43</v>
      </c>
      <c r="CA95" s="8">
        <v>98.94</v>
      </c>
      <c r="CB95" s="8">
        <v>95.73</v>
      </c>
      <c r="CC95" s="8">
        <v>103.68</v>
      </c>
      <c r="CD95" s="8">
        <v>97.83</v>
      </c>
      <c r="CE95" s="8">
        <v>87.61</v>
      </c>
      <c r="CF95" s="8">
        <v>87.61</v>
      </c>
      <c r="CG95" s="8">
        <v>97.32</v>
      </c>
      <c r="CH95" s="8">
        <v>99.33</v>
      </c>
      <c r="CI95" s="8">
        <v>106.31</v>
      </c>
      <c r="CJ95" s="8">
        <v>94.11</v>
      </c>
      <c r="CK95" s="8">
        <v>109.37</v>
      </c>
      <c r="CL95" s="8">
        <v>95.29</v>
      </c>
      <c r="CM95" s="8">
        <v>106.61</v>
      </c>
      <c r="CN95" s="8">
        <v>89.58</v>
      </c>
      <c r="CO95" s="8">
        <v>96.07</v>
      </c>
      <c r="CP95" s="8">
        <v>91.75</v>
      </c>
      <c r="CQ95" s="8">
        <v>91.2</v>
      </c>
      <c r="CR95" s="8">
        <v>97.69</v>
      </c>
      <c r="CS95" s="8">
        <v>97.86</v>
      </c>
      <c r="CT95" s="8">
        <v>97.02</v>
      </c>
      <c r="CU95" s="8">
        <v>97.02</v>
      </c>
      <c r="CV95" s="8">
        <v>100.22</v>
      </c>
      <c r="CW95" s="8">
        <v>100.22</v>
      </c>
      <c r="CX95" s="8">
        <v>97.42</v>
      </c>
      <c r="CY95" s="8">
        <v>98</v>
      </c>
      <c r="CZ95" s="8">
        <v>96.08</v>
      </c>
      <c r="DA95" s="8">
        <v>96.87</v>
      </c>
      <c r="DB95" s="8">
        <v>96.86</v>
      </c>
      <c r="DC95" s="8">
        <v>96.31</v>
      </c>
      <c r="DD95" s="8">
        <v>106.18</v>
      </c>
      <c r="DE95" s="8">
        <v>97.08</v>
      </c>
      <c r="DF95" s="8">
        <v>95.5</v>
      </c>
      <c r="DG95" s="8">
        <v>95.53</v>
      </c>
      <c r="DH95" s="8">
        <v>95.47</v>
      </c>
      <c r="DI95" s="8">
        <v>100.31</v>
      </c>
      <c r="DJ95" s="8">
        <v>100.31</v>
      </c>
      <c r="DK95" s="8">
        <v>99.04</v>
      </c>
      <c r="DL95" s="8">
        <v>100.28</v>
      </c>
      <c r="DM95" s="8">
        <v>98.02</v>
      </c>
      <c r="DN95" s="8">
        <v>94.13</v>
      </c>
      <c r="DO95" s="8">
        <v>103.48</v>
      </c>
      <c r="DP95" s="8">
        <v>100.28</v>
      </c>
      <c r="DQ95" s="8">
        <v>99.23</v>
      </c>
      <c r="DR95" s="8">
        <v>99.75</v>
      </c>
      <c r="DS95" s="8">
        <v>100.81</v>
      </c>
      <c r="DT95" s="8">
        <v>93.35</v>
      </c>
      <c r="DU95" s="8">
        <v>89.02</v>
      </c>
      <c r="DV95" s="8">
        <v>93.76</v>
      </c>
      <c r="DW95" s="8">
        <v>97.59</v>
      </c>
      <c r="DX95" s="8">
        <v>95.61</v>
      </c>
      <c r="DY95" s="8">
        <v>100.18</v>
      </c>
      <c r="DZ95" s="8">
        <v>100.47</v>
      </c>
      <c r="EA95" s="8">
        <v>97.74</v>
      </c>
      <c r="EB95" s="8">
        <v>94.46</v>
      </c>
      <c r="EC95" s="8">
        <v>94.01</v>
      </c>
      <c r="ED95" s="8">
        <v>98.48</v>
      </c>
      <c r="EE95" s="8">
        <v>96.86</v>
      </c>
      <c r="EF95" s="8">
        <v>96.87</v>
      </c>
      <c r="EG95" s="8">
        <v>100.97</v>
      </c>
      <c r="EH95" s="8">
        <v>99.5</v>
      </c>
      <c r="EI95" s="8">
        <v>91.6</v>
      </c>
      <c r="EJ95" s="8">
        <v>96.84</v>
      </c>
      <c r="EK95" s="8">
        <v>97.99</v>
      </c>
      <c r="EL95" s="8">
        <v>95.7</v>
      </c>
      <c r="EM95" s="8">
        <v>95.7</v>
      </c>
      <c r="EN95" s="8">
        <v>98.5</v>
      </c>
      <c r="EO95" s="8">
        <v>98.5</v>
      </c>
      <c r="EP95" s="8">
        <v>95.96</v>
      </c>
      <c r="EQ95" s="8">
        <v>98.62</v>
      </c>
      <c r="ER95" s="8">
        <v>99.18</v>
      </c>
      <c r="ES95" s="8">
        <v>96.76</v>
      </c>
      <c r="ET95" s="8">
        <v>101.72</v>
      </c>
      <c r="EU95" s="8">
        <v>90.71</v>
      </c>
      <c r="EV95" s="8">
        <v>95.03</v>
      </c>
      <c r="EW95" s="8">
        <v>99.67</v>
      </c>
      <c r="EX95" s="8">
        <v>93.66</v>
      </c>
      <c r="EY95" s="8">
        <v>99.33</v>
      </c>
      <c r="EZ95" s="8">
        <v>98.85</v>
      </c>
      <c r="FA95" s="8">
        <v>99.47</v>
      </c>
      <c r="FB95" s="8">
        <v>100.18</v>
      </c>
      <c r="FC95" s="8">
        <v>99.9</v>
      </c>
      <c r="FD95" s="8">
        <v>99.87</v>
      </c>
      <c r="FE95" s="8">
        <v>101.39</v>
      </c>
      <c r="FF95" s="8">
        <v>98.24</v>
      </c>
      <c r="FG95" s="8">
        <v>97.35</v>
      </c>
      <c r="FH95" s="8">
        <v>104.53</v>
      </c>
      <c r="FI95" s="8">
        <v>95.06</v>
      </c>
      <c r="FJ95" s="8">
        <v>95.06</v>
      </c>
      <c r="FK95" s="8">
        <v>94.83</v>
      </c>
      <c r="FL95" s="8">
        <v>94.56</v>
      </c>
      <c r="FM95" s="8">
        <v>96.44</v>
      </c>
      <c r="FN95" s="8">
        <v>98.54</v>
      </c>
      <c r="FO95" s="8">
        <v>96.79</v>
      </c>
      <c r="FP95" s="8">
        <v>96.79</v>
      </c>
      <c r="FQ95" s="8">
        <v>99.34</v>
      </c>
      <c r="FR95" s="8">
        <v>95.16</v>
      </c>
      <c r="FS95" s="8">
        <v>99.68</v>
      </c>
      <c r="FT95" s="8">
        <v>97.06</v>
      </c>
      <c r="FU95" s="8">
        <v>96.93</v>
      </c>
      <c r="FV95" s="8">
        <v>98.58</v>
      </c>
      <c r="FW95" s="8">
        <v>98.36</v>
      </c>
      <c r="FX95" s="8">
        <v>97.41</v>
      </c>
      <c r="FY95" s="8">
        <v>101.19</v>
      </c>
      <c r="FZ95" s="8">
        <v>100.82</v>
      </c>
      <c r="GA95" s="8">
        <v>96.83</v>
      </c>
      <c r="GB95" s="8">
        <v>93.29</v>
      </c>
      <c r="GC95" s="8">
        <v>97.14</v>
      </c>
      <c r="GD95" s="8">
        <v>87.8</v>
      </c>
      <c r="GE95" s="8">
        <v>100.54</v>
      </c>
      <c r="GF95" s="8">
        <v>99.07</v>
      </c>
      <c r="GG95" s="8">
        <v>100.21</v>
      </c>
      <c r="GH95" s="8">
        <v>97.39</v>
      </c>
      <c r="GI95" s="8">
        <v>97.58</v>
      </c>
      <c r="GJ95" s="8">
        <v>98.56</v>
      </c>
      <c r="GK95" s="8">
        <v>95.89</v>
      </c>
      <c r="GL95" s="8">
        <v>99.7</v>
      </c>
      <c r="GM95" s="8">
        <v>99.13</v>
      </c>
      <c r="GN95" s="8">
        <v>100.05</v>
      </c>
      <c r="GO95" s="8">
        <v>95.68</v>
      </c>
      <c r="GP95" s="8">
        <v>91.3</v>
      </c>
      <c r="GQ95" s="8">
        <v>96.87</v>
      </c>
      <c r="GR95" s="8">
        <v>98.24</v>
      </c>
      <c r="GS95" s="8">
        <v>99.02</v>
      </c>
      <c r="GT95" s="8">
        <v>92.84</v>
      </c>
      <c r="GU95" s="8">
        <v>99.11</v>
      </c>
      <c r="GV95" s="8">
        <v>94.69</v>
      </c>
      <c r="GW95" s="8">
        <v>86.78</v>
      </c>
      <c r="GX95" s="8">
        <v>97.39</v>
      </c>
      <c r="GY95" s="8">
        <v>96.46</v>
      </c>
      <c r="GZ95" s="8">
        <v>96.35</v>
      </c>
      <c r="HA95" s="8">
        <v>96.63</v>
      </c>
      <c r="HB95" s="8">
        <v>94.87</v>
      </c>
      <c r="HC95" s="8">
        <v>97.16</v>
      </c>
      <c r="HD95" s="8">
        <v>97.88</v>
      </c>
      <c r="HE95" s="8">
        <v>98.49</v>
      </c>
      <c r="HF95" s="8">
        <v>95.92</v>
      </c>
      <c r="HG95" s="8">
        <v>87.85</v>
      </c>
      <c r="HH95" s="8">
        <v>87.85</v>
      </c>
      <c r="HI95" s="8">
        <v>98.96</v>
      </c>
      <c r="HJ95" s="8">
        <v>102.53</v>
      </c>
      <c r="HK95" s="8">
        <v>105.56</v>
      </c>
      <c r="HL95" s="8">
        <v>100.31</v>
      </c>
      <c r="HM95" s="8">
        <v>103.99</v>
      </c>
      <c r="HN95" s="8">
        <v>95.33</v>
      </c>
      <c r="HO95" s="8">
        <v>107.86</v>
      </c>
      <c r="HP95" s="8">
        <v>87.65</v>
      </c>
      <c r="HQ95" s="8">
        <v>101.58</v>
      </c>
      <c r="HR95" s="8">
        <v>92.4</v>
      </c>
      <c r="HS95" s="8">
        <v>91.3</v>
      </c>
      <c r="HT95" s="8">
        <v>98.92</v>
      </c>
      <c r="HU95" s="8">
        <v>96.76</v>
      </c>
      <c r="HV95" s="8">
        <v>99.35</v>
      </c>
      <c r="HW95" s="8">
        <v>99.35</v>
      </c>
      <c r="HX95" s="8">
        <v>99.34</v>
      </c>
      <c r="HY95" s="8">
        <v>99.34</v>
      </c>
      <c r="HZ95" s="8">
        <v>94.94</v>
      </c>
      <c r="IA95" s="8">
        <v>96.72</v>
      </c>
      <c r="IB95" s="8">
        <v>92.96</v>
      </c>
      <c r="IC95" s="8">
        <v>91.45</v>
      </c>
      <c r="ID95" s="8">
        <v>92.8</v>
      </c>
      <c r="IE95" s="8">
        <v>86.57</v>
      </c>
      <c r="IF95" s="8">
        <v>98.44</v>
      </c>
      <c r="IG95" s="8">
        <v>97.84</v>
      </c>
      <c r="IH95" s="8">
        <v>98.73</v>
      </c>
      <c r="II95" s="8">
        <v>99.28</v>
      </c>
      <c r="IJ95" s="8">
        <v>96.38</v>
      </c>
      <c r="IK95" s="8">
        <v>97.34</v>
      </c>
      <c r="IL95" s="8">
        <v>97.34</v>
      </c>
      <c r="IM95" s="8">
        <v>103.27</v>
      </c>
      <c r="IN95" s="8">
        <v>98.97</v>
      </c>
      <c r="IO95" s="8">
        <v>100.97</v>
      </c>
      <c r="IP95" s="8">
        <v>102.25</v>
      </c>
      <c r="IQ95" s="8">
        <v>110.29</v>
      </c>
    </row>
    <row r="96" spans="1:251" x14ac:dyDescent="0.2">
      <c r="A96" s="9">
        <v>45566</v>
      </c>
      <c r="B96" s="8">
        <v>96.86</v>
      </c>
      <c r="C96" s="8">
        <v>98.14</v>
      </c>
      <c r="D96" s="8">
        <v>98.18</v>
      </c>
      <c r="E96" s="8">
        <v>100.91</v>
      </c>
      <c r="F96" s="8">
        <v>98.24</v>
      </c>
      <c r="G96" s="8">
        <v>97.92</v>
      </c>
      <c r="H96" s="8">
        <v>95.42</v>
      </c>
      <c r="I96" s="8">
        <v>97.19</v>
      </c>
      <c r="J96" s="8">
        <v>96.33</v>
      </c>
      <c r="K96" s="8">
        <v>96.33</v>
      </c>
      <c r="L96" s="8">
        <v>98.93</v>
      </c>
      <c r="M96" s="8">
        <v>98.93</v>
      </c>
      <c r="N96" s="8">
        <v>95.36</v>
      </c>
      <c r="O96" s="8">
        <v>99.13</v>
      </c>
      <c r="P96" s="8">
        <v>97.44</v>
      </c>
      <c r="Q96" s="8">
        <v>95.07</v>
      </c>
      <c r="R96" s="8">
        <v>99</v>
      </c>
      <c r="S96" s="8">
        <v>90.56</v>
      </c>
      <c r="T96" s="8">
        <v>92.83</v>
      </c>
      <c r="U96" s="8">
        <v>101.65</v>
      </c>
      <c r="V96" s="8">
        <v>90.14</v>
      </c>
      <c r="W96" s="8">
        <v>98.31</v>
      </c>
      <c r="X96" s="8">
        <v>102.76</v>
      </c>
      <c r="Y96" s="8">
        <v>91.15</v>
      </c>
      <c r="Z96" s="8">
        <v>98.15</v>
      </c>
      <c r="AA96" s="8">
        <v>101.78</v>
      </c>
      <c r="AB96" s="8">
        <v>97.14</v>
      </c>
      <c r="AC96" s="8">
        <v>97.34</v>
      </c>
      <c r="AD96" s="8">
        <v>97.84</v>
      </c>
      <c r="AE96" s="8">
        <v>97.02</v>
      </c>
      <c r="AF96" s="8">
        <v>99.17</v>
      </c>
      <c r="AG96" s="8">
        <v>95.72</v>
      </c>
      <c r="AH96" s="8">
        <v>95.72</v>
      </c>
      <c r="AI96" s="8">
        <v>95.13</v>
      </c>
      <c r="AJ96" s="8">
        <v>95.6</v>
      </c>
      <c r="AK96" s="8">
        <v>96.15</v>
      </c>
      <c r="AL96" s="8">
        <v>97.35</v>
      </c>
      <c r="AM96" s="8">
        <v>97.34</v>
      </c>
      <c r="AN96" s="8">
        <v>97.34</v>
      </c>
      <c r="AO96" s="8">
        <v>97.36</v>
      </c>
      <c r="AP96" s="8">
        <v>97.32</v>
      </c>
      <c r="AQ96" s="8">
        <v>97.37</v>
      </c>
      <c r="AR96" s="8">
        <v>96.58</v>
      </c>
      <c r="AS96" s="8">
        <v>96.9</v>
      </c>
      <c r="AT96" s="8">
        <v>99.88</v>
      </c>
      <c r="AU96" s="8">
        <v>99.4</v>
      </c>
      <c r="AV96" s="8">
        <v>100.15</v>
      </c>
      <c r="AW96" s="8">
        <v>98.71</v>
      </c>
      <c r="AX96" s="8">
        <v>101.07</v>
      </c>
      <c r="AY96" s="8">
        <v>96.27</v>
      </c>
      <c r="AZ96" s="8">
        <v>92.47</v>
      </c>
      <c r="BA96" s="8">
        <v>97.73</v>
      </c>
      <c r="BB96" s="8">
        <v>86.26</v>
      </c>
      <c r="BC96" s="8">
        <v>99.98</v>
      </c>
      <c r="BD96" s="8">
        <v>100.5</v>
      </c>
      <c r="BE96" s="8">
        <v>100.25</v>
      </c>
      <c r="BF96" s="8">
        <v>96.58</v>
      </c>
      <c r="BG96" s="8">
        <v>97.03</v>
      </c>
      <c r="BH96" s="8">
        <v>97.53</v>
      </c>
      <c r="BI96" s="8">
        <v>94.81</v>
      </c>
      <c r="BJ96" s="8">
        <v>98.01</v>
      </c>
      <c r="BK96" s="8">
        <v>99.58</v>
      </c>
      <c r="BL96" s="8">
        <v>96.76</v>
      </c>
      <c r="BM96" s="8">
        <v>96.24</v>
      </c>
      <c r="BN96" s="8">
        <v>88.37</v>
      </c>
      <c r="BO96" s="8">
        <v>96.97</v>
      </c>
      <c r="BP96" s="8">
        <v>99.09</v>
      </c>
      <c r="BQ96" s="8">
        <v>100.4</v>
      </c>
      <c r="BR96" s="8">
        <v>92.83</v>
      </c>
      <c r="BS96" s="8">
        <v>99.62</v>
      </c>
      <c r="BT96" s="8">
        <v>96.62</v>
      </c>
      <c r="BU96" s="8">
        <v>84.83</v>
      </c>
      <c r="BV96" s="8">
        <v>98.69</v>
      </c>
      <c r="BW96" s="8">
        <v>96.52</v>
      </c>
      <c r="BX96" s="8">
        <v>97.87</v>
      </c>
      <c r="BY96" s="8">
        <v>95.46</v>
      </c>
      <c r="BZ96" s="8">
        <v>95.55</v>
      </c>
      <c r="CA96" s="8">
        <v>97.87</v>
      </c>
      <c r="CB96" s="8">
        <v>95.74</v>
      </c>
      <c r="CC96" s="8">
        <v>101.55</v>
      </c>
      <c r="CD96" s="8">
        <v>96.91</v>
      </c>
      <c r="CE96" s="8">
        <v>89.97</v>
      </c>
      <c r="CF96" s="8">
        <v>89.97</v>
      </c>
      <c r="CG96" s="8">
        <v>97.74</v>
      </c>
      <c r="CH96" s="8">
        <v>99.27</v>
      </c>
      <c r="CI96" s="8">
        <v>103.72</v>
      </c>
      <c r="CJ96" s="8">
        <v>95.63</v>
      </c>
      <c r="CK96" s="8">
        <v>107.08</v>
      </c>
      <c r="CL96" s="8">
        <v>96.51</v>
      </c>
      <c r="CM96" s="8">
        <v>104.65</v>
      </c>
      <c r="CN96" s="8">
        <v>91.55</v>
      </c>
      <c r="CO96" s="8">
        <v>100.14</v>
      </c>
      <c r="CP96" s="8">
        <v>93.43</v>
      </c>
      <c r="CQ96" s="8">
        <v>92.97</v>
      </c>
      <c r="CR96" s="8">
        <v>98.34</v>
      </c>
      <c r="CS96" s="8">
        <v>95.54</v>
      </c>
      <c r="CT96" s="8">
        <v>96.76</v>
      </c>
      <c r="CU96" s="8">
        <v>96.76</v>
      </c>
      <c r="CV96" s="8">
        <v>98.45</v>
      </c>
      <c r="CW96" s="8">
        <v>98.45</v>
      </c>
      <c r="CX96" s="8">
        <v>97.54</v>
      </c>
      <c r="CY96" s="8">
        <v>98.17</v>
      </c>
      <c r="CZ96" s="8">
        <v>96.08</v>
      </c>
      <c r="DA96" s="8">
        <v>86.53</v>
      </c>
      <c r="DB96" s="8">
        <v>96.86</v>
      </c>
      <c r="DC96" s="8">
        <v>80.38</v>
      </c>
      <c r="DD96" s="8">
        <v>106.69</v>
      </c>
      <c r="DE96" s="8">
        <v>97.88</v>
      </c>
      <c r="DF96" s="8">
        <v>99.21</v>
      </c>
      <c r="DG96" s="8">
        <v>99.61</v>
      </c>
      <c r="DH96" s="8">
        <v>95.91</v>
      </c>
      <c r="DI96" s="8">
        <v>95.19</v>
      </c>
      <c r="DJ96" s="8">
        <v>95.19</v>
      </c>
      <c r="DK96" s="8">
        <v>100.52</v>
      </c>
      <c r="DL96" s="8">
        <v>102.98</v>
      </c>
      <c r="DM96" s="8">
        <v>97.26</v>
      </c>
      <c r="DN96" s="8">
        <v>100.6</v>
      </c>
      <c r="DO96" s="8">
        <v>100.36</v>
      </c>
      <c r="DP96" s="8">
        <v>99.43</v>
      </c>
      <c r="DQ96" s="8">
        <v>99.35</v>
      </c>
      <c r="DR96" s="8">
        <v>98.83</v>
      </c>
      <c r="DS96" s="8">
        <v>99.78</v>
      </c>
      <c r="DT96" s="8">
        <v>93.87</v>
      </c>
      <c r="DU96" s="8">
        <v>89.8</v>
      </c>
      <c r="DV96" s="8">
        <v>94.48</v>
      </c>
      <c r="DW96" s="8">
        <v>97.59</v>
      </c>
      <c r="DX96" s="8">
        <v>95.68</v>
      </c>
      <c r="DY96" s="8">
        <v>101.01</v>
      </c>
      <c r="DZ96" s="8">
        <v>101.39</v>
      </c>
      <c r="EA96" s="8">
        <v>97.74</v>
      </c>
      <c r="EB96" s="8">
        <v>94.34</v>
      </c>
      <c r="EC96" s="8">
        <v>93.84</v>
      </c>
      <c r="ED96" s="8">
        <v>98.75</v>
      </c>
      <c r="EE96" s="8">
        <v>96.31</v>
      </c>
      <c r="EF96" s="8">
        <v>96.32</v>
      </c>
      <c r="EG96" s="8">
        <v>100.99</v>
      </c>
      <c r="EH96" s="8">
        <v>98.44</v>
      </c>
      <c r="EI96" s="8">
        <v>90.54</v>
      </c>
      <c r="EJ96" s="8">
        <v>96.69</v>
      </c>
      <c r="EK96" s="8">
        <v>98.39</v>
      </c>
      <c r="EL96" s="8">
        <v>95.68</v>
      </c>
      <c r="EM96" s="8">
        <v>95.68</v>
      </c>
      <c r="EN96" s="8">
        <v>99.16</v>
      </c>
      <c r="EO96" s="8">
        <v>99.16</v>
      </c>
      <c r="EP96" s="8">
        <v>95.36</v>
      </c>
      <c r="EQ96" s="8">
        <v>99.35</v>
      </c>
      <c r="ER96" s="8">
        <v>96.84</v>
      </c>
      <c r="ES96" s="8">
        <v>94.91</v>
      </c>
      <c r="ET96" s="8">
        <v>98.4</v>
      </c>
      <c r="EU96" s="8">
        <v>90.78</v>
      </c>
      <c r="EV96" s="8">
        <v>96.07</v>
      </c>
      <c r="EW96" s="8">
        <v>99.53</v>
      </c>
      <c r="EX96" s="8">
        <v>95.06</v>
      </c>
      <c r="EY96" s="8">
        <v>95.75</v>
      </c>
      <c r="EZ96" s="8">
        <v>99.2</v>
      </c>
      <c r="FA96" s="8">
        <v>91.34</v>
      </c>
      <c r="FB96" s="8">
        <v>98.81</v>
      </c>
      <c r="FC96" s="8">
        <v>97.62</v>
      </c>
      <c r="FD96" s="8">
        <v>99.96</v>
      </c>
      <c r="FE96" s="8">
        <v>97.13</v>
      </c>
      <c r="FF96" s="8">
        <v>98.24</v>
      </c>
      <c r="FG96" s="8">
        <v>101.68</v>
      </c>
      <c r="FH96" s="8">
        <v>98.01</v>
      </c>
      <c r="FI96" s="8">
        <v>95.06</v>
      </c>
      <c r="FJ96" s="8">
        <v>95.06</v>
      </c>
      <c r="FK96" s="8">
        <v>94.85</v>
      </c>
      <c r="FL96" s="8">
        <v>94.56</v>
      </c>
      <c r="FM96" s="8">
        <v>96.44</v>
      </c>
      <c r="FN96" s="8">
        <v>98.85</v>
      </c>
      <c r="FO96" s="8">
        <v>97.44</v>
      </c>
      <c r="FP96" s="8">
        <v>97.44</v>
      </c>
      <c r="FQ96" s="8">
        <v>99.5</v>
      </c>
      <c r="FR96" s="8">
        <v>97.32</v>
      </c>
      <c r="FS96" s="8">
        <v>99.68</v>
      </c>
      <c r="FT96" s="8">
        <v>96.74</v>
      </c>
      <c r="FU96" s="8">
        <v>97.52</v>
      </c>
      <c r="FV96" s="8">
        <v>99.72</v>
      </c>
      <c r="FW96" s="8">
        <v>99.51</v>
      </c>
      <c r="FX96" s="8">
        <v>99.99</v>
      </c>
      <c r="FY96" s="8">
        <v>98.59</v>
      </c>
      <c r="FZ96" s="8">
        <v>100.12</v>
      </c>
      <c r="GA96" s="8">
        <v>97.31</v>
      </c>
      <c r="GB96" s="8">
        <v>92.84</v>
      </c>
      <c r="GC96" s="8">
        <v>98.44</v>
      </c>
      <c r="GD96" s="8">
        <v>88.64</v>
      </c>
      <c r="GE96" s="8">
        <v>101.25</v>
      </c>
      <c r="GF96" s="8">
        <v>100.45</v>
      </c>
      <c r="GG96" s="8">
        <v>99.87</v>
      </c>
      <c r="GH96" s="8">
        <v>96.52</v>
      </c>
      <c r="GI96" s="8">
        <v>96.21</v>
      </c>
      <c r="GJ96" s="8">
        <v>98.3</v>
      </c>
      <c r="GK96" s="8">
        <v>95.03</v>
      </c>
      <c r="GL96" s="8">
        <v>100.36</v>
      </c>
      <c r="GM96" s="8">
        <v>103.91</v>
      </c>
      <c r="GN96" s="8">
        <v>97.58</v>
      </c>
      <c r="GO96" s="8">
        <v>95.85</v>
      </c>
      <c r="GP96" s="8">
        <v>92.2</v>
      </c>
      <c r="GQ96" s="8">
        <v>97.81</v>
      </c>
      <c r="GR96" s="8">
        <v>98.49</v>
      </c>
      <c r="GS96" s="8">
        <v>99.53</v>
      </c>
      <c r="GT96" s="8">
        <v>92.49</v>
      </c>
      <c r="GU96" s="8">
        <v>99.64</v>
      </c>
      <c r="GV96" s="8">
        <v>94.74</v>
      </c>
      <c r="GW96" s="8">
        <v>85.59</v>
      </c>
      <c r="GX96" s="8">
        <v>97.88</v>
      </c>
      <c r="GY96" s="8">
        <v>97.37</v>
      </c>
      <c r="GZ96" s="8">
        <v>97.61</v>
      </c>
      <c r="HA96" s="8">
        <v>97.02</v>
      </c>
      <c r="HB96" s="8">
        <v>95.61</v>
      </c>
      <c r="HC96" s="8">
        <v>97.3</v>
      </c>
      <c r="HD96" s="8">
        <v>98.69</v>
      </c>
      <c r="HE96" s="8">
        <v>97.46</v>
      </c>
      <c r="HF96" s="8">
        <v>96.62</v>
      </c>
      <c r="HG96" s="8">
        <v>90.24</v>
      </c>
      <c r="HH96" s="8">
        <v>90.24</v>
      </c>
      <c r="HI96" s="8">
        <v>100.56</v>
      </c>
      <c r="HJ96" s="8">
        <v>102.75</v>
      </c>
      <c r="HK96" s="8">
        <v>105.02</v>
      </c>
      <c r="HL96" s="8">
        <v>100.44</v>
      </c>
      <c r="HM96" s="8">
        <v>106.74</v>
      </c>
      <c r="HN96" s="8">
        <v>104.07</v>
      </c>
      <c r="HO96" s="8">
        <v>108.68</v>
      </c>
      <c r="HP96" s="8">
        <v>100.66</v>
      </c>
      <c r="HQ96" s="8">
        <v>108.43</v>
      </c>
      <c r="HR96" s="8">
        <v>91.16</v>
      </c>
      <c r="HS96" s="8">
        <v>89.89</v>
      </c>
      <c r="HT96" s="8">
        <v>98.92</v>
      </c>
      <c r="HU96" s="8">
        <v>95.43</v>
      </c>
      <c r="HV96" s="8">
        <v>99.01</v>
      </c>
      <c r="HW96" s="8">
        <v>99.01</v>
      </c>
      <c r="HX96" s="8">
        <v>99.82</v>
      </c>
      <c r="HY96" s="8">
        <v>99.82</v>
      </c>
      <c r="HZ96" s="8">
        <v>95.48</v>
      </c>
      <c r="IA96" s="8">
        <v>97.73</v>
      </c>
      <c r="IB96" s="8">
        <v>92.96</v>
      </c>
      <c r="IC96" s="8">
        <v>85.09</v>
      </c>
      <c r="ID96" s="8">
        <v>92.8</v>
      </c>
      <c r="IE96" s="8">
        <v>73.05</v>
      </c>
      <c r="IF96" s="8">
        <v>98.44</v>
      </c>
      <c r="IG96" s="8">
        <v>98.02</v>
      </c>
      <c r="IH96" s="8">
        <v>101.31</v>
      </c>
      <c r="II96" s="8">
        <v>101.97</v>
      </c>
      <c r="IJ96" s="8">
        <v>98.46</v>
      </c>
      <c r="IK96" s="8">
        <v>95.47</v>
      </c>
      <c r="IL96" s="8">
        <v>95.47</v>
      </c>
      <c r="IM96" s="8">
        <v>102.7</v>
      </c>
      <c r="IN96" s="8">
        <v>98.49</v>
      </c>
      <c r="IO96" s="8">
        <v>100.37</v>
      </c>
      <c r="IP96" s="8">
        <v>103.42</v>
      </c>
      <c r="IQ96" s="8">
        <v>107.63</v>
      </c>
    </row>
    <row r="97" spans="1:251" x14ac:dyDescent="0.2">
      <c r="A97" s="9">
        <v>45597</v>
      </c>
      <c r="B97" s="8">
        <v>96.86</v>
      </c>
      <c r="C97" s="8">
        <v>98.19</v>
      </c>
      <c r="D97" s="8">
        <v>98.23</v>
      </c>
      <c r="E97" s="8">
        <v>100.48</v>
      </c>
      <c r="F97" s="8">
        <v>96.85</v>
      </c>
      <c r="G97" s="8">
        <v>98.53</v>
      </c>
      <c r="H97" s="8">
        <v>96.07</v>
      </c>
      <c r="I97" s="8">
        <v>97.19</v>
      </c>
      <c r="J97" s="8">
        <v>96.33</v>
      </c>
      <c r="K97" s="8">
        <v>96.33</v>
      </c>
      <c r="L97" s="8">
        <v>98.8</v>
      </c>
      <c r="M97" s="8">
        <v>98.8</v>
      </c>
      <c r="N97" s="8">
        <v>95.19</v>
      </c>
      <c r="O97" s="8">
        <v>99.01</v>
      </c>
      <c r="P97" s="8">
        <v>97.53</v>
      </c>
      <c r="Q97" s="8">
        <v>95.21</v>
      </c>
      <c r="R97" s="8">
        <v>98.14</v>
      </c>
      <c r="S97" s="8">
        <v>91.89</v>
      </c>
      <c r="T97" s="8">
        <v>93.36</v>
      </c>
      <c r="U97" s="8">
        <v>103.57</v>
      </c>
      <c r="V97" s="8">
        <v>90.29</v>
      </c>
      <c r="W97" s="8">
        <v>97.77</v>
      </c>
      <c r="X97" s="8">
        <v>102.82</v>
      </c>
      <c r="Y97" s="8">
        <v>89.77</v>
      </c>
      <c r="Z97" s="8">
        <v>98.87</v>
      </c>
      <c r="AA97" s="8">
        <v>100.24</v>
      </c>
      <c r="AB97" s="8">
        <v>99.66</v>
      </c>
      <c r="AC97" s="8">
        <v>99.62</v>
      </c>
      <c r="AD97" s="8">
        <v>97.84</v>
      </c>
      <c r="AE97" s="8">
        <v>97.02</v>
      </c>
      <c r="AF97" s="8">
        <v>100.15</v>
      </c>
      <c r="AG97" s="8">
        <v>95.72</v>
      </c>
      <c r="AH97" s="8">
        <v>95.72</v>
      </c>
      <c r="AI97" s="8">
        <v>95.13</v>
      </c>
      <c r="AJ97" s="8">
        <v>95.6</v>
      </c>
      <c r="AK97" s="8">
        <v>96.15</v>
      </c>
      <c r="AL97" s="8">
        <v>97.3</v>
      </c>
      <c r="AM97" s="8">
        <v>97.72</v>
      </c>
      <c r="AN97" s="8">
        <v>97.72</v>
      </c>
      <c r="AO97" s="8">
        <v>97.02</v>
      </c>
      <c r="AP97" s="8">
        <v>95.75</v>
      </c>
      <c r="AQ97" s="8">
        <v>97.37</v>
      </c>
      <c r="AR97" s="8">
        <v>97</v>
      </c>
      <c r="AS97" s="8">
        <v>97.21</v>
      </c>
      <c r="AT97" s="8">
        <v>100.04</v>
      </c>
      <c r="AU97" s="8">
        <v>100.13</v>
      </c>
      <c r="AV97" s="8">
        <v>100</v>
      </c>
      <c r="AW97" s="8">
        <v>100.58</v>
      </c>
      <c r="AX97" s="8">
        <v>99.68</v>
      </c>
      <c r="AY97" s="8">
        <v>96.24</v>
      </c>
      <c r="AZ97" s="8">
        <v>93.08</v>
      </c>
      <c r="BA97" s="8">
        <v>98.14</v>
      </c>
      <c r="BB97" s="8">
        <v>85.67</v>
      </c>
      <c r="BC97" s="8">
        <v>100.37</v>
      </c>
      <c r="BD97" s="8">
        <v>100.31</v>
      </c>
      <c r="BE97" s="8">
        <v>99.25</v>
      </c>
      <c r="BF97" s="8">
        <v>97.29</v>
      </c>
      <c r="BG97" s="8">
        <v>97.71</v>
      </c>
      <c r="BH97" s="8">
        <v>98.53</v>
      </c>
      <c r="BI97" s="8">
        <v>95.26</v>
      </c>
      <c r="BJ97" s="8">
        <v>98.47</v>
      </c>
      <c r="BK97" s="8">
        <v>102.33</v>
      </c>
      <c r="BL97" s="8">
        <v>95.48</v>
      </c>
      <c r="BM97" s="8">
        <v>96.55</v>
      </c>
      <c r="BN97" s="8">
        <v>88.57</v>
      </c>
      <c r="BO97" s="8">
        <v>97.06</v>
      </c>
      <c r="BP97" s="8">
        <v>99.07</v>
      </c>
      <c r="BQ97" s="8">
        <v>100.64</v>
      </c>
      <c r="BR97" s="8">
        <v>93.4</v>
      </c>
      <c r="BS97" s="8">
        <v>99.88</v>
      </c>
      <c r="BT97" s="8">
        <v>96.72</v>
      </c>
      <c r="BU97" s="8">
        <v>87.04</v>
      </c>
      <c r="BV97" s="8">
        <v>98.41</v>
      </c>
      <c r="BW97" s="8">
        <v>96.9</v>
      </c>
      <c r="BX97" s="8">
        <v>98.42</v>
      </c>
      <c r="BY97" s="8">
        <v>95.71</v>
      </c>
      <c r="BZ97" s="8">
        <v>96.53</v>
      </c>
      <c r="CA97" s="8">
        <v>99.27</v>
      </c>
      <c r="CB97" s="8">
        <v>97.58</v>
      </c>
      <c r="CC97" s="8">
        <v>105.35</v>
      </c>
      <c r="CD97" s="8">
        <v>97.24</v>
      </c>
      <c r="CE97" s="8">
        <v>90.16</v>
      </c>
      <c r="CF97" s="8">
        <v>90.16</v>
      </c>
      <c r="CG97" s="8">
        <v>94.57</v>
      </c>
      <c r="CH97" s="8">
        <v>96.7</v>
      </c>
      <c r="CI97" s="8">
        <v>99.48</v>
      </c>
      <c r="CJ97" s="8">
        <v>94.08</v>
      </c>
      <c r="CK97" s="8">
        <v>103.18</v>
      </c>
      <c r="CL97" s="8">
        <v>95.89</v>
      </c>
      <c r="CM97" s="8">
        <v>102.1</v>
      </c>
      <c r="CN97" s="8">
        <v>91.98</v>
      </c>
      <c r="CO97" s="8">
        <v>99.16</v>
      </c>
      <c r="CP97" s="8">
        <v>85.26</v>
      </c>
      <c r="CQ97" s="8">
        <v>84.09</v>
      </c>
      <c r="CR97" s="8">
        <v>98.34</v>
      </c>
      <c r="CS97" s="8">
        <v>97.48</v>
      </c>
      <c r="CT97" s="8">
        <v>97.04</v>
      </c>
      <c r="CU97" s="8">
        <v>97.04</v>
      </c>
      <c r="CV97" s="8">
        <v>98.5</v>
      </c>
      <c r="CW97" s="8">
        <v>98.5</v>
      </c>
      <c r="CX97" s="8">
        <v>97.7</v>
      </c>
      <c r="CY97" s="8">
        <v>98.39</v>
      </c>
      <c r="CZ97" s="8">
        <v>96.08</v>
      </c>
      <c r="DA97" s="8">
        <v>96.89</v>
      </c>
      <c r="DB97" s="8">
        <v>96.86</v>
      </c>
      <c r="DC97" s="8">
        <v>96.31</v>
      </c>
      <c r="DD97" s="8">
        <v>106.69</v>
      </c>
      <c r="DE97" s="8">
        <v>97.68</v>
      </c>
      <c r="DF97" s="8">
        <v>96.47</v>
      </c>
      <c r="DG97" s="8">
        <v>96.55</v>
      </c>
      <c r="DH97" s="8">
        <v>95.98</v>
      </c>
      <c r="DI97" s="8">
        <v>103.06</v>
      </c>
      <c r="DJ97" s="8">
        <v>103.06</v>
      </c>
      <c r="DK97" s="8">
        <v>100.48</v>
      </c>
      <c r="DL97" s="8">
        <v>103.14</v>
      </c>
      <c r="DM97" s="8">
        <v>99.33</v>
      </c>
      <c r="DN97" s="8">
        <v>97.18</v>
      </c>
      <c r="DO97" s="8">
        <v>102.06</v>
      </c>
      <c r="DP97" s="8">
        <v>99.26</v>
      </c>
      <c r="DQ97" s="8">
        <v>98.47</v>
      </c>
      <c r="DR97" s="8">
        <v>98.26</v>
      </c>
      <c r="DS97" s="8">
        <v>99.99</v>
      </c>
      <c r="DT97" s="8">
        <v>94.18</v>
      </c>
      <c r="DU97" s="8">
        <v>90.05</v>
      </c>
      <c r="DV97" s="8">
        <v>95.15</v>
      </c>
      <c r="DW97" s="8">
        <v>97.59</v>
      </c>
      <c r="DX97" s="8">
        <v>95.52</v>
      </c>
      <c r="DY97" s="8">
        <v>100.18</v>
      </c>
      <c r="DZ97" s="8">
        <v>100.46</v>
      </c>
      <c r="EA97" s="8">
        <v>97.74</v>
      </c>
      <c r="EB97" s="8">
        <v>94.36</v>
      </c>
      <c r="EC97" s="8">
        <v>93.87</v>
      </c>
      <c r="ED97" s="8">
        <v>98.68</v>
      </c>
      <c r="EE97" s="8">
        <v>96.05</v>
      </c>
      <c r="EF97" s="8">
        <v>96.04</v>
      </c>
      <c r="EG97" s="8">
        <v>100.35</v>
      </c>
      <c r="EH97" s="8">
        <v>99.42</v>
      </c>
      <c r="EI97" s="8">
        <v>89.66</v>
      </c>
      <c r="EJ97" s="8">
        <v>96.59</v>
      </c>
      <c r="EK97" s="8">
        <v>98.37</v>
      </c>
      <c r="EL97" s="8">
        <v>97.44</v>
      </c>
      <c r="EM97" s="8">
        <v>97.44</v>
      </c>
      <c r="EN97" s="8">
        <v>99.05</v>
      </c>
      <c r="EO97" s="8">
        <v>99.05</v>
      </c>
      <c r="EP97" s="8">
        <v>95.19</v>
      </c>
      <c r="EQ97" s="8">
        <v>99.24</v>
      </c>
      <c r="ER97" s="8">
        <v>97.23</v>
      </c>
      <c r="ES97" s="8">
        <v>97.55</v>
      </c>
      <c r="ET97" s="8">
        <v>102.32</v>
      </c>
      <c r="EU97" s="8">
        <v>91.75</v>
      </c>
      <c r="EV97" s="8">
        <v>94.94</v>
      </c>
      <c r="EW97" s="8">
        <v>99.14</v>
      </c>
      <c r="EX97" s="8">
        <v>93.7</v>
      </c>
      <c r="EY97" s="8">
        <v>94.71</v>
      </c>
      <c r="EZ97" s="8">
        <v>99.32</v>
      </c>
      <c r="FA97" s="8">
        <v>88.94</v>
      </c>
      <c r="FB97" s="8">
        <v>99.91</v>
      </c>
      <c r="FC97" s="8">
        <v>99.53</v>
      </c>
      <c r="FD97" s="8">
        <v>99.91</v>
      </c>
      <c r="FE97" s="8">
        <v>99.53</v>
      </c>
      <c r="FF97" s="8">
        <v>98.24</v>
      </c>
      <c r="FG97" s="8">
        <v>102.93</v>
      </c>
      <c r="FH97" s="8">
        <v>98.01</v>
      </c>
      <c r="FI97" s="8">
        <v>95.07</v>
      </c>
      <c r="FJ97" s="8">
        <v>95.07</v>
      </c>
      <c r="FK97" s="8">
        <v>94.89</v>
      </c>
      <c r="FL97" s="8">
        <v>94.56</v>
      </c>
      <c r="FM97" s="8">
        <v>96.44</v>
      </c>
      <c r="FN97" s="8">
        <v>98.77</v>
      </c>
      <c r="FO97" s="8">
        <v>97.43</v>
      </c>
      <c r="FP97" s="8">
        <v>97.43</v>
      </c>
      <c r="FQ97" s="8">
        <v>99.38</v>
      </c>
      <c r="FR97" s="8">
        <v>95.75</v>
      </c>
      <c r="FS97" s="8">
        <v>99.68</v>
      </c>
      <c r="FT97" s="8">
        <v>97.05</v>
      </c>
      <c r="FU97" s="8">
        <v>97.65</v>
      </c>
      <c r="FV97" s="8">
        <v>100.06</v>
      </c>
      <c r="FW97" s="8">
        <v>100.31</v>
      </c>
      <c r="FX97" s="8">
        <v>99.9</v>
      </c>
      <c r="FY97" s="8">
        <v>100.28</v>
      </c>
      <c r="FZ97" s="8">
        <v>99.83</v>
      </c>
      <c r="GA97" s="8">
        <v>97.51</v>
      </c>
      <c r="GB97" s="8">
        <v>93.06</v>
      </c>
      <c r="GC97" s="8">
        <v>99.42</v>
      </c>
      <c r="GD97" s="8">
        <v>89.28</v>
      </c>
      <c r="GE97" s="8">
        <v>101.23</v>
      </c>
      <c r="GF97" s="8">
        <v>100.58</v>
      </c>
      <c r="GG97" s="8">
        <v>99.6</v>
      </c>
      <c r="GH97" s="8">
        <v>97.28</v>
      </c>
      <c r="GI97" s="8">
        <v>97.15</v>
      </c>
      <c r="GJ97" s="8">
        <v>99.29</v>
      </c>
      <c r="GK97" s="8">
        <v>95.33</v>
      </c>
      <c r="GL97" s="8">
        <v>99.45</v>
      </c>
      <c r="GM97" s="8">
        <v>102.53</v>
      </c>
      <c r="GN97" s="8">
        <v>97.02</v>
      </c>
      <c r="GO97" s="8">
        <v>96.25</v>
      </c>
      <c r="GP97" s="8">
        <v>92.85</v>
      </c>
      <c r="GQ97" s="8">
        <v>97.86</v>
      </c>
      <c r="GR97" s="8">
        <v>98.23</v>
      </c>
      <c r="GS97" s="8">
        <v>99.82</v>
      </c>
      <c r="GT97" s="8">
        <v>93.05</v>
      </c>
      <c r="GU97" s="8">
        <v>100.32</v>
      </c>
      <c r="GV97" s="8">
        <v>95.14</v>
      </c>
      <c r="GW97" s="8">
        <v>87.46</v>
      </c>
      <c r="GX97" s="8">
        <v>97.76</v>
      </c>
      <c r="GY97" s="8">
        <v>97.54</v>
      </c>
      <c r="GZ97" s="8">
        <v>97.7</v>
      </c>
      <c r="HA97" s="8">
        <v>97.31</v>
      </c>
      <c r="HB97" s="8">
        <v>96.43</v>
      </c>
      <c r="HC97" s="8">
        <v>98.38</v>
      </c>
      <c r="HD97" s="8">
        <v>99.37</v>
      </c>
      <c r="HE97" s="8">
        <v>99.61</v>
      </c>
      <c r="HF97" s="8">
        <v>97.09</v>
      </c>
      <c r="HG97" s="8">
        <v>90.35</v>
      </c>
      <c r="HH97" s="8">
        <v>90.35</v>
      </c>
      <c r="HI97" s="8">
        <v>95.84</v>
      </c>
      <c r="HJ97" s="8">
        <v>99.87</v>
      </c>
      <c r="HK97" s="8">
        <v>99.99</v>
      </c>
      <c r="HL97" s="8">
        <v>98.32</v>
      </c>
      <c r="HM97" s="8">
        <v>106.4</v>
      </c>
      <c r="HN97" s="8">
        <v>95.5</v>
      </c>
      <c r="HO97" s="8">
        <v>100.83</v>
      </c>
      <c r="HP97" s="8">
        <v>89.72</v>
      </c>
      <c r="HQ97" s="8">
        <v>105.49</v>
      </c>
      <c r="HR97" s="8">
        <v>84.84</v>
      </c>
      <c r="HS97" s="8">
        <v>82.71</v>
      </c>
      <c r="HT97" s="8">
        <v>98.92</v>
      </c>
      <c r="HU97" s="8">
        <v>97.11</v>
      </c>
      <c r="HV97" s="8">
        <v>99.28</v>
      </c>
      <c r="HW97" s="8">
        <v>99.28</v>
      </c>
      <c r="HX97" s="8">
        <v>99.85</v>
      </c>
      <c r="HY97" s="8">
        <v>99.85</v>
      </c>
      <c r="HZ97" s="8">
        <v>95.52</v>
      </c>
      <c r="IA97" s="8">
        <v>97.82</v>
      </c>
      <c r="IB97" s="8">
        <v>92.96</v>
      </c>
      <c r="IC97" s="8">
        <v>91.96</v>
      </c>
      <c r="ID97" s="8">
        <v>92.8</v>
      </c>
      <c r="IE97" s="8">
        <v>87.66</v>
      </c>
      <c r="IF97" s="8">
        <v>98.44</v>
      </c>
      <c r="IG97" s="8">
        <v>98.08</v>
      </c>
      <c r="IH97" s="8">
        <v>97.49</v>
      </c>
      <c r="II97" s="8">
        <v>97.35</v>
      </c>
      <c r="IJ97" s="8">
        <v>98.45</v>
      </c>
      <c r="IK97" s="8">
        <v>105.19</v>
      </c>
      <c r="IL97" s="8">
        <v>105.19</v>
      </c>
      <c r="IM97" s="8">
        <v>103.54</v>
      </c>
      <c r="IN97" s="8">
        <v>99.33</v>
      </c>
      <c r="IO97" s="8">
        <v>103.67</v>
      </c>
      <c r="IP97" s="8">
        <v>104.22</v>
      </c>
      <c r="IQ97" s="8">
        <v>106.04</v>
      </c>
    </row>
    <row r="98" spans="1:251" x14ac:dyDescent="0.2">
      <c r="A98" s="9">
        <v>45627</v>
      </c>
      <c r="B98" s="8">
        <v>96.51</v>
      </c>
      <c r="C98" s="8">
        <v>99.7</v>
      </c>
      <c r="D98" s="8">
        <v>99.76</v>
      </c>
      <c r="E98" s="8">
        <v>100.5</v>
      </c>
      <c r="F98" s="8">
        <v>97.08</v>
      </c>
      <c r="G98" s="8">
        <v>102.67</v>
      </c>
      <c r="H98" s="8">
        <v>96.14</v>
      </c>
      <c r="I98" s="8">
        <v>97.19</v>
      </c>
      <c r="J98" s="8">
        <v>96.33</v>
      </c>
      <c r="K98" s="8">
        <v>96.33</v>
      </c>
      <c r="L98" s="8">
        <v>98.6</v>
      </c>
      <c r="M98" s="8">
        <v>98.6</v>
      </c>
      <c r="N98" s="8">
        <v>95.05</v>
      </c>
      <c r="O98" s="8">
        <v>98.8</v>
      </c>
      <c r="P98" s="8">
        <v>101.35</v>
      </c>
      <c r="Q98" s="8">
        <v>93.46</v>
      </c>
      <c r="R98" s="8">
        <v>95.31</v>
      </c>
      <c r="S98" s="8">
        <v>91.39</v>
      </c>
      <c r="T98" s="8">
        <v>92.72</v>
      </c>
      <c r="U98" s="8">
        <v>100.11</v>
      </c>
      <c r="V98" s="8">
        <v>90.43</v>
      </c>
      <c r="W98" s="8">
        <v>108.1</v>
      </c>
      <c r="X98" s="8">
        <v>104.23</v>
      </c>
      <c r="Y98" s="8">
        <v>112.7</v>
      </c>
      <c r="Z98" s="8">
        <v>98.49</v>
      </c>
      <c r="AA98" s="8">
        <v>101.74</v>
      </c>
      <c r="AB98" s="8">
        <v>93.79</v>
      </c>
      <c r="AC98" s="8">
        <v>101.19</v>
      </c>
      <c r="AD98" s="8">
        <v>97.84</v>
      </c>
      <c r="AE98" s="8">
        <v>96.8</v>
      </c>
      <c r="AF98" s="8">
        <v>100.2</v>
      </c>
      <c r="AG98" s="8">
        <v>95.72</v>
      </c>
      <c r="AH98" s="8">
        <v>95.72</v>
      </c>
      <c r="AI98" s="8">
        <v>95.13</v>
      </c>
      <c r="AJ98" s="8">
        <v>95.6</v>
      </c>
      <c r="AK98" s="8">
        <v>96.15</v>
      </c>
      <c r="AL98" s="8">
        <v>97.11</v>
      </c>
      <c r="AM98" s="8">
        <v>98.04</v>
      </c>
      <c r="AN98" s="8">
        <v>98.04</v>
      </c>
      <c r="AO98" s="8">
        <v>96.49</v>
      </c>
      <c r="AP98" s="8">
        <v>95.94</v>
      </c>
      <c r="AQ98" s="8">
        <v>96.64</v>
      </c>
      <c r="AR98" s="8">
        <v>97.69</v>
      </c>
      <c r="AS98" s="8">
        <v>97.52</v>
      </c>
      <c r="AT98" s="8">
        <v>100.67</v>
      </c>
      <c r="AU98" s="8">
        <v>100.9</v>
      </c>
      <c r="AV98" s="8">
        <v>99.24</v>
      </c>
      <c r="AW98" s="8">
        <v>103.19</v>
      </c>
      <c r="AX98" s="8">
        <v>102.9</v>
      </c>
      <c r="AY98" s="8">
        <v>96.97</v>
      </c>
      <c r="AZ98" s="8">
        <v>94.77</v>
      </c>
      <c r="BA98" s="8">
        <v>97.29</v>
      </c>
      <c r="BB98" s="8">
        <v>86.87</v>
      </c>
      <c r="BC98" s="8">
        <v>101.65</v>
      </c>
      <c r="BD98" s="8">
        <v>101.91</v>
      </c>
      <c r="BE98" s="8">
        <v>98.2</v>
      </c>
      <c r="BF98" s="8">
        <v>97.83</v>
      </c>
      <c r="BG98" s="8">
        <v>97.67</v>
      </c>
      <c r="BH98" s="8">
        <v>99.04</v>
      </c>
      <c r="BI98" s="8">
        <v>96.81</v>
      </c>
      <c r="BJ98" s="8">
        <v>97.42</v>
      </c>
      <c r="BK98" s="8">
        <v>100.46</v>
      </c>
      <c r="BL98" s="8">
        <v>95.06</v>
      </c>
      <c r="BM98" s="8">
        <v>97.6</v>
      </c>
      <c r="BN98" s="8">
        <v>89.22</v>
      </c>
      <c r="BO98" s="8">
        <v>96.53</v>
      </c>
      <c r="BP98" s="8">
        <v>99.5</v>
      </c>
      <c r="BQ98" s="8">
        <v>100.05</v>
      </c>
      <c r="BR98" s="8">
        <v>94.97</v>
      </c>
      <c r="BS98" s="8">
        <v>101.62</v>
      </c>
      <c r="BT98" s="8">
        <v>96.76</v>
      </c>
      <c r="BU98" s="8">
        <v>89.02</v>
      </c>
      <c r="BV98" s="8">
        <v>98.11</v>
      </c>
      <c r="BW98" s="8">
        <v>97.27</v>
      </c>
      <c r="BX98" s="8">
        <v>98.25</v>
      </c>
      <c r="BY98" s="8">
        <v>96.5</v>
      </c>
      <c r="BZ98" s="8">
        <v>96.57</v>
      </c>
      <c r="CA98" s="8">
        <v>99.18</v>
      </c>
      <c r="CB98" s="8">
        <v>95.76</v>
      </c>
      <c r="CC98" s="8">
        <v>105.19</v>
      </c>
      <c r="CD98" s="8">
        <v>97.62</v>
      </c>
      <c r="CE98" s="8">
        <v>90.44</v>
      </c>
      <c r="CF98" s="8">
        <v>90.44</v>
      </c>
      <c r="CG98" s="8">
        <v>96.96</v>
      </c>
      <c r="CH98" s="8">
        <v>98.94</v>
      </c>
      <c r="CI98" s="8">
        <v>102.11</v>
      </c>
      <c r="CJ98" s="8">
        <v>96.4</v>
      </c>
      <c r="CK98" s="8">
        <v>104.15</v>
      </c>
      <c r="CL98" s="8">
        <v>100.02</v>
      </c>
      <c r="CM98" s="8">
        <v>105.61</v>
      </c>
      <c r="CN98" s="8">
        <v>97.81</v>
      </c>
      <c r="CO98" s="8">
        <v>98.46</v>
      </c>
      <c r="CP98" s="8">
        <v>86.59</v>
      </c>
      <c r="CQ98" s="8">
        <v>85.54</v>
      </c>
      <c r="CR98" s="8">
        <v>98.34</v>
      </c>
      <c r="CS98" s="8">
        <v>97.54</v>
      </c>
      <c r="CT98" s="8">
        <v>97.08</v>
      </c>
      <c r="CU98" s="8">
        <v>97.08</v>
      </c>
      <c r="CV98" s="8">
        <v>98.52</v>
      </c>
      <c r="CW98" s="8">
        <v>98.52</v>
      </c>
      <c r="CX98" s="8">
        <v>97.87</v>
      </c>
      <c r="CY98" s="8">
        <v>98.64</v>
      </c>
      <c r="CZ98" s="8">
        <v>96.08</v>
      </c>
      <c r="DA98" s="8">
        <v>96.9</v>
      </c>
      <c r="DB98" s="8">
        <v>96.86</v>
      </c>
      <c r="DC98" s="8">
        <v>96.31</v>
      </c>
      <c r="DD98" s="8">
        <v>107.13</v>
      </c>
      <c r="DE98" s="8">
        <v>96.7</v>
      </c>
      <c r="DF98" s="8">
        <v>93.08</v>
      </c>
      <c r="DG98" s="8">
        <v>92.74</v>
      </c>
      <c r="DH98" s="8">
        <v>96.3</v>
      </c>
      <c r="DI98" s="8">
        <v>93.79</v>
      </c>
      <c r="DJ98" s="8">
        <v>93.79</v>
      </c>
      <c r="DK98" s="8">
        <v>99.02</v>
      </c>
      <c r="DL98" s="8">
        <v>102.83</v>
      </c>
      <c r="DM98" s="8">
        <v>98.46</v>
      </c>
      <c r="DN98" s="8">
        <v>90.99</v>
      </c>
      <c r="DO98" s="8">
        <v>103.68</v>
      </c>
      <c r="DP98" s="8">
        <v>100.62</v>
      </c>
      <c r="DQ98" s="8">
        <v>100.82</v>
      </c>
      <c r="DR98" s="8">
        <v>99.7</v>
      </c>
      <c r="DS98" s="8">
        <v>101.1</v>
      </c>
      <c r="DT98" s="8">
        <v>94.5</v>
      </c>
      <c r="DU98" s="8">
        <v>90.71</v>
      </c>
      <c r="DV98" s="8">
        <v>95.39</v>
      </c>
      <c r="DW98" s="8">
        <v>97.59</v>
      </c>
      <c r="DX98" s="8">
        <v>95.21</v>
      </c>
      <c r="DY98" s="8">
        <v>99.23</v>
      </c>
      <c r="DZ98" s="8">
        <v>99.4</v>
      </c>
      <c r="EA98" s="8">
        <v>97.74</v>
      </c>
      <c r="EB98" s="8">
        <v>94.21</v>
      </c>
      <c r="EC98" s="8">
        <v>93.55</v>
      </c>
      <c r="ED98" s="8">
        <v>99.74</v>
      </c>
      <c r="EE98" s="8">
        <v>96.98</v>
      </c>
      <c r="EF98" s="8">
        <v>96.98</v>
      </c>
      <c r="EG98" s="8">
        <v>100.64</v>
      </c>
      <c r="EH98" s="8">
        <v>99.17</v>
      </c>
      <c r="EI98" s="8">
        <v>92.5</v>
      </c>
      <c r="EJ98" s="8">
        <v>96.45</v>
      </c>
      <c r="EK98" s="8">
        <v>98.36</v>
      </c>
      <c r="EL98" s="8">
        <v>97.44</v>
      </c>
      <c r="EM98" s="8">
        <v>97.44</v>
      </c>
      <c r="EN98" s="8">
        <v>98.83</v>
      </c>
      <c r="EO98" s="8">
        <v>98.83</v>
      </c>
      <c r="EP98" s="8">
        <v>95.05</v>
      </c>
      <c r="EQ98" s="8">
        <v>99.01</v>
      </c>
      <c r="ER98" s="8">
        <v>101.53</v>
      </c>
      <c r="ES98" s="8">
        <v>97.29</v>
      </c>
      <c r="ET98" s="8">
        <v>101.85</v>
      </c>
      <c r="EU98" s="8">
        <v>91.76</v>
      </c>
      <c r="EV98" s="8">
        <v>95.92</v>
      </c>
      <c r="EW98" s="8">
        <v>101.8</v>
      </c>
      <c r="EX98" s="8">
        <v>94.19</v>
      </c>
      <c r="EY98" s="8">
        <v>105.71</v>
      </c>
      <c r="EZ98" s="8">
        <v>103.7</v>
      </c>
      <c r="FA98" s="8">
        <v>107.59</v>
      </c>
      <c r="FB98" s="8">
        <v>98.6</v>
      </c>
      <c r="FC98" s="8">
        <v>95.7</v>
      </c>
      <c r="FD98" s="8">
        <v>96.58</v>
      </c>
      <c r="FE98" s="8">
        <v>100.72</v>
      </c>
      <c r="FF98" s="8">
        <v>98.24</v>
      </c>
      <c r="FG98" s="8">
        <v>102.93</v>
      </c>
      <c r="FH98" s="8">
        <v>98.01</v>
      </c>
      <c r="FI98" s="8">
        <v>95.08</v>
      </c>
      <c r="FJ98" s="8">
        <v>95.08</v>
      </c>
      <c r="FK98" s="8">
        <v>94.96</v>
      </c>
      <c r="FL98" s="8">
        <v>94.56</v>
      </c>
      <c r="FM98" s="8">
        <v>96.44</v>
      </c>
      <c r="FN98" s="8">
        <v>99.17</v>
      </c>
      <c r="FO98" s="8">
        <v>97.64</v>
      </c>
      <c r="FP98" s="8">
        <v>97.64</v>
      </c>
      <c r="FQ98" s="8">
        <v>99.87</v>
      </c>
      <c r="FR98" s="8">
        <v>95.94</v>
      </c>
      <c r="FS98" s="8">
        <v>100.19</v>
      </c>
      <c r="FT98" s="8">
        <v>97.78</v>
      </c>
      <c r="FU98" s="8">
        <v>97.76</v>
      </c>
      <c r="FV98" s="8">
        <v>100.75</v>
      </c>
      <c r="FW98" s="8">
        <v>101.1</v>
      </c>
      <c r="FX98" s="8">
        <v>99.01</v>
      </c>
      <c r="FY98" s="8">
        <v>104.36</v>
      </c>
      <c r="FZ98" s="8">
        <v>102.55</v>
      </c>
      <c r="GA98" s="8">
        <v>97.32</v>
      </c>
      <c r="GB98" s="8">
        <v>93.15</v>
      </c>
      <c r="GC98" s="8">
        <v>99.27</v>
      </c>
      <c r="GD98" s="8">
        <v>88.45</v>
      </c>
      <c r="GE98" s="8">
        <v>100.58</v>
      </c>
      <c r="GF98" s="8">
        <v>100.88</v>
      </c>
      <c r="GG98" s="8">
        <v>99.79</v>
      </c>
      <c r="GH98" s="8">
        <v>98.04</v>
      </c>
      <c r="GI98" s="8">
        <v>97.51</v>
      </c>
      <c r="GJ98" s="8">
        <v>99.51</v>
      </c>
      <c r="GK98" s="8">
        <v>97.18</v>
      </c>
      <c r="GL98" s="8">
        <v>97.71</v>
      </c>
      <c r="GM98" s="8">
        <v>99.47</v>
      </c>
      <c r="GN98" s="8">
        <v>96.29</v>
      </c>
      <c r="GO98" s="8">
        <v>97.41</v>
      </c>
      <c r="GP98" s="8">
        <v>93.36</v>
      </c>
      <c r="GQ98" s="8">
        <v>97.54</v>
      </c>
      <c r="GR98" s="8">
        <v>98.67</v>
      </c>
      <c r="GS98" s="8">
        <v>99.24</v>
      </c>
      <c r="GT98" s="8">
        <v>95.2</v>
      </c>
      <c r="GU98" s="8">
        <v>101.66</v>
      </c>
      <c r="GV98" s="8">
        <v>95.81</v>
      </c>
      <c r="GW98" s="8">
        <v>90.3</v>
      </c>
      <c r="GX98" s="8">
        <v>97.67</v>
      </c>
      <c r="GY98" s="8">
        <v>97.67</v>
      </c>
      <c r="GZ98" s="8">
        <v>97.7</v>
      </c>
      <c r="HA98" s="8">
        <v>97.62</v>
      </c>
      <c r="HB98" s="8">
        <v>94.14</v>
      </c>
      <c r="HC98" s="8">
        <v>95.18</v>
      </c>
      <c r="HD98" s="8">
        <v>96.74</v>
      </c>
      <c r="HE98" s="8">
        <v>92.32</v>
      </c>
      <c r="HF98" s="8">
        <v>96.68</v>
      </c>
      <c r="HG98" s="8">
        <v>90.58</v>
      </c>
      <c r="HH98" s="8">
        <v>90.58</v>
      </c>
      <c r="HI98" s="8">
        <v>97.43</v>
      </c>
      <c r="HJ98" s="8">
        <v>100.79</v>
      </c>
      <c r="HK98" s="8">
        <v>99.63</v>
      </c>
      <c r="HL98" s="8">
        <v>100.31</v>
      </c>
      <c r="HM98" s="8">
        <v>106.07</v>
      </c>
      <c r="HN98" s="8">
        <v>96.62</v>
      </c>
      <c r="HO98" s="8">
        <v>103.65</v>
      </c>
      <c r="HP98" s="8">
        <v>90.29</v>
      </c>
      <c r="HQ98" s="8">
        <v>106.06</v>
      </c>
      <c r="HR98" s="8">
        <v>88.77</v>
      </c>
      <c r="HS98" s="8">
        <v>87.18</v>
      </c>
      <c r="HT98" s="8">
        <v>98.92</v>
      </c>
      <c r="HU98" s="8">
        <v>97.11</v>
      </c>
      <c r="HV98" s="8">
        <v>99.37</v>
      </c>
      <c r="HW98" s="8">
        <v>99.37</v>
      </c>
      <c r="HX98" s="8">
        <v>99.76</v>
      </c>
      <c r="HY98" s="8">
        <v>99.76</v>
      </c>
      <c r="HZ98" s="8">
        <v>95.5</v>
      </c>
      <c r="IA98" s="8">
        <v>97.78</v>
      </c>
      <c r="IB98" s="8">
        <v>92.96</v>
      </c>
      <c r="IC98" s="8">
        <v>91.96</v>
      </c>
      <c r="ID98" s="8">
        <v>92.8</v>
      </c>
      <c r="IE98" s="8">
        <v>87.66</v>
      </c>
      <c r="IF98" s="8">
        <v>98.44</v>
      </c>
      <c r="IG98" s="8">
        <v>96.85</v>
      </c>
      <c r="IH98" s="8">
        <v>96.38</v>
      </c>
      <c r="II98" s="8">
        <v>96</v>
      </c>
      <c r="IJ98" s="8">
        <v>98.49</v>
      </c>
      <c r="IK98" s="8">
        <v>92.26</v>
      </c>
      <c r="IL98" s="8">
        <v>92.26</v>
      </c>
      <c r="IM98" s="8">
        <v>98.95</v>
      </c>
      <c r="IN98" s="8">
        <v>99.95</v>
      </c>
      <c r="IO98" s="8">
        <v>96.35</v>
      </c>
      <c r="IP98" s="8">
        <v>91.39</v>
      </c>
      <c r="IQ98" s="8">
        <v>109.19</v>
      </c>
    </row>
    <row r="99" spans="1:251" x14ac:dyDescent="0.2">
      <c r="A99" s="9">
        <v>45658</v>
      </c>
      <c r="B99" s="8">
        <v>96.38</v>
      </c>
      <c r="C99" s="8">
        <v>100.73</v>
      </c>
      <c r="D99" s="8">
        <v>100.81</v>
      </c>
      <c r="E99" s="8">
        <v>100.12</v>
      </c>
      <c r="F99" s="8">
        <v>98.6</v>
      </c>
      <c r="G99" s="8">
        <v>105.49</v>
      </c>
      <c r="H99" s="8">
        <v>96.03</v>
      </c>
      <c r="I99" s="8">
        <v>97.19</v>
      </c>
      <c r="J99" s="8">
        <v>96.67</v>
      </c>
      <c r="K99" s="8">
        <v>96.67</v>
      </c>
      <c r="L99" s="8">
        <v>98.24</v>
      </c>
      <c r="M99" s="8">
        <v>98.24</v>
      </c>
      <c r="N99" s="8">
        <v>95.03</v>
      </c>
      <c r="O99" s="8">
        <v>98.42</v>
      </c>
      <c r="P99" s="8">
        <v>98.98</v>
      </c>
      <c r="Q99" s="8">
        <v>93.56</v>
      </c>
      <c r="R99" s="8">
        <v>95.39</v>
      </c>
      <c r="S99" s="8">
        <v>91.52</v>
      </c>
      <c r="T99" s="8">
        <v>92.15</v>
      </c>
      <c r="U99" s="8">
        <v>100.48</v>
      </c>
      <c r="V99" s="8">
        <v>89.58</v>
      </c>
      <c r="W99" s="8">
        <v>101.39</v>
      </c>
      <c r="X99" s="8">
        <v>108.93</v>
      </c>
      <c r="Y99" s="8">
        <v>92.44</v>
      </c>
      <c r="Z99" s="8">
        <v>99.98</v>
      </c>
      <c r="AA99" s="8">
        <v>99.82</v>
      </c>
      <c r="AB99" s="8">
        <v>102.29</v>
      </c>
      <c r="AC99" s="8">
        <v>102.72</v>
      </c>
      <c r="AD99" s="8">
        <v>97.84</v>
      </c>
      <c r="AE99" s="8">
        <v>96.8</v>
      </c>
      <c r="AF99" s="8">
        <v>101.57</v>
      </c>
      <c r="AG99" s="8">
        <v>95.72</v>
      </c>
      <c r="AH99" s="8">
        <v>95.72</v>
      </c>
      <c r="AI99" s="8">
        <v>95.13</v>
      </c>
      <c r="AJ99" s="8">
        <v>95.6</v>
      </c>
      <c r="AK99" s="8">
        <v>96.15</v>
      </c>
      <c r="AL99" s="8">
        <v>97.41</v>
      </c>
      <c r="AM99" s="8">
        <v>98.77</v>
      </c>
      <c r="AN99" s="8">
        <v>98.77</v>
      </c>
      <c r="AO99" s="8">
        <v>96.5</v>
      </c>
      <c r="AP99" s="8">
        <v>95.99</v>
      </c>
      <c r="AQ99" s="8">
        <v>96.64</v>
      </c>
      <c r="AR99" s="8">
        <v>97.76</v>
      </c>
      <c r="AS99" s="8">
        <v>98.44</v>
      </c>
      <c r="AT99" s="8">
        <v>101.49</v>
      </c>
      <c r="AU99" s="8">
        <v>101.17</v>
      </c>
      <c r="AV99" s="8">
        <v>101.8</v>
      </c>
      <c r="AW99" s="8">
        <v>103.03</v>
      </c>
      <c r="AX99" s="8">
        <v>100.97</v>
      </c>
      <c r="AY99" s="8">
        <v>97.97</v>
      </c>
      <c r="AZ99" s="8">
        <v>95.2</v>
      </c>
      <c r="BA99" s="8">
        <v>99.89</v>
      </c>
      <c r="BB99" s="8">
        <v>88.09</v>
      </c>
      <c r="BC99" s="8">
        <v>102.25</v>
      </c>
      <c r="BD99" s="8">
        <v>101.49</v>
      </c>
      <c r="BE99" s="8">
        <v>100.42</v>
      </c>
      <c r="BF99" s="8">
        <v>97.93</v>
      </c>
      <c r="BG99" s="8">
        <v>97.75</v>
      </c>
      <c r="BH99" s="8">
        <v>99.86</v>
      </c>
      <c r="BI99" s="8">
        <v>96.19</v>
      </c>
      <c r="BJ99" s="8">
        <v>100.58</v>
      </c>
      <c r="BK99" s="8">
        <v>102.73</v>
      </c>
      <c r="BL99" s="8">
        <v>98.91</v>
      </c>
      <c r="BM99" s="8">
        <v>99.06</v>
      </c>
      <c r="BN99" s="8">
        <v>89.71</v>
      </c>
      <c r="BO99" s="8">
        <v>96.56</v>
      </c>
      <c r="BP99" s="8">
        <v>100.84</v>
      </c>
      <c r="BQ99" s="8">
        <v>101.14</v>
      </c>
      <c r="BR99" s="8">
        <v>98.03</v>
      </c>
      <c r="BS99" s="8">
        <v>101.38</v>
      </c>
      <c r="BT99" s="8">
        <v>98.18</v>
      </c>
      <c r="BU99" s="8">
        <v>88.85</v>
      </c>
      <c r="BV99" s="8">
        <v>99.81</v>
      </c>
      <c r="BW99" s="8">
        <v>97.3</v>
      </c>
      <c r="BX99" s="8">
        <v>98.25</v>
      </c>
      <c r="BY99" s="8">
        <v>96.56</v>
      </c>
      <c r="BZ99" s="8">
        <v>96.78</v>
      </c>
      <c r="CA99" s="8">
        <v>99.36</v>
      </c>
      <c r="CB99" s="8">
        <v>97.78</v>
      </c>
      <c r="CC99" s="8">
        <v>105.75</v>
      </c>
      <c r="CD99" s="8">
        <v>97.16</v>
      </c>
      <c r="CE99" s="8">
        <v>90.72</v>
      </c>
      <c r="CF99" s="8">
        <v>90.72</v>
      </c>
      <c r="CG99" s="8">
        <v>97.39</v>
      </c>
      <c r="CH99" s="8">
        <v>98.83</v>
      </c>
      <c r="CI99" s="8">
        <v>100.97</v>
      </c>
      <c r="CJ99" s="8">
        <v>97.17</v>
      </c>
      <c r="CK99" s="8">
        <v>102.09</v>
      </c>
      <c r="CL99" s="8">
        <v>97.25</v>
      </c>
      <c r="CM99" s="8">
        <v>100.03</v>
      </c>
      <c r="CN99" s="8">
        <v>94.74</v>
      </c>
      <c r="CO99" s="8">
        <v>101.28</v>
      </c>
      <c r="CP99" s="8">
        <v>91.93</v>
      </c>
      <c r="CQ99" s="8">
        <v>91.38</v>
      </c>
      <c r="CR99" s="8">
        <v>98.12</v>
      </c>
      <c r="CS99" s="8">
        <v>97.75</v>
      </c>
      <c r="CT99" s="8">
        <v>97.35</v>
      </c>
      <c r="CU99" s="8">
        <v>97.35</v>
      </c>
      <c r="CV99" s="8">
        <v>98.47</v>
      </c>
      <c r="CW99" s="8">
        <v>98.47</v>
      </c>
      <c r="CX99" s="8">
        <v>98.36</v>
      </c>
      <c r="CY99" s="8">
        <v>99.35</v>
      </c>
      <c r="CZ99" s="8">
        <v>96.08</v>
      </c>
      <c r="DA99" s="8">
        <v>96.98</v>
      </c>
      <c r="DB99" s="8">
        <v>96.86</v>
      </c>
      <c r="DC99" s="8">
        <v>96.31</v>
      </c>
      <c r="DD99" s="8">
        <v>109.1</v>
      </c>
      <c r="DE99" s="8">
        <v>97.74</v>
      </c>
      <c r="DF99" s="8">
        <v>94.82</v>
      </c>
      <c r="DG99" s="8">
        <v>94.67</v>
      </c>
      <c r="DH99" s="8">
        <v>96.3</v>
      </c>
      <c r="DI99" s="8">
        <v>93.53</v>
      </c>
      <c r="DJ99" s="8">
        <v>93.53</v>
      </c>
      <c r="DK99" s="8">
        <v>103.09</v>
      </c>
      <c r="DL99" s="8">
        <v>100.93</v>
      </c>
      <c r="DM99" s="8">
        <v>100.46</v>
      </c>
      <c r="DN99" s="8">
        <v>105.99</v>
      </c>
      <c r="DO99" s="8">
        <v>103.81</v>
      </c>
      <c r="DP99" s="8">
        <v>100.18</v>
      </c>
      <c r="DQ99" s="8">
        <v>99.59</v>
      </c>
      <c r="DR99" s="8">
        <v>100.64</v>
      </c>
      <c r="DS99" s="8">
        <v>100.04</v>
      </c>
      <c r="DT99" s="8">
        <v>94.44</v>
      </c>
      <c r="DU99" s="8">
        <v>90.53</v>
      </c>
      <c r="DV99" s="8">
        <v>95.39</v>
      </c>
      <c r="DW99" s="8">
        <v>97.59</v>
      </c>
      <c r="DX99" s="8">
        <v>98.37</v>
      </c>
      <c r="DY99" s="8">
        <v>102.44</v>
      </c>
      <c r="DZ99" s="8">
        <v>102.94</v>
      </c>
      <c r="EA99" s="8">
        <v>98.14</v>
      </c>
      <c r="EB99" s="8">
        <v>97.35</v>
      </c>
      <c r="EC99" s="8">
        <v>97.12</v>
      </c>
      <c r="ED99" s="8">
        <v>99.3</v>
      </c>
      <c r="EE99" s="8">
        <v>98.83</v>
      </c>
      <c r="EF99" s="8">
        <v>98.85</v>
      </c>
      <c r="EG99" s="8">
        <v>100.5</v>
      </c>
      <c r="EH99" s="8">
        <v>100.86</v>
      </c>
      <c r="EI99" s="8">
        <v>97.23</v>
      </c>
      <c r="EJ99" s="8">
        <v>96.75</v>
      </c>
      <c r="EK99" s="8">
        <v>98.33</v>
      </c>
      <c r="EL99" s="8">
        <v>97.44</v>
      </c>
      <c r="EM99" s="8">
        <v>97.44</v>
      </c>
      <c r="EN99" s="8">
        <v>98.47</v>
      </c>
      <c r="EO99" s="8">
        <v>98.47</v>
      </c>
      <c r="EP99" s="8">
        <v>95.03</v>
      </c>
      <c r="EQ99" s="8">
        <v>98.64</v>
      </c>
      <c r="ER99" s="8">
        <v>96.29</v>
      </c>
      <c r="ES99" s="8">
        <v>94.2</v>
      </c>
      <c r="ET99" s="8">
        <v>96.24</v>
      </c>
      <c r="EU99" s="8">
        <v>91.73</v>
      </c>
      <c r="EV99" s="8">
        <v>94.08</v>
      </c>
      <c r="EW99" s="8">
        <v>104.06</v>
      </c>
      <c r="EX99" s="8">
        <v>91.14</v>
      </c>
      <c r="EY99" s="8">
        <v>94.65</v>
      </c>
      <c r="EZ99" s="8">
        <v>100.03</v>
      </c>
      <c r="FA99" s="8">
        <v>89.62</v>
      </c>
      <c r="FB99" s="8">
        <v>100.04</v>
      </c>
      <c r="FC99" s="8">
        <v>96.73</v>
      </c>
      <c r="FD99" s="8">
        <v>103.42</v>
      </c>
      <c r="FE99" s="8">
        <v>102.37</v>
      </c>
      <c r="FF99" s="8">
        <v>98.3</v>
      </c>
      <c r="FG99" s="8">
        <v>102.93</v>
      </c>
      <c r="FH99" s="8">
        <v>98.01</v>
      </c>
      <c r="FI99" s="8">
        <v>95.08</v>
      </c>
      <c r="FJ99" s="8">
        <v>95.08</v>
      </c>
      <c r="FK99" s="8">
        <v>94.95</v>
      </c>
      <c r="FL99" s="8">
        <v>94.56</v>
      </c>
      <c r="FM99" s="8">
        <v>96.44</v>
      </c>
      <c r="FN99" s="8">
        <v>99.54</v>
      </c>
      <c r="FO99" s="8">
        <v>98.82</v>
      </c>
      <c r="FP99" s="8">
        <v>98.82</v>
      </c>
      <c r="FQ99" s="8">
        <v>99.88</v>
      </c>
      <c r="FR99" s="8">
        <v>95.99</v>
      </c>
      <c r="FS99" s="8">
        <v>100.19</v>
      </c>
      <c r="FT99" s="8">
        <v>97.94</v>
      </c>
      <c r="FU99" s="8">
        <v>98.66</v>
      </c>
      <c r="FV99" s="8">
        <v>101.52</v>
      </c>
      <c r="FW99" s="8">
        <v>101.34</v>
      </c>
      <c r="FX99" s="8">
        <v>101.44</v>
      </c>
      <c r="FY99" s="8">
        <v>103.2</v>
      </c>
      <c r="FZ99" s="8">
        <v>101.51</v>
      </c>
      <c r="GA99" s="8">
        <v>98.71</v>
      </c>
      <c r="GB99" s="8">
        <v>95.01</v>
      </c>
      <c r="GC99" s="8">
        <v>100.45</v>
      </c>
      <c r="GD99" s="8">
        <v>90.2</v>
      </c>
      <c r="GE99" s="8">
        <v>102.7</v>
      </c>
      <c r="GF99" s="8">
        <v>101.56</v>
      </c>
      <c r="GG99" s="8">
        <v>100.14</v>
      </c>
      <c r="GH99" s="8">
        <v>98.21</v>
      </c>
      <c r="GI99" s="8">
        <v>97.46</v>
      </c>
      <c r="GJ99" s="8">
        <v>100.47</v>
      </c>
      <c r="GK99" s="8">
        <v>96.8</v>
      </c>
      <c r="GL99" s="8">
        <v>100.9</v>
      </c>
      <c r="GM99" s="8">
        <v>101.82</v>
      </c>
      <c r="GN99" s="8">
        <v>100.16</v>
      </c>
      <c r="GO99" s="8">
        <v>98.97</v>
      </c>
      <c r="GP99" s="8">
        <v>93.9</v>
      </c>
      <c r="GQ99" s="8">
        <v>97.66</v>
      </c>
      <c r="GR99" s="8">
        <v>100.22</v>
      </c>
      <c r="GS99" s="8">
        <v>100.5</v>
      </c>
      <c r="GT99" s="8">
        <v>98.06</v>
      </c>
      <c r="GU99" s="8">
        <v>101.21</v>
      </c>
      <c r="GV99" s="8">
        <v>96.64</v>
      </c>
      <c r="GW99" s="8">
        <v>89.09</v>
      </c>
      <c r="GX99" s="8">
        <v>99.2</v>
      </c>
      <c r="GY99" s="8">
        <v>97.72</v>
      </c>
      <c r="GZ99" s="8">
        <v>97.54</v>
      </c>
      <c r="HA99" s="8">
        <v>97.98</v>
      </c>
      <c r="HB99" s="8">
        <v>96.51</v>
      </c>
      <c r="HC99" s="8">
        <v>98.1</v>
      </c>
      <c r="HD99" s="8">
        <v>98.23</v>
      </c>
      <c r="HE99" s="8">
        <v>98.58</v>
      </c>
      <c r="HF99" s="8">
        <v>97.67</v>
      </c>
      <c r="HG99" s="8">
        <v>91.09</v>
      </c>
      <c r="HH99" s="8">
        <v>91.09</v>
      </c>
      <c r="HI99" s="8">
        <v>97.74</v>
      </c>
      <c r="HJ99" s="8">
        <v>99.93</v>
      </c>
      <c r="HK99" s="8">
        <v>99.38</v>
      </c>
      <c r="HL99" s="8">
        <v>99.44</v>
      </c>
      <c r="HM99" s="8">
        <v>103.59</v>
      </c>
      <c r="HN99" s="8">
        <v>95.6</v>
      </c>
      <c r="HO99" s="8">
        <v>100.04</v>
      </c>
      <c r="HP99" s="8">
        <v>90.24</v>
      </c>
      <c r="HQ99" s="8">
        <v>105.44</v>
      </c>
      <c r="HR99" s="8">
        <v>93.52</v>
      </c>
      <c r="HS99" s="8">
        <v>92.68</v>
      </c>
      <c r="HT99" s="8">
        <v>98.92</v>
      </c>
      <c r="HU99" s="8">
        <v>96.74</v>
      </c>
      <c r="HV99" s="8">
        <v>99.47</v>
      </c>
      <c r="HW99" s="8">
        <v>99.47</v>
      </c>
      <c r="HX99" s="8">
        <v>98.21</v>
      </c>
      <c r="HY99" s="8">
        <v>98.21</v>
      </c>
      <c r="HZ99" s="8">
        <v>95.84</v>
      </c>
      <c r="IA99" s="8">
        <v>98.41</v>
      </c>
      <c r="IB99" s="8">
        <v>92.96</v>
      </c>
      <c r="IC99" s="8">
        <v>91.96</v>
      </c>
      <c r="ID99" s="8">
        <v>92.8</v>
      </c>
      <c r="IE99" s="8">
        <v>87.66</v>
      </c>
      <c r="IF99" s="8">
        <v>98.44</v>
      </c>
      <c r="IG99" s="8">
        <v>97.13</v>
      </c>
      <c r="IH99" s="8">
        <v>96.18</v>
      </c>
      <c r="II99" s="8">
        <v>96</v>
      </c>
      <c r="IJ99" s="8">
        <v>97.16</v>
      </c>
      <c r="IK99" s="8">
        <v>91.15</v>
      </c>
      <c r="IL99" s="8">
        <v>91.15</v>
      </c>
      <c r="IM99" s="8">
        <v>101.74</v>
      </c>
      <c r="IN99" s="8">
        <v>99.41</v>
      </c>
      <c r="IO99" s="8">
        <v>100.53</v>
      </c>
      <c r="IP99" s="8">
        <v>98.59</v>
      </c>
      <c r="IQ99" s="8">
        <v>108.57</v>
      </c>
    </row>
    <row r="100" spans="1:251" x14ac:dyDescent="0.2">
      <c r="A100" s="9">
        <v>45689</v>
      </c>
      <c r="B100" s="8">
        <v>97.35</v>
      </c>
      <c r="C100" s="8">
        <v>99.39</v>
      </c>
      <c r="D100" s="8">
        <v>99.39</v>
      </c>
      <c r="E100" s="8">
        <v>100.36</v>
      </c>
      <c r="F100" s="8">
        <v>99.39</v>
      </c>
      <c r="G100" s="8">
        <v>100.72</v>
      </c>
      <c r="H100" s="8">
        <v>96.39</v>
      </c>
      <c r="I100" s="8">
        <v>97.19</v>
      </c>
      <c r="J100" s="8">
        <v>99.8</v>
      </c>
      <c r="K100" s="8">
        <v>99.8</v>
      </c>
      <c r="L100" s="8">
        <v>99.02</v>
      </c>
      <c r="M100" s="8">
        <v>99.02</v>
      </c>
      <c r="N100" s="8">
        <v>96.36</v>
      </c>
      <c r="O100" s="8">
        <v>99.18</v>
      </c>
      <c r="P100" s="8">
        <v>96.3</v>
      </c>
      <c r="Q100" s="8">
        <v>94.13</v>
      </c>
      <c r="R100" s="8">
        <v>95.64</v>
      </c>
      <c r="S100" s="8">
        <v>92.45</v>
      </c>
      <c r="T100" s="8">
        <v>93.34</v>
      </c>
      <c r="U100" s="8">
        <v>103.62</v>
      </c>
      <c r="V100" s="8">
        <v>90.17</v>
      </c>
      <c r="W100" s="8">
        <v>94.76</v>
      </c>
      <c r="X100" s="8">
        <v>100.29</v>
      </c>
      <c r="Y100" s="8">
        <v>88.19</v>
      </c>
      <c r="Z100" s="8">
        <v>99.89</v>
      </c>
      <c r="AA100" s="8">
        <v>99.17</v>
      </c>
      <c r="AB100" s="8">
        <v>101.39</v>
      </c>
      <c r="AC100" s="8">
        <v>100.8</v>
      </c>
      <c r="AD100" s="8">
        <v>97.59</v>
      </c>
      <c r="AE100" s="8">
        <v>98.22</v>
      </c>
      <c r="AF100" s="8">
        <v>102.6</v>
      </c>
      <c r="AG100" s="8">
        <v>100</v>
      </c>
      <c r="AH100" s="8">
        <v>100</v>
      </c>
      <c r="AI100" s="8">
        <v>99.98</v>
      </c>
      <c r="AJ100" s="8">
        <v>100</v>
      </c>
      <c r="AK100" s="8">
        <v>100</v>
      </c>
      <c r="AL100" s="8">
        <v>97.52</v>
      </c>
      <c r="AM100" s="8">
        <v>98.94</v>
      </c>
      <c r="AN100" s="8">
        <v>98.94</v>
      </c>
      <c r="AO100" s="8">
        <v>96.57</v>
      </c>
      <c r="AP100" s="8">
        <v>96.32</v>
      </c>
      <c r="AQ100" s="8">
        <v>96.64</v>
      </c>
      <c r="AR100" s="8">
        <v>97.82</v>
      </c>
      <c r="AS100" s="8">
        <v>98.35</v>
      </c>
      <c r="AT100" s="8">
        <v>100.31</v>
      </c>
      <c r="AU100" s="8">
        <v>101.08</v>
      </c>
      <c r="AV100" s="8">
        <v>99.38</v>
      </c>
      <c r="AW100" s="8">
        <v>100.01</v>
      </c>
      <c r="AX100" s="8">
        <v>100.76</v>
      </c>
      <c r="AY100" s="8">
        <v>97.81</v>
      </c>
      <c r="AZ100" s="8">
        <v>93.84</v>
      </c>
      <c r="BA100" s="8">
        <v>100.05</v>
      </c>
      <c r="BB100" s="8">
        <v>88.53</v>
      </c>
      <c r="BC100" s="8">
        <v>102.29</v>
      </c>
      <c r="BD100" s="8">
        <v>102.47</v>
      </c>
      <c r="BE100" s="8">
        <v>99.62</v>
      </c>
      <c r="BF100" s="8">
        <v>97.18</v>
      </c>
      <c r="BG100" s="8">
        <v>97.06</v>
      </c>
      <c r="BH100" s="8">
        <v>99.62</v>
      </c>
      <c r="BI100" s="8">
        <v>94.79</v>
      </c>
      <c r="BJ100" s="8">
        <v>100.7</v>
      </c>
      <c r="BK100" s="8">
        <v>103.68</v>
      </c>
      <c r="BL100" s="8">
        <v>98.38</v>
      </c>
      <c r="BM100" s="8">
        <v>97.73</v>
      </c>
      <c r="BN100" s="8">
        <v>89.92</v>
      </c>
      <c r="BO100" s="8">
        <v>95.99</v>
      </c>
      <c r="BP100" s="8">
        <v>100.03</v>
      </c>
      <c r="BQ100" s="8">
        <v>100.9</v>
      </c>
      <c r="BR100" s="8">
        <v>95.29</v>
      </c>
      <c r="BS100" s="8">
        <v>100.82</v>
      </c>
      <c r="BT100" s="8">
        <v>100.47</v>
      </c>
      <c r="BU100" s="8">
        <v>90.42</v>
      </c>
      <c r="BV100" s="8">
        <v>102.21</v>
      </c>
      <c r="BW100" s="8">
        <v>97.35</v>
      </c>
      <c r="BX100" s="8">
        <v>98.25</v>
      </c>
      <c r="BY100" s="8">
        <v>96.66</v>
      </c>
      <c r="BZ100" s="8">
        <v>97.6</v>
      </c>
      <c r="CA100" s="8">
        <v>100.31</v>
      </c>
      <c r="CB100" s="8">
        <v>98.65</v>
      </c>
      <c r="CC100" s="8">
        <v>105.37</v>
      </c>
      <c r="CD100" s="8">
        <v>98.67</v>
      </c>
      <c r="CE100" s="8">
        <v>91.25</v>
      </c>
      <c r="CF100" s="8">
        <v>91.25</v>
      </c>
      <c r="CG100" s="8">
        <v>99.94</v>
      </c>
      <c r="CH100" s="8">
        <v>101.01</v>
      </c>
      <c r="CI100" s="8">
        <v>103.51</v>
      </c>
      <c r="CJ100" s="8">
        <v>99.27</v>
      </c>
      <c r="CK100" s="8">
        <v>103.9</v>
      </c>
      <c r="CL100" s="8">
        <v>101.87</v>
      </c>
      <c r="CM100" s="8">
        <v>105.21</v>
      </c>
      <c r="CN100" s="8">
        <v>100.18</v>
      </c>
      <c r="CO100" s="8">
        <v>102.18</v>
      </c>
      <c r="CP100" s="8">
        <v>94.08</v>
      </c>
      <c r="CQ100" s="8">
        <v>93.71</v>
      </c>
      <c r="CR100" s="8">
        <v>98.12</v>
      </c>
      <c r="CS100" s="8">
        <v>97.93</v>
      </c>
      <c r="CT100" s="8">
        <v>97.87</v>
      </c>
      <c r="CU100" s="8">
        <v>97.87</v>
      </c>
      <c r="CV100" s="8">
        <v>98.51</v>
      </c>
      <c r="CW100" s="8">
        <v>98.51</v>
      </c>
      <c r="CX100" s="8">
        <v>98.23</v>
      </c>
      <c r="CY100" s="8">
        <v>99.16</v>
      </c>
      <c r="CZ100" s="8">
        <v>96.08</v>
      </c>
      <c r="DA100" s="8">
        <v>96.98</v>
      </c>
      <c r="DB100" s="8">
        <v>96.86</v>
      </c>
      <c r="DC100" s="8">
        <v>96.31</v>
      </c>
      <c r="DD100" s="8">
        <v>109.1</v>
      </c>
      <c r="DE100" s="8">
        <v>97.28</v>
      </c>
      <c r="DF100" s="8">
        <v>94.49</v>
      </c>
      <c r="DG100" s="8">
        <v>94.33</v>
      </c>
      <c r="DH100" s="8">
        <v>95.98</v>
      </c>
      <c r="DI100" s="8">
        <v>98.33</v>
      </c>
      <c r="DJ100" s="8">
        <v>98.33</v>
      </c>
      <c r="DK100" s="8">
        <v>99.79</v>
      </c>
      <c r="DL100" s="8">
        <v>100.85</v>
      </c>
      <c r="DM100" s="8">
        <v>99.56</v>
      </c>
      <c r="DN100" s="8">
        <v>95.34</v>
      </c>
      <c r="DO100" s="8">
        <v>103.34</v>
      </c>
      <c r="DP100" s="8">
        <v>99.88</v>
      </c>
      <c r="DQ100" s="8">
        <v>99.57</v>
      </c>
      <c r="DR100" s="8">
        <v>99.99</v>
      </c>
      <c r="DS100" s="8">
        <v>99.88</v>
      </c>
      <c r="DT100" s="8">
        <v>94.92</v>
      </c>
      <c r="DU100" s="8">
        <v>90.96</v>
      </c>
      <c r="DV100" s="8">
        <v>97.23</v>
      </c>
      <c r="DW100" s="8">
        <v>96.93</v>
      </c>
      <c r="DX100" s="8">
        <v>97.49</v>
      </c>
      <c r="DY100" s="8">
        <v>103.19</v>
      </c>
      <c r="DZ100" s="8">
        <v>103.77</v>
      </c>
      <c r="EA100" s="8">
        <v>98.14</v>
      </c>
      <c r="EB100" s="8">
        <v>96.07</v>
      </c>
      <c r="EC100" s="8">
        <v>95.69</v>
      </c>
      <c r="ED100" s="8">
        <v>99.3</v>
      </c>
      <c r="EE100" s="8">
        <v>98.94</v>
      </c>
      <c r="EF100" s="8">
        <v>98.96</v>
      </c>
      <c r="EG100" s="8">
        <v>100.56</v>
      </c>
      <c r="EH100" s="8">
        <v>99.75</v>
      </c>
      <c r="EI100" s="8">
        <v>97.65</v>
      </c>
      <c r="EJ100" s="8">
        <v>98</v>
      </c>
      <c r="EK100" s="8">
        <v>98.31</v>
      </c>
      <c r="EL100" s="8">
        <v>97.44</v>
      </c>
      <c r="EM100" s="8">
        <v>97.44</v>
      </c>
      <c r="EN100" s="8">
        <v>99.15</v>
      </c>
      <c r="EO100" s="8">
        <v>99.15</v>
      </c>
      <c r="EP100" s="8">
        <v>96.36</v>
      </c>
      <c r="EQ100" s="8">
        <v>99.28</v>
      </c>
      <c r="ER100" s="8">
        <v>94.62</v>
      </c>
      <c r="ES100" s="8">
        <v>95.31</v>
      </c>
      <c r="ET100" s="8">
        <v>98</v>
      </c>
      <c r="EU100" s="8">
        <v>92.06</v>
      </c>
      <c r="EV100" s="8">
        <v>96.23</v>
      </c>
      <c r="EW100" s="8">
        <v>102.56</v>
      </c>
      <c r="EX100" s="8">
        <v>94.37</v>
      </c>
      <c r="EY100" s="8">
        <v>90.81</v>
      </c>
      <c r="EZ100" s="8">
        <v>93.79</v>
      </c>
      <c r="FA100" s="8">
        <v>88.01</v>
      </c>
      <c r="FB100" s="8">
        <v>99.46</v>
      </c>
      <c r="FC100" s="8">
        <v>95.97</v>
      </c>
      <c r="FD100" s="8">
        <v>102.37</v>
      </c>
      <c r="FE100" s="8">
        <v>100.69</v>
      </c>
      <c r="FF100" s="8">
        <v>98.3</v>
      </c>
      <c r="FG100" s="8">
        <v>102.93</v>
      </c>
      <c r="FH100" s="8">
        <v>98.01</v>
      </c>
      <c r="FI100" s="8">
        <v>99.86</v>
      </c>
      <c r="FJ100" s="8">
        <v>99.86</v>
      </c>
      <c r="FK100" s="8">
        <v>99.33</v>
      </c>
      <c r="FL100" s="8">
        <v>100</v>
      </c>
      <c r="FM100" s="8">
        <v>100</v>
      </c>
      <c r="FN100" s="8">
        <v>99.64</v>
      </c>
      <c r="FO100" s="8">
        <v>99.06</v>
      </c>
      <c r="FP100" s="8">
        <v>99.06</v>
      </c>
      <c r="FQ100" s="8">
        <v>99.9</v>
      </c>
      <c r="FR100" s="8">
        <v>96.32</v>
      </c>
      <c r="FS100" s="8">
        <v>100.19</v>
      </c>
      <c r="FT100" s="8">
        <v>97.97</v>
      </c>
      <c r="FU100" s="8">
        <v>98.33</v>
      </c>
      <c r="FV100" s="8">
        <v>100.06</v>
      </c>
      <c r="FW100" s="8">
        <v>100.98</v>
      </c>
      <c r="FX100" s="8">
        <v>99.06</v>
      </c>
      <c r="FY100" s="8">
        <v>100.1</v>
      </c>
      <c r="FZ100" s="8">
        <v>100.09</v>
      </c>
      <c r="GA100" s="8">
        <v>98.52</v>
      </c>
      <c r="GB100" s="8">
        <v>93.85</v>
      </c>
      <c r="GC100" s="8">
        <v>100.84</v>
      </c>
      <c r="GD100" s="8">
        <v>90.89</v>
      </c>
      <c r="GE100" s="8">
        <v>102.46</v>
      </c>
      <c r="GF100" s="8">
        <v>101.97</v>
      </c>
      <c r="GG100" s="8">
        <v>99.45</v>
      </c>
      <c r="GH100" s="8">
        <v>97.42</v>
      </c>
      <c r="GI100" s="8">
        <v>96.73</v>
      </c>
      <c r="GJ100" s="8">
        <v>100.14</v>
      </c>
      <c r="GK100" s="8">
        <v>95.46</v>
      </c>
      <c r="GL100" s="8">
        <v>100.11</v>
      </c>
      <c r="GM100" s="8">
        <v>100.24</v>
      </c>
      <c r="GN100" s="8">
        <v>100.01</v>
      </c>
      <c r="GO100" s="8">
        <v>97.5</v>
      </c>
      <c r="GP100" s="8">
        <v>93.91</v>
      </c>
      <c r="GQ100" s="8">
        <v>97.08</v>
      </c>
      <c r="GR100" s="8">
        <v>99.56</v>
      </c>
      <c r="GS100" s="8">
        <v>100.39</v>
      </c>
      <c r="GT100" s="8">
        <v>95.14</v>
      </c>
      <c r="GU100" s="8">
        <v>100.71</v>
      </c>
      <c r="GV100" s="8">
        <v>98.65</v>
      </c>
      <c r="GW100" s="8">
        <v>90.13</v>
      </c>
      <c r="GX100" s="8">
        <v>101.53</v>
      </c>
      <c r="GY100" s="8">
        <v>97.76</v>
      </c>
      <c r="GZ100" s="8">
        <v>97.54</v>
      </c>
      <c r="HA100" s="8">
        <v>98.08</v>
      </c>
      <c r="HB100" s="8">
        <v>96.5</v>
      </c>
      <c r="HC100" s="8">
        <v>97.91</v>
      </c>
      <c r="HD100" s="8">
        <v>100.69</v>
      </c>
      <c r="HE100" s="8">
        <v>95.31</v>
      </c>
      <c r="HF100" s="8">
        <v>98.63</v>
      </c>
      <c r="HG100" s="8">
        <v>91.66</v>
      </c>
      <c r="HH100" s="8">
        <v>91.66</v>
      </c>
      <c r="HI100" s="8">
        <v>100.82</v>
      </c>
      <c r="HJ100" s="8">
        <v>103.37</v>
      </c>
      <c r="HK100" s="8">
        <v>103.08</v>
      </c>
      <c r="HL100" s="8">
        <v>103.29</v>
      </c>
      <c r="HM100" s="8">
        <v>104.55</v>
      </c>
      <c r="HN100" s="8">
        <v>101.55</v>
      </c>
      <c r="HO100" s="8">
        <v>106.8</v>
      </c>
      <c r="HP100" s="8">
        <v>97.11</v>
      </c>
      <c r="HQ100" s="8">
        <v>107.75</v>
      </c>
      <c r="HR100" s="8">
        <v>93.02</v>
      </c>
      <c r="HS100" s="8">
        <v>92.1</v>
      </c>
      <c r="HT100" s="8">
        <v>98.9</v>
      </c>
      <c r="HU100" s="8">
        <v>97.01</v>
      </c>
      <c r="HV100" s="8">
        <v>99.6</v>
      </c>
      <c r="HW100" s="8">
        <v>99.6</v>
      </c>
      <c r="HX100" s="8">
        <v>98.4</v>
      </c>
      <c r="HY100" s="8">
        <v>98.4</v>
      </c>
      <c r="HZ100" s="8">
        <v>95.95</v>
      </c>
      <c r="IA100" s="8">
        <v>98.63</v>
      </c>
      <c r="IB100" s="8">
        <v>92.96</v>
      </c>
      <c r="IC100" s="8">
        <v>92.67</v>
      </c>
      <c r="ID100" s="8">
        <v>92.8</v>
      </c>
      <c r="IE100" s="8">
        <v>89.07</v>
      </c>
      <c r="IF100" s="8">
        <v>98.44</v>
      </c>
      <c r="IG100" s="8">
        <v>97.41</v>
      </c>
      <c r="IH100" s="8">
        <v>96.37</v>
      </c>
      <c r="II100" s="8">
        <v>96.31</v>
      </c>
      <c r="IJ100" s="8">
        <v>96.73</v>
      </c>
      <c r="IK100" s="8">
        <v>98.68</v>
      </c>
      <c r="IL100" s="8">
        <v>98.68</v>
      </c>
      <c r="IM100" s="8">
        <v>100.51</v>
      </c>
      <c r="IN100" s="8">
        <v>99.07</v>
      </c>
      <c r="IO100" s="8">
        <v>100.42</v>
      </c>
      <c r="IP100" s="8">
        <v>94.62</v>
      </c>
      <c r="IQ100" s="8">
        <v>108.64</v>
      </c>
    </row>
    <row r="101" spans="1:251" x14ac:dyDescent="0.2">
      <c r="A101" s="9">
        <v>45717</v>
      </c>
      <c r="B101" s="8">
        <v>98.53</v>
      </c>
      <c r="C101" s="8">
        <v>99.53</v>
      </c>
      <c r="D101" s="8">
        <v>99.53</v>
      </c>
      <c r="E101" s="8">
        <v>100.62</v>
      </c>
      <c r="F101" s="8">
        <v>101.25</v>
      </c>
      <c r="G101" s="8">
        <v>99.41</v>
      </c>
      <c r="H101" s="8">
        <v>98.12</v>
      </c>
      <c r="I101" s="8">
        <v>97.19</v>
      </c>
      <c r="J101" s="8">
        <v>99.8</v>
      </c>
      <c r="K101" s="8">
        <v>99.8</v>
      </c>
      <c r="L101" s="8">
        <v>98.86</v>
      </c>
      <c r="M101" s="8">
        <v>98.86</v>
      </c>
      <c r="N101" s="8">
        <v>96.76</v>
      </c>
      <c r="O101" s="8">
        <v>98.98</v>
      </c>
      <c r="P101" s="8">
        <v>96.73</v>
      </c>
      <c r="Q101" s="8">
        <v>95.39</v>
      </c>
      <c r="R101" s="8">
        <v>97.18</v>
      </c>
      <c r="S101" s="8">
        <v>93.4</v>
      </c>
      <c r="T101" s="8">
        <v>92.23</v>
      </c>
      <c r="U101" s="8">
        <v>98.77</v>
      </c>
      <c r="V101" s="8">
        <v>90.22</v>
      </c>
      <c r="W101" s="8">
        <v>95.61</v>
      </c>
      <c r="X101" s="8">
        <v>102.19</v>
      </c>
      <c r="Y101" s="8">
        <v>87.79</v>
      </c>
      <c r="Z101" s="8">
        <v>99.63</v>
      </c>
      <c r="AA101" s="8">
        <v>101.38</v>
      </c>
      <c r="AB101" s="8">
        <v>99.45</v>
      </c>
      <c r="AC101" s="8">
        <v>100.99</v>
      </c>
      <c r="AD101" s="8">
        <v>98.55</v>
      </c>
      <c r="AE101" s="8">
        <v>98.27</v>
      </c>
      <c r="AF101" s="8">
        <v>99.7</v>
      </c>
      <c r="AG101" s="8">
        <v>100</v>
      </c>
      <c r="AH101" s="8">
        <v>100</v>
      </c>
      <c r="AI101" s="8">
        <v>99.98</v>
      </c>
      <c r="AJ101" s="8">
        <v>100</v>
      </c>
      <c r="AK101" s="8">
        <v>100</v>
      </c>
      <c r="AL101" s="8">
        <v>98.2</v>
      </c>
      <c r="AM101" s="8">
        <v>98.99</v>
      </c>
      <c r="AN101" s="8">
        <v>98.99</v>
      </c>
      <c r="AO101" s="8">
        <v>97.66</v>
      </c>
      <c r="AP101" s="8">
        <v>98.47</v>
      </c>
      <c r="AQ101" s="8">
        <v>97.44</v>
      </c>
      <c r="AR101" s="8">
        <v>97.98</v>
      </c>
      <c r="AS101" s="8">
        <v>98.91</v>
      </c>
      <c r="AT101" s="8">
        <v>100.81</v>
      </c>
      <c r="AU101" s="8">
        <v>101.18</v>
      </c>
      <c r="AV101" s="8">
        <v>100.16</v>
      </c>
      <c r="AW101" s="8">
        <v>101.34</v>
      </c>
      <c r="AX101" s="8">
        <v>101.3</v>
      </c>
      <c r="AY101" s="8">
        <v>97.87</v>
      </c>
      <c r="AZ101" s="8">
        <v>95.44</v>
      </c>
      <c r="BA101" s="8">
        <v>100.12</v>
      </c>
      <c r="BB101" s="8">
        <v>87.27</v>
      </c>
      <c r="BC101" s="8">
        <v>102.23</v>
      </c>
      <c r="BD101" s="8">
        <v>103.05</v>
      </c>
      <c r="BE101" s="8">
        <v>98.38</v>
      </c>
      <c r="BF101" s="8">
        <v>98.1</v>
      </c>
      <c r="BG101" s="8">
        <v>97.02</v>
      </c>
      <c r="BH101" s="8">
        <v>100.68</v>
      </c>
      <c r="BI101" s="8">
        <v>97.13</v>
      </c>
      <c r="BJ101" s="8">
        <v>103.28</v>
      </c>
      <c r="BK101" s="8">
        <v>105.87</v>
      </c>
      <c r="BL101" s="8">
        <v>101.25</v>
      </c>
      <c r="BM101" s="8">
        <v>98.02</v>
      </c>
      <c r="BN101" s="8">
        <v>93.61</v>
      </c>
      <c r="BO101" s="8">
        <v>96.92</v>
      </c>
      <c r="BP101" s="8">
        <v>99.86</v>
      </c>
      <c r="BQ101" s="8">
        <v>99.22</v>
      </c>
      <c r="BR101" s="8">
        <v>96.22</v>
      </c>
      <c r="BS101" s="8">
        <v>100.38</v>
      </c>
      <c r="BT101" s="8">
        <v>101.21</v>
      </c>
      <c r="BU101" s="8">
        <v>90.79</v>
      </c>
      <c r="BV101" s="8">
        <v>103.02</v>
      </c>
      <c r="BW101" s="8">
        <v>97.4</v>
      </c>
      <c r="BX101" s="8">
        <v>98.25</v>
      </c>
      <c r="BY101" s="8">
        <v>96.73</v>
      </c>
      <c r="BZ101" s="8">
        <v>97.48</v>
      </c>
      <c r="CA101" s="8">
        <v>99.64</v>
      </c>
      <c r="CB101" s="8">
        <v>98.18</v>
      </c>
      <c r="CC101" s="8">
        <v>102.13</v>
      </c>
      <c r="CD101" s="8">
        <v>98.99</v>
      </c>
      <c r="CE101" s="8">
        <v>92.43</v>
      </c>
      <c r="CF101" s="8">
        <v>92.43</v>
      </c>
      <c r="CG101" s="8">
        <v>97.02</v>
      </c>
      <c r="CH101" s="8">
        <v>98.5</v>
      </c>
      <c r="CI101" s="8">
        <v>99.32</v>
      </c>
      <c r="CJ101" s="8">
        <v>98.83</v>
      </c>
      <c r="CK101" s="8">
        <v>95.27</v>
      </c>
      <c r="CL101" s="8">
        <v>99.94</v>
      </c>
      <c r="CM101" s="8">
        <v>100.98</v>
      </c>
      <c r="CN101" s="8">
        <v>99.68</v>
      </c>
      <c r="CO101" s="8">
        <v>99.12</v>
      </c>
      <c r="CP101" s="8">
        <v>88.67</v>
      </c>
      <c r="CQ101" s="8">
        <v>87.76</v>
      </c>
      <c r="CR101" s="8">
        <v>98.91</v>
      </c>
      <c r="CS101" s="8">
        <v>97.9</v>
      </c>
      <c r="CT101" s="8">
        <v>98.08</v>
      </c>
      <c r="CU101" s="8">
        <v>98.08</v>
      </c>
      <c r="CV101" s="8">
        <v>97.84</v>
      </c>
      <c r="CW101" s="8">
        <v>97.84</v>
      </c>
      <c r="CX101" s="8">
        <v>98.42</v>
      </c>
      <c r="CY101" s="8">
        <v>99.43</v>
      </c>
      <c r="CZ101" s="8">
        <v>96.08</v>
      </c>
      <c r="DA101" s="8">
        <v>96.97</v>
      </c>
      <c r="DB101" s="8">
        <v>96.86</v>
      </c>
      <c r="DC101" s="8">
        <v>96.31</v>
      </c>
      <c r="DD101" s="8">
        <v>108.92</v>
      </c>
      <c r="DE101" s="8">
        <v>97.35</v>
      </c>
      <c r="DF101" s="8">
        <v>95.36</v>
      </c>
      <c r="DG101" s="8">
        <v>95.26</v>
      </c>
      <c r="DH101" s="8">
        <v>96.26</v>
      </c>
      <c r="DI101" s="8">
        <v>99.14</v>
      </c>
      <c r="DJ101" s="8">
        <v>99.14</v>
      </c>
      <c r="DK101" s="8">
        <v>97.99</v>
      </c>
      <c r="DL101" s="8">
        <v>97.78</v>
      </c>
      <c r="DM101" s="8">
        <v>100.07</v>
      </c>
      <c r="DN101" s="8">
        <v>93.37</v>
      </c>
      <c r="DO101" s="8">
        <v>101.57</v>
      </c>
      <c r="DP101" s="8">
        <v>99.97</v>
      </c>
      <c r="DQ101" s="8">
        <v>99.61</v>
      </c>
      <c r="DR101" s="8">
        <v>99.42</v>
      </c>
      <c r="DS101" s="8">
        <v>100.36</v>
      </c>
      <c r="DT101" s="8">
        <v>95.62</v>
      </c>
      <c r="DU101" s="8">
        <v>92.89</v>
      </c>
      <c r="DV101" s="8">
        <v>97.3</v>
      </c>
      <c r="DW101" s="8">
        <v>96.93</v>
      </c>
      <c r="DX101" s="8">
        <v>98.67</v>
      </c>
      <c r="DY101" s="8">
        <v>102.76</v>
      </c>
      <c r="DZ101" s="8">
        <v>103.3</v>
      </c>
      <c r="EA101" s="8">
        <v>98.14</v>
      </c>
      <c r="EB101" s="8">
        <v>97.65</v>
      </c>
      <c r="EC101" s="8">
        <v>97.46</v>
      </c>
      <c r="ED101" s="8">
        <v>99.3</v>
      </c>
      <c r="EE101" s="8">
        <v>99.32</v>
      </c>
      <c r="EF101" s="8">
        <v>99.33</v>
      </c>
      <c r="EG101" s="8">
        <v>100.72</v>
      </c>
      <c r="EH101" s="8">
        <v>101</v>
      </c>
      <c r="EI101" s="8">
        <v>97.55</v>
      </c>
      <c r="EJ101" s="8">
        <v>98.89</v>
      </c>
      <c r="EK101" s="8">
        <v>98.25</v>
      </c>
      <c r="EL101" s="8">
        <v>97.44</v>
      </c>
      <c r="EM101" s="8">
        <v>97.44</v>
      </c>
      <c r="EN101" s="8">
        <v>99.03</v>
      </c>
      <c r="EO101" s="8">
        <v>99.03</v>
      </c>
      <c r="EP101" s="8">
        <v>96.76</v>
      </c>
      <c r="EQ101" s="8">
        <v>99.14</v>
      </c>
      <c r="ER101" s="8">
        <v>94.78</v>
      </c>
      <c r="ES101" s="8">
        <v>95.99</v>
      </c>
      <c r="ET101" s="8">
        <v>98.4</v>
      </c>
      <c r="EU101" s="8">
        <v>93.06</v>
      </c>
      <c r="EV101" s="8">
        <v>94.88</v>
      </c>
      <c r="EW101" s="8">
        <v>95.95</v>
      </c>
      <c r="EX101" s="8">
        <v>94.56</v>
      </c>
      <c r="EY101" s="8">
        <v>91.39</v>
      </c>
      <c r="EZ101" s="8">
        <v>95.42</v>
      </c>
      <c r="FA101" s="8">
        <v>87.62</v>
      </c>
      <c r="FB101" s="8">
        <v>98.87</v>
      </c>
      <c r="FC101" s="8">
        <v>99.84</v>
      </c>
      <c r="FD101" s="8">
        <v>100.56</v>
      </c>
      <c r="FE101" s="8">
        <v>100.72</v>
      </c>
      <c r="FF101" s="8">
        <v>98.34</v>
      </c>
      <c r="FG101" s="8">
        <v>96.03</v>
      </c>
      <c r="FH101" s="8">
        <v>98.01</v>
      </c>
      <c r="FI101" s="8">
        <v>99.88</v>
      </c>
      <c r="FJ101" s="8">
        <v>99.88</v>
      </c>
      <c r="FK101" s="8">
        <v>99.43</v>
      </c>
      <c r="FL101" s="8">
        <v>100</v>
      </c>
      <c r="FM101" s="8">
        <v>100</v>
      </c>
      <c r="FN101" s="8">
        <v>99.74</v>
      </c>
      <c r="FO101" s="8">
        <v>100.02</v>
      </c>
      <c r="FP101" s="8">
        <v>100.02</v>
      </c>
      <c r="FQ101" s="8">
        <v>99.61</v>
      </c>
      <c r="FR101" s="8">
        <v>98.47</v>
      </c>
      <c r="FS101" s="8">
        <v>99.7</v>
      </c>
      <c r="FT101" s="8">
        <v>98.16</v>
      </c>
      <c r="FU101" s="8">
        <v>98.75</v>
      </c>
      <c r="FV101" s="8">
        <v>100.75</v>
      </c>
      <c r="FW101" s="8">
        <v>101.17</v>
      </c>
      <c r="FX101" s="8">
        <v>100.09</v>
      </c>
      <c r="FY101" s="8">
        <v>101.26</v>
      </c>
      <c r="FZ101" s="8">
        <v>101.08</v>
      </c>
      <c r="GA101" s="8">
        <v>98.61</v>
      </c>
      <c r="GB101" s="8">
        <v>95.84</v>
      </c>
      <c r="GC101" s="8">
        <v>101.56</v>
      </c>
      <c r="GD101" s="8">
        <v>89.83</v>
      </c>
      <c r="GE101" s="8">
        <v>101.88</v>
      </c>
      <c r="GF101" s="8">
        <v>102.3</v>
      </c>
      <c r="GG101" s="8">
        <v>98.59</v>
      </c>
      <c r="GH101" s="8">
        <v>98.38</v>
      </c>
      <c r="GI101" s="8">
        <v>96.87</v>
      </c>
      <c r="GJ101" s="8">
        <v>100.89</v>
      </c>
      <c r="GK101" s="8">
        <v>97.68</v>
      </c>
      <c r="GL101" s="8">
        <v>102.56</v>
      </c>
      <c r="GM101" s="8">
        <v>102.1</v>
      </c>
      <c r="GN101" s="8">
        <v>102.94</v>
      </c>
      <c r="GO101" s="8">
        <v>97.65</v>
      </c>
      <c r="GP101" s="8">
        <v>95.41</v>
      </c>
      <c r="GQ101" s="8">
        <v>97.86</v>
      </c>
      <c r="GR101" s="8">
        <v>99.41</v>
      </c>
      <c r="GS101" s="8">
        <v>98.85</v>
      </c>
      <c r="GT101" s="8">
        <v>95.75</v>
      </c>
      <c r="GU101" s="8">
        <v>100.56</v>
      </c>
      <c r="GV101" s="8">
        <v>99.15</v>
      </c>
      <c r="GW101" s="8">
        <v>90.46</v>
      </c>
      <c r="GX101" s="8">
        <v>102.08</v>
      </c>
      <c r="GY101" s="8">
        <v>97.61</v>
      </c>
      <c r="GZ101" s="8">
        <v>97.65</v>
      </c>
      <c r="HA101" s="8">
        <v>97.54</v>
      </c>
      <c r="HB101" s="8">
        <v>98.16</v>
      </c>
      <c r="HC101" s="8">
        <v>99.6</v>
      </c>
      <c r="HD101" s="8">
        <v>99.7</v>
      </c>
      <c r="HE101" s="8">
        <v>99.27</v>
      </c>
      <c r="HF101" s="8">
        <v>99.81</v>
      </c>
      <c r="HG101" s="8">
        <v>93.24</v>
      </c>
      <c r="HH101" s="8">
        <v>93.24</v>
      </c>
      <c r="HI101" s="8">
        <v>95.75</v>
      </c>
      <c r="HJ101" s="8">
        <v>98.32</v>
      </c>
      <c r="HK101" s="8">
        <v>99.5</v>
      </c>
      <c r="HL101" s="8">
        <v>98.49</v>
      </c>
      <c r="HM101" s="8">
        <v>94.36</v>
      </c>
      <c r="HN101" s="8">
        <v>95.98</v>
      </c>
      <c r="HO101" s="8">
        <v>98.89</v>
      </c>
      <c r="HP101" s="8">
        <v>90.72</v>
      </c>
      <c r="HQ101" s="8">
        <v>107.41</v>
      </c>
      <c r="HR101" s="8">
        <v>88.33</v>
      </c>
      <c r="HS101" s="8">
        <v>86.57</v>
      </c>
      <c r="HT101" s="8">
        <v>99.62</v>
      </c>
      <c r="HU101" s="8">
        <v>97.21</v>
      </c>
      <c r="HV101" s="8">
        <v>99.65</v>
      </c>
      <c r="HW101" s="8">
        <v>99.65</v>
      </c>
      <c r="HX101" s="8">
        <v>99.03</v>
      </c>
      <c r="HY101" s="8">
        <v>99.03</v>
      </c>
      <c r="HZ101" s="8">
        <v>95.92</v>
      </c>
      <c r="IA101" s="8">
        <v>98.58</v>
      </c>
      <c r="IB101" s="8">
        <v>92.96</v>
      </c>
      <c r="IC101" s="8">
        <v>92.67</v>
      </c>
      <c r="ID101" s="8">
        <v>92.8</v>
      </c>
      <c r="IE101" s="8">
        <v>89.07</v>
      </c>
      <c r="IF101" s="8">
        <v>98.44</v>
      </c>
      <c r="IG101" s="8">
        <v>98.2</v>
      </c>
      <c r="IH101" s="8">
        <v>98.89</v>
      </c>
      <c r="II101" s="8">
        <v>99.6</v>
      </c>
      <c r="IJ101" s="8">
        <v>95.04</v>
      </c>
      <c r="IK101" s="8">
        <v>95.68</v>
      </c>
      <c r="IL101" s="8">
        <v>95.68</v>
      </c>
      <c r="IM101" s="8">
        <v>98.1</v>
      </c>
      <c r="IN101" s="8">
        <v>97.07</v>
      </c>
      <c r="IO101" s="8">
        <v>97.64</v>
      </c>
      <c r="IP101" s="8">
        <v>91.39</v>
      </c>
      <c r="IQ101" s="8">
        <v>107.12</v>
      </c>
    </row>
    <row r="102" spans="1:251" x14ac:dyDescent="0.2">
      <c r="A102" s="9">
        <v>45748</v>
      </c>
      <c r="B102" s="8">
        <v>98.39</v>
      </c>
      <c r="C102" s="8">
        <v>99.29</v>
      </c>
      <c r="D102" s="8">
        <v>99.28</v>
      </c>
      <c r="E102" s="8">
        <v>100.88</v>
      </c>
      <c r="F102" s="8">
        <v>100.75</v>
      </c>
      <c r="G102" s="8">
        <v>98.68</v>
      </c>
      <c r="H102" s="8">
        <v>98.12</v>
      </c>
      <c r="I102" s="8">
        <v>97.19</v>
      </c>
      <c r="J102" s="8">
        <v>99.8</v>
      </c>
      <c r="K102" s="8">
        <v>99.8</v>
      </c>
      <c r="L102" s="8">
        <v>99.12</v>
      </c>
      <c r="M102" s="8">
        <v>99.12</v>
      </c>
      <c r="N102" s="8">
        <v>98.13</v>
      </c>
      <c r="O102" s="8">
        <v>99.17</v>
      </c>
      <c r="P102" s="8">
        <v>99.54</v>
      </c>
      <c r="Q102" s="8">
        <v>96.31</v>
      </c>
      <c r="R102" s="8">
        <v>98.8</v>
      </c>
      <c r="S102" s="8">
        <v>93.53</v>
      </c>
      <c r="T102" s="8">
        <v>93.5</v>
      </c>
      <c r="U102" s="8">
        <v>102.23</v>
      </c>
      <c r="V102" s="8">
        <v>90.8</v>
      </c>
      <c r="W102" s="8">
        <v>101.44</v>
      </c>
      <c r="X102" s="8">
        <v>106.85</v>
      </c>
      <c r="Y102" s="8">
        <v>95.01</v>
      </c>
      <c r="Z102" s="8">
        <v>99.9</v>
      </c>
      <c r="AA102" s="8">
        <v>101.3</v>
      </c>
      <c r="AB102" s="8">
        <v>96.77</v>
      </c>
      <c r="AC102" s="8">
        <v>101.54</v>
      </c>
      <c r="AD102" s="8">
        <v>98.91</v>
      </c>
      <c r="AE102" s="8">
        <v>98.48</v>
      </c>
      <c r="AF102" s="8">
        <v>102.92</v>
      </c>
      <c r="AG102" s="8">
        <v>100</v>
      </c>
      <c r="AH102" s="8">
        <v>100</v>
      </c>
      <c r="AI102" s="8">
        <v>99.98</v>
      </c>
      <c r="AJ102" s="8">
        <v>100</v>
      </c>
      <c r="AK102" s="8">
        <v>100</v>
      </c>
      <c r="AL102" s="8">
        <v>98.28</v>
      </c>
      <c r="AM102" s="8">
        <v>99.01</v>
      </c>
      <c r="AN102" s="8">
        <v>99.01</v>
      </c>
      <c r="AO102" s="8">
        <v>97.79</v>
      </c>
      <c r="AP102" s="8">
        <v>99.05</v>
      </c>
      <c r="AQ102" s="8">
        <v>97.44</v>
      </c>
      <c r="AR102" s="8">
        <v>98.6</v>
      </c>
      <c r="AS102" s="8">
        <v>99.12</v>
      </c>
      <c r="AT102" s="8">
        <v>100.5</v>
      </c>
      <c r="AU102" s="8">
        <v>100.89</v>
      </c>
      <c r="AV102" s="8">
        <v>100.43</v>
      </c>
      <c r="AW102" s="8">
        <v>100.8</v>
      </c>
      <c r="AX102" s="8">
        <v>99.44</v>
      </c>
      <c r="AY102" s="8">
        <v>96.13</v>
      </c>
      <c r="AZ102" s="8">
        <v>93.87</v>
      </c>
      <c r="BA102" s="8">
        <v>97.58</v>
      </c>
      <c r="BB102" s="8">
        <v>86.71</v>
      </c>
      <c r="BC102" s="8">
        <v>100.33</v>
      </c>
      <c r="BD102" s="8">
        <v>101.44</v>
      </c>
      <c r="BE102" s="8">
        <v>96.02</v>
      </c>
      <c r="BF102" s="8">
        <v>97.93</v>
      </c>
      <c r="BG102" s="8">
        <v>97.12</v>
      </c>
      <c r="BH102" s="8">
        <v>100.39</v>
      </c>
      <c r="BI102" s="8">
        <v>96.65</v>
      </c>
      <c r="BJ102" s="8">
        <v>104.79</v>
      </c>
      <c r="BK102" s="8">
        <v>108.91</v>
      </c>
      <c r="BL102" s="8">
        <v>101.58</v>
      </c>
      <c r="BM102" s="8">
        <v>98.86</v>
      </c>
      <c r="BN102" s="8">
        <v>100.45</v>
      </c>
      <c r="BO102" s="8">
        <v>96.46</v>
      </c>
      <c r="BP102" s="8">
        <v>99.16</v>
      </c>
      <c r="BQ102" s="8">
        <v>100.16</v>
      </c>
      <c r="BR102" s="8">
        <v>98.18</v>
      </c>
      <c r="BS102" s="8">
        <v>98.96</v>
      </c>
      <c r="BT102" s="8">
        <v>100.3</v>
      </c>
      <c r="BU102" s="8">
        <v>92.69</v>
      </c>
      <c r="BV102" s="8">
        <v>101.63</v>
      </c>
      <c r="BW102" s="8">
        <v>98.09</v>
      </c>
      <c r="BX102" s="8">
        <v>98.53</v>
      </c>
      <c r="BY102" s="8">
        <v>97.75</v>
      </c>
      <c r="BZ102" s="8">
        <v>97.97</v>
      </c>
      <c r="CA102" s="8">
        <v>99.85</v>
      </c>
      <c r="CB102" s="8">
        <v>97.57</v>
      </c>
      <c r="CC102" s="8">
        <v>102.05</v>
      </c>
      <c r="CD102" s="8">
        <v>99.53</v>
      </c>
      <c r="CE102" s="8">
        <v>93.58</v>
      </c>
      <c r="CF102" s="8">
        <v>93.58</v>
      </c>
      <c r="CG102" s="8">
        <v>100.33</v>
      </c>
      <c r="CH102" s="8">
        <v>102.6</v>
      </c>
      <c r="CI102" s="8">
        <v>103.87</v>
      </c>
      <c r="CJ102" s="8">
        <v>102.61</v>
      </c>
      <c r="CK102" s="8">
        <v>99.89</v>
      </c>
      <c r="CL102" s="8">
        <v>101.98</v>
      </c>
      <c r="CM102" s="8">
        <v>107.23</v>
      </c>
      <c r="CN102" s="8">
        <v>100.49</v>
      </c>
      <c r="CO102" s="8">
        <v>98.48</v>
      </c>
      <c r="CP102" s="8">
        <v>90.1</v>
      </c>
      <c r="CQ102" s="8">
        <v>89.24</v>
      </c>
      <c r="CR102" s="8">
        <v>99.66</v>
      </c>
      <c r="CS102" s="8">
        <v>98.04</v>
      </c>
      <c r="CT102" s="8">
        <v>98.29</v>
      </c>
      <c r="CU102" s="8">
        <v>98.29</v>
      </c>
      <c r="CV102" s="8">
        <v>98.1</v>
      </c>
      <c r="CW102" s="8">
        <v>98.1</v>
      </c>
      <c r="CX102" s="8">
        <v>98.46</v>
      </c>
      <c r="CY102" s="8">
        <v>99.49</v>
      </c>
      <c r="CZ102" s="8">
        <v>96.08</v>
      </c>
      <c r="DA102" s="8">
        <v>96.94</v>
      </c>
      <c r="DB102" s="8">
        <v>96.86</v>
      </c>
      <c r="DC102" s="8">
        <v>96.31</v>
      </c>
      <c r="DD102" s="8">
        <v>108.22</v>
      </c>
      <c r="DE102" s="8">
        <v>98.74</v>
      </c>
      <c r="DF102" s="8">
        <v>95.86</v>
      </c>
      <c r="DG102" s="8">
        <v>95.85</v>
      </c>
      <c r="DH102" s="8">
        <v>95.96</v>
      </c>
      <c r="DI102" s="8">
        <v>97.38</v>
      </c>
      <c r="DJ102" s="8">
        <v>97.38</v>
      </c>
      <c r="DK102" s="8">
        <v>102.64</v>
      </c>
      <c r="DL102" s="8">
        <v>103.17</v>
      </c>
      <c r="DM102" s="8">
        <v>99.18</v>
      </c>
      <c r="DN102" s="8">
        <v>103.19</v>
      </c>
      <c r="DO102" s="8">
        <v>103.62</v>
      </c>
      <c r="DP102" s="8">
        <v>101.25</v>
      </c>
      <c r="DQ102" s="8">
        <v>98.86</v>
      </c>
      <c r="DR102" s="8">
        <v>101.53</v>
      </c>
      <c r="DS102" s="8">
        <v>101.61</v>
      </c>
      <c r="DT102" s="8">
        <v>95.92</v>
      </c>
      <c r="DU102" s="8">
        <v>93.59</v>
      </c>
      <c r="DV102" s="8">
        <v>97.3</v>
      </c>
      <c r="DW102" s="8">
        <v>97.08</v>
      </c>
      <c r="DX102" s="8">
        <v>98.09</v>
      </c>
      <c r="DY102" s="8">
        <v>103.37</v>
      </c>
      <c r="DZ102" s="8">
        <v>103.86</v>
      </c>
      <c r="EA102" s="8">
        <v>99.14</v>
      </c>
      <c r="EB102" s="8">
        <v>96.77</v>
      </c>
      <c r="EC102" s="8">
        <v>96.48</v>
      </c>
      <c r="ED102" s="8">
        <v>99.3</v>
      </c>
      <c r="EE102" s="8">
        <v>98.72</v>
      </c>
      <c r="EF102" s="8">
        <v>98.72</v>
      </c>
      <c r="EG102" s="8">
        <v>100.62</v>
      </c>
      <c r="EH102" s="8">
        <v>99.24</v>
      </c>
      <c r="EI102" s="8">
        <v>96.66</v>
      </c>
      <c r="EJ102" s="8">
        <v>99.22</v>
      </c>
      <c r="EK102" s="8">
        <v>98.25</v>
      </c>
      <c r="EL102" s="8">
        <v>98.43</v>
      </c>
      <c r="EM102" s="8">
        <v>98.43</v>
      </c>
      <c r="EN102" s="8">
        <v>99.29</v>
      </c>
      <c r="EO102" s="8">
        <v>99.29</v>
      </c>
      <c r="EP102" s="8">
        <v>98.13</v>
      </c>
      <c r="EQ102" s="8">
        <v>99.35</v>
      </c>
      <c r="ER102" s="8">
        <v>97.87</v>
      </c>
      <c r="ES102" s="8">
        <v>96.27</v>
      </c>
      <c r="ET102" s="8">
        <v>98.89</v>
      </c>
      <c r="EU102" s="8">
        <v>93.1</v>
      </c>
      <c r="EV102" s="8">
        <v>95.58</v>
      </c>
      <c r="EW102" s="8">
        <v>97.71</v>
      </c>
      <c r="EX102" s="8">
        <v>94.96</v>
      </c>
      <c r="EY102" s="8">
        <v>97.3</v>
      </c>
      <c r="EZ102" s="8">
        <v>101.61</v>
      </c>
      <c r="FA102" s="8">
        <v>93.26</v>
      </c>
      <c r="FB102" s="8">
        <v>99.82</v>
      </c>
      <c r="FC102" s="8">
        <v>99.17</v>
      </c>
      <c r="FD102" s="8">
        <v>97.34</v>
      </c>
      <c r="FE102" s="8">
        <v>101.62</v>
      </c>
      <c r="FF102" s="8">
        <v>98.3</v>
      </c>
      <c r="FG102" s="8">
        <v>103.52</v>
      </c>
      <c r="FH102" s="8">
        <v>98.01</v>
      </c>
      <c r="FI102" s="8">
        <v>99.9</v>
      </c>
      <c r="FJ102" s="8">
        <v>99.9</v>
      </c>
      <c r="FK102" s="8">
        <v>99.49</v>
      </c>
      <c r="FL102" s="8">
        <v>100</v>
      </c>
      <c r="FM102" s="8">
        <v>100</v>
      </c>
      <c r="FN102" s="8">
        <v>99.75</v>
      </c>
      <c r="FO102" s="8">
        <v>99.97</v>
      </c>
      <c r="FP102" s="8">
        <v>99.97</v>
      </c>
      <c r="FQ102" s="8">
        <v>99.65</v>
      </c>
      <c r="FR102" s="8">
        <v>99.05</v>
      </c>
      <c r="FS102" s="8">
        <v>99.7</v>
      </c>
      <c r="FT102" s="8">
        <v>98.77</v>
      </c>
      <c r="FU102" s="8">
        <v>99.25</v>
      </c>
      <c r="FV102" s="8">
        <v>100.6</v>
      </c>
      <c r="FW102" s="8">
        <v>101.02</v>
      </c>
      <c r="FX102" s="8">
        <v>100.6</v>
      </c>
      <c r="FY102" s="8">
        <v>100.83</v>
      </c>
      <c r="FZ102" s="8">
        <v>99.43</v>
      </c>
      <c r="GA102" s="8">
        <v>98.22</v>
      </c>
      <c r="GB102" s="8">
        <v>95.5</v>
      </c>
      <c r="GC102" s="8">
        <v>100.18</v>
      </c>
      <c r="GD102" s="8">
        <v>89.77</v>
      </c>
      <c r="GE102" s="8">
        <v>101.25</v>
      </c>
      <c r="GF102" s="8">
        <v>101.64</v>
      </c>
      <c r="GG102" s="8">
        <v>99.1</v>
      </c>
      <c r="GH102" s="8">
        <v>98.32</v>
      </c>
      <c r="GI102" s="8">
        <v>97.35</v>
      </c>
      <c r="GJ102" s="8">
        <v>100.62</v>
      </c>
      <c r="GK102" s="8">
        <v>97.13</v>
      </c>
      <c r="GL102" s="8">
        <v>105.79</v>
      </c>
      <c r="GM102" s="8">
        <v>108</v>
      </c>
      <c r="GN102" s="8">
        <v>104.01</v>
      </c>
      <c r="GO102" s="8">
        <v>98.68</v>
      </c>
      <c r="GP102" s="8">
        <v>99.51</v>
      </c>
      <c r="GQ102" s="8">
        <v>97.55</v>
      </c>
      <c r="GR102" s="8">
        <v>98.59</v>
      </c>
      <c r="GS102" s="8">
        <v>99.34</v>
      </c>
      <c r="GT102" s="8">
        <v>98.31</v>
      </c>
      <c r="GU102" s="8">
        <v>99.22</v>
      </c>
      <c r="GV102" s="8">
        <v>98.72</v>
      </c>
      <c r="GW102" s="8">
        <v>92.64</v>
      </c>
      <c r="GX102" s="8">
        <v>100.78</v>
      </c>
      <c r="GY102" s="8">
        <v>97.8</v>
      </c>
      <c r="GZ102" s="8">
        <v>97.88</v>
      </c>
      <c r="HA102" s="8">
        <v>97.68</v>
      </c>
      <c r="HB102" s="8">
        <v>97.09</v>
      </c>
      <c r="HC102" s="8">
        <v>97.95</v>
      </c>
      <c r="HD102" s="8">
        <v>99.38</v>
      </c>
      <c r="HE102" s="8">
        <v>95.77</v>
      </c>
      <c r="HF102" s="8">
        <v>98.98</v>
      </c>
      <c r="HG102" s="8">
        <v>94.16</v>
      </c>
      <c r="HH102" s="8">
        <v>94.16</v>
      </c>
      <c r="HI102" s="8">
        <v>101.69</v>
      </c>
      <c r="HJ102" s="8">
        <v>105.89</v>
      </c>
      <c r="HK102" s="8">
        <v>107.08</v>
      </c>
      <c r="HL102" s="8">
        <v>105.85</v>
      </c>
      <c r="HM102" s="8">
        <v>102.84</v>
      </c>
      <c r="HN102" s="8">
        <v>100.36</v>
      </c>
      <c r="HO102" s="8">
        <v>104.76</v>
      </c>
      <c r="HP102" s="8">
        <v>96.58</v>
      </c>
      <c r="HQ102" s="8">
        <v>105.71</v>
      </c>
      <c r="HR102" s="8">
        <v>91.14</v>
      </c>
      <c r="HS102" s="8">
        <v>89.81</v>
      </c>
      <c r="HT102" s="8">
        <v>99.62</v>
      </c>
      <c r="HU102" s="8">
        <v>97.36</v>
      </c>
      <c r="HV102" s="8">
        <v>99.7</v>
      </c>
      <c r="HW102" s="8">
        <v>99.7</v>
      </c>
      <c r="HX102" s="8">
        <v>99.27</v>
      </c>
      <c r="HY102" s="8">
        <v>99.27</v>
      </c>
      <c r="HZ102" s="8">
        <v>96.27</v>
      </c>
      <c r="IA102" s="8">
        <v>99.25</v>
      </c>
      <c r="IB102" s="8">
        <v>92.96</v>
      </c>
      <c r="IC102" s="8">
        <v>92.67</v>
      </c>
      <c r="ID102" s="8">
        <v>92.8</v>
      </c>
      <c r="IE102" s="8">
        <v>89.07</v>
      </c>
      <c r="IF102" s="8">
        <v>98.44</v>
      </c>
      <c r="IG102" s="8">
        <v>99.16</v>
      </c>
      <c r="IH102" s="8">
        <v>99.4</v>
      </c>
      <c r="II102" s="8">
        <v>99.38</v>
      </c>
      <c r="IJ102" s="8">
        <v>99.49</v>
      </c>
      <c r="IK102" s="8">
        <v>93.62</v>
      </c>
      <c r="IL102" s="8">
        <v>93.62</v>
      </c>
      <c r="IM102" s="8">
        <v>102.1</v>
      </c>
      <c r="IN102" s="8">
        <v>99.55</v>
      </c>
      <c r="IO102" s="8">
        <v>100.93</v>
      </c>
      <c r="IP102" s="8">
        <v>99.69</v>
      </c>
      <c r="IQ102" s="8">
        <v>108.29</v>
      </c>
    </row>
    <row r="103" spans="1:251" x14ac:dyDescent="0.2">
      <c r="A103" s="9">
        <v>45778</v>
      </c>
      <c r="B103" s="8">
        <v>98.39</v>
      </c>
      <c r="C103" s="8">
        <v>98.02</v>
      </c>
      <c r="D103" s="8">
        <v>97.98</v>
      </c>
      <c r="E103" s="8">
        <v>100.84</v>
      </c>
      <c r="F103" s="8">
        <v>100.77</v>
      </c>
      <c r="G103" s="8">
        <v>94.73</v>
      </c>
      <c r="H103" s="8">
        <v>98.54</v>
      </c>
      <c r="I103" s="8">
        <v>97.19</v>
      </c>
      <c r="J103" s="8">
        <v>100</v>
      </c>
      <c r="K103" s="8">
        <v>100</v>
      </c>
      <c r="L103" s="8">
        <v>98.84</v>
      </c>
      <c r="M103" s="8">
        <v>98.84</v>
      </c>
      <c r="N103" s="8">
        <v>97.98</v>
      </c>
      <c r="O103" s="8">
        <v>98.89</v>
      </c>
      <c r="P103" s="8">
        <v>96.23</v>
      </c>
      <c r="Q103" s="8">
        <v>96.55</v>
      </c>
      <c r="R103" s="8">
        <v>98.76</v>
      </c>
      <c r="S103" s="8">
        <v>94.09</v>
      </c>
      <c r="T103" s="8">
        <v>93.54</v>
      </c>
      <c r="U103" s="8">
        <v>101.56</v>
      </c>
      <c r="V103" s="8">
        <v>91.06</v>
      </c>
      <c r="W103" s="8">
        <v>93.47</v>
      </c>
      <c r="X103" s="8">
        <v>95.38</v>
      </c>
      <c r="Y103" s="8">
        <v>91.22</v>
      </c>
      <c r="Z103" s="8">
        <v>100.01</v>
      </c>
      <c r="AA103" s="8">
        <v>101.21</v>
      </c>
      <c r="AB103" s="8">
        <v>100.74</v>
      </c>
      <c r="AC103" s="8">
        <v>99.96</v>
      </c>
      <c r="AD103" s="8">
        <v>98.91</v>
      </c>
      <c r="AE103" s="8">
        <v>98.48</v>
      </c>
      <c r="AF103" s="8">
        <v>101.86</v>
      </c>
      <c r="AG103" s="8">
        <v>100</v>
      </c>
      <c r="AH103" s="8">
        <v>100</v>
      </c>
      <c r="AI103" s="8">
        <v>99.98</v>
      </c>
      <c r="AJ103" s="8">
        <v>100</v>
      </c>
      <c r="AK103" s="8">
        <v>100</v>
      </c>
      <c r="AL103" s="8">
        <v>98.45</v>
      </c>
      <c r="AM103" s="8">
        <v>99.43</v>
      </c>
      <c r="AN103" s="8">
        <v>99.43</v>
      </c>
      <c r="AO103" s="8">
        <v>97.79</v>
      </c>
      <c r="AP103" s="8">
        <v>99.08</v>
      </c>
      <c r="AQ103" s="8">
        <v>97.44</v>
      </c>
      <c r="AR103" s="8">
        <v>98.35</v>
      </c>
      <c r="AS103" s="8">
        <v>99.49</v>
      </c>
      <c r="AT103" s="8">
        <v>99.6</v>
      </c>
      <c r="AU103" s="8">
        <v>100.15</v>
      </c>
      <c r="AV103" s="8">
        <v>99.12</v>
      </c>
      <c r="AW103" s="8">
        <v>99.72</v>
      </c>
      <c r="AX103" s="8">
        <v>99.29</v>
      </c>
      <c r="AY103" s="8">
        <v>97.79</v>
      </c>
      <c r="AZ103" s="8">
        <v>94.82</v>
      </c>
      <c r="BA103" s="8">
        <v>99.67</v>
      </c>
      <c r="BB103" s="8">
        <v>88.16</v>
      </c>
      <c r="BC103" s="8">
        <v>101.32</v>
      </c>
      <c r="BD103" s="8">
        <v>102.3</v>
      </c>
      <c r="BE103" s="8">
        <v>99.98</v>
      </c>
      <c r="BF103" s="8">
        <v>97.77</v>
      </c>
      <c r="BG103" s="8">
        <v>97.11</v>
      </c>
      <c r="BH103" s="8">
        <v>100.49</v>
      </c>
      <c r="BI103" s="8">
        <v>95.95</v>
      </c>
      <c r="BJ103" s="8">
        <v>104.84</v>
      </c>
      <c r="BK103" s="8">
        <v>106.31</v>
      </c>
      <c r="BL103" s="8">
        <v>103.69</v>
      </c>
      <c r="BM103" s="8">
        <v>98.85</v>
      </c>
      <c r="BN103" s="8">
        <v>101.18</v>
      </c>
      <c r="BO103" s="8">
        <v>96.09</v>
      </c>
      <c r="BP103" s="8">
        <v>99.8</v>
      </c>
      <c r="BQ103" s="8">
        <v>100.67</v>
      </c>
      <c r="BR103" s="8">
        <v>97.48</v>
      </c>
      <c r="BS103" s="8">
        <v>99.19</v>
      </c>
      <c r="BT103" s="8">
        <v>102.55</v>
      </c>
      <c r="BU103" s="8">
        <v>93.66</v>
      </c>
      <c r="BV103" s="8">
        <v>104.09</v>
      </c>
      <c r="BW103" s="8">
        <v>98.14</v>
      </c>
      <c r="BX103" s="8">
        <v>98.15</v>
      </c>
      <c r="BY103" s="8">
        <v>98.12</v>
      </c>
      <c r="BZ103" s="8">
        <v>97.82</v>
      </c>
      <c r="CA103" s="8">
        <v>99.44</v>
      </c>
      <c r="CB103" s="8">
        <v>97.1</v>
      </c>
      <c r="CC103" s="8">
        <v>101.1</v>
      </c>
      <c r="CD103" s="8">
        <v>99.37</v>
      </c>
      <c r="CE103" s="8">
        <v>94</v>
      </c>
      <c r="CF103" s="8">
        <v>94</v>
      </c>
      <c r="CG103" s="8">
        <v>99.3</v>
      </c>
      <c r="CH103" s="8">
        <v>101.39</v>
      </c>
      <c r="CI103" s="8">
        <v>100.26</v>
      </c>
      <c r="CJ103" s="8">
        <v>101.98</v>
      </c>
      <c r="CK103" s="8">
        <v>101.04</v>
      </c>
      <c r="CL103" s="8">
        <v>99.32</v>
      </c>
      <c r="CM103" s="8">
        <v>103.19</v>
      </c>
      <c r="CN103" s="8">
        <v>98.16</v>
      </c>
      <c r="CO103" s="8">
        <v>96.99</v>
      </c>
      <c r="CP103" s="8">
        <v>91.21</v>
      </c>
      <c r="CQ103" s="8">
        <v>90.45</v>
      </c>
      <c r="CR103" s="8">
        <v>99.66</v>
      </c>
      <c r="CS103" s="8">
        <v>98.13</v>
      </c>
      <c r="CT103" s="8">
        <v>98.61</v>
      </c>
      <c r="CU103" s="8">
        <v>98.61</v>
      </c>
      <c r="CV103" s="8">
        <v>98.03</v>
      </c>
      <c r="CW103" s="8">
        <v>98.03</v>
      </c>
      <c r="CX103" s="8">
        <v>98.71</v>
      </c>
      <c r="CY103" s="8">
        <v>99.85</v>
      </c>
      <c r="CZ103" s="8">
        <v>96.08</v>
      </c>
      <c r="DA103" s="8">
        <v>96.56</v>
      </c>
      <c r="DB103" s="8">
        <v>96.86</v>
      </c>
      <c r="DC103" s="8">
        <v>96.31</v>
      </c>
      <c r="DD103" s="8">
        <v>98.38</v>
      </c>
      <c r="DE103" s="8">
        <v>98.05</v>
      </c>
      <c r="DF103" s="8">
        <v>94.04</v>
      </c>
      <c r="DG103" s="8">
        <v>93.82</v>
      </c>
      <c r="DH103" s="8">
        <v>96.05</v>
      </c>
      <c r="DI103" s="8">
        <v>98.85</v>
      </c>
      <c r="DJ103" s="8">
        <v>98.85</v>
      </c>
      <c r="DK103" s="8">
        <v>99.91</v>
      </c>
      <c r="DL103" s="8">
        <v>100.89</v>
      </c>
      <c r="DM103" s="8">
        <v>100.49</v>
      </c>
      <c r="DN103" s="8">
        <v>94.59</v>
      </c>
      <c r="DO103" s="8">
        <v>103.93</v>
      </c>
      <c r="DP103" s="8">
        <v>101.19</v>
      </c>
      <c r="DQ103" s="8">
        <v>99.01</v>
      </c>
      <c r="DR103" s="8">
        <v>100.01</v>
      </c>
      <c r="DS103" s="8">
        <v>102.33</v>
      </c>
      <c r="DT103" s="8">
        <v>96.6</v>
      </c>
      <c r="DU103" s="8">
        <v>94.88</v>
      </c>
      <c r="DV103" s="8">
        <v>98.02</v>
      </c>
      <c r="DW103" s="8">
        <v>97.1</v>
      </c>
      <c r="DX103" s="8">
        <v>97.95</v>
      </c>
      <c r="DY103" s="8">
        <v>102.64</v>
      </c>
      <c r="DZ103" s="8">
        <v>103.04</v>
      </c>
      <c r="EA103" s="8">
        <v>99.14</v>
      </c>
      <c r="EB103" s="8">
        <v>96.79</v>
      </c>
      <c r="EC103" s="8">
        <v>96.49</v>
      </c>
      <c r="ED103" s="8">
        <v>99.3</v>
      </c>
      <c r="EE103" s="8">
        <v>99.21</v>
      </c>
      <c r="EF103" s="8">
        <v>99.22</v>
      </c>
      <c r="EG103" s="8">
        <v>101.26</v>
      </c>
      <c r="EH103" s="8">
        <v>102.7</v>
      </c>
      <c r="EI103" s="8">
        <v>95.57</v>
      </c>
      <c r="EJ103" s="8">
        <v>99.2</v>
      </c>
      <c r="EK103" s="8">
        <v>98.24</v>
      </c>
      <c r="EL103" s="8">
        <v>98.62</v>
      </c>
      <c r="EM103" s="8">
        <v>98.62</v>
      </c>
      <c r="EN103" s="8">
        <v>98.85</v>
      </c>
      <c r="EO103" s="8">
        <v>98.85</v>
      </c>
      <c r="EP103" s="8">
        <v>97.98</v>
      </c>
      <c r="EQ103" s="8">
        <v>98.89</v>
      </c>
      <c r="ER103" s="8">
        <v>95.66</v>
      </c>
      <c r="ES103" s="8">
        <v>97.47</v>
      </c>
      <c r="ET103" s="8">
        <v>100.85</v>
      </c>
      <c r="EU103" s="8">
        <v>93.37</v>
      </c>
      <c r="EV103" s="8">
        <v>95.34</v>
      </c>
      <c r="EW103" s="8">
        <v>97.86</v>
      </c>
      <c r="EX103" s="8">
        <v>94.6</v>
      </c>
      <c r="EY103" s="8">
        <v>91.88</v>
      </c>
      <c r="EZ103" s="8">
        <v>92.32</v>
      </c>
      <c r="FA103" s="8">
        <v>91.46</v>
      </c>
      <c r="FB103" s="8">
        <v>100.01</v>
      </c>
      <c r="FC103" s="8">
        <v>98.64</v>
      </c>
      <c r="FD103" s="8">
        <v>101.52</v>
      </c>
      <c r="FE103" s="8">
        <v>100.28</v>
      </c>
      <c r="FF103" s="8">
        <v>98.46</v>
      </c>
      <c r="FG103" s="8">
        <v>102.74</v>
      </c>
      <c r="FH103" s="8">
        <v>98.49</v>
      </c>
      <c r="FI103" s="8">
        <v>99.92</v>
      </c>
      <c r="FJ103" s="8">
        <v>99.92</v>
      </c>
      <c r="FK103" s="8">
        <v>99.63</v>
      </c>
      <c r="FL103" s="8">
        <v>100</v>
      </c>
      <c r="FM103" s="8">
        <v>100</v>
      </c>
      <c r="FN103" s="8">
        <v>99.91</v>
      </c>
      <c r="FO103" s="8">
        <v>100.48</v>
      </c>
      <c r="FP103" s="8">
        <v>100.48</v>
      </c>
      <c r="FQ103" s="8">
        <v>99.66</v>
      </c>
      <c r="FR103" s="8">
        <v>99.08</v>
      </c>
      <c r="FS103" s="8">
        <v>99.7</v>
      </c>
      <c r="FT103" s="8">
        <v>98.23</v>
      </c>
      <c r="FU103" s="8">
        <v>99.28</v>
      </c>
      <c r="FV103" s="8">
        <v>99.81</v>
      </c>
      <c r="FW103" s="8">
        <v>100.35</v>
      </c>
      <c r="FX103" s="8">
        <v>99.47</v>
      </c>
      <c r="FY103" s="8">
        <v>98.72</v>
      </c>
      <c r="FZ103" s="8">
        <v>99.7</v>
      </c>
      <c r="GA103" s="8">
        <v>98.67</v>
      </c>
      <c r="GB103" s="8">
        <v>95.37</v>
      </c>
      <c r="GC103" s="8">
        <v>100.95</v>
      </c>
      <c r="GD103" s="8">
        <v>90.87</v>
      </c>
      <c r="GE103" s="8">
        <v>101.06</v>
      </c>
      <c r="GF103" s="8">
        <v>101.7</v>
      </c>
      <c r="GG103" s="8">
        <v>100.8</v>
      </c>
      <c r="GH103" s="8">
        <v>97.81</v>
      </c>
      <c r="GI103" s="8">
        <v>96.79</v>
      </c>
      <c r="GJ103" s="8">
        <v>100.69</v>
      </c>
      <c r="GK103" s="8">
        <v>96.11</v>
      </c>
      <c r="GL103" s="8">
        <v>104.69</v>
      </c>
      <c r="GM103" s="8">
        <v>104.47</v>
      </c>
      <c r="GN103" s="8">
        <v>104.87</v>
      </c>
      <c r="GO103" s="8">
        <v>98.38</v>
      </c>
      <c r="GP103" s="8">
        <v>100.29</v>
      </c>
      <c r="GQ103" s="8">
        <v>97.22</v>
      </c>
      <c r="GR103" s="8">
        <v>98.94</v>
      </c>
      <c r="GS103" s="8">
        <v>100.06</v>
      </c>
      <c r="GT103" s="8">
        <v>97.1</v>
      </c>
      <c r="GU103" s="8">
        <v>99.41</v>
      </c>
      <c r="GV103" s="8">
        <v>100.54</v>
      </c>
      <c r="GW103" s="8">
        <v>92.95</v>
      </c>
      <c r="GX103" s="8">
        <v>103.11</v>
      </c>
      <c r="GY103" s="8">
        <v>98.09</v>
      </c>
      <c r="GZ103" s="8">
        <v>98</v>
      </c>
      <c r="HA103" s="8">
        <v>98.23</v>
      </c>
      <c r="HB103" s="8">
        <v>97.44</v>
      </c>
      <c r="HC103" s="8">
        <v>98.47</v>
      </c>
      <c r="HD103" s="8">
        <v>99.53</v>
      </c>
      <c r="HE103" s="8">
        <v>97.76</v>
      </c>
      <c r="HF103" s="8">
        <v>98.53</v>
      </c>
      <c r="HG103" s="8">
        <v>93.9</v>
      </c>
      <c r="HH103" s="8">
        <v>93.9</v>
      </c>
      <c r="HI103" s="8">
        <v>99.19</v>
      </c>
      <c r="HJ103" s="8">
        <v>103.53</v>
      </c>
      <c r="HK103" s="8">
        <v>103.45</v>
      </c>
      <c r="HL103" s="8">
        <v>103.65</v>
      </c>
      <c r="HM103" s="8">
        <v>103.23</v>
      </c>
      <c r="HN103" s="8">
        <v>98.48</v>
      </c>
      <c r="HO103" s="8">
        <v>103.93</v>
      </c>
      <c r="HP103" s="8">
        <v>96.16</v>
      </c>
      <c r="HQ103" s="8">
        <v>98.38</v>
      </c>
      <c r="HR103" s="8">
        <v>87.68</v>
      </c>
      <c r="HS103" s="8">
        <v>85.78</v>
      </c>
      <c r="HT103" s="8">
        <v>99.83</v>
      </c>
      <c r="HU103" s="8">
        <v>97.42</v>
      </c>
      <c r="HV103" s="8">
        <v>99.79</v>
      </c>
      <c r="HW103" s="8">
        <v>99.79</v>
      </c>
      <c r="HX103" s="8">
        <v>99.32</v>
      </c>
      <c r="HY103" s="8">
        <v>99.32</v>
      </c>
      <c r="HZ103" s="8">
        <v>96.39</v>
      </c>
      <c r="IA103" s="8">
        <v>99.47</v>
      </c>
      <c r="IB103" s="8">
        <v>92.96</v>
      </c>
      <c r="IC103" s="8">
        <v>92.67</v>
      </c>
      <c r="ID103" s="8">
        <v>92.8</v>
      </c>
      <c r="IE103" s="8">
        <v>89.07</v>
      </c>
      <c r="IF103" s="8">
        <v>98.44</v>
      </c>
      <c r="IG103" s="8">
        <v>99.18</v>
      </c>
      <c r="IH103" s="8">
        <v>102.85</v>
      </c>
      <c r="II103" s="8">
        <v>103.74</v>
      </c>
      <c r="IJ103" s="8">
        <v>97.96</v>
      </c>
      <c r="IK103" s="8">
        <v>99.15</v>
      </c>
      <c r="IL103" s="8">
        <v>99.15</v>
      </c>
      <c r="IM103" s="8">
        <v>101</v>
      </c>
      <c r="IN103" s="8">
        <v>100.83</v>
      </c>
      <c r="IO103" s="8">
        <v>98.74</v>
      </c>
      <c r="IP103" s="8">
        <v>96.28</v>
      </c>
      <c r="IQ103" s="8">
        <v>108.7</v>
      </c>
    </row>
    <row r="104" spans="1:251" x14ac:dyDescent="0.2">
      <c r="A104" s="9">
        <v>45809</v>
      </c>
      <c r="B104" s="8">
        <v>98.39</v>
      </c>
      <c r="C104" s="8">
        <v>99.3</v>
      </c>
      <c r="D104" s="8">
        <v>99.29</v>
      </c>
      <c r="E104" s="8">
        <v>99.92</v>
      </c>
      <c r="F104" s="8">
        <v>101.17</v>
      </c>
      <c r="G104" s="8">
        <v>99.08</v>
      </c>
      <c r="H104" s="8">
        <v>98.55</v>
      </c>
      <c r="I104" s="8">
        <v>97.19</v>
      </c>
      <c r="J104" s="8">
        <v>100</v>
      </c>
      <c r="K104" s="8">
        <v>100</v>
      </c>
      <c r="L104" s="8">
        <v>98</v>
      </c>
      <c r="M104" s="8">
        <v>98</v>
      </c>
      <c r="N104" s="8">
        <v>98.29</v>
      </c>
      <c r="O104" s="8">
        <v>97.98</v>
      </c>
      <c r="P104" s="8">
        <v>98.16</v>
      </c>
      <c r="Q104" s="8">
        <v>95.92</v>
      </c>
      <c r="R104" s="8">
        <v>97.15</v>
      </c>
      <c r="S104" s="8">
        <v>94.54</v>
      </c>
      <c r="T104" s="8">
        <v>92.48</v>
      </c>
      <c r="U104" s="8">
        <v>98</v>
      </c>
      <c r="V104" s="8">
        <v>90.77</v>
      </c>
      <c r="W104" s="8">
        <v>98.56</v>
      </c>
      <c r="X104" s="8">
        <v>101.28</v>
      </c>
      <c r="Y104" s="8">
        <v>95.34</v>
      </c>
      <c r="Z104" s="8">
        <v>99.83</v>
      </c>
      <c r="AA104" s="8">
        <v>99.15</v>
      </c>
      <c r="AB104" s="8">
        <v>98.83</v>
      </c>
      <c r="AC104" s="8">
        <v>101.27</v>
      </c>
      <c r="AD104" s="8">
        <v>100.32</v>
      </c>
      <c r="AE104" s="8">
        <v>98.48</v>
      </c>
      <c r="AF104" s="8">
        <v>101.61</v>
      </c>
      <c r="AG104" s="8">
        <v>100</v>
      </c>
      <c r="AH104" s="8">
        <v>100</v>
      </c>
      <c r="AI104" s="8">
        <v>99.99</v>
      </c>
      <c r="AJ104" s="8">
        <v>100</v>
      </c>
      <c r="AK104" s="8">
        <v>100</v>
      </c>
      <c r="AL104" s="8">
        <v>99.12</v>
      </c>
      <c r="AM104" s="8">
        <v>100</v>
      </c>
      <c r="AN104" s="8">
        <v>100</v>
      </c>
      <c r="AO104" s="8">
        <v>98.53</v>
      </c>
      <c r="AP104" s="8">
        <v>100.3</v>
      </c>
      <c r="AQ104" s="8">
        <v>98.05</v>
      </c>
      <c r="AR104" s="8">
        <v>98.36</v>
      </c>
      <c r="AS104" s="8">
        <v>99.84</v>
      </c>
      <c r="AT104" s="8">
        <v>99.8</v>
      </c>
      <c r="AU104" s="8">
        <v>100.06</v>
      </c>
      <c r="AV104" s="8">
        <v>99.93</v>
      </c>
      <c r="AW104" s="8">
        <v>100.04</v>
      </c>
      <c r="AX104" s="8">
        <v>98.57</v>
      </c>
      <c r="AY104" s="8">
        <v>98.09</v>
      </c>
      <c r="AZ104" s="8">
        <v>97.09</v>
      </c>
      <c r="BA104" s="8">
        <v>99.15</v>
      </c>
      <c r="BB104" s="8">
        <v>89.27</v>
      </c>
      <c r="BC104" s="8">
        <v>101.02</v>
      </c>
      <c r="BD104" s="8">
        <v>101.52</v>
      </c>
      <c r="BE104" s="8">
        <v>99.49</v>
      </c>
      <c r="BF104" s="8">
        <v>98.04</v>
      </c>
      <c r="BG104" s="8">
        <v>97.77</v>
      </c>
      <c r="BH104" s="8">
        <v>100.25</v>
      </c>
      <c r="BI104" s="8">
        <v>96.14</v>
      </c>
      <c r="BJ104" s="8">
        <v>106.88</v>
      </c>
      <c r="BK104" s="8">
        <v>106.48</v>
      </c>
      <c r="BL104" s="8">
        <v>107.18</v>
      </c>
      <c r="BM104" s="8">
        <v>98.95</v>
      </c>
      <c r="BN104" s="8">
        <v>100.94</v>
      </c>
      <c r="BO104" s="8">
        <v>97.04</v>
      </c>
      <c r="BP104" s="8">
        <v>99.65</v>
      </c>
      <c r="BQ104" s="8">
        <v>99.61</v>
      </c>
      <c r="BR104" s="8">
        <v>98.09</v>
      </c>
      <c r="BS104" s="8">
        <v>99.2</v>
      </c>
      <c r="BT104" s="8">
        <v>102.73</v>
      </c>
      <c r="BU104" s="8">
        <v>97.12</v>
      </c>
      <c r="BV104" s="8">
        <v>103.71</v>
      </c>
      <c r="BW104" s="8">
        <v>98.11</v>
      </c>
      <c r="BX104" s="8">
        <v>98.15</v>
      </c>
      <c r="BY104" s="8">
        <v>98.07</v>
      </c>
      <c r="BZ104" s="8">
        <v>97.5</v>
      </c>
      <c r="CA104" s="8">
        <v>98.91</v>
      </c>
      <c r="CB104" s="8">
        <v>97.81</v>
      </c>
      <c r="CC104" s="8">
        <v>98.93</v>
      </c>
      <c r="CD104" s="8">
        <v>99.18</v>
      </c>
      <c r="CE104" s="8">
        <v>94.18</v>
      </c>
      <c r="CF104" s="8">
        <v>94.18</v>
      </c>
      <c r="CG104" s="8">
        <v>97.75</v>
      </c>
      <c r="CH104" s="8">
        <v>98.79</v>
      </c>
      <c r="CI104" s="8">
        <v>98.97</v>
      </c>
      <c r="CJ104" s="8">
        <v>99.29</v>
      </c>
      <c r="CK104" s="8">
        <v>96.05</v>
      </c>
      <c r="CL104" s="8">
        <v>99.24</v>
      </c>
      <c r="CM104" s="8">
        <v>104.57</v>
      </c>
      <c r="CN104" s="8">
        <v>98.83</v>
      </c>
      <c r="CO104" s="8">
        <v>92.02</v>
      </c>
      <c r="CP104" s="8">
        <v>92.41</v>
      </c>
      <c r="CQ104" s="8">
        <v>91.76</v>
      </c>
      <c r="CR104" s="8">
        <v>99.66</v>
      </c>
      <c r="CS104" s="8">
        <v>98.1</v>
      </c>
      <c r="CT104" s="8">
        <v>98.91</v>
      </c>
      <c r="CU104" s="8">
        <v>98.91</v>
      </c>
      <c r="CV104" s="8">
        <v>97.09</v>
      </c>
      <c r="CW104" s="8">
        <v>97.09</v>
      </c>
      <c r="CX104" s="8">
        <v>98.96</v>
      </c>
      <c r="CY104" s="8">
        <v>100.2</v>
      </c>
      <c r="CZ104" s="8">
        <v>96.08</v>
      </c>
      <c r="DA104" s="8">
        <v>96.61</v>
      </c>
      <c r="DB104" s="8">
        <v>96.86</v>
      </c>
      <c r="DC104" s="8">
        <v>96.31</v>
      </c>
      <c r="DD104" s="8">
        <v>99.65</v>
      </c>
      <c r="DE104" s="8">
        <v>97.05</v>
      </c>
      <c r="DF104" s="8">
        <v>93.33</v>
      </c>
      <c r="DG104" s="8">
        <v>92.83</v>
      </c>
      <c r="DH104" s="8">
        <v>98.14</v>
      </c>
      <c r="DI104" s="8">
        <v>92.17</v>
      </c>
      <c r="DJ104" s="8">
        <v>92.17</v>
      </c>
      <c r="DK104" s="8">
        <v>97.87</v>
      </c>
      <c r="DL104" s="8">
        <v>102.08</v>
      </c>
      <c r="DM104" s="8">
        <v>97.28</v>
      </c>
      <c r="DN104" s="8">
        <v>92.92</v>
      </c>
      <c r="DO104" s="8">
        <v>99.09</v>
      </c>
      <c r="DP104" s="8">
        <v>100.92</v>
      </c>
      <c r="DQ104" s="8">
        <v>99.37</v>
      </c>
      <c r="DR104" s="8">
        <v>99.57</v>
      </c>
      <c r="DS104" s="8">
        <v>102.01</v>
      </c>
      <c r="DT104" s="8">
        <v>96.37</v>
      </c>
      <c r="DU104" s="8">
        <v>94.7</v>
      </c>
      <c r="DV104" s="8">
        <v>98.33</v>
      </c>
      <c r="DW104" s="8">
        <v>96.36</v>
      </c>
      <c r="DX104" s="8">
        <v>97.51</v>
      </c>
      <c r="DY104" s="8">
        <v>101.53</v>
      </c>
      <c r="DZ104" s="8">
        <v>101.78</v>
      </c>
      <c r="EA104" s="8">
        <v>99.43</v>
      </c>
      <c r="EB104" s="8">
        <v>96.51</v>
      </c>
      <c r="EC104" s="8">
        <v>96.18</v>
      </c>
      <c r="ED104" s="8">
        <v>99.3</v>
      </c>
      <c r="EE104" s="8">
        <v>98.95</v>
      </c>
      <c r="EF104" s="8">
        <v>98.96</v>
      </c>
      <c r="EG104" s="8">
        <v>100.84</v>
      </c>
      <c r="EH104" s="8">
        <v>102.49</v>
      </c>
      <c r="EI104" s="8">
        <v>95.24</v>
      </c>
      <c r="EJ104" s="8">
        <v>99.22</v>
      </c>
      <c r="EK104" s="8">
        <v>98.22</v>
      </c>
      <c r="EL104" s="8">
        <v>98.62</v>
      </c>
      <c r="EM104" s="8">
        <v>98.62</v>
      </c>
      <c r="EN104" s="8">
        <v>98.02</v>
      </c>
      <c r="EO104" s="8">
        <v>98.02</v>
      </c>
      <c r="EP104" s="8">
        <v>98.29</v>
      </c>
      <c r="EQ104" s="8">
        <v>98</v>
      </c>
      <c r="ER104" s="8">
        <v>96.82</v>
      </c>
      <c r="ES104" s="8">
        <v>96.91</v>
      </c>
      <c r="ET104" s="8">
        <v>99.25</v>
      </c>
      <c r="EU104" s="8">
        <v>94.08</v>
      </c>
      <c r="EV104" s="8">
        <v>95.22</v>
      </c>
      <c r="EW104" s="8">
        <v>97.5</v>
      </c>
      <c r="EX104" s="8">
        <v>94.55</v>
      </c>
      <c r="EY104" s="8">
        <v>94.69</v>
      </c>
      <c r="EZ104" s="8">
        <v>93.38</v>
      </c>
      <c r="FA104" s="8">
        <v>95.91</v>
      </c>
      <c r="FB104" s="8">
        <v>99.96</v>
      </c>
      <c r="FC104" s="8">
        <v>99.06</v>
      </c>
      <c r="FD104" s="8">
        <v>99.51</v>
      </c>
      <c r="FE104" s="8">
        <v>100.84</v>
      </c>
      <c r="FF104" s="8">
        <v>98.77</v>
      </c>
      <c r="FG104" s="8">
        <v>102.74</v>
      </c>
      <c r="FH104" s="8">
        <v>98.49</v>
      </c>
      <c r="FI104" s="8">
        <v>99.92</v>
      </c>
      <c r="FJ104" s="8">
        <v>99.92</v>
      </c>
      <c r="FK104" s="8">
        <v>99.6</v>
      </c>
      <c r="FL104" s="8">
        <v>100</v>
      </c>
      <c r="FM104" s="8">
        <v>100</v>
      </c>
      <c r="FN104" s="8">
        <v>100.75</v>
      </c>
      <c r="FO104" s="8">
        <v>100.25</v>
      </c>
      <c r="FP104" s="8">
        <v>100.25</v>
      </c>
      <c r="FQ104" s="8">
        <v>100.98</v>
      </c>
      <c r="FR104" s="8">
        <v>100.3</v>
      </c>
      <c r="FS104" s="8">
        <v>101.03</v>
      </c>
      <c r="FT104" s="8">
        <v>98.25</v>
      </c>
      <c r="FU104" s="8">
        <v>99.54</v>
      </c>
      <c r="FV104" s="8">
        <v>99.62</v>
      </c>
      <c r="FW104" s="8">
        <v>99.93</v>
      </c>
      <c r="FX104" s="8">
        <v>99.6</v>
      </c>
      <c r="FY104" s="8">
        <v>99.54</v>
      </c>
      <c r="FZ104" s="8">
        <v>98.93</v>
      </c>
      <c r="GA104" s="8">
        <v>98.38</v>
      </c>
      <c r="GB104" s="8">
        <v>96.92</v>
      </c>
      <c r="GC104" s="8">
        <v>99.55</v>
      </c>
      <c r="GD104" s="8">
        <v>90.42</v>
      </c>
      <c r="GE104" s="8">
        <v>100.43</v>
      </c>
      <c r="GF104" s="8">
        <v>101.06</v>
      </c>
      <c r="GG104" s="8">
        <v>100.02</v>
      </c>
      <c r="GH104" s="8">
        <v>98.04</v>
      </c>
      <c r="GI104" s="8">
        <v>97.54</v>
      </c>
      <c r="GJ104" s="8">
        <v>100.25</v>
      </c>
      <c r="GK104" s="8">
        <v>96.39</v>
      </c>
      <c r="GL104" s="8">
        <v>106.79</v>
      </c>
      <c r="GM104" s="8">
        <v>105.01</v>
      </c>
      <c r="GN104" s="8">
        <v>108.21</v>
      </c>
      <c r="GO104" s="8">
        <v>98.54</v>
      </c>
      <c r="GP104" s="8">
        <v>101.19</v>
      </c>
      <c r="GQ104" s="8">
        <v>97.77</v>
      </c>
      <c r="GR104" s="8">
        <v>98.92</v>
      </c>
      <c r="GS104" s="8">
        <v>98.69</v>
      </c>
      <c r="GT104" s="8">
        <v>97.8</v>
      </c>
      <c r="GU104" s="8">
        <v>99.14</v>
      </c>
      <c r="GV104" s="8">
        <v>101.18</v>
      </c>
      <c r="GW104" s="8">
        <v>96.15</v>
      </c>
      <c r="GX104" s="8">
        <v>102.88</v>
      </c>
      <c r="GY104" s="8">
        <v>98.06</v>
      </c>
      <c r="GZ104" s="8">
        <v>97.84</v>
      </c>
      <c r="HA104" s="8">
        <v>98.39</v>
      </c>
      <c r="HB104" s="8">
        <v>97.51</v>
      </c>
      <c r="HC104" s="8">
        <v>98.61</v>
      </c>
      <c r="HD104" s="8">
        <v>100.94</v>
      </c>
      <c r="HE104" s="8">
        <v>97.2</v>
      </c>
      <c r="HF104" s="8">
        <v>98.62</v>
      </c>
      <c r="HG104" s="8">
        <v>93.75</v>
      </c>
      <c r="HH104" s="8">
        <v>93.75</v>
      </c>
      <c r="HI104" s="8">
        <v>97.91</v>
      </c>
      <c r="HJ104" s="8">
        <v>100.18</v>
      </c>
      <c r="HK104" s="8">
        <v>100.13</v>
      </c>
      <c r="HL104" s="8">
        <v>100.02</v>
      </c>
      <c r="HM104" s="8">
        <v>101.05</v>
      </c>
      <c r="HN104" s="8">
        <v>99.17</v>
      </c>
      <c r="HO104" s="8">
        <v>104.12</v>
      </c>
      <c r="HP104" s="8">
        <v>98.14</v>
      </c>
      <c r="HQ104" s="8">
        <v>96.04</v>
      </c>
      <c r="HR104" s="8">
        <v>90.45</v>
      </c>
      <c r="HS104" s="8">
        <v>88.95</v>
      </c>
      <c r="HT104" s="8">
        <v>100</v>
      </c>
      <c r="HU104" s="8">
        <v>97.65</v>
      </c>
      <c r="HV104" s="8">
        <v>99.83</v>
      </c>
      <c r="HW104" s="8">
        <v>99.83</v>
      </c>
      <c r="HX104" s="8">
        <v>99.97</v>
      </c>
      <c r="HY104" s="8">
        <v>99.97</v>
      </c>
      <c r="HZ104" s="8">
        <v>96.51</v>
      </c>
      <c r="IA104" s="8">
        <v>99.69</v>
      </c>
      <c r="IB104" s="8">
        <v>92.96</v>
      </c>
      <c r="IC104" s="8">
        <v>92.67</v>
      </c>
      <c r="ID104" s="8">
        <v>92.8</v>
      </c>
      <c r="IE104" s="8">
        <v>89.07</v>
      </c>
      <c r="IF104" s="8">
        <v>98.44</v>
      </c>
      <c r="IG104" s="8">
        <v>97.38</v>
      </c>
      <c r="IH104" s="8">
        <v>94.44</v>
      </c>
      <c r="II104" s="8">
        <v>94.2</v>
      </c>
      <c r="IJ104" s="8">
        <v>95.76</v>
      </c>
      <c r="IK104" s="8">
        <v>90.77</v>
      </c>
      <c r="IL104" s="8">
        <v>90.77</v>
      </c>
      <c r="IM104" s="8">
        <v>97.94</v>
      </c>
      <c r="IN104" s="8">
        <v>100.97</v>
      </c>
      <c r="IO104" s="8">
        <v>96.25</v>
      </c>
      <c r="IP104" s="8">
        <v>87.55</v>
      </c>
      <c r="IQ104" s="8">
        <v>108.71</v>
      </c>
    </row>
    <row r="105" spans="1:251" x14ac:dyDescent="0.2">
      <c r="A105" s="9">
        <v>45839</v>
      </c>
      <c r="B105" s="8">
        <v>100</v>
      </c>
      <c r="C105" s="8">
        <v>100.19</v>
      </c>
      <c r="D105" s="8">
        <v>100.2</v>
      </c>
      <c r="E105" s="8">
        <v>100.64</v>
      </c>
      <c r="F105" s="8">
        <v>102.3</v>
      </c>
      <c r="G105" s="8">
        <v>99.32</v>
      </c>
      <c r="H105" s="8">
        <v>100.21</v>
      </c>
      <c r="I105" s="8">
        <v>99.37</v>
      </c>
      <c r="J105" s="8">
        <v>100</v>
      </c>
      <c r="K105" s="8">
        <v>100</v>
      </c>
      <c r="L105" s="8">
        <v>99.48</v>
      </c>
      <c r="M105" s="8">
        <v>99.48</v>
      </c>
      <c r="N105" s="8">
        <v>99.4</v>
      </c>
      <c r="O105" s="8">
        <v>99.49</v>
      </c>
      <c r="P105" s="8">
        <v>98.93</v>
      </c>
      <c r="Q105" s="8">
        <v>96.29</v>
      </c>
      <c r="R105" s="8">
        <v>98.09</v>
      </c>
      <c r="S105" s="8">
        <v>94.29</v>
      </c>
      <c r="T105" s="8">
        <v>99.79</v>
      </c>
      <c r="U105" s="8">
        <v>101.21</v>
      </c>
      <c r="V105" s="8">
        <v>99.35</v>
      </c>
      <c r="W105" s="8">
        <v>99.06</v>
      </c>
      <c r="X105" s="8">
        <v>100.52</v>
      </c>
      <c r="Y105" s="8">
        <v>97.33</v>
      </c>
      <c r="Z105" s="8">
        <v>99.96</v>
      </c>
      <c r="AA105" s="8">
        <v>100.76</v>
      </c>
      <c r="AB105" s="8">
        <v>95.71</v>
      </c>
      <c r="AC105" s="8">
        <v>101.12</v>
      </c>
      <c r="AD105" s="8">
        <v>98.91</v>
      </c>
      <c r="AE105" s="8">
        <v>99.84</v>
      </c>
      <c r="AF105" s="8">
        <v>103.04</v>
      </c>
      <c r="AG105" s="8">
        <v>100</v>
      </c>
      <c r="AH105" s="8">
        <v>100</v>
      </c>
      <c r="AI105" s="8">
        <v>99.99</v>
      </c>
      <c r="AJ105" s="8">
        <v>100</v>
      </c>
      <c r="AK105" s="8">
        <v>100</v>
      </c>
      <c r="AL105" s="8">
        <v>99.46</v>
      </c>
      <c r="AM105" s="8">
        <v>100.68</v>
      </c>
      <c r="AN105" s="8">
        <v>100.68</v>
      </c>
      <c r="AO105" s="8">
        <v>98.64</v>
      </c>
      <c r="AP105" s="8">
        <v>100.79</v>
      </c>
      <c r="AQ105" s="8">
        <v>98.05</v>
      </c>
      <c r="AR105" s="8">
        <v>99.52</v>
      </c>
      <c r="AS105" s="8">
        <v>100.31</v>
      </c>
      <c r="AT105" s="8">
        <v>100.76</v>
      </c>
      <c r="AU105" s="8">
        <v>100.24</v>
      </c>
      <c r="AV105" s="8">
        <v>101.8</v>
      </c>
      <c r="AW105" s="8">
        <v>100.45</v>
      </c>
      <c r="AX105" s="8">
        <v>99.55</v>
      </c>
      <c r="AY105" s="8">
        <v>99.2</v>
      </c>
      <c r="AZ105" s="8">
        <v>97.25</v>
      </c>
      <c r="BA105" s="8">
        <v>100.57</v>
      </c>
      <c r="BB105" s="8">
        <v>92.09</v>
      </c>
      <c r="BC105" s="8">
        <v>102.26</v>
      </c>
      <c r="BD105" s="8">
        <v>101.92</v>
      </c>
      <c r="BE105" s="8">
        <v>100.77</v>
      </c>
      <c r="BF105" s="8">
        <v>98.45</v>
      </c>
      <c r="BG105" s="8">
        <v>98.16</v>
      </c>
      <c r="BH105" s="8">
        <v>100.01</v>
      </c>
      <c r="BI105" s="8">
        <v>97.28</v>
      </c>
      <c r="BJ105" s="8">
        <v>107.55</v>
      </c>
      <c r="BK105" s="8">
        <v>108.09</v>
      </c>
      <c r="BL105" s="8">
        <v>107.13</v>
      </c>
      <c r="BM105" s="8">
        <v>99.36</v>
      </c>
      <c r="BN105" s="8">
        <v>100.5</v>
      </c>
      <c r="BO105" s="8">
        <v>96.98</v>
      </c>
      <c r="BP105" s="8">
        <v>99.87</v>
      </c>
      <c r="BQ105" s="8">
        <v>99.87</v>
      </c>
      <c r="BR105" s="8">
        <v>98.55</v>
      </c>
      <c r="BS105" s="8">
        <v>100.01</v>
      </c>
      <c r="BT105" s="8">
        <v>102.6</v>
      </c>
      <c r="BU105" s="8">
        <v>99.04</v>
      </c>
      <c r="BV105" s="8">
        <v>103.22</v>
      </c>
      <c r="BW105" s="8">
        <v>98.36</v>
      </c>
      <c r="BX105" s="8">
        <v>98.15</v>
      </c>
      <c r="BY105" s="8">
        <v>98.52</v>
      </c>
      <c r="BZ105" s="8">
        <v>97.88</v>
      </c>
      <c r="CA105" s="8">
        <v>99.8</v>
      </c>
      <c r="CB105" s="8">
        <v>99.13</v>
      </c>
      <c r="CC105" s="8">
        <v>100.91</v>
      </c>
      <c r="CD105" s="8">
        <v>99.53</v>
      </c>
      <c r="CE105" s="8">
        <v>93.36</v>
      </c>
      <c r="CF105" s="8">
        <v>93.36</v>
      </c>
      <c r="CG105" s="8">
        <v>99.95</v>
      </c>
      <c r="CH105" s="8">
        <v>100.76</v>
      </c>
      <c r="CI105" s="8">
        <v>101.04</v>
      </c>
      <c r="CJ105" s="8">
        <v>101.38</v>
      </c>
      <c r="CK105" s="8">
        <v>97.22</v>
      </c>
      <c r="CL105" s="8">
        <v>99.82</v>
      </c>
      <c r="CM105" s="8">
        <v>100.83</v>
      </c>
      <c r="CN105" s="8">
        <v>99.77</v>
      </c>
      <c r="CO105" s="8">
        <v>98.36</v>
      </c>
      <c r="CP105" s="8">
        <v>96.95</v>
      </c>
      <c r="CQ105" s="8">
        <v>96.67</v>
      </c>
      <c r="CR105" s="8">
        <v>100.01</v>
      </c>
      <c r="CS105" s="8">
        <v>99.47</v>
      </c>
      <c r="CT105" s="8">
        <v>99.31</v>
      </c>
      <c r="CU105" s="8">
        <v>99.31</v>
      </c>
      <c r="CV105" s="8">
        <v>100.27</v>
      </c>
      <c r="CW105" s="8">
        <v>100.27</v>
      </c>
      <c r="CX105" s="8">
        <v>98.54</v>
      </c>
      <c r="CY105" s="8">
        <v>99.61</v>
      </c>
      <c r="CZ105" s="8">
        <v>96.08</v>
      </c>
      <c r="DA105" s="8">
        <v>99.99</v>
      </c>
      <c r="DB105" s="8">
        <v>100</v>
      </c>
      <c r="DC105" s="8">
        <v>100</v>
      </c>
      <c r="DD105" s="8">
        <v>99.65</v>
      </c>
      <c r="DE105" s="8">
        <v>99.96</v>
      </c>
      <c r="DF105" s="8">
        <v>99.45</v>
      </c>
      <c r="DG105" s="8">
        <v>99.33</v>
      </c>
      <c r="DH105" s="8">
        <v>100.52</v>
      </c>
      <c r="DI105" s="8">
        <v>103.33</v>
      </c>
      <c r="DJ105" s="8">
        <v>103.33</v>
      </c>
      <c r="DK105" s="8">
        <v>100.81</v>
      </c>
      <c r="DL105" s="8">
        <v>100.09</v>
      </c>
      <c r="DM105" s="8">
        <v>99.75</v>
      </c>
      <c r="DN105" s="8">
        <v>101.08</v>
      </c>
      <c r="DO105" s="8">
        <v>101.84</v>
      </c>
      <c r="DP105" s="8">
        <v>101.46</v>
      </c>
      <c r="DQ105" s="8">
        <v>101.22</v>
      </c>
      <c r="DR105" s="8">
        <v>100.91</v>
      </c>
      <c r="DS105" s="8">
        <v>101.82</v>
      </c>
      <c r="DT105" s="8">
        <v>97.76</v>
      </c>
      <c r="DU105" s="8">
        <v>96.71</v>
      </c>
      <c r="DV105" s="8">
        <v>98.82</v>
      </c>
      <c r="DW105" s="8">
        <v>97.9</v>
      </c>
      <c r="DX105" s="8">
        <v>99.17</v>
      </c>
      <c r="DY105" s="8">
        <v>101.06</v>
      </c>
      <c r="DZ105" s="8">
        <v>101.49</v>
      </c>
      <c r="EA105" s="8">
        <v>97.36</v>
      </c>
      <c r="EB105" s="8">
        <v>98.69</v>
      </c>
      <c r="EC105" s="8">
        <v>98.62</v>
      </c>
      <c r="ED105" s="8">
        <v>99.34</v>
      </c>
      <c r="EE105" s="8">
        <v>99.48</v>
      </c>
      <c r="EF105" s="8">
        <v>99.49</v>
      </c>
      <c r="EG105" s="8">
        <v>100.96</v>
      </c>
      <c r="EH105" s="8">
        <v>102.57</v>
      </c>
      <c r="EI105" s="8">
        <v>96.21</v>
      </c>
      <c r="EJ105" s="8">
        <v>99.62</v>
      </c>
      <c r="EK105" s="8">
        <v>100.02</v>
      </c>
      <c r="EL105" s="8">
        <v>98.62</v>
      </c>
      <c r="EM105" s="8">
        <v>98.62</v>
      </c>
      <c r="EN105" s="8">
        <v>99.5</v>
      </c>
      <c r="EO105" s="8">
        <v>99.5</v>
      </c>
      <c r="EP105" s="8">
        <v>99.4</v>
      </c>
      <c r="EQ105" s="8">
        <v>99.51</v>
      </c>
      <c r="ER105" s="8">
        <v>98.89</v>
      </c>
      <c r="ES105" s="8">
        <v>97.98</v>
      </c>
      <c r="ET105" s="8">
        <v>101.02</v>
      </c>
      <c r="EU105" s="8">
        <v>94.29</v>
      </c>
      <c r="EV105" s="8">
        <v>96.9</v>
      </c>
      <c r="EW105" s="8">
        <v>101.45</v>
      </c>
      <c r="EX105" s="8">
        <v>95.56</v>
      </c>
      <c r="EY105" s="8">
        <v>98.82</v>
      </c>
      <c r="EZ105" s="8">
        <v>103.35</v>
      </c>
      <c r="FA105" s="8">
        <v>94.58</v>
      </c>
      <c r="FB105" s="8">
        <v>99.72</v>
      </c>
      <c r="FC105" s="8">
        <v>98.28</v>
      </c>
      <c r="FD105" s="8">
        <v>97.31</v>
      </c>
      <c r="FE105" s="8">
        <v>100.92</v>
      </c>
      <c r="FF105" s="8">
        <v>98.77</v>
      </c>
      <c r="FG105" s="8">
        <v>102.77</v>
      </c>
      <c r="FH105" s="8">
        <v>99.9</v>
      </c>
      <c r="FI105" s="8">
        <v>99.95</v>
      </c>
      <c r="FJ105" s="8">
        <v>99.95</v>
      </c>
      <c r="FK105" s="8">
        <v>99.75</v>
      </c>
      <c r="FL105" s="8">
        <v>100</v>
      </c>
      <c r="FM105" s="8">
        <v>100</v>
      </c>
      <c r="FN105" s="8">
        <v>100.93</v>
      </c>
      <c r="FO105" s="8">
        <v>100.75</v>
      </c>
      <c r="FP105" s="8">
        <v>100.75</v>
      </c>
      <c r="FQ105" s="8">
        <v>101.01</v>
      </c>
      <c r="FR105" s="8">
        <v>100.79</v>
      </c>
      <c r="FS105" s="8">
        <v>101.03</v>
      </c>
      <c r="FT105" s="8">
        <v>100.01</v>
      </c>
      <c r="FU105" s="8">
        <v>100.21</v>
      </c>
      <c r="FV105" s="8">
        <v>100.35</v>
      </c>
      <c r="FW105" s="8">
        <v>100.06</v>
      </c>
      <c r="FX105" s="8">
        <v>101.42</v>
      </c>
      <c r="FY105" s="8">
        <v>99.44</v>
      </c>
      <c r="FZ105" s="8">
        <v>98.88</v>
      </c>
      <c r="GA105" s="8">
        <v>98.47</v>
      </c>
      <c r="GB105" s="8">
        <v>96.45</v>
      </c>
      <c r="GC105" s="8">
        <v>100.23</v>
      </c>
      <c r="GD105" s="8">
        <v>91.49</v>
      </c>
      <c r="GE105" s="8">
        <v>100.9</v>
      </c>
      <c r="GF105" s="8">
        <v>100.84</v>
      </c>
      <c r="GG105" s="8">
        <v>99.4</v>
      </c>
      <c r="GH105" s="8">
        <v>98</v>
      </c>
      <c r="GI105" s="8">
        <v>97.15</v>
      </c>
      <c r="GJ105" s="8">
        <v>99.95</v>
      </c>
      <c r="GK105" s="8">
        <v>97.03</v>
      </c>
      <c r="GL105" s="8">
        <v>108.11</v>
      </c>
      <c r="GM105" s="8">
        <v>108.21</v>
      </c>
      <c r="GN105" s="8">
        <v>108.03</v>
      </c>
      <c r="GO105" s="8">
        <v>98.91</v>
      </c>
      <c r="GP105" s="8">
        <v>100.53</v>
      </c>
      <c r="GQ105" s="8">
        <v>97.83</v>
      </c>
      <c r="GR105" s="8">
        <v>99.22</v>
      </c>
      <c r="GS105" s="8">
        <v>99.61</v>
      </c>
      <c r="GT105" s="8">
        <v>98.2</v>
      </c>
      <c r="GU105" s="8">
        <v>99.58</v>
      </c>
      <c r="GV105" s="8">
        <v>101.4</v>
      </c>
      <c r="GW105" s="8">
        <v>97.84</v>
      </c>
      <c r="GX105" s="8">
        <v>102.6</v>
      </c>
      <c r="GY105" s="8">
        <v>98.96</v>
      </c>
      <c r="GZ105" s="8">
        <v>99.01</v>
      </c>
      <c r="HA105" s="8">
        <v>98.9</v>
      </c>
      <c r="HB105" s="8">
        <v>99.15</v>
      </c>
      <c r="HC105" s="8">
        <v>100.65</v>
      </c>
      <c r="HD105" s="8">
        <v>100.28</v>
      </c>
      <c r="HE105" s="8">
        <v>103.2</v>
      </c>
      <c r="HF105" s="8">
        <v>98.85</v>
      </c>
      <c r="HG105" s="8">
        <v>94.02</v>
      </c>
      <c r="HH105" s="8">
        <v>94.02</v>
      </c>
      <c r="HI105" s="8">
        <v>100.36</v>
      </c>
      <c r="HJ105" s="8">
        <v>102.4</v>
      </c>
      <c r="HK105" s="8">
        <v>102.37</v>
      </c>
      <c r="HL105" s="8">
        <v>102.64</v>
      </c>
      <c r="HM105" s="8">
        <v>101.41</v>
      </c>
      <c r="HN105" s="8">
        <v>100.23</v>
      </c>
      <c r="HO105" s="8">
        <v>104.74</v>
      </c>
      <c r="HP105" s="8">
        <v>98.88</v>
      </c>
      <c r="HQ105" s="8">
        <v>98.55</v>
      </c>
      <c r="HR105" s="8">
        <v>94.79</v>
      </c>
      <c r="HS105" s="8">
        <v>93.98</v>
      </c>
      <c r="HT105" s="8">
        <v>100</v>
      </c>
      <c r="HU105" s="8">
        <v>101.02</v>
      </c>
      <c r="HV105" s="8">
        <v>99.9</v>
      </c>
      <c r="HW105" s="8">
        <v>99.9</v>
      </c>
      <c r="HX105" s="8">
        <v>99.9</v>
      </c>
      <c r="HY105" s="8">
        <v>99.9</v>
      </c>
      <c r="HZ105" s="8">
        <v>96.62</v>
      </c>
      <c r="IA105" s="8">
        <v>99.91</v>
      </c>
      <c r="IB105" s="8">
        <v>92.96</v>
      </c>
      <c r="IC105" s="8">
        <v>107.76</v>
      </c>
      <c r="ID105" s="8">
        <v>100</v>
      </c>
      <c r="IE105" s="8">
        <v>115.45</v>
      </c>
      <c r="IF105" s="8">
        <v>100</v>
      </c>
      <c r="IG105" s="8">
        <v>99.69</v>
      </c>
      <c r="IH105" s="8">
        <v>101.81</v>
      </c>
      <c r="II105" s="8">
        <v>102.21</v>
      </c>
      <c r="IJ105" s="8">
        <v>99.59</v>
      </c>
      <c r="IK105" s="8">
        <v>99.66</v>
      </c>
      <c r="IL105" s="8">
        <v>99.66</v>
      </c>
      <c r="IM105" s="8">
        <v>100.18</v>
      </c>
      <c r="IN105" s="8">
        <v>102.36</v>
      </c>
      <c r="IO105" s="8">
        <v>98.58</v>
      </c>
      <c r="IP105" s="8">
        <v>95.01</v>
      </c>
      <c r="IQ105" s="8">
        <v>105.66</v>
      </c>
    </row>
    <row r="106" spans="1:251" x14ac:dyDescent="0.2">
      <c r="A106" s="9">
        <v>45870</v>
      </c>
      <c r="B106" s="8">
        <v>100</v>
      </c>
      <c r="C106" s="8">
        <v>100.19</v>
      </c>
      <c r="D106" s="8">
        <v>100.19</v>
      </c>
      <c r="E106" s="8">
        <v>100.7</v>
      </c>
      <c r="F106" s="8">
        <v>101.69</v>
      </c>
      <c r="G106" s="8">
        <v>99.46</v>
      </c>
      <c r="H106" s="8">
        <v>99.89</v>
      </c>
      <c r="I106" s="8">
        <v>100</v>
      </c>
      <c r="J106" s="8">
        <v>100</v>
      </c>
      <c r="K106" s="8">
        <v>100</v>
      </c>
      <c r="L106" s="8">
        <v>100.24</v>
      </c>
      <c r="M106" s="8">
        <v>100.24</v>
      </c>
      <c r="N106" s="8">
        <v>99.59</v>
      </c>
      <c r="O106" s="8">
        <v>100.28</v>
      </c>
      <c r="P106" s="8">
        <v>97.7</v>
      </c>
      <c r="Q106" s="8">
        <v>99.82</v>
      </c>
      <c r="R106" s="8">
        <v>100.16</v>
      </c>
      <c r="S106" s="8">
        <v>99.44</v>
      </c>
      <c r="T106" s="8">
        <v>99.64</v>
      </c>
      <c r="U106" s="8">
        <v>100.54</v>
      </c>
      <c r="V106" s="8">
        <v>99.36</v>
      </c>
      <c r="W106" s="8">
        <v>94.93</v>
      </c>
      <c r="X106" s="8">
        <v>96.18</v>
      </c>
      <c r="Y106" s="8">
        <v>93.44</v>
      </c>
      <c r="Z106" s="8">
        <v>99.75</v>
      </c>
      <c r="AA106" s="8">
        <v>99.59</v>
      </c>
      <c r="AB106" s="8">
        <v>97.56</v>
      </c>
      <c r="AC106" s="8">
        <v>100.86</v>
      </c>
      <c r="AD106" s="8">
        <v>100</v>
      </c>
      <c r="AE106" s="8">
        <v>100</v>
      </c>
      <c r="AF106" s="8">
        <v>100</v>
      </c>
      <c r="AG106" s="8">
        <v>100</v>
      </c>
      <c r="AH106" s="8">
        <v>100</v>
      </c>
      <c r="AI106" s="8">
        <v>99.99</v>
      </c>
      <c r="AJ106" s="8">
        <v>100</v>
      </c>
      <c r="AK106" s="8">
        <v>100</v>
      </c>
      <c r="AL106" s="8">
        <v>99.06</v>
      </c>
      <c r="AM106" s="8">
        <v>99.62</v>
      </c>
      <c r="AN106" s="8">
        <v>99.62</v>
      </c>
      <c r="AO106" s="8">
        <v>98.69</v>
      </c>
      <c r="AP106" s="8">
        <v>101.03</v>
      </c>
      <c r="AQ106" s="8">
        <v>98.05</v>
      </c>
      <c r="AR106" s="8">
        <v>99.47</v>
      </c>
      <c r="AS106" s="8">
        <v>100.44</v>
      </c>
      <c r="AT106" s="8">
        <v>100.61</v>
      </c>
      <c r="AU106" s="8">
        <v>99.97</v>
      </c>
      <c r="AV106" s="8">
        <v>101.51</v>
      </c>
      <c r="AW106" s="8">
        <v>99.97</v>
      </c>
      <c r="AX106" s="8">
        <v>100.26</v>
      </c>
      <c r="AY106" s="8">
        <v>99.46</v>
      </c>
      <c r="AZ106" s="8">
        <v>98.16</v>
      </c>
      <c r="BA106" s="8">
        <v>99.95</v>
      </c>
      <c r="BB106" s="8">
        <v>94.04</v>
      </c>
      <c r="BC106" s="8">
        <v>101.41</v>
      </c>
      <c r="BD106" s="8">
        <v>101.98</v>
      </c>
      <c r="BE106" s="8">
        <v>100.71</v>
      </c>
      <c r="BF106" s="8">
        <v>99.37</v>
      </c>
      <c r="BG106" s="8">
        <v>99.79</v>
      </c>
      <c r="BH106" s="8">
        <v>99.99</v>
      </c>
      <c r="BI106" s="8">
        <v>98.06</v>
      </c>
      <c r="BJ106" s="8">
        <v>103.16</v>
      </c>
      <c r="BK106" s="8">
        <v>104.09</v>
      </c>
      <c r="BL106" s="8">
        <v>102.44</v>
      </c>
      <c r="BM106" s="8">
        <v>99.87</v>
      </c>
      <c r="BN106" s="8">
        <v>100.8</v>
      </c>
      <c r="BO106" s="8">
        <v>98.23</v>
      </c>
      <c r="BP106" s="8">
        <v>100.41</v>
      </c>
      <c r="BQ106" s="8">
        <v>100.39</v>
      </c>
      <c r="BR106" s="8">
        <v>99.3</v>
      </c>
      <c r="BS106" s="8">
        <v>100.1</v>
      </c>
      <c r="BT106" s="8">
        <v>101.32</v>
      </c>
      <c r="BU106" s="8">
        <v>99.01</v>
      </c>
      <c r="BV106" s="8">
        <v>101.72</v>
      </c>
      <c r="BW106" s="8">
        <v>100.02</v>
      </c>
      <c r="BX106" s="8">
        <v>100.1</v>
      </c>
      <c r="BY106" s="8">
        <v>99.96</v>
      </c>
      <c r="BZ106" s="8">
        <v>97.73</v>
      </c>
      <c r="CA106" s="8">
        <v>99.55</v>
      </c>
      <c r="CB106" s="8">
        <v>98.03</v>
      </c>
      <c r="CC106" s="8">
        <v>100.89</v>
      </c>
      <c r="CD106" s="8">
        <v>99.4</v>
      </c>
      <c r="CE106" s="8">
        <v>93.45</v>
      </c>
      <c r="CF106" s="8">
        <v>93.45</v>
      </c>
      <c r="CG106" s="8">
        <v>100.09</v>
      </c>
      <c r="CH106" s="8">
        <v>101.23</v>
      </c>
      <c r="CI106" s="8">
        <v>99.95</v>
      </c>
      <c r="CJ106" s="8">
        <v>101.82</v>
      </c>
      <c r="CK106" s="8">
        <v>101.18</v>
      </c>
      <c r="CL106" s="8">
        <v>97.48</v>
      </c>
      <c r="CM106" s="8">
        <v>98</v>
      </c>
      <c r="CN106" s="8">
        <v>97.12</v>
      </c>
      <c r="CO106" s="8">
        <v>97.87</v>
      </c>
      <c r="CP106" s="8">
        <v>98.02</v>
      </c>
      <c r="CQ106" s="8">
        <v>97.85</v>
      </c>
      <c r="CR106" s="8">
        <v>100.01</v>
      </c>
      <c r="CS106" s="8">
        <v>99.56</v>
      </c>
      <c r="CT106" s="8">
        <v>99.64</v>
      </c>
      <c r="CU106" s="8">
        <v>99.64</v>
      </c>
      <c r="CV106" s="8">
        <v>100.09</v>
      </c>
      <c r="CW106" s="8">
        <v>100.09</v>
      </c>
      <c r="CX106" s="8">
        <v>98.57</v>
      </c>
      <c r="CY106" s="8">
        <v>99.64</v>
      </c>
      <c r="CZ106" s="8">
        <v>96.08</v>
      </c>
      <c r="DA106" s="8">
        <v>100</v>
      </c>
      <c r="DB106" s="8">
        <v>100</v>
      </c>
      <c r="DC106" s="8">
        <v>100</v>
      </c>
      <c r="DD106" s="8">
        <v>100</v>
      </c>
      <c r="DE106" s="8">
        <v>99.67</v>
      </c>
      <c r="DF106" s="8">
        <v>99.6</v>
      </c>
      <c r="DG106" s="8">
        <v>99.61</v>
      </c>
      <c r="DH106" s="8">
        <v>99.51</v>
      </c>
      <c r="DI106" s="8">
        <v>98.21</v>
      </c>
      <c r="DJ106" s="8">
        <v>98.21</v>
      </c>
      <c r="DK106" s="8">
        <v>99.63</v>
      </c>
      <c r="DL106" s="8">
        <v>100.22</v>
      </c>
      <c r="DM106" s="8">
        <v>101.17</v>
      </c>
      <c r="DN106" s="8">
        <v>96.71</v>
      </c>
      <c r="DO106" s="8">
        <v>101.06</v>
      </c>
      <c r="DP106" s="8">
        <v>100.89</v>
      </c>
      <c r="DQ106" s="8">
        <v>99.91</v>
      </c>
      <c r="DR106" s="8">
        <v>101.05</v>
      </c>
      <c r="DS106" s="8">
        <v>101.02</v>
      </c>
      <c r="DT106" s="8">
        <v>98.83</v>
      </c>
      <c r="DU106" s="8">
        <v>98.86</v>
      </c>
      <c r="DV106" s="8">
        <v>98.82</v>
      </c>
      <c r="DW106" s="8">
        <v>98.82</v>
      </c>
      <c r="DX106" s="8">
        <v>99.06</v>
      </c>
      <c r="DY106" s="8">
        <v>100.79</v>
      </c>
      <c r="DZ106" s="8">
        <v>101.16</v>
      </c>
      <c r="EA106" s="8">
        <v>97.61</v>
      </c>
      <c r="EB106" s="8">
        <v>98.63</v>
      </c>
      <c r="EC106" s="8">
        <v>98.47</v>
      </c>
      <c r="ED106" s="8">
        <v>100</v>
      </c>
      <c r="EE106" s="8">
        <v>99.81</v>
      </c>
      <c r="EF106" s="8">
        <v>99.82</v>
      </c>
      <c r="EG106" s="8">
        <v>100.91</v>
      </c>
      <c r="EH106" s="8">
        <v>102.26</v>
      </c>
      <c r="EI106" s="8">
        <v>97.34</v>
      </c>
      <c r="EJ106" s="8">
        <v>99.93</v>
      </c>
      <c r="EK106" s="8">
        <v>100</v>
      </c>
      <c r="EL106" s="8">
        <v>98.62</v>
      </c>
      <c r="EM106" s="8">
        <v>98.62</v>
      </c>
      <c r="EN106" s="8">
        <v>100.17</v>
      </c>
      <c r="EO106" s="8">
        <v>100.17</v>
      </c>
      <c r="EP106" s="8">
        <v>99.59</v>
      </c>
      <c r="EQ106" s="8">
        <v>100.2</v>
      </c>
      <c r="ER106" s="8">
        <v>98.19</v>
      </c>
      <c r="ES106" s="8">
        <v>100.4</v>
      </c>
      <c r="ET106" s="8">
        <v>101.43</v>
      </c>
      <c r="EU106" s="8">
        <v>99.15</v>
      </c>
      <c r="EV106" s="8">
        <v>97.41</v>
      </c>
      <c r="EW106" s="8">
        <v>100.06</v>
      </c>
      <c r="EX106" s="8">
        <v>96.64</v>
      </c>
      <c r="EY106" s="8">
        <v>96.11</v>
      </c>
      <c r="EZ106" s="8">
        <v>98.8</v>
      </c>
      <c r="FA106" s="8">
        <v>93.58</v>
      </c>
      <c r="FB106" s="8">
        <v>99.95</v>
      </c>
      <c r="FC106" s="8">
        <v>98.53</v>
      </c>
      <c r="FD106" s="8">
        <v>97.53</v>
      </c>
      <c r="FE106" s="8">
        <v>100.7</v>
      </c>
      <c r="FF106" s="8">
        <v>99.68</v>
      </c>
      <c r="FG106" s="8">
        <v>103.08</v>
      </c>
      <c r="FH106" s="8">
        <v>100</v>
      </c>
      <c r="FI106" s="8">
        <v>99.98</v>
      </c>
      <c r="FJ106" s="8">
        <v>99.98</v>
      </c>
      <c r="FK106" s="8">
        <v>99.89</v>
      </c>
      <c r="FL106" s="8">
        <v>100</v>
      </c>
      <c r="FM106" s="8">
        <v>100</v>
      </c>
      <c r="FN106" s="8">
        <v>100.64</v>
      </c>
      <c r="FO106" s="8">
        <v>99.79</v>
      </c>
      <c r="FP106" s="8">
        <v>99.79</v>
      </c>
      <c r="FQ106" s="8">
        <v>101.03</v>
      </c>
      <c r="FR106" s="8">
        <v>101.03</v>
      </c>
      <c r="FS106" s="8">
        <v>101.03</v>
      </c>
      <c r="FT106" s="8">
        <v>99.56</v>
      </c>
      <c r="FU106" s="8">
        <v>100.24</v>
      </c>
      <c r="FV106" s="8">
        <v>100.35</v>
      </c>
      <c r="FW106" s="8">
        <v>99.92</v>
      </c>
      <c r="FX106" s="8">
        <v>101.18</v>
      </c>
      <c r="FY106" s="8">
        <v>100.17</v>
      </c>
      <c r="FZ106" s="8">
        <v>99.52</v>
      </c>
      <c r="GA106" s="8">
        <v>99.47</v>
      </c>
      <c r="GB106" s="8">
        <v>98.42</v>
      </c>
      <c r="GC106" s="8">
        <v>100.11</v>
      </c>
      <c r="GD106" s="8">
        <v>94.36</v>
      </c>
      <c r="GE106" s="8">
        <v>100.92</v>
      </c>
      <c r="GF106" s="8">
        <v>101.32</v>
      </c>
      <c r="GG106" s="8">
        <v>100.44</v>
      </c>
      <c r="GH106" s="8">
        <v>99.19</v>
      </c>
      <c r="GI106" s="8">
        <v>99.45</v>
      </c>
      <c r="GJ106" s="8">
        <v>99.92</v>
      </c>
      <c r="GK106" s="8">
        <v>98.11</v>
      </c>
      <c r="GL106" s="8">
        <v>104.97</v>
      </c>
      <c r="GM106" s="8">
        <v>108.29</v>
      </c>
      <c r="GN106" s="8">
        <v>102.29</v>
      </c>
      <c r="GO106" s="8">
        <v>99.44</v>
      </c>
      <c r="GP106" s="8">
        <v>100.73</v>
      </c>
      <c r="GQ106" s="8">
        <v>98.58</v>
      </c>
      <c r="GR106" s="8">
        <v>99.83</v>
      </c>
      <c r="GS106" s="8">
        <v>99.53</v>
      </c>
      <c r="GT106" s="8">
        <v>99.05</v>
      </c>
      <c r="GU106" s="8">
        <v>99.76</v>
      </c>
      <c r="GV106" s="8">
        <v>100.54</v>
      </c>
      <c r="GW106" s="8">
        <v>97.98</v>
      </c>
      <c r="GX106" s="8">
        <v>101.41</v>
      </c>
      <c r="GY106" s="8">
        <v>99.43</v>
      </c>
      <c r="GZ106" s="8">
        <v>99.27</v>
      </c>
      <c r="HA106" s="8">
        <v>99.68</v>
      </c>
      <c r="HB106" s="8">
        <v>99.43</v>
      </c>
      <c r="HC106" s="8">
        <v>100.91</v>
      </c>
      <c r="HD106" s="8">
        <v>101.81</v>
      </c>
      <c r="HE106" s="8">
        <v>101.37</v>
      </c>
      <c r="HF106" s="8">
        <v>100.14</v>
      </c>
      <c r="HG106" s="8">
        <v>94.36</v>
      </c>
      <c r="HH106" s="8">
        <v>94.36</v>
      </c>
      <c r="HI106" s="8">
        <v>101.43</v>
      </c>
      <c r="HJ106" s="8">
        <v>104.33</v>
      </c>
      <c r="HK106" s="8">
        <v>104.43</v>
      </c>
      <c r="HL106" s="8">
        <v>104.02</v>
      </c>
      <c r="HM106" s="8">
        <v>105.46</v>
      </c>
      <c r="HN106" s="8">
        <v>96.93</v>
      </c>
      <c r="HO106" s="8">
        <v>100.77</v>
      </c>
      <c r="HP106" s="8">
        <v>95.23</v>
      </c>
      <c r="HQ106" s="8">
        <v>97.09</v>
      </c>
      <c r="HR106" s="8">
        <v>97.37</v>
      </c>
      <c r="HS106" s="8">
        <v>96.96</v>
      </c>
      <c r="HT106" s="8">
        <v>100</v>
      </c>
      <c r="HU106" s="8">
        <v>99.34</v>
      </c>
      <c r="HV106" s="8">
        <v>99.98</v>
      </c>
      <c r="HW106" s="8">
        <v>99.98</v>
      </c>
      <c r="HX106" s="8">
        <v>99.93</v>
      </c>
      <c r="HY106" s="8">
        <v>99.93</v>
      </c>
      <c r="HZ106" s="8">
        <v>96.68</v>
      </c>
      <c r="IA106" s="8">
        <v>100.01</v>
      </c>
      <c r="IB106" s="8">
        <v>92.96</v>
      </c>
      <c r="IC106" s="8">
        <v>100</v>
      </c>
      <c r="ID106" s="8">
        <v>100</v>
      </c>
      <c r="IE106" s="8">
        <v>100</v>
      </c>
      <c r="IF106" s="8">
        <v>100</v>
      </c>
      <c r="IG106" s="8">
        <v>99.99</v>
      </c>
      <c r="IH106" s="8">
        <v>99.02</v>
      </c>
      <c r="II106" s="8">
        <v>99.11</v>
      </c>
      <c r="IJ106" s="8">
        <v>98.54</v>
      </c>
      <c r="IK106" s="8">
        <v>97.67</v>
      </c>
      <c r="IL106" s="8">
        <v>97.67</v>
      </c>
      <c r="IM106" s="8">
        <v>104.03</v>
      </c>
      <c r="IN106" s="8">
        <v>100.31</v>
      </c>
      <c r="IO106" s="8">
        <v>103.81</v>
      </c>
      <c r="IP106" s="8">
        <v>108.59</v>
      </c>
      <c r="IQ106" s="8">
        <v>102.38</v>
      </c>
    </row>
    <row r="107" spans="1:251" x14ac:dyDescent="0.2">
      <c r="A107" s="9">
        <v>45901</v>
      </c>
      <c r="B107" s="8">
        <v>100</v>
      </c>
      <c r="C107" s="8">
        <v>100</v>
      </c>
      <c r="D107" s="8">
        <v>100</v>
      </c>
      <c r="E107" s="8">
        <v>100</v>
      </c>
      <c r="F107" s="8">
        <v>100</v>
      </c>
      <c r="G107" s="8">
        <v>100</v>
      </c>
      <c r="H107" s="8">
        <v>100</v>
      </c>
      <c r="I107" s="8">
        <v>100</v>
      </c>
      <c r="J107" s="8">
        <v>100</v>
      </c>
      <c r="K107" s="8">
        <v>100</v>
      </c>
      <c r="L107" s="8">
        <v>100</v>
      </c>
      <c r="M107" s="8">
        <v>100</v>
      </c>
      <c r="N107" s="8">
        <v>100</v>
      </c>
      <c r="O107" s="8">
        <v>100</v>
      </c>
      <c r="P107" s="8">
        <v>100</v>
      </c>
      <c r="Q107" s="8">
        <v>100</v>
      </c>
      <c r="R107" s="8">
        <v>100</v>
      </c>
      <c r="S107" s="8">
        <v>100</v>
      </c>
      <c r="T107" s="8">
        <v>100</v>
      </c>
      <c r="U107" s="8">
        <v>100</v>
      </c>
      <c r="V107" s="8">
        <v>100</v>
      </c>
      <c r="W107" s="8">
        <v>100</v>
      </c>
      <c r="X107" s="8">
        <v>100</v>
      </c>
      <c r="Y107" s="8">
        <v>100</v>
      </c>
      <c r="Z107" s="8">
        <v>100</v>
      </c>
      <c r="AA107" s="8">
        <v>100</v>
      </c>
      <c r="AB107" s="8">
        <v>100</v>
      </c>
      <c r="AC107" s="8">
        <v>100</v>
      </c>
      <c r="AD107" s="8">
        <v>100</v>
      </c>
      <c r="AE107" s="8">
        <v>100</v>
      </c>
      <c r="AF107" s="8">
        <v>100</v>
      </c>
      <c r="AG107" s="8">
        <v>100</v>
      </c>
      <c r="AH107" s="8">
        <v>100</v>
      </c>
      <c r="AI107" s="8">
        <v>100</v>
      </c>
      <c r="AJ107" s="8">
        <v>100</v>
      </c>
      <c r="AK107" s="8">
        <v>100</v>
      </c>
      <c r="AL107" s="8">
        <v>100</v>
      </c>
      <c r="AM107" s="8">
        <v>100</v>
      </c>
      <c r="AN107" s="8">
        <v>100</v>
      </c>
      <c r="AO107" s="8">
        <v>100</v>
      </c>
      <c r="AP107" s="8">
        <v>100</v>
      </c>
      <c r="AQ107" s="8">
        <v>100</v>
      </c>
      <c r="AR107" s="8">
        <v>100</v>
      </c>
      <c r="AS107" s="8">
        <v>100</v>
      </c>
      <c r="AT107" s="8">
        <v>100</v>
      </c>
      <c r="AU107" s="8">
        <v>100</v>
      </c>
      <c r="AV107" s="8">
        <v>100</v>
      </c>
      <c r="AW107" s="8">
        <v>100</v>
      </c>
      <c r="AX107" s="8">
        <v>100</v>
      </c>
      <c r="AY107" s="8">
        <v>100</v>
      </c>
      <c r="AZ107" s="8">
        <v>100</v>
      </c>
      <c r="BA107" s="8">
        <v>100</v>
      </c>
      <c r="BB107" s="8">
        <v>100</v>
      </c>
      <c r="BC107" s="8">
        <v>100</v>
      </c>
      <c r="BD107" s="8">
        <v>100</v>
      </c>
      <c r="BE107" s="8">
        <v>100</v>
      </c>
      <c r="BF107" s="8">
        <v>100</v>
      </c>
      <c r="BG107" s="8">
        <v>100</v>
      </c>
      <c r="BH107" s="8">
        <v>100</v>
      </c>
      <c r="BI107" s="8">
        <v>100</v>
      </c>
      <c r="BJ107" s="8">
        <v>100</v>
      </c>
      <c r="BK107" s="8">
        <v>100</v>
      </c>
      <c r="BL107" s="8">
        <v>100</v>
      </c>
      <c r="BM107" s="8">
        <v>100</v>
      </c>
      <c r="BN107" s="8">
        <v>100</v>
      </c>
      <c r="BO107" s="8">
        <v>100</v>
      </c>
      <c r="BP107" s="8">
        <v>100</v>
      </c>
      <c r="BQ107" s="8">
        <v>100</v>
      </c>
      <c r="BR107" s="8">
        <v>100</v>
      </c>
      <c r="BS107" s="8">
        <v>100</v>
      </c>
      <c r="BT107" s="8">
        <v>100</v>
      </c>
      <c r="BU107" s="8">
        <v>100</v>
      </c>
      <c r="BV107" s="8">
        <v>100</v>
      </c>
      <c r="BW107" s="8">
        <v>100</v>
      </c>
      <c r="BX107" s="8">
        <v>100</v>
      </c>
      <c r="BY107" s="8">
        <v>100</v>
      </c>
      <c r="BZ107" s="8">
        <v>100</v>
      </c>
      <c r="CA107" s="8">
        <v>100</v>
      </c>
      <c r="CB107" s="8">
        <v>100</v>
      </c>
      <c r="CC107" s="8">
        <v>100</v>
      </c>
      <c r="CD107" s="8">
        <v>100</v>
      </c>
      <c r="CE107" s="8">
        <v>100</v>
      </c>
      <c r="CF107" s="8">
        <v>100</v>
      </c>
      <c r="CG107" s="8">
        <v>100</v>
      </c>
      <c r="CH107" s="8">
        <v>100</v>
      </c>
      <c r="CI107" s="8">
        <v>100</v>
      </c>
      <c r="CJ107" s="8">
        <v>100</v>
      </c>
      <c r="CK107" s="8">
        <v>100</v>
      </c>
      <c r="CL107" s="8">
        <v>100</v>
      </c>
      <c r="CM107" s="8">
        <v>100</v>
      </c>
      <c r="CN107" s="8">
        <v>100</v>
      </c>
      <c r="CO107" s="8">
        <v>100</v>
      </c>
      <c r="CP107" s="8">
        <v>100</v>
      </c>
      <c r="CQ107" s="8">
        <v>100</v>
      </c>
      <c r="CR107" s="8">
        <v>100</v>
      </c>
      <c r="CS107" s="8">
        <v>100</v>
      </c>
      <c r="CT107" s="8">
        <v>100</v>
      </c>
      <c r="CU107" s="8">
        <v>100</v>
      </c>
      <c r="CV107" s="8">
        <v>100</v>
      </c>
      <c r="CW107" s="8">
        <v>100</v>
      </c>
      <c r="CX107" s="8">
        <v>100</v>
      </c>
      <c r="CY107" s="8">
        <v>100</v>
      </c>
      <c r="CZ107" s="8">
        <v>100</v>
      </c>
      <c r="DA107" s="8">
        <v>100</v>
      </c>
      <c r="DB107" s="8">
        <v>100</v>
      </c>
      <c r="DC107" s="8">
        <v>100</v>
      </c>
      <c r="DD107" s="8">
        <v>100</v>
      </c>
      <c r="DE107" s="8">
        <v>100</v>
      </c>
      <c r="DF107" s="8">
        <v>100</v>
      </c>
      <c r="DG107" s="8">
        <v>100</v>
      </c>
      <c r="DH107" s="8">
        <v>100</v>
      </c>
      <c r="DI107" s="8">
        <v>100</v>
      </c>
      <c r="DJ107" s="8">
        <v>100</v>
      </c>
      <c r="DK107" s="8">
        <v>100</v>
      </c>
      <c r="DL107" s="8">
        <v>100</v>
      </c>
      <c r="DM107" s="8">
        <v>100</v>
      </c>
      <c r="DN107" s="8">
        <v>100</v>
      </c>
      <c r="DO107" s="8">
        <v>100</v>
      </c>
      <c r="DP107" s="8">
        <v>100</v>
      </c>
      <c r="DQ107" s="8">
        <v>100</v>
      </c>
      <c r="DR107" s="8">
        <v>100</v>
      </c>
      <c r="DS107" s="8">
        <v>100</v>
      </c>
      <c r="DT107" s="8">
        <v>100</v>
      </c>
      <c r="DU107" s="8">
        <v>100</v>
      </c>
      <c r="DV107" s="8">
        <v>100</v>
      </c>
      <c r="DW107" s="8">
        <v>100</v>
      </c>
      <c r="DX107" s="8">
        <v>100</v>
      </c>
      <c r="DY107" s="8">
        <v>100</v>
      </c>
      <c r="DZ107" s="8">
        <v>100</v>
      </c>
      <c r="EA107" s="8">
        <v>100</v>
      </c>
      <c r="EB107" s="8">
        <v>100</v>
      </c>
      <c r="EC107" s="8">
        <v>100</v>
      </c>
      <c r="ED107" s="8">
        <v>100</v>
      </c>
      <c r="EE107" s="8">
        <v>100</v>
      </c>
      <c r="EF107" s="8">
        <v>100</v>
      </c>
      <c r="EG107" s="8">
        <v>100</v>
      </c>
      <c r="EH107" s="8">
        <v>100</v>
      </c>
      <c r="EI107" s="8">
        <v>100</v>
      </c>
      <c r="EJ107" s="8">
        <v>100</v>
      </c>
      <c r="EK107" s="8">
        <v>100</v>
      </c>
      <c r="EL107" s="8">
        <v>100</v>
      </c>
      <c r="EM107" s="8">
        <v>100</v>
      </c>
      <c r="EN107" s="8">
        <v>100</v>
      </c>
      <c r="EO107" s="8">
        <v>100</v>
      </c>
      <c r="EP107" s="8">
        <v>100</v>
      </c>
      <c r="EQ107" s="8">
        <v>100</v>
      </c>
      <c r="ER107" s="8">
        <v>100</v>
      </c>
      <c r="ES107" s="8">
        <v>100</v>
      </c>
      <c r="ET107" s="8">
        <v>100</v>
      </c>
      <c r="EU107" s="8">
        <v>100</v>
      </c>
      <c r="EV107" s="8">
        <v>100</v>
      </c>
      <c r="EW107" s="8">
        <v>100</v>
      </c>
      <c r="EX107" s="8">
        <v>100</v>
      </c>
      <c r="EY107" s="8">
        <v>100</v>
      </c>
      <c r="EZ107" s="8">
        <v>100</v>
      </c>
      <c r="FA107" s="8">
        <v>100</v>
      </c>
      <c r="FB107" s="8">
        <v>100</v>
      </c>
      <c r="FC107" s="8">
        <v>100</v>
      </c>
      <c r="FD107" s="8">
        <v>100</v>
      </c>
      <c r="FE107" s="8">
        <v>100</v>
      </c>
      <c r="FF107" s="8">
        <v>100</v>
      </c>
      <c r="FG107" s="8">
        <v>100</v>
      </c>
      <c r="FH107" s="8">
        <v>100</v>
      </c>
      <c r="FI107" s="8">
        <v>100</v>
      </c>
      <c r="FJ107" s="8">
        <v>100</v>
      </c>
      <c r="FK107" s="8">
        <v>100</v>
      </c>
      <c r="FL107" s="8">
        <v>100</v>
      </c>
      <c r="FM107" s="8">
        <v>100</v>
      </c>
      <c r="FN107" s="8">
        <v>100</v>
      </c>
      <c r="FO107" s="8">
        <v>100</v>
      </c>
      <c r="FP107" s="8">
        <v>100</v>
      </c>
      <c r="FQ107" s="8">
        <v>100</v>
      </c>
      <c r="FR107" s="8">
        <v>100</v>
      </c>
      <c r="FS107" s="8">
        <v>100</v>
      </c>
      <c r="FT107" s="8">
        <v>100</v>
      </c>
      <c r="FU107" s="8">
        <v>100</v>
      </c>
      <c r="FV107" s="8">
        <v>100</v>
      </c>
      <c r="FW107" s="8">
        <v>100</v>
      </c>
      <c r="FX107" s="8">
        <v>100</v>
      </c>
      <c r="FY107" s="8">
        <v>100</v>
      </c>
      <c r="FZ107" s="8">
        <v>100</v>
      </c>
      <c r="GA107" s="8">
        <v>100</v>
      </c>
      <c r="GB107" s="8">
        <v>100</v>
      </c>
      <c r="GC107" s="8">
        <v>100</v>
      </c>
      <c r="GD107" s="8">
        <v>100</v>
      </c>
      <c r="GE107" s="8">
        <v>100</v>
      </c>
      <c r="GF107" s="8">
        <v>100</v>
      </c>
      <c r="GG107" s="8">
        <v>100</v>
      </c>
      <c r="GH107" s="8">
        <v>100</v>
      </c>
      <c r="GI107" s="8">
        <v>100</v>
      </c>
      <c r="GJ107" s="8">
        <v>100</v>
      </c>
      <c r="GK107" s="8">
        <v>100</v>
      </c>
      <c r="GL107" s="8">
        <v>100</v>
      </c>
      <c r="GM107" s="8">
        <v>100</v>
      </c>
      <c r="GN107" s="8">
        <v>100</v>
      </c>
      <c r="GO107" s="8">
        <v>100</v>
      </c>
      <c r="GP107" s="8">
        <v>100</v>
      </c>
      <c r="GQ107" s="8">
        <v>100</v>
      </c>
      <c r="GR107" s="8">
        <v>100</v>
      </c>
      <c r="GS107" s="8">
        <v>100</v>
      </c>
      <c r="GT107" s="8">
        <v>100</v>
      </c>
      <c r="GU107" s="8">
        <v>100</v>
      </c>
      <c r="GV107" s="8">
        <v>100</v>
      </c>
      <c r="GW107" s="8">
        <v>100</v>
      </c>
      <c r="GX107" s="8">
        <v>100</v>
      </c>
      <c r="GY107" s="8">
        <v>100</v>
      </c>
      <c r="GZ107" s="8">
        <v>100</v>
      </c>
      <c r="HA107" s="8">
        <v>100</v>
      </c>
      <c r="HB107" s="8">
        <v>100</v>
      </c>
      <c r="HC107" s="8">
        <v>100</v>
      </c>
      <c r="HD107" s="8">
        <v>100</v>
      </c>
      <c r="HE107" s="8">
        <v>100</v>
      </c>
      <c r="HF107" s="8">
        <v>100</v>
      </c>
      <c r="HG107" s="8">
        <v>100</v>
      </c>
      <c r="HH107" s="8">
        <v>100</v>
      </c>
      <c r="HI107" s="8">
        <v>100</v>
      </c>
      <c r="HJ107" s="8">
        <v>100</v>
      </c>
      <c r="HK107" s="8">
        <v>100</v>
      </c>
      <c r="HL107" s="8">
        <v>100</v>
      </c>
      <c r="HM107" s="8">
        <v>100</v>
      </c>
      <c r="HN107" s="8">
        <v>100</v>
      </c>
      <c r="HO107" s="8">
        <v>100</v>
      </c>
      <c r="HP107" s="8">
        <v>100</v>
      </c>
      <c r="HQ107" s="8">
        <v>100</v>
      </c>
      <c r="HR107" s="8">
        <v>100</v>
      </c>
      <c r="HS107" s="8">
        <v>100</v>
      </c>
      <c r="HT107" s="8">
        <v>100</v>
      </c>
      <c r="HU107" s="8">
        <v>100</v>
      </c>
      <c r="HV107" s="8">
        <v>100</v>
      </c>
      <c r="HW107" s="8">
        <v>100</v>
      </c>
      <c r="HX107" s="8">
        <v>100</v>
      </c>
      <c r="HY107" s="8">
        <v>100</v>
      </c>
      <c r="HZ107" s="8">
        <v>100</v>
      </c>
      <c r="IA107" s="8">
        <v>100</v>
      </c>
      <c r="IB107" s="8">
        <v>100</v>
      </c>
      <c r="IC107" s="8">
        <v>100</v>
      </c>
      <c r="ID107" s="8">
        <v>100</v>
      </c>
      <c r="IE107" s="8">
        <v>100</v>
      </c>
      <c r="IF107" s="8">
        <v>100</v>
      </c>
      <c r="IG107" s="8">
        <v>100</v>
      </c>
      <c r="IH107" s="8">
        <v>100</v>
      </c>
      <c r="II107" s="8">
        <v>100</v>
      </c>
      <c r="IJ107" s="8">
        <v>100</v>
      </c>
      <c r="IK107" s="8">
        <v>100</v>
      </c>
      <c r="IL107" s="8">
        <v>100</v>
      </c>
      <c r="IM107" s="8">
        <v>100</v>
      </c>
      <c r="IN107" s="8">
        <v>100</v>
      </c>
      <c r="IO107" s="8">
        <v>100</v>
      </c>
      <c r="IP107" s="8">
        <v>100</v>
      </c>
      <c r="IQ107" s="8">
        <v>100</v>
      </c>
    </row>
    <row r="108" spans="1:251" x14ac:dyDescent="0.2">
      <c r="A108" s="9">
        <v>45931</v>
      </c>
      <c r="B108" s="8">
        <v>100.47</v>
      </c>
      <c r="C108" s="8">
        <v>100.16</v>
      </c>
      <c r="D108" s="8">
        <v>100.16</v>
      </c>
      <c r="E108" s="8">
        <v>100.38</v>
      </c>
      <c r="F108" s="8">
        <v>102.93</v>
      </c>
      <c r="G108" s="8">
        <v>98.95</v>
      </c>
      <c r="H108" s="8">
        <v>100.3</v>
      </c>
      <c r="I108" s="8">
        <v>100</v>
      </c>
      <c r="J108" s="8">
        <v>100</v>
      </c>
      <c r="K108" s="8">
        <v>100</v>
      </c>
      <c r="L108" s="8">
        <v>99.72</v>
      </c>
      <c r="M108" s="8">
        <v>99.72</v>
      </c>
      <c r="N108" s="8">
        <v>100.56</v>
      </c>
      <c r="O108" s="8">
        <v>99.67</v>
      </c>
      <c r="P108" s="8">
        <v>101.22</v>
      </c>
      <c r="Q108" s="8">
        <v>99.38</v>
      </c>
      <c r="R108" s="8">
        <v>98.82</v>
      </c>
      <c r="S108" s="8">
        <v>100</v>
      </c>
      <c r="T108" s="8">
        <v>100.12</v>
      </c>
      <c r="U108" s="8">
        <v>102.24</v>
      </c>
      <c r="V108" s="8">
        <v>99.47</v>
      </c>
      <c r="W108" s="8">
        <v>102.8</v>
      </c>
      <c r="X108" s="8">
        <v>112.56</v>
      </c>
      <c r="Y108" s="8">
        <v>91.21</v>
      </c>
      <c r="Z108" s="8">
        <v>100.39</v>
      </c>
      <c r="AA108" s="8">
        <v>101.38</v>
      </c>
      <c r="AB108" s="8">
        <v>100.31</v>
      </c>
      <c r="AC108" s="8">
        <v>100.3</v>
      </c>
      <c r="AD108" s="8">
        <v>100</v>
      </c>
      <c r="AE108" s="8">
        <v>100.88</v>
      </c>
      <c r="AF108" s="8">
        <v>99.13</v>
      </c>
      <c r="AG108" s="8">
        <v>100</v>
      </c>
      <c r="AH108" s="8">
        <v>100</v>
      </c>
      <c r="AI108" s="8">
        <v>100</v>
      </c>
      <c r="AJ108" s="8">
        <v>100</v>
      </c>
      <c r="AK108" s="8">
        <v>100</v>
      </c>
      <c r="AL108" s="8">
        <v>100.7</v>
      </c>
      <c r="AM108" s="8">
        <v>101.39</v>
      </c>
      <c r="AN108" s="8">
        <v>101.39</v>
      </c>
      <c r="AO108" s="8">
        <v>100.24</v>
      </c>
      <c r="AP108" s="8">
        <v>101.1</v>
      </c>
      <c r="AQ108" s="8">
        <v>100</v>
      </c>
      <c r="AR108" s="8">
        <v>100.18</v>
      </c>
      <c r="AS108" s="8">
        <v>100.04</v>
      </c>
      <c r="AT108" s="8">
        <v>100.14</v>
      </c>
      <c r="AU108" s="8">
        <v>100.11</v>
      </c>
      <c r="AV108" s="8">
        <v>100.34</v>
      </c>
      <c r="AW108" s="8">
        <v>100.88</v>
      </c>
      <c r="AX108" s="8">
        <v>99.42</v>
      </c>
      <c r="AY108" s="8">
        <v>101.21</v>
      </c>
      <c r="AZ108" s="8">
        <v>102.55</v>
      </c>
      <c r="BA108" s="8">
        <v>99.93</v>
      </c>
      <c r="BB108" s="8">
        <v>102.57</v>
      </c>
      <c r="BC108" s="8">
        <v>100.64</v>
      </c>
      <c r="BD108" s="8">
        <v>101.52</v>
      </c>
      <c r="BE108" s="8">
        <v>99.55</v>
      </c>
      <c r="BF108" s="8">
        <v>99.24</v>
      </c>
      <c r="BG108" s="8">
        <v>99.4</v>
      </c>
      <c r="BH108" s="8">
        <v>99.67</v>
      </c>
      <c r="BI108" s="8">
        <v>98.55</v>
      </c>
      <c r="BJ108" s="8">
        <v>99.6</v>
      </c>
      <c r="BK108" s="8">
        <v>100.26</v>
      </c>
      <c r="BL108" s="8">
        <v>99.08</v>
      </c>
      <c r="BM108" s="8">
        <v>99.4</v>
      </c>
      <c r="BN108" s="8">
        <v>99.28</v>
      </c>
      <c r="BO108" s="8">
        <v>99.01</v>
      </c>
      <c r="BP108" s="8">
        <v>100.81</v>
      </c>
      <c r="BQ108" s="8">
        <v>98.19</v>
      </c>
      <c r="BR108" s="8">
        <v>98.76</v>
      </c>
      <c r="BS108" s="8">
        <v>100.2</v>
      </c>
      <c r="BT108" s="8">
        <v>99.48</v>
      </c>
      <c r="BU108" s="8">
        <v>99.37</v>
      </c>
      <c r="BV108" s="8">
        <v>99.49</v>
      </c>
      <c r="BW108" s="8">
        <v>100.2</v>
      </c>
      <c r="BX108" s="8">
        <v>100.46</v>
      </c>
      <c r="BY108" s="8">
        <v>100</v>
      </c>
      <c r="BZ108" s="8">
        <v>99.19</v>
      </c>
      <c r="CA108" s="8">
        <v>98.47</v>
      </c>
      <c r="CB108" s="8">
        <v>99.25</v>
      </c>
      <c r="CC108" s="8">
        <v>94.14</v>
      </c>
      <c r="CD108" s="8">
        <v>100.03</v>
      </c>
      <c r="CE108" s="8">
        <v>100.87</v>
      </c>
      <c r="CF108" s="8">
        <v>100.87</v>
      </c>
      <c r="CG108" s="8">
        <v>101.98</v>
      </c>
      <c r="CH108" s="8">
        <v>101.99</v>
      </c>
      <c r="CI108" s="8">
        <v>103.64</v>
      </c>
      <c r="CJ108" s="8">
        <v>100.43</v>
      </c>
      <c r="CK108" s="8">
        <v>105.8</v>
      </c>
      <c r="CL108" s="8">
        <v>99.82</v>
      </c>
      <c r="CM108" s="8">
        <v>99.16</v>
      </c>
      <c r="CN108" s="8">
        <v>99.65</v>
      </c>
      <c r="CO108" s="8">
        <v>101.43</v>
      </c>
      <c r="CP108" s="8">
        <v>103.89</v>
      </c>
      <c r="CQ108" s="8">
        <v>104.24</v>
      </c>
      <c r="CR108" s="8">
        <v>100</v>
      </c>
      <c r="CS108" s="8">
        <v>100.31</v>
      </c>
      <c r="CT108" s="8">
        <v>100.21</v>
      </c>
      <c r="CU108" s="8">
        <v>100.21</v>
      </c>
      <c r="CV108" s="8">
        <v>99.83</v>
      </c>
      <c r="CW108" s="8">
        <v>99.83</v>
      </c>
      <c r="CX108" s="8">
        <v>100.87</v>
      </c>
      <c r="CY108" s="8">
        <v>101.25</v>
      </c>
      <c r="CZ108" s="8">
        <v>100</v>
      </c>
      <c r="DA108" s="8">
        <v>100.37</v>
      </c>
      <c r="DB108" s="8">
        <v>100</v>
      </c>
      <c r="DC108" s="8">
        <v>100</v>
      </c>
      <c r="DD108" s="8">
        <v>109.4</v>
      </c>
      <c r="DE108" s="8">
        <v>99.96</v>
      </c>
      <c r="DF108" s="8">
        <v>97.71</v>
      </c>
      <c r="DG108" s="8">
        <v>97.47</v>
      </c>
      <c r="DH108" s="8">
        <v>100</v>
      </c>
      <c r="DI108" s="8">
        <v>100.57</v>
      </c>
      <c r="DJ108" s="8">
        <v>100.57</v>
      </c>
      <c r="DK108" s="8">
        <v>101.47</v>
      </c>
      <c r="DL108" s="8">
        <v>99.14</v>
      </c>
      <c r="DM108" s="8">
        <v>100.4</v>
      </c>
      <c r="DN108" s="8">
        <v>103.72</v>
      </c>
      <c r="DO108" s="8">
        <v>102.11</v>
      </c>
      <c r="DP108" s="8">
        <v>99.66</v>
      </c>
      <c r="DQ108" s="8">
        <v>99.96</v>
      </c>
      <c r="DR108" s="8">
        <v>99.6</v>
      </c>
      <c r="DS108" s="8">
        <v>99.63</v>
      </c>
      <c r="DT108" s="8">
        <v>100.75</v>
      </c>
      <c r="DU108" s="8">
        <v>101.37</v>
      </c>
      <c r="DV108" s="8">
        <v>100.87</v>
      </c>
      <c r="DW108" s="8">
        <v>100</v>
      </c>
      <c r="DX108" s="8">
        <v>100.36</v>
      </c>
      <c r="DY108" s="8">
        <v>99.82</v>
      </c>
      <c r="DZ108" s="8">
        <v>99.8</v>
      </c>
      <c r="EA108" s="8">
        <v>100</v>
      </c>
      <c r="EB108" s="8">
        <v>100.5</v>
      </c>
      <c r="EC108" s="8">
        <v>100.56</v>
      </c>
      <c r="ED108" s="8">
        <v>100</v>
      </c>
      <c r="EE108" s="8">
        <v>100.61</v>
      </c>
      <c r="EF108" s="8">
        <v>100.62</v>
      </c>
      <c r="EG108" s="8">
        <v>100</v>
      </c>
      <c r="EH108" s="8">
        <v>102.59</v>
      </c>
      <c r="EI108" s="8">
        <v>100.34</v>
      </c>
      <c r="EJ108" s="8">
        <v>100</v>
      </c>
      <c r="EK108" s="8">
        <v>99.98</v>
      </c>
      <c r="EL108" s="8">
        <v>100</v>
      </c>
      <c r="EM108" s="8">
        <v>100</v>
      </c>
      <c r="EN108" s="8">
        <v>99.86</v>
      </c>
      <c r="EO108" s="8">
        <v>99.86</v>
      </c>
      <c r="EP108" s="8">
        <v>100.56</v>
      </c>
      <c r="EQ108" s="8">
        <v>99.82</v>
      </c>
      <c r="ER108" s="8">
        <v>100.44</v>
      </c>
      <c r="ES108" s="8">
        <v>100.11</v>
      </c>
      <c r="ET108" s="8">
        <v>100.4</v>
      </c>
      <c r="EU108" s="8">
        <v>99.75</v>
      </c>
      <c r="EV108" s="8">
        <v>100.32</v>
      </c>
      <c r="EW108" s="8">
        <v>101.23</v>
      </c>
      <c r="EX108" s="8">
        <v>100.05</v>
      </c>
      <c r="EY108" s="8">
        <v>99.24</v>
      </c>
      <c r="EZ108" s="8">
        <v>107.71</v>
      </c>
      <c r="FA108" s="8">
        <v>91.3</v>
      </c>
      <c r="FB108" s="8">
        <v>102.36</v>
      </c>
      <c r="FC108" s="8">
        <v>100.54</v>
      </c>
      <c r="FD108" s="8">
        <v>102.49</v>
      </c>
      <c r="FE108" s="8">
        <v>100.06</v>
      </c>
      <c r="FF108" s="8">
        <v>99.49</v>
      </c>
      <c r="FG108" s="8">
        <v>104.25</v>
      </c>
      <c r="FH108" s="8">
        <v>106.52</v>
      </c>
      <c r="FI108" s="8">
        <v>100.02</v>
      </c>
      <c r="FJ108" s="8">
        <v>100.02</v>
      </c>
      <c r="FK108" s="8">
        <v>100.08</v>
      </c>
      <c r="FL108" s="8">
        <v>100</v>
      </c>
      <c r="FM108" s="8">
        <v>100</v>
      </c>
      <c r="FN108" s="8">
        <v>100.08</v>
      </c>
      <c r="FO108" s="8">
        <v>100.06</v>
      </c>
      <c r="FP108" s="8">
        <v>100.06</v>
      </c>
      <c r="FQ108" s="8">
        <v>100.08</v>
      </c>
      <c r="FR108" s="8">
        <v>101.1</v>
      </c>
      <c r="FS108" s="8">
        <v>100</v>
      </c>
      <c r="FT108" s="8">
        <v>99.99</v>
      </c>
      <c r="FU108" s="8">
        <v>100.36</v>
      </c>
      <c r="FV108" s="8">
        <v>100.24</v>
      </c>
      <c r="FW108" s="8">
        <v>100.53</v>
      </c>
      <c r="FX108" s="8">
        <v>100.49</v>
      </c>
      <c r="FY108" s="8">
        <v>101.2</v>
      </c>
      <c r="FZ108" s="8">
        <v>98.54</v>
      </c>
      <c r="GA108" s="8">
        <v>100.73</v>
      </c>
      <c r="GB108" s="8">
        <v>102.61</v>
      </c>
      <c r="GC108" s="8">
        <v>99.5</v>
      </c>
      <c r="GD108" s="8">
        <v>101.26</v>
      </c>
      <c r="GE108" s="8">
        <v>99.98</v>
      </c>
      <c r="GF108" s="8">
        <v>100.75</v>
      </c>
      <c r="GG108" s="8">
        <v>99.98</v>
      </c>
      <c r="GH108" s="8">
        <v>99.39</v>
      </c>
      <c r="GI108" s="8">
        <v>99.62</v>
      </c>
      <c r="GJ108" s="8">
        <v>99.65</v>
      </c>
      <c r="GK108" s="8">
        <v>98.82</v>
      </c>
      <c r="GL108" s="8">
        <v>101.44</v>
      </c>
      <c r="GM108" s="8">
        <v>105.24</v>
      </c>
      <c r="GN108" s="8">
        <v>98.37</v>
      </c>
      <c r="GO108" s="8">
        <v>99.53</v>
      </c>
      <c r="GP108" s="8">
        <v>98.5</v>
      </c>
      <c r="GQ108" s="8">
        <v>99.38</v>
      </c>
      <c r="GR108" s="8">
        <v>100.39</v>
      </c>
      <c r="GS108" s="8">
        <v>98.75</v>
      </c>
      <c r="GT108" s="8">
        <v>99.27</v>
      </c>
      <c r="GU108" s="8">
        <v>100.39</v>
      </c>
      <c r="GV108" s="8">
        <v>99.27</v>
      </c>
      <c r="GW108" s="8">
        <v>99.18</v>
      </c>
      <c r="GX108" s="8">
        <v>99.3</v>
      </c>
      <c r="GY108" s="8">
        <v>100.53</v>
      </c>
      <c r="GZ108" s="8">
        <v>100.49</v>
      </c>
      <c r="HA108" s="8">
        <v>100.61</v>
      </c>
      <c r="HB108" s="8">
        <v>99.66</v>
      </c>
      <c r="HC108" s="8">
        <v>99.37</v>
      </c>
      <c r="HD108" s="8">
        <v>100.17</v>
      </c>
      <c r="HE108" s="8">
        <v>97.9</v>
      </c>
      <c r="HF108" s="8">
        <v>100.14</v>
      </c>
      <c r="HG108" s="8">
        <v>100.65</v>
      </c>
      <c r="HH108" s="8">
        <v>100.65</v>
      </c>
      <c r="HI108" s="8">
        <v>103.82</v>
      </c>
      <c r="HJ108" s="8">
        <v>105.05</v>
      </c>
      <c r="HK108" s="8">
        <v>105.19</v>
      </c>
      <c r="HL108" s="8">
        <v>103.9</v>
      </c>
      <c r="HM108" s="8">
        <v>109.75</v>
      </c>
      <c r="HN108" s="8">
        <v>103.64</v>
      </c>
      <c r="HO108" s="8">
        <v>101.58</v>
      </c>
      <c r="HP108" s="8">
        <v>104.41</v>
      </c>
      <c r="HQ108" s="8">
        <v>103.98</v>
      </c>
      <c r="HR108" s="8">
        <v>100.54</v>
      </c>
      <c r="HS108" s="8">
        <v>100.63</v>
      </c>
      <c r="HT108" s="8">
        <v>100</v>
      </c>
      <c r="HU108" s="8">
        <v>98.74</v>
      </c>
      <c r="HV108" s="8">
        <v>100.01</v>
      </c>
      <c r="HW108" s="8">
        <v>100.01</v>
      </c>
      <c r="HX108" s="8">
        <v>100.64</v>
      </c>
      <c r="HY108" s="8">
        <v>100.64</v>
      </c>
      <c r="HZ108" s="8">
        <v>101</v>
      </c>
      <c r="IA108" s="8">
        <v>101.9</v>
      </c>
      <c r="IB108" s="8">
        <v>100</v>
      </c>
      <c r="IC108" s="8">
        <v>92.6</v>
      </c>
      <c r="ID108" s="8">
        <v>100</v>
      </c>
      <c r="IE108" s="8">
        <v>85.39</v>
      </c>
      <c r="IF108" s="8">
        <v>99.81</v>
      </c>
      <c r="IG108" s="8">
        <v>100.05</v>
      </c>
      <c r="IH108" s="8">
        <v>99.38</v>
      </c>
      <c r="II108" s="8">
        <v>99.38</v>
      </c>
      <c r="IJ108" s="8">
        <v>99.35</v>
      </c>
      <c r="IK108" s="8">
        <v>96.49</v>
      </c>
      <c r="IL108" s="8">
        <v>96.49</v>
      </c>
      <c r="IM108" s="8">
        <v>101.87</v>
      </c>
      <c r="IN108" s="8">
        <v>100.32</v>
      </c>
      <c r="IO108" s="8">
        <v>102.79</v>
      </c>
      <c r="IP108" s="8">
        <v>99.64</v>
      </c>
      <c r="IQ108" s="8">
        <v>104.92</v>
      </c>
    </row>
    <row r="109" spans="1:251" x14ac:dyDescent="0.2">
      <c r="A109" s="9">
        <v>45962</v>
      </c>
      <c r="B109" s="8">
        <v>101.31</v>
      </c>
      <c r="C109" s="8">
        <v>100.84</v>
      </c>
      <c r="D109" s="8">
        <v>100.86</v>
      </c>
      <c r="E109" s="8">
        <v>100.95</v>
      </c>
      <c r="F109" s="8">
        <v>101.86</v>
      </c>
      <c r="G109" s="8">
        <v>100.89</v>
      </c>
      <c r="H109" s="8">
        <v>100.38</v>
      </c>
      <c r="I109" s="8">
        <v>100</v>
      </c>
      <c r="J109" s="8">
        <v>100</v>
      </c>
      <c r="K109" s="8">
        <v>100</v>
      </c>
      <c r="L109" s="8">
        <v>100.17</v>
      </c>
      <c r="M109" s="8">
        <v>100.17</v>
      </c>
      <c r="N109" s="8">
        <v>100.63</v>
      </c>
      <c r="O109" s="8">
        <v>100.14</v>
      </c>
      <c r="P109" s="8">
        <v>100.25</v>
      </c>
      <c r="Q109" s="8">
        <v>99.05</v>
      </c>
      <c r="R109" s="8">
        <v>97.81</v>
      </c>
      <c r="S109" s="8">
        <v>100.42</v>
      </c>
      <c r="T109" s="8">
        <v>100.59</v>
      </c>
      <c r="U109" s="8">
        <v>101.92</v>
      </c>
      <c r="V109" s="8">
        <v>100.18</v>
      </c>
      <c r="W109" s="8">
        <v>100.42</v>
      </c>
      <c r="X109" s="8">
        <v>109.17</v>
      </c>
      <c r="Y109" s="8">
        <v>90.03</v>
      </c>
      <c r="Z109" s="8">
        <v>100.59</v>
      </c>
      <c r="AA109" s="8">
        <v>100.82</v>
      </c>
      <c r="AB109" s="8">
        <v>100.05</v>
      </c>
      <c r="AC109" s="8">
        <v>102.39</v>
      </c>
      <c r="AD109" s="8">
        <v>100</v>
      </c>
      <c r="AE109" s="8">
        <v>100.88</v>
      </c>
      <c r="AF109" s="8">
        <v>98.52</v>
      </c>
      <c r="AG109" s="8">
        <v>100</v>
      </c>
      <c r="AH109" s="8">
        <v>100</v>
      </c>
      <c r="AI109" s="8">
        <v>100</v>
      </c>
      <c r="AJ109" s="8">
        <v>100</v>
      </c>
      <c r="AK109" s="8">
        <v>100</v>
      </c>
      <c r="AL109" s="8">
        <v>100.78</v>
      </c>
      <c r="AM109" s="8">
        <v>101.92</v>
      </c>
      <c r="AN109" s="8">
        <v>101.92</v>
      </c>
      <c r="AO109" s="8">
        <v>100.02</v>
      </c>
      <c r="AP109" s="8">
        <v>100.09</v>
      </c>
      <c r="AQ109" s="8">
        <v>100</v>
      </c>
      <c r="AR109" s="8">
        <v>100.11</v>
      </c>
      <c r="AS109" s="8">
        <v>100.34</v>
      </c>
      <c r="AT109" s="8">
        <v>101.09</v>
      </c>
      <c r="AU109" s="8">
        <v>100.56</v>
      </c>
      <c r="AV109" s="8">
        <v>100.94</v>
      </c>
      <c r="AW109" s="8">
        <v>104.12</v>
      </c>
      <c r="AX109" s="8">
        <v>101.84</v>
      </c>
      <c r="AY109" s="8">
        <v>101.35</v>
      </c>
      <c r="AZ109" s="8">
        <v>103.17</v>
      </c>
      <c r="BA109" s="8">
        <v>100.62</v>
      </c>
      <c r="BB109" s="8">
        <v>100.29</v>
      </c>
      <c r="BC109" s="8">
        <v>100.9</v>
      </c>
      <c r="BD109" s="8">
        <v>102.36</v>
      </c>
      <c r="BE109" s="8">
        <v>99.84</v>
      </c>
      <c r="BF109" s="8">
        <v>100.37</v>
      </c>
      <c r="BG109" s="8">
        <v>101.09</v>
      </c>
      <c r="BH109" s="8">
        <v>99.49</v>
      </c>
      <c r="BI109" s="8">
        <v>100.15</v>
      </c>
      <c r="BJ109" s="8">
        <v>99.62</v>
      </c>
      <c r="BK109" s="8">
        <v>101.52</v>
      </c>
      <c r="BL109" s="8">
        <v>98.14</v>
      </c>
      <c r="BM109" s="8">
        <v>99.95</v>
      </c>
      <c r="BN109" s="8">
        <v>97.6</v>
      </c>
      <c r="BO109" s="8">
        <v>100.07</v>
      </c>
      <c r="BP109" s="8">
        <v>101.16</v>
      </c>
      <c r="BQ109" s="8">
        <v>98.72</v>
      </c>
      <c r="BR109" s="8">
        <v>99.34</v>
      </c>
      <c r="BS109" s="8">
        <v>101.37</v>
      </c>
      <c r="BT109" s="8">
        <v>99.9</v>
      </c>
      <c r="BU109" s="8">
        <v>100.61</v>
      </c>
      <c r="BV109" s="8">
        <v>99.78</v>
      </c>
      <c r="BW109" s="8">
        <v>100.3</v>
      </c>
      <c r="BX109" s="8">
        <v>100.74</v>
      </c>
      <c r="BY109" s="8">
        <v>99.95</v>
      </c>
      <c r="BZ109" s="8">
        <v>100.73</v>
      </c>
      <c r="CA109" s="8">
        <v>100.33</v>
      </c>
      <c r="CB109" s="8">
        <v>101.78</v>
      </c>
      <c r="CC109" s="8">
        <v>98.16</v>
      </c>
      <c r="CD109" s="8">
        <v>100.85</v>
      </c>
      <c r="CE109" s="8">
        <v>101.65</v>
      </c>
      <c r="CF109" s="8">
        <v>101.65</v>
      </c>
      <c r="CG109" s="8">
        <v>100.19</v>
      </c>
      <c r="CH109" s="8">
        <v>100.8</v>
      </c>
      <c r="CI109" s="8">
        <v>100.72</v>
      </c>
      <c r="CJ109" s="8">
        <v>100.06</v>
      </c>
      <c r="CK109" s="8">
        <v>104.42</v>
      </c>
      <c r="CL109" s="8">
        <v>96.65</v>
      </c>
      <c r="CM109" s="8">
        <v>99.04</v>
      </c>
      <c r="CN109" s="8">
        <v>95.57</v>
      </c>
      <c r="CO109" s="8">
        <v>96.43</v>
      </c>
      <c r="CP109" s="8">
        <v>101.03</v>
      </c>
      <c r="CQ109" s="8">
        <v>101.13</v>
      </c>
      <c r="CR109" s="8">
        <v>100</v>
      </c>
      <c r="CS109" s="8">
        <v>100.51</v>
      </c>
      <c r="CT109" s="8">
        <v>100.64</v>
      </c>
      <c r="CU109" s="8">
        <v>100.64</v>
      </c>
      <c r="CV109" s="8">
        <v>100.32</v>
      </c>
      <c r="CW109" s="8">
        <v>100.32</v>
      </c>
      <c r="CX109" s="8">
        <v>100.88</v>
      </c>
      <c r="CY109" s="8">
        <v>101.26</v>
      </c>
      <c r="CZ109" s="8">
        <v>100</v>
      </c>
      <c r="DA109" s="8">
        <v>100</v>
      </c>
      <c r="DB109" s="8">
        <v>100</v>
      </c>
      <c r="DC109" s="8">
        <v>100</v>
      </c>
      <c r="DD109" s="8">
        <v>100</v>
      </c>
      <c r="DE109" s="8">
        <v>99.67</v>
      </c>
      <c r="DF109" s="8">
        <v>98.87</v>
      </c>
      <c r="DG109" s="8">
        <v>98.76</v>
      </c>
      <c r="DH109" s="8">
        <v>99.97</v>
      </c>
      <c r="DI109" s="8">
        <v>97.68</v>
      </c>
      <c r="DJ109" s="8">
        <v>97.68</v>
      </c>
      <c r="DK109" s="8">
        <v>100.04</v>
      </c>
      <c r="DL109" s="8">
        <v>98.81</v>
      </c>
      <c r="DM109" s="8">
        <v>100.2</v>
      </c>
      <c r="DN109" s="8">
        <v>98.13</v>
      </c>
      <c r="DO109" s="8">
        <v>103.05</v>
      </c>
      <c r="DP109" s="8">
        <v>98.85</v>
      </c>
      <c r="DQ109" s="8">
        <v>98.88</v>
      </c>
      <c r="DR109" s="8">
        <v>98.72</v>
      </c>
      <c r="DS109" s="8">
        <v>98.93</v>
      </c>
      <c r="DT109" s="8">
        <v>101.1</v>
      </c>
      <c r="DU109" s="8">
        <v>101.61</v>
      </c>
      <c r="DV109" s="8">
        <v>100.87</v>
      </c>
      <c r="DW109" s="8">
        <v>100.77</v>
      </c>
      <c r="DX109" s="8">
        <v>98.81</v>
      </c>
      <c r="DY109" s="8">
        <v>98.28</v>
      </c>
      <c r="DZ109" s="8">
        <v>98.15</v>
      </c>
      <c r="EA109" s="8">
        <v>99.37</v>
      </c>
      <c r="EB109" s="8">
        <v>98.95</v>
      </c>
      <c r="EC109" s="8">
        <v>98.82</v>
      </c>
      <c r="ED109" s="8">
        <v>100</v>
      </c>
      <c r="EE109" s="8">
        <v>100.2</v>
      </c>
      <c r="EF109" s="8">
        <v>100.2</v>
      </c>
      <c r="EG109" s="8">
        <v>100.82</v>
      </c>
      <c r="EH109" s="8">
        <v>98.94</v>
      </c>
      <c r="EI109" s="8">
        <v>100.43</v>
      </c>
      <c r="EJ109" s="8">
        <v>100.31</v>
      </c>
      <c r="EK109" s="8">
        <v>99.96</v>
      </c>
      <c r="EL109" s="8">
        <v>100</v>
      </c>
      <c r="EM109" s="8">
        <v>100</v>
      </c>
      <c r="EN109" s="8">
        <v>100.31</v>
      </c>
      <c r="EO109" s="8">
        <v>100.31</v>
      </c>
      <c r="EP109" s="8">
        <v>100.63</v>
      </c>
      <c r="EQ109" s="8">
        <v>100.29</v>
      </c>
      <c r="ER109" s="8">
        <v>99.49</v>
      </c>
      <c r="ES109" s="8">
        <v>101.35</v>
      </c>
      <c r="ET109" s="8">
        <v>102.09</v>
      </c>
      <c r="EU109" s="8">
        <v>100.45</v>
      </c>
      <c r="EV109" s="8">
        <v>101.26</v>
      </c>
      <c r="EW109" s="8">
        <v>101.74</v>
      </c>
      <c r="EX109" s="8">
        <v>101.12</v>
      </c>
      <c r="EY109" s="8">
        <v>96.7</v>
      </c>
      <c r="EZ109" s="8">
        <v>103.47</v>
      </c>
      <c r="FA109" s="8">
        <v>90.36</v>
      </c>
      <c r="FB109" s="8">
        <v>102.22</v>
      </c>
      <c r="FC109" s="8">
        <v>100.08</v>
      </c>
      <c r="FD109" s="8">
        <v>99.99</v>
      </c>
      <c r="FE109" s="8">
        <v>102.18</v>
      </c>
      <c r="FF109" s="8">
        <v>99.49</v>
      </c>
      <c r="FG109" s="8">
        <v>104.25</v>
      </c>
      <c r="FH109" s="8">
        <v>106.52</v>
      </c>
      <c r="FI109" s="8">
        <v>100.03</v>
      </c>
      <c r="FJ109" s="8">
        <v>100.03</v>
      </c>
      <c r="FK109" s="8">
        <v>100.14</v>
      </c>
      <c r="FL109" s="8">
        <v>100</v>
      </c>
      <c r="FM109" s="8">
        <v>100</v>
      </c>
      <c r="FN109" s="8">
        <v>100.12</v>
      </c>
      <c r="FO109" s="8">
        <v>100.36</v>
      </c>
      <c r="FP109" s="8">
        <v>100.36</v>
      </c>
      <c r="FQ109" s="8">
        <v>100.01</v>
      </c>
      <c r="FR109" s="8">
        <v>100.09</v>
      </c>
      <c r="FS109" s="8">
        <v>100</v>
      </c>
      <c r="FT109" s="8">
        <v>100.26</v>
      </c>
      <c r="FU109" s="8">
        <v>100.7</v>
      </c>
      <c r="FV109" s="8">
        <v>100.96</v>
      </c>
      <c r="FW109" s="8">
        <v>100.64</v>
      </c>
      <c r="FX109" s="8">
        <v>101.23</v>
      </c>
      <c r="FY109" s="8">
        <v>103.87</v>
      </c>
      <c r="FZ109" s="8">
        <v>99.95</v>
      </c>
      <c r="GA109" s="8">
        <v>101.02</v>
      </c>
      <c r="GB109" s="8">
        <v>103.82</v>
      </c>
      <c r="GC109" s="8">
        <v>100.12</v>
      </c>
      <c r="GD109" s="8">
        <v>100.4</v>
      </c>
      <c r="GE109" s="8">
        <v>100.23</v>
      </c>
      <c r="GF109" s="8">
        <v>101.15</v>
      </c>
      <c r="GG109" s="8">
        <v>99.78</v>
      </c>
      <c r="GH109" s="8">
        <v>100.45</v>
      </c>
      <c r="GI109" s="8">
        <v>101.5</v>
      </c>
      <c r="GJ109" s="8">
        <v>99.51</v>
      </c>
      <c r="GK109" s="8">
        <v>100.1</v>
      </c>
      <c r="GL109" s="8">
        <v>102.63</v>
      </c>
      <c r="GM109" s="8">
        <v>107.4</v>
      </c>
      <c r="GN109" s="8">
        <v>98.79</v>
      </c>
      <c r="GO109" s="8">
        <v>99.63</v>
      </c>
      <c r="GP109" s="8">
        <v>97.41</v>
      </c>
      <c r="GQ109" s="8">
        <v>99.99</v>
      </c>
      <c r="GR109" s="8">
        <v>100.42</v>
      </c>
      <c r="GS109" s="8">
        <v>98.65</v>
      </c>
      <c r="GT109" s="8">
        <v>99.29</v>
      </c>
      <c r="GU109" s="8">
        <v>101.14</v>
      </c>
      <c r="GV109" s="8">
        <v>99.57</v>
      </c>
      <c r="GW109" s="8">
        <v>100.31</v>
      </c>
      <c r="GX109" s="8">
        <v>99.32</v>
      </c>
      <c r="GY109" s="8">
        <v>100.54</v>
      </c>
      <c r="GZ109" s="8">
        <v>100.49</v>
      </c>
      <c r="HA109" s="8">
        <v>100.62</v>
      </c>
      <c r="HB109" s="8">
        <v>100.39</v>
      </c>
      <c r="HC109" s="8">
        <v>100.14</v>
      </c>
      <c r="HD109" s="8">
        <v>100.35</v>
      </c>
      <c r="HE109" s="8">
        <v>100.34</v>
      </c>
      <c r="HF109" s="8">
        <v>99.89</v>
      </c>
      <c r="HG109" s="8">
        <v>101.25</v>
      </c>
      <c r="HH109" s="8">
        <v>101.25</v>
      </c>
      <c r="HI109" s="8">
        <v>100.32</v>
      </c>
      <c r="HJ109" s="8">
        <v>102.71</v>
      </c>
      <c r="HK109" s="8">
        <v>102.63</v>
      </c>
      <c r="HL109" s="8">
        <v>101.78</v>
      </c>
      <c r="HM109" s="8">
        <v>107.03</v>
      </c>
      <c r="HN109" s="8">
        <v>95.64</v>
      </c>
      <c r="HO109" s="8">
        <v>94.98</v>
      </c>
      <c r="HP109" s="8">
        <v>94.53</v>
      </c>
      <c r="HQ109" s="8">
        <v>99.59</v>
      </c>
      <c r="HR109" s="8">
        <v>97.83</v>
      </c>
      <c r="HS109" s="8">
        <v>97.31</v>
      </c>
      <c r="HT109" s="8">
        <v>101.11</v>
      </c>
      <c r="HU109" s="8">
        <v>100.73</v>
      </c>
      <c r="HV109" s="8">
        <v>100.32</v>
      </c>
      <c r="HW109" s="8">
        <v>100.32</v>
      </c>
      <c r="HX109" s="8">
        <v>101.48</v>
      </c>
      <c r="HY109" s="8">
        <v>101.48</v>
      </c>
      <c r="HZ109" s="8">
        <v>101.11</v>
      </c>
      <c r="IA109" s="8">
        <v>102.11</v>
      </c>
      <c r="IB109" s="8">
        <v>100</v>
      </c>
      <c r="IC109" s="8">
        <v>99.94</v>
      </c>
      <c r="ID109" s="8">
        <v>100</v>
      </c>
      <c r="IE109" s="8">
        <v>100</v>
      </c>
      <c r="IF109" s="8">
        <v>99.81</v>
      </c>
      <c r="IG109" s="8">
        <v>99.9</v>
      </c>
      <c r="IH109" s="8">
        <v>98.95</v>
      </c>
      <c r="II109" s="8">
        <v>98.82</v>
      </c>
      <c r="IJ109" s="8">
        <v>99.62</v>
      </c>
      <c r="IK109" s="8">
        <v>98.14</v>
      </c>
      <c r="IL109" s="8">
        <v>98.14</v>
      </c>
      <c r="IM109" s="8">
        <v>101.43</v>
      </c>
      <c r="IN109" s="8">
        <v>102.97</v>
      </c>
      <c r="IO109" s="8">
        <v>103.21</v>
      </c>
      <c r="IP109" s="8">
        <v>95.48</v>
      </c>
      <c r="IQ109" s="8">
        <v>105.13</v>
      </c>
    </row>
    <row r="110" spans="1:251" x14ac:dyDescent="0.2">
      <c r="A110" s="9">
        <v>45992</v>
      </c>
      <c r="B110" s="8">
        <v>101.31</v>
      </c>
      <c r="C110" s="8">
        <v>100.65</v>
      </c>
      <c r="D110" s="8">
        <v>100.66</v>
      </c>
      <c r="E110" s="8">
        <v>101.08</v>
      </c>
      <c r="F110" s="8">
        <v>101.36</v>
      </c>
      <c r="G110" s="8">
        <v>100.42</v>
      </c>
      <c r="H110" s="8">
        <v>100.38</v>
      </c>
      <c r="I110" s="8">
        <v>100</v>
      </c>
      <c r="J110" s="8">
        <v>100</v>
      </c>
      <c r="K110" s="8">
        <v>100</v>
      </c>
      <c r="L110" s="8">
        <v>99.73</v>
      </c>
      <c r="M110" s="8">
        <v>99.73</v>
      </c>
      <c r="N110" s="8">
        <v>100.87</v>
      </c>
      <c r="O110" s="8">
        <v>99.67</v>
      </c>
      <c r="P110" s="8">
        <v>105.36</v>
      </c>
      <c r="Q110" s="8">
        <v>97.68</v>
      </c>
      <c r="R110" s="8">
        <v>95.01</v>
      </c>
      <c r="S110" s="8">
        <v>100.64</v>
      </c>
      <c r="T110" s="8">
        <v>99.91</v>
      </c>
      <c r="U110" s="8">
        <v>98.68</v>
      </c>
      <c r="V110" s="8">
        <v>100.29</v>
      </c>
      <c r="W110" s="8">
        <v>112.83</v>
      </c>
      <c r="X110" s="8">
        <v>112.02</v>
      </c>
      <c r="Y110" s="8">
        <v>113.78</v>
      </c>
      <c r="Z110" s="8">
        <v>100.91</v>
      </c>
      <c r="AA110" s="8">
        <v>98.9</v>
      </c>
      <c r="AB110" s="8">
        <v>98.63</v>
      </c>
      <c r="AC110" s="8">
        <v>103.35</v>
      </c>
      <c r="AD110" s="8">
        <v>103.83</v>
      </c>
      <c r="AE110" s="8">
        <v>101.29</v>
      </c>
      <c r="AF110" s="8">
        <v>98.91</v>
      </c>
      <c r="AG110" s="8">
        <v>100</v>
      </c>
      <c r="AH110" s="8">
        <v>100</v>
      </c>
      <c r="AI110" s="8">
        <v>100</v>
      </c>
      <c r="AJ110" s="8">
        <v>100</v>
      </c>
      <c r="AK110" s="8">
        <v>100</v>
      </c>
      <c r="AL110" s="8">
        <v>101.46</v>
      </c>
      <c r="AM110" s="8">
        <v>102.4</v>
      </c>
      <c r="AN110" s="8">
        <v>102.4</v>
      </c>
      <c r="AO110" s="8">
        <v>100.83</v>
      </c>
      <c r="AP110" s="8">
        <v>99.92</v>
      </c>
      <c r="AQ110" s="8">
        <v>101.08</v>
      </c>
      <c r="AR110" s="8">
        <v>100.71</v>
      </c>
      <c r="AS110" s="8">
        <v>100.43</v>
      </c>
      <c r="AT110" s="8">
        <v>101.79</v>
      </c>
      <c r="AU110" s="8">
        <v>100.85</v>
      </c>
      <c r="AV110" s="8">
        <v>101.17</v>
      </c>
      <c r="AW110" s="8">
        <v>111.34</v>
      </c>
      <c r="AX110" s="8">
        <v>102.36</v>
      </c>
      <c r="AY110" s="8">
        <v>101.19</v>
      </c>
      <c r="AZ110" s="8">
        <v>103.35</v>
      </c>
      <c r="BA110" s="8">
        <v>98.79</v>
      </c>
      <c r="BB110" s="8">
        <v>98.64</v>
      </c>
      <c r="BC110" s="8">
        <v>101.57</v>
      </c>
      <c r="BD110" s="8">
        <v>103.35</v>
      </c>
      <c r="BE110" s="8">
        <v>99.69</v>
      </c>
      <c r="BF110" s="8">
        <v>100.76</v>
      </c>
      <c r="BG110" s="8">
        <v>101.07</v>
      </c>
      <c r="BH110" s="8">
        <v>100.17</v>
      </c>
      <c r="BI110" s="8">
        <v>100.89</v>
      </c>
      <c r="BJ110" s="8">
        <v>100.09</v>
      </c>
      <c r="BK110" s="8">
        <v>102.51</v>
      </c>
      <c r="BL110" s="8">
        <v>98.21</v>
      </c>
      <c r="BM110" s="8">
        <v>100.34</v>
      </c>
      <c r="BN110" s="8">
        <v>96.43</v>
      </c>
      <c r="BO110" s="8">
        <v>99.76</v>
      </c>
      <c r="BP110" s="8">
        <v>100.12</v>
      </c>
      <c r="BQ110" s="8">
        <v>97.77</v>
      </c>
      <c r="BR110" s="8">
        <v>100.85</v>
      </c>
      <c r="BS110" s="8">
        <v>102.1</v>
      </c>
      <c r="BT110" s="8">
        <v>99.05</v>
      </c>
      <c r="BU110" s="8">
        <v>103.46</v>
      </c>
      <c r="BV110" s="8">
        <v>98.28</v>
      </c>
      <c r="BW110" s="8">
        <v>100.3</v>
      </c>
      <c r="BX110" s="8">
        <v>100.83</v>
      </c>
      <c r="BY110" s="8">
        <v>99.9</v>
      </c>
      <c r="BZ110" s="8">
        <v>99.56</v>
      </c>
      <c r="CA110" s="8">
        <v>98.54</v>
      </c>
      <c r="CB110" s="8">
        <v>98.28</v>
      </c>
      <c r="CC110" s="8">
        <v>94.67</v>
      </c>
      <c r="CD110" s="8">
        <v>100.19</v>
      </c>
      <c r="CE110" s="8">
        <v>101.95</v>
      </c>
      <c r="CF110" s="8">
        <v>101.95</v>
      </c>
      <c r="CG110" s="8">
        <v>101.3</v>
      </c>
      <c r="CH110" s="8">
        <v>102.63</v>
      </c>
      <c r="CI110" s="8">
        <v>101.98</v>
      </c>
      <c r="CJ110" s="8">
        <v>101.54</v>
      </c>
      <c r="CK110" s="8">
        <v>109.15</v>
      </c>
      <c r="CL110" s="8">
        <v>99.17</v>
      </c>
      <c r="CM110" s="8">
        <v>97.72</v>
      </c>
      <c r="CN110" s="8">
        <v>98.91</v>
      </c>
      <c r="CO110" s="8">
        <v>102.38</v>
      </c>
      <c r="CP110" s="8">
        <v>98.09</v>
      </c>
      <c r="CQ110" s="8">
        <v>97.91</v>
      </c>
      <c r="CR110" s="8">
        <v>100.04</v>
      </c>
      <c r="CS110" s="8">
        <v>100.48</v>
      </c>
      <c r="CT110" s="8">
        <v>100.89</v>
      </c>
      <c r="CU110" s="8">
        <v>100.89</v>
      </c>
      <c r="CV110" s="8">
        <v>99.57</v>
      </c>
      <c r="CW110" s="8">
        <v>99.57</v>
      </c>
      <c r="CX110" s="8">
        <v>100.78</v>
      </c>
      <c r="CY110" s="8">
        <v>101.12</v>
      </c>
      <c r="CZ110" s="8">
        <v>100</v>
      </c>
      <c r="DA110" s="8">
        <v>100.36</v>
      </c>
      <c r="DB110" s="8">
        <v>100</v>
      </c>
      <c r="DC110" s="8">
        <v>100</v>
      </c>
      <c r="DD110" s="8">
        <v>109.26</v>
      </c>
      <c r="DE110" s="8">
        <v>98.58</v>
      </c>
      <c r="DF110" s="8">
        <v>93.85</v>
      </c>
      <c r="DG110" s="8">
        <v>93.21</v>
      </c>
      <c r="DH110" s="8">
        <v>99.99</v>
      </c>
      <c r="DI110" s="8">
        <v>93.47</v>
      </c>
      <c r="DJ110" s="8">
        <v>93.47</v>
      </c>
      <c r="DK110" s="8">
        <v>99.28</v>
      </c>
      <c r="DL110" s="8">
        <v>98.85</v>
      </c>
      <c r="DM110" s="8">
        <v>99.77</v>
      </c>
      <c r="DN110" s="8">
        <v>95.65</v>
      </c>
      <c r="DO110" s="8">
        <v>103.03</v>
      </c>
      <c r="DP110" s="8">
        <v>99.68</v>
      </c>
      <c r="DQ110" s="8">
        <v>100.92</v>
      </c>
      <c r="DR110" s="8">
        <v>100.94</v>
      </c>
      <c r="DS110" s="8">
        <v>98.7</v>
      </c>
      <c r="DT110" s="8">
        <v>101.38</v>
      </c>
      <c r="DU110" s="8">
        <v>102.17</v>
      </c>
      <c r="DV110" s="8">
        <v>100.87</v>
      </c>
      <c r="DW110" s="8">
        <v>101.01</v>
      </c>
      <c r="DX110" s="8">
        <v>98.15</v>
      </c>
      <c r="DY110" s="8">
        <v>98.02</v>
      </c>
      <c r="DZ110" s="8">
        <v>97.83</v>
      </c>
      <c r="EA110" s="8">
        <v>99.65</v>
      </c>
      <c r="EB110" s="8">
        <v>98.18</v>
      </c>
      <c r="EC110" s="8">
        <v>97.96</v>
      </c>
      <c r="ED110" s="8">
        <v>100</v>
      </c>
      <c r="EE110" s="8">
        <v>100.18</v>
      </c>
      <c r="EF110" s="8">
        <v>100.19</v>
      </c>
      <c r="EG110" s="8">
        <v>100.9</v>
      </c>
      <c r="EH110" s="8">
        <v>100.88</v>
      </c>
      <c r="EI110" s="8">
        <v>99.16</v>
      </c>
      <c r="EJ110" s="8">
        <v>100.31</v>
      </c>
      <c r="EK110" s="8">
        <v>99.92</v>
      </c>
      <c r="EL110" s="8">
        <v>100</v>
      </c>
      <c r="EM110" s="8">
        <v>100</v>
      </c>
      <c r="EN110" s="8">
        <v>99.86</v>
      </c>
      <c r="EO110" s="8">
        <v>99.86</v>
      </c>
      <c r="EP110" s="8">
        <v>100.87</v>
      </c>
      <c r="EQ110" s="8">
        <v>99.81</v>
      </c>
      <c r="ER110" s="8">
        <v>105.52</v>
      </c>
      <c r="ES110" s="8">
        <v>98.8</v>
      </c>
      <c r="ET110" s="8">
        <v>97.25</v>
      </c>
      <c r="EU110" s="8">
        <v>100.68</v>
      </c>
      <c r="EV110" s="8">
        <v>101.64</v>
      </c>
      <c r="EW110" s="8">
        <v>103.23</v>
      </c>
      <c r="EX110" s="8">
        <v>101.17</v>
      </c>
      <c r="EY110" s="8">
        <v>110.79</v>
      </c>
      <c r="EZ110" s="8">
        <v>110.96</v>
      </c>
      <c r="FA110" s="8">
        <v>110.62</v>
      </c>
      <c r="FB110" s="8">
        <v>102.3</v>
      </c>
      <c r="FC110" s="8">
        <v>98.89</v>
      </c>
      <c r="FD110" s="8">
        <v>100.43</v>
      </c>
      <c r="FE110" s="8">
        <v>102.67</v>
      </c>
      <c r="FF110" s="8">
        <v>99.49</v>
      </c>
      <c r="FG110" s="8">
        <v>104.25</v>
      </c>
      <c r="FH110" s="8">
        <v>107.97</v>
      </c>
      <c r="FI110" s="8">
        <v>100.04</v>
      </c>
      <c r="FJ110" s="8">
        <v>100.04</v>
      </c>
      <c r="FK110" s="8">
        <v>100.19</v>
      </c>
      <c r="FL110" s="8">
        <v>100</v>
      </c>
      <c r="FM110" s="8">
        <v>100</v>
      </c>
      <c r="FN110" s="8">
        <v>101.13</v>
      </c>
      <c r="FO110" s="8">
        <v>100.63</v>
      </c>
      <c r="FP110" s="8">
        <v>100.63</v>
      </c>
      <c r="FQ110" s="8">
        <v>101.36</v>
      </c>
      <c r="FR110" s="8">
        <v>99.92</v>
      </c>
      <c r="FS110" s="8">
        <v>101.48</v>
      </c>
      <c r="FT110" s="8">
        <v>100.97</v>
      </c>
      <c r="FU110" s="8">
        <v>100.82</v>
      </c>
      <c r="FV110" s="8">
        <v>101.76</v>
      </c>
      <c r="FW110" s="8">
        <v>101.19</v>
      </c>
      <c r="FX110" s="8">
        <v>101.08</v>
      </c>
      <c r="FY110" s="8">
        <v>111.32</v>
      </c>
      <c r="FZ110" s="8">
        <v>100.96</v>
      </c>
      <c r="GA110" s="8">
        <v>101.39</v>
      </c>
      <c r="GB110" s="8">
        <v>103.63</v>
      </c>
      <c r="GC110" s="8">
        <v>99.31</v>
      </c>
      <c r="GD110" s="8">
        <v>99.35</v>
      </c>
      <c r="GE110" s="8">
        <v>100.89</v>
      </c>
      <c r="GF110" s="8">
        <v>102.82</v>
      </c>
      <c r="GG110" s="8">
        <v>101</v>
      </c>
      <c r="GH110" s="8">
        <v>101.12</v>
      </c>
      <c r="GI110" s="8">
        <v>101.92</v>
      </c>
      <c r="GJ110" s="8">
        <v>100.06</v>
      </c>
      <c r="GK110" s="8">
        <v>101.21</v>
      </c>
      <c r="GL110" s="8">
        <v>102.61</v>
      </c>
      <c r="GM110" s="8">
        <v>104.51</v>
      </c>
      <c r="GN110" s="8">
        <v>101.08</v>
      </c>
      <c r="GO110" s="8">
        <v>100.24</v>
      </c>
      <c r="GP110" s="8">
        <v>94.88</v>
      </c>
      <c r="GQ110" s="8">
        <v>100</v>
      </c>
      <c r="GR110" s="8">
        <v>99.57</v>
      </c>
      <c r="GS110" s="8">
        <v>97.94</v>
      </c>
      <c r="GT110" s="8">
        <v>100.93</v>
      </c>
      <c r="GU110" s="8">
        <v>102.73</v>
      </c>
      <c r="GV110" s="8">
        <v>99.3</v>
      </c>
      <c r="GW110" s="8">
        <v>103.21</v>
      </c>
      <c r="GX110" s="8">
        <v>97.97</v>
      </c>
      <c r="GY110" s="8">
        <v>100.32</v>
      </c>
      <c r="GZ110" s="8">
        <v>100.53</v>
      </c>
      <c r="HA110" s="8">
        <v>100</v>
      </c>
      <c r="HB110" s="8">
        <v>98.71</v>
      </c>
      <c r="HC110" s="8">
        <v>97.81</v>
      </c>
      <c r="HD110" s="8">
        <v>99.46</v>
      </c>
      <c r="HE110" s="8">
        <v>94.36</v>
      </c>
      <c r="HF110" s="8">
        <v>99.71</v>
      </c>
      <c r="HG110" s="8">
        <v>101.82</v>
      </c>
      <c r="HH110" s="8">
        <v>101.82</v>
      </c>
      <c r="HI110" s="8">
        <v>99</v>
      </c>
      <c r="HJ110" s="8">
        <v>100.62</v>
      </c>
      <c r="HK110" s="8">
        <v>98.2</v>
      </c>
      <c r="HL110" s="8">
        <v>100.89</v>
      </c>
      <c r="HM110" s="8">
        <v>106.06</v>
      </c>
      <c r="HN110" s="8">
        <v>94.86</v>
      </c>
      <c r="HO110" s="8">
        <v>93.67</v>
      </c>
      <c r="HP110" s="8">
        <v>91.72</v>
      </c>
      <c r="HQ110" s="8">
        <v>105.24</v>
      </c>
      <c r="HR110" s="8">
        <v>98.2</v>
      </c>
      <c r="HS110" s="8">
        <v>97.74</v>
      </c>
      <c r="HT110" s="8">
        <v>101.11</v>
      </c>
      <c r="HU110" s="8">
        <v>100.56</v>
      </c>
      <c r="HV110" s="8">
        <v>100.43</v>
      </c>
      <c r="HW110" s="8">
        <v>100.43</v>
      </c>
      <c r="HX110" s="8">
        <v>100.79</v>
      </c>
      <c r="HY110" s="8">
        <v>100.79</v>
      </c>
      <c r="HZ110" s="8">
        <v>101.11</v>
      </c>
      <c r="IA110" s="8">
        <v>102.11</v>
      </c>
      <c r="IB110" s="8">
        <v>100</v>
      </c>
      <c r="IC110" s="8">
        <v>99.94</v>
      </c>
      <c r="ID110" s="8">
        <v>100</v>
      </c>
      <c r="IE110" s="8">
        <v>100</v>
      </c>
      <c r="IF110" s="8">
        <v>99.81</v>
      </c>
      <c r="IG110" s="8">
        <v>98.97</v>
      </c>
      <c r="IH110" s="8">
        <v>96.35</v>
      </c>
      <c r="II110" s="8">
        <v>95.89</v>
      </c>
      <c r="IJ110" s="8">
        <v>98.9</v>
      </c>
      <c r="IK110" s="8">
        <v>93.33</v>
      </c>
      <c r="IL110" s="8">
        <v>93.33</v>
      </c>
      <c r="IM110" s="8">
        <v>96.75</v>
      </c>
      <c r="IN110" s="8">
        <v>101.05</v>
      </c>
      <c r="IO110" s="8">
        <v>96.76</v>
      </c>
      <c r="IP110" s="8">
        <v>86.74</v>
      </c>
      <c r="IQ110" s="8">
        <v>104.29</v>
      </c>
    </row>
    <row r="111" spans="1:251" x14ac:dyDescent="0.2">
      <c r="A111" s="9">
        <v>46023</v>
      </c>
      <c r="B111" s="8">
        <v>101.31</v>
      </c>
      <c r="C111" s="8">
        <v>99.01</v>
      </c>
      <c r="D111" s="8">
        <v>98.99</v>
      </c>
      <c r="E111" s="8">
        <v>101.25</v>
      </c>
      <c r="F111" s="8">
        <v>100.07</v>
      </c>
      <c r="G111" s="8">
        <v>95.68</v>
      </c>
      <c r="H111" s="8">
        <v>100.84</v>
      </c>
      <c r="I111" s="8">
        <v>100</v>
      </c>
      <c r="J111" s="8">
        <v>100</v>
      </c>
      <c r="K111" s="8">
        <v>100</v>
      </c>
      <c r="L111" s="8">
        <v>99.64</v>
      </c>
      <c r="M111" s="8">
        <v>99.64</v>
      </c>
      <c r="N111" s="8">
        <v>100.78</v>
      </c>
      <c r="O111" s="8">
        <v>99.57</v>
      </c>
      <c r="P111" s="8">
        <v>103.07</v>
      </c>
      <c r="Q111" s="8">
        <v>98.57</v>
      </c>
      <c r="R111" s="8">
        <v>96.86</v>
      </c>
      <c r="S111" s="8">
        <v>100.47</v>
      </c>
      <c r="T111" s="8">
        <v>99.7</v>
      </c>
      <c r="U111" s="8">
        <v>104.22</v>
      </c>
      <c r="V111" s="8">
        <v>98.31</v>
      </c>
      <c r="W111" s="8">
        <v>106.3</v>
      </c>
      <c r="X111" s="8">
        <v>116.31</v>
      </c>
      <c r="Y111" s="8">
        <v>94.4</v>
      </c>
      <c r="Z111" s="8">
        <v>101.93</v>
      </c>
      <c r="AA111" s="8">
        <v>99.06</v>
      </c>
      <c r="AB111" s="8">
        <v>105.04</v>
      </c>
      <c r="AC111" s="8">
        <v>103.2</v>
      </c>
      <c r="AD111" s="8">
        <v>104.08</v>
      </c>
      <c r="AE111" s="8">
        <v>101.47</v>
      </c>
      <c r="AF111" s="8">
        <v>98.93</v>
      </c>
      <c r="AG111" s="8">
        <v>100</v>
      </c>
      <c r="AH111" s="8">
        <v>100</v>
      </c>
      <c r="AI111" s="8">
        <v>100.01</v>
      </c>
      <c r="AJ111" s="8">
        <v>100</v>
      </c>
      <c r="AK111" s="8">
        <v>100</v>
      </c>
      <c r="AL111" s="8">
        <v>101.6</v>
      </c>
      <c r="AM111" s="8">
        <v>102.73</v>
      </c>
      <c r="AN111" s="8">
        <v>102.73</v>
      </c>
      <c r="AO111" s="8">
        <v>100.84</v>
      </c>
      <c r="AP111" s="8">
        <v>99.96</v>
      </c>
      <c r="AQ111" s="8">
        <v>101.08</v>
      </c>
      <c r="AR111" s="8">
        <v>100.83</v>
      </c>
      <c r="AS111" s="8">
        <v>101.11</v>
      </c>
      <c r="AT111" s="8">
        <v>101.9</v>
      </c>
      <c r="AU111" s="8">
        <v>101.16</v>
      </c>
      <c r="AV111" s="8">
        <v>103.08</v>
      </c>
      <c r="AW111" s="8">
        <v>104.13</v>
      </c>
      <c r="AX111" s="8">
        <v>99.97</v>
      </c>
      <c r="AY111" s="8">
        <v>101.91</v>
      </c>
      <c r="AZ111" s="8">
        <v>105.43</v>
      </c>
      <c r="BA111" s="8">
        <v>99.83</v>
      </c>
      <c r="BB111" s="8">
        <v>97.68</v>
      </c>
      <c r="BC111" s="8">
        <v>101.23</v>
      </c>
      <c r="BD111" s="8">
        <v>103.07</v>
      </c>
      <c r="BE111" s="8">
        <v>102.04</v>
      </c>
      <c r="BF111" s="8">
        <v>100.24</v>
      </c>
      <c r="BG111" s="8">
        <v>100.66</v>
      </c>
      <c r="BH111" s="8">
        <v>100.42</v>
      </c>
      <c r="BI111" s="8">
        <v>99.38</v>
      </c>
      <c r="BJ111" s="8">
        <v>102.36</v>
      </c>
      <c r="BK111" s="8">
        <v>102.91</v>
      </c>
      <c r="BL111" s="8">
        <v>101.94</v>
      </c>
      <c r="BM111" s="8">
        <v>101.72</v>
      </c>
      <c r="BN111" s="8">
        <v>96.98</v>
      </c>
      <c r="BO111" s="8">
        <v>100.61</v>
      </c>
      <c r="BP111" s="8">
        <v>102.1</v>
      </c>
      <c r="BQ111" s="8">
        <v>99.25</v>
      </c>
      <c r="BR111" s="8">
        <v>103.22</v>
      </c>
      <c r="BS111" s="8">
        <v>101.85</v>
      </c>
      <c r="BT111" s="8">
        <v>100.1</v>
      </c>
      <c r="BU111" s="8">
        <v>101.14</v>
      </c>
      <c r="BV111" s="8">
        <v>99.92</v>
      </c>
      <c r="BW111" s="8">
        <v>100.44</v>
      </c>
      <c r="BX111" s="8">
        <v>100.83</v>
      </c>
      <c r="BY111" s="8">
        <v>100.13</v>
      </c>
      <c r="BZ111" s="8">
        <v>100.59</v>
      </c>
      <c r="CA111" s="8">
        <v>99.98</v>
      </c>
      <c r="CB111" s="8">
        <v>101.13</v>
      </c>
      <c r="CC111" s="8">
        <v>99.74</v>
      </c>
      <c r="CD111" s="8">
        <v>99.78</v>
      </c>
      <c r="CE111" s="8">
        <v>102.03</v>
      </c>
      <c r="CF111" s="8">
        <v>102.03</v>
      </c>
      <c r="CG111" s="8">
        <v>101.78</v>
      </c>
      <c r="CH111" s="8">
        <v>102.04</v>
      </c>
      <c r="CI111" s="8">
        <v>99.05</v>
      </c>
      <c r="CJ111" s="8">
        <v>102.21</v>
      </c>
      <c r="CK111" s="8">
        <v>107.57</v>
      </c>
      <c r="CL111" s="8">
        <v>100.55</v>
      </c>
      <c r="CM111" s="8">
        <v>102.88</v>
      </c>
      <c r="CN111" s="8">
        <v>99.13</v>
      </c>
      <c r="CO111" s="8">
        <v>101.58</v>
      </c>
      <c r="CP111" s="8">
        <v>101.9</v>
      </c>
      <c r="CQ111" s="8">
        <v>102.07</v>
      </c>
      <c r="CR111" s="8">
        <v>100.04</v>
      </c>
      <c r="CS111" s="8">
        <v>102.78</v>
      </c>
      <c r="CT111" s="8">
        <v>101.35</v>
      </c>
      <c r="CU111" s="8">
        <v>101.35</v>
      </c>
      <c r="CV111" s="8">
        <v>100.24</v>
      </c>
      <c r="CW111" s="8">
        <v>100.24</v>
      </c>
      <c r="CX111" s="8">
        <v>100.91</v>
      </c>
      <c r="CY111" s="8">
        <v>101.31</v>
      </c>
      <c r="CZ111" s="8">
        <v>100</v>
      </c>
      <c r="DA111" s="8">
        <v>110.92</v>
      </c>
      <c r="DB111" s="8">
        <v>100</v>
      </c>
      <c r="DC111" s="8">
        <v>115.92</v>
      </c>
      <c r="DD111" s="8">
        <v>114.68</v>
      </c>
      <c r="DE111" s="8">
        <v>98.96</v>
      </c>
      <c r="DF111" s="8">
        <v>94.26</v>
      </c>
      <c r="DG111" s="8">
        <v>93.81</v>
      </c>
      <c r="DH111" s="8">
        <v>98.53</v>
      </c>
      <c r="DI111" s="8">
        <v>94.27</v>
      </c>
      <c r="DJ111" s="8">
        <v>94.27</v>
      </c>
      <c r="DK111" s="8">
        <v>101.73</v>
      </c>
      <c r="DL111" s="8">
        <v>97.88</v>
      </c>
      <c r="DM111" s="8">
        <v>100.12</v>
      </c>
      <c r="DN111" s="8">
        <v>105.8</v>
      </c>
      <c r="DO111" s="8">
        <v>102.34</v>
      </c>
      <c r="DP111" s="8">
        <v>98.77</v>
      </c>
      <c r="DQ111" s="8">
        <v>99.49</v>
      </c>
      <c r="DR111" s="8">
        <v>100.57</v>
      </c>
      <c r="DS111" s="8">
        <v>97.59</v>
      </c>
      <c r="DT111" s="8">
        <v>101.4</v>
      </c>
      <c r="DU111" s="8">
        <v>102.17</v>
      </c>
      <c r="DV111" s="8">
        <v>101.18</v>
      </c>
      <c r="DW111" s="8">
        <v>100.82</v>
      </c>
      <c r="DX111" s="8">
        <v>99.63</v>
      </c>
      <c r="DY111" s="8">
        <v>100.96</v>
      </c>
      <c r="DZ111" s="8">
        <v>101.15</v>
      </c>
      <c r="EA111" s="8">
        <v>99.31</v>
      </c>
      <c r="EB111" s="8">
        <v>99.3</v>
      </c>
      <c r="EC111" s="8">
        <v>99.21</v>
      </c>
      <c r="ED111" s="8">
        <v>100</v>
      </c>
      <c r="EE111" s="8">
        <v>99.6</v>
      </c>
      <c r="EF111" s="8">
        <v>99.6</v>
      </c>
      <c r="EG111" s="8">
        <v>100.87</v>
      </c>
      <c r="EH111" s="8">
        <v>99.99</v>
      </c>
      <c r="EI111" s="8">
        <v>97.79</v>
      </c>
      <c r="EJ111" s="8">
        <v>100.61</v>
      </c>
      <c r="EK111" s="8">
        <v>99.89</v>
      </c>
      <c r="EL111" s="8">
        <v>100</v>
      </c>
      <c r="EM111" s="8">
        <v>100</v>
      </c>
      <c r="EN111" s="8">
        <v>99.77</v>
      </c>
      <c r="EO111" s="8">
        <v>99.77</v>
      </c>
      <c r="EP111" s="8">
        <v>100.78</v>
      </c>
      <c r="EQ111" s="8">
        <v>99.72</v>
      </c>
      <c r="ER111" s="8">
        <v>100.85</v>
      </c>
      <c r="ES111" s="8">
        <v>99.9</v>
      </c>
      <c r="ET111" s="8">
        <v>99.35</v>
      </c>
      <c r="EU111" s="8">
        <v>100.58</v>
      </c>
      <c r="EV111" s="8">
        <v>98.99</v>
      </c>
      <c r="EW111" s="8">
        <v>103.7</v>
      </c>
      <c r="EX111" s="8">
        <v>97.61</v>
      </c>
      <c r="EY111" s="8">
        <v>99.87</v>
      </c>
      <c r="EZ111" s="8">
        <v>108.04</v>
      </c>
      <c r="FA111" s="8">
        <v>92.22</v>
      </c>
      <c r="FB111" s="8">
        <v>102.97</v>
      </c>
      <c r="FC111" s="8">
        <v>98.61</v>
      </c>
      <c r="FD111" s="8">
        <v>106.05</v>
      </c>
      <c r="FE111" s="8">
        <v>102.33</v>
      </c>
      <c r="FF111" s="8">
        <v>99.64</v>
      </c>
      <c r="FG111" s="8">
        <v>104.25</v>
      </c>
      <c r="FH111" s="8">
        <v>107.97</v>
      </c>
      <c r="FI111" s="8">
        <v>100.03</v>
      </c>
      <c r="FJ111" s="8">
        <v>100.03</v>
      </c>
      <c r="FK111" s="8">
        <v>100.15</v>
      </c>
      <c r="FL111" s="8">
        <v>100</v>
      </c>
      <c r="FM111" s="8">
        <v>100</v>
      </c>
      <c r="FN111" s="8">
        <v>101.48</v>
      </c>
      <c r="FO111" s="8">
        <v>101.74</v>
      </c>
      <c r="FP111" s="8">
        <v>101.74</v>
      </c>
      <c r="FQ111" s="8">
        <v>101.36</v>
      </c>
      <c r="FR111" s="8">
        <v>99.96</v>
      </c>
      <c r="FS111" s="8">
        <v>101.48</v>
      </c>
      <c r="FT111" s="8">
        <v>101.46</v>
      </c>
      <c r="FU111" s="8">
        <v>101.3</v>
      </c>
      <c r="FV111" s="8">
        <v>101.98</v>
      </c>
      <c r="FW111" s="8">
        <v>101.61</v>
      </c>
      <c r="FX111" s="8">
        <v>102.82</v>
      </c>
      <c r="FY111" s="8">
        <v>105.21</v>
      </c>
      <c r="FZ111" s="8">
        <v>99.62</v>
      </c>
      <c r="GA111" s="8">
        <v>102.02</v>
      </c>
      <c r="GB111" s="8">
        <v>105.39</v>
      </c>
      <c r="GC111" s="8">
        <v>100.58</v>
      </c>
      <c r="GD111" s="8">
        <v>98.47</v>
      </c>
      <c r="GE111" s="8">
        <v>101.28</v>
      </c>
      <c r="GF111" s="8">
        <v>102.7</v>
      </c>
      <c r="GG111" s="8">
        <v>102.16</v>
      </c>
      <c r="GH111" s="8">
        <v>100.92</v>
      </c>
      <c r="GI111" s="8">
        <v>101.75</v>
      </c>
      <c r="GJ111" s="8">
        <v>100.63</v>
      </c>
      <c r="GK111" s="8">
        <v>100.18</v>
      </c>
      <c r="GL111" s="8">
        <v>103.43</v>
      </c>
      <c r="GM111" s="8">
        <v>104.39</v>
      </c>
      <c r="GN111" s="8">
        <v>102.66</v>
      </c>
      <c r="GO111" s="8">
        <v>101.59</v>
      </c>
      <c r="GP111" s="8">
        <v>96.21</v>
      </c>
      <c r="GQ111" s="8">
        <v>100.76</v>
      </c>
      <c r="GR111" s="8">
        <v>101.44</v>
      </c>
      <c r="GS111" s="8">
        <v>98.92</v>
      </c>
      <c r="GT111" s="8">
        <v>103</v>
      </c>
      <c r="GU111" s="8">
        <v>102.41</v>
      </c>
      <c r="GV111" s="8">
        <v>99.96</v>
      </c>
      <c r="GW111" s="8">
        <v>100.68</v>
      </c>
      <c r="GX111" s="8">
        <v>99.71</v>
      </c>
      <c r="GY111" s="8">
        <v>100.53</v>
      </c>
      <c r="GZ111" s="8">
        <v>100.85</v>
      </c>
      <c r="HA111" s="8">
        <v>100.04</v>
      </c>
      <c r="HB111" s="8">
        <v>101.17</v>
      </c>
      <c r="HC111" s="8">
        <v>101.14</v>
      </c>
      <c r="HD111" s="8">
        <v>102.27</v>
      </c>
      <c r="HE111" s="8">
        <v>102.32</v>
      </c>
      <c r="HF111" s="8">
        <v>99.71</v>
      </c>
      <c r="HG111" s="8">
        <v>101.28</v>
      </c>
      <c r="HH111" s="8">
        <v>101.28</v>
      </c>
      <c r="HI111" s="8">
        <v>100.59</v>
      </c>
      <c r="HJ111" s="8">
        <v>101.98</v>
      </c>
      <c r="HK111" s="8">
        <v>99.97</v>
      </c>
      <c r="HL111" s="8">
        <v>101.96</v>
      </c>
      <c r="HM111" s="8">
        <v>107.62</v>
      </c>
      <c r="HN111" s="8">
        <v>95.4</v>
      </c>
      <c r="HO111" s="8">
        <v>99.53</v>
      </c>
      <c r="HP111" s="8">
        <v>91.03</v>
      </c>
      <c r="HQ111" s="8">
        <v>102.76</v>
      </c>
      <c r="HR111" s="8">
        <v>101.35</v>
      </c>
      <c r="HS111" s="8">
        <v>101.39</v>
      </c>
      <c r="HT111" s="8">
        <v>101.1</v>
      </c>
      <c r="HU111" s="8">
        <v>102.27</v>
      </c>
      <c r="HV111" s="8">
        <v>100.55</v>
      </c>
      <c r="HW111" s="8">
        <v>100.55</v>
      </c>
      <c r="HX111" s="8">
        <v>100.81</v>
      </c>
      <c r="HY111" s="8">
        <v>100.81</v>
      </c>
      <c r="HZ111" s="8">
        <v>101.35</v>
      </c>
      <c r="IA111" s="8">
        <v>102.56</v>
      </c>
      <c r="IB111" s="8">
        <v>100</v>
      </c>
      <c r="IC111" s="8">
        <v>107.28</v>
      </c>
      <c r="ID111" s="8">
        <v>100</v>
      </c>
      <c r="IE111" s="8">
        <v>114.61</v>
      </c>
      <c r="IF111" s="8">
        <v>99.81</v>
      </c>
      <c r="IG111" s="8">
        <v>99.12</v>
      </c>
      <c r="IH111" s="8">
        <v>96.14</v>
      </c>
      <c r="II111" s="8">
        <v>95.94</v>
      </c>
      <c r="IJ111" s="8">
        <v>97.28</v>
      </c>
      <c r="IK111" s="8">
        <v>93.34</v>
      </c>
      <c r="IL111" s="8">
        <v>93.34</v>
      </c>
      <c r="IM111" s="8">
        <v>99.71</v>
      </c>
      <c r="IN111" s="8">
        <v>98.91</v>
      </c>
      <c r="IO111" s="8">
        <v>97.99</v>
      </c>
      <c r="IP111" s="8">
        <v>98.74</v>
      </c>
      <c r="IQ111" s="8">
        <v>103.19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11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57" s="2" customFormat="1" ht="99.95" customHeight="1" x14ac:dyDescent="0.2">
      <c r="B1" s="3" t="s">
        <v>1953</v>
      </c>
      <c r="C1" s="3" t="s">
        <v>1954</v>
      </c>
      <c r="D1" s="3" t="s">
        <v>1955</v>
      </c>
      <c r="E1" s="3" t="s">
        <v>1956</v>
      </c>
      <c r="F1" s="3" t="s">
        <v>1957</v>
      </c>
      <c r="G1" s="3" t="s">
        <v>1958</v>
      </c>
      <c r="H1" s="3" t="s">
        <v>1959</v>
      </c>
      <c r="I1" s="3" t="s">
        <v>1960</v>
      </c>
      <c r="J1" s="3" t="s">
        <v>1961</v>
      </c>
      <c r="K1" s="3" t="s">
        <v>1962</v>
      </c>
      <c r="L1" s="3" t="s">
        <v>1963</v>
      </c>
      <c r="M1" s="3" t="s">
        <v>1964</v>
      </c>
      <c r="N1" s="3" t="s">
        <v>1965</v>
      </c>
      <c r="O1" s="3" t="s">
        <v>1966</v>
      </c>
      <c r="P1" s="3" t="s">
        <v>1967</v>
      </c>
      <c r="Q1" s="3" t="s">
        <v>1968</v>
      </c>
      <c r="R1" s="3" t="s">
        <v>1969</v>
      </c>
      <c r="S1" s="3" t="s">
        <v>1970</v>
      </c>
      <c r="T1" s="3" t="s">
        <v>1971</v>
      </c>
      <c r="U1" s="3" t="s">
        <v>1972</v>
      </c>
      <c r="V1" s="3" t="s">
        <v>1973</v>
      </c>
      <c r="W1" s="3" t="s">
        <v>1974</v>
      </c>
      <c r="X1" s="3" t="s">
        <v>1975</v>
      </c>
      <c r="Y1" s="3" t="s">
        <v>1975</v>
      </c>
      <c r="Z1" s="3" t="s">
        <v>1976</v>
      </c>
      <c r="AA1" s="3" t="s">
        <v>1976</v>
      </c>
      <c r="AB1" s="3" t="s">
        <v>1977</v>
      </c>
      <c r="AC1" s="3" t="s">
        <v>1978</v>
      </c>
      <c r="AD1" s="3" t="s">
        <v>1979</v>
      </c>
      <c r="AE1" s="3" t="s">
        <v>1980</v>
      </c>
      <c r="AF1" s="3" t="s">
        <v>1981</v>
      </c>
      <c r="AG1" s="3" t="s">
        <v>1982</v>
      </c>
      <c r="AH1" s="3" t="s">
        <v>1983</v>
      </c>
      <c r="AI1" s="3" t="s">
        <v>1984</v>
      </c>
      <c r="AJ1" s="3" t="s">
        <v>1985</v>
      </c>
      <c r="AK1" s="3" t="s">
        <v>1986</v>
      </c>
      <c r="AL1" s="3" t="s">
        <v>1987</v>
      </c>
      <c r="AM1" s="3" t="s">
        <v>1988</v>
      </c>
      <c r="AN1" s="3" t="s">
        <v>1989</v>
      </c>
      <c r="AO1" s="3" t="s">
        <v>1990</v>
      </c>
      <c r="AP1" s="3" t="s">
        <v>1991</v>
      </c>
      <c r="AQ1" s="3" t="s">
        <v>1992</v>
      </c>
      <c r="AR1" s="3" t="s">
        <v>1993</v>
      </c>
      <c r="AS1" s="3" t="s">
        <v>1994</v>
      </c>
      <c r="AT1" s="3" t="s">
        <v>1995</v>
      </c>
      <c r="AU1" s="3" t="s">
        <v>1996</v>
      </c>
      <c r="AV1" s="3" t="s">
        <v>1996</v>
      </c>
      <c r="AW1" s="3" t="s">
        <v>1997</v>
      </c>
      <c r="AX1" s="3" t="s">
        <v>1998</v>
      </c>
      <c r="AY1" s="3" t="s">
        <v>1999</v>
      </c>
      <c r="AZ1" s="3" t="s">
        <v>2000</v>
      </c>
      <c r="BA1" s="3" t="s">
        <v>2001</v>
      </c>
      <c r="BB1" s="3" t="s">
        <v>2001</v>
      </c>
      <c r="BC1" s="3" t="s">
        <v>2002</v>
      </c>
      <c r="BD1" s="3" t="s">
        <v>2003</v>
      </c>
      <c r="BE1" s="3" t="s">
        <v>2004</v>
      </c>
    </row>
    <row r="2" spans="1:57" x14ac:dyDescent="0.2">
      <c r="A2" s="4" t="s">
        <v>236</v>
      </c>
      <c r="B2" s="7" t="s">
        <v>245</v>
      </c>
      <c r="C2" s="7" t="s">
        <v>245</v>
      </c>
      <c r="D2" s="7" t="s">
        <v>245</v>
      </c>
      <c r="E2" s="7" t="s">
        <v>245</v>
      </c>
      <c r="F2" s="7" t="s">
        <v>245</v>
      </c>
      <c r="G2" s="7" t="s">
        <v>245</v>
      </c>
      <c r="H2" s="7" t="s">
        <v>245</v>
      </c>
      <c r="I2" s="7" t="s">
        <v>245</v>
      </c>
      <c r="J2" s="7" t="s">
        <v>245</v>
      </c>
      <c r="K2" s="7" t="s">
        <v>245</v>
      </c>
      <c r="L2" s="7" t="s">
        <v>245</v>
      </c>
      <c r="M2" s="7" t="s">
        <v>245</v>
      </c>
      <c r="N2" s="7" t="s">
        <v>245</v>
      </c>
      <c r="O2" s="7" t="s">
        <v>245</v>
      </c>
      <c r="P2" s="7" t="s">
        <v>245</v>
      </c>
      <c r="Q2" s="7" t="s">
        <v>245</v>
      </c>
      <c r="R2" s="7" t="s">
        <v>245</v>
      </c>
      <c r="S2" s="7" t="s">
        <v>245</v>
      </c>
      <c r="T2" s="7" t="s">
        <v>245</v>
      </c>
      <c r="U2" s="7" t="s">
        <v>245</v>
      </c>
      <c r="V2" s="7" t="s">
        <v>245</v>
      </c>
      <c r="W2" s="7" t="s">
        <v>245</v>
      </c>
      <c r="X2" s="7" t="s">
        <v>245</v>
      </c>
      <c r="Y2" s="7" t="s">
        <v>245</v>
      </c>
      <c r="Z2" s="7" t="s">
        <v>245</v>
      </c>
      <c r="AA2" s="7" t="s">
        <v>245</v>
      </c>
      <c r="AB2" s="7" t="s">
        <v>245</v>
      </c>
      <c r="AC2" s="7" t="s">
        <v>245</v>
      </c>
      <c r="AD2" s="7" t="s">
        <v>245</v>
      </c>
      <c r="AE2" s="7" t="s">
        <v>245</v>
      </c>
      <c r="AF2" s="7" t="s">
        <v>245</v>
      </c>
      <c r="AG2" s="7" t="s">
        <v>245</v>
      </c>
      <c r="AH2" s="7" t="s">
        <v>245</v>
      </c>
      <c r="AI2" s="7" t="s">
        <v>245</v>
      </c>
      <c r="AJ2" s="7" t="s">
        <v>245</v>
      </c>
      <c r="AK2" s="7" t="s">
        <v>245</v>
      </c>
      <c r="AL2" s="7" t="s">
        <v>245</v>
      </c>
      <c r="AM2" s="7" t="s">
        <v>245</v>
      </c>
      <c r="AN2" s="7" t="s">
        <v>245</v>
      </c>
      <c r="AO2" s="7" t="s">
        <v>245</v>
      </c>
      <c r="AP2" s="7" t="s">
        <v>245</v>
      </c>
      <c r="AQ2" s="7" t="s">
        <v>245</v>
      </c>
      <c r="AR2" s="7" t="s">
        <v>245</v>
      </c>
      <c r="AS2" s="7" t="s">
        <v>245</v>
      </c>
      <c r="AT2" s="7" t="s">
        <v>245</v>
      </c>
      <c r="AU2" s="7" t="s">
        <v>245</v>
      </c>
      <c r="AV2" s="7" t="s">
        <v>245</v>
      </c>
      <c r="AW2" s="7" t="s">
        <v>245</v>
      </c>
      <c r="AX2" s="7" t="s">
        <v>245</v>
      </c>
      <c r="AY2" s="7" t="s">
        <v>245</v>
      </c>
      <c r="AZ2" s="7" t="s">
        <v>245</v>
      </c>
      <c r="BA2" s="7" t="s">
        <v>245</v>
      </c>
      <c r="BB2" s="7" t="s">
        <v>245</v>
      </c>
      <c r="BC2" s="7" t="s">
        <v>245</v>
      </c>
      <c r="BD2" s="7" t="s">
        <v>245</v>
      </c>
      <c r="BE2" s="7" t="s">
        <v>245</v>
      </c>
    </row>
    <row r="3" spans="1:57" x14ac:dyDescent="0.2">
      <c r="A3" s="4" t="s">
        <v>237</v>
      </c>
      <c r="B3" s="7" t="s">
        <v>246</v>
      </c>
      <c r="C3" s="7" t="s">
        <v>246</v>
      </c>
      <c r="D3" s="7" t="s">
        <v>246</v>
      </c>
      <c r="E3" s="7" t="s">
        <v>246</v>
      </c>
      <c r="F3" s="7" t="s">
        <v>246</v>
      </c>
      <c r="G3" s="7" t="s">
        <v>246</v>
      </c>
      <c r="H3" s="7" t="s">
        <v>246</v>
      </c>
      <c r="I3" s="7" t="s">
        <v>246</v>
      </c>
      <c r="J3" s="7" t="s">
        <v>246</v>
      </c>
      <c r="K3" s="7" t="s">
        <v>246</v>
      </c>
      <c r="L3" s="7" t="s">
        <v>246</v>
      </c>
      <c r="M3" s="7" t="s">
        <v>246</v>
      </c>
      <c r="N3" s="7" t="s">
        <v>246</v>
      </c>
      <c r="O3" s="7" t="s">
        <v>246</v>
      </c>
      <c r="P3" s="7" t="s">
        <v>246</v>
      </c>
      <c r="Q3" s="7" t="s">
        <v>246</v>
      </c>
      <c r="R3" s="7" t="s">
        <v>246</v>
      </c>
      <c r="S3" s="7" t="s">
        <v>246</v>
      </c>
      <c r="T3" s="7" t="s">
        <v>246</v>
      </c>
      <c r="U3" s="7" t="s">
        <v>246</v>
      </c>
      <c r="V3" s="7" t="s">
        <v>246</v>
      </c>
      <c r="W3" s="7" t="s">
        <v>246</v>
      </c>
      <c r="X3" s="7" t="s">
        <v>246</v>
      </c>
      <c r="Y3" s="7" t="s">
        <v>246</v>
      </c>
      <c r="Z3" s="7" t="s">
        <v>246</v>
      </c>
      <c r="AA3" s="7" t="s">
        <v>246</v>
      </c>
      <c r="AB3" s="7" t="s">
        <v>246</v>
      </c>
      <c r="AC3" s="7" t="s">
        <v>246</v>
      </c>
      <c r="AD3" s="7" t="s">
        <v>246</v>
      </c>
      <c r="AE3" s="7" t="s">
        <v>246</v>
      </c>
      <c r="AF3" s="7" t="s">
        <v>246</v>
      </c>
      <c r="AG3" s="7" t="s">
        <v>246</v>
      </c>
      <c r="AH3" s="7" t="s">
        <v>246</v>
      </c>
      <c r="AI3" s="7" t="s">
        <v>246</v>
      </c>
      <c r="AJ3" s="7" t="s">
        <v>246</v>
      </c>
      <c r="AK3" s="7" t="s">
        <v>246</v>
      </c>
      <c r="AL3" s="7" t="s">
        <v>246</v>
      </c>
      <c r="AM3" s="7" t="s">
        <v>246</v>
      </c>
      <c r="AN3" s="7" t="s">
        <v>246</v>
      </c>
      <c r="AO3" s="7" t="s">
        <v>246</v>
      </c>
      <c r="AP3" s="7" t="s">
        <v>246</v>
      </c>
      <c r="AQ3" s="7" t="s">
        <v>246</v>
      </c>
      <c r="AR3" s="7" t="s">
        <v>246</v>
      </c>
      <c r="AS3" s="7" t="s">
        <v>246</v>
      </c>
      <c r="AT3" s="7" t="s">
        <v>246</v>
      </c>
      <c r="AU3" s="7" t="s">
        <v>246</v>
      </c>
      <c r="AV3" s="7" t="s">
        <v>246</v>
      </c>
      <c r="AW3" s="7" t="s">
        <v>246</v>
      </c>
      <c r="AX3" s="7" t="s">
        <v>246</v>
      </c>
      <c r="AY3" s="7" t="s">
        <v>246</v>
      </c>
      <c r="AZ3" s="7" t="s">
        <v>246</v>
      </c>
      <c r="BA3" s="7" t="s">
        <v>246</v>
      </c>
      <c r="BB3" s="7" t="s">
        <v>246</v>
      </c>
      <c r="BC3" s="7" t="s">
        <v>246</v>
      </c>
      <c r="BD3" s="7" t="s">
        <v>246</v>
      </c>
      <c r="BE3" s="7" t="s">
        <v>246</v>
      </c>
    </row>
    <row r="4" spans="1:57" x14ac:dyDescent="0.2">
      <c r="A4" s="4" t="s">
        <v>238</v>
      </c>
      <c r="B4" s="7" t="s">
        <v>247</v>
      </c>
      <c r="C4" s="7" t="s">
        <v>247</v>
      </c>
      <c r="D4" s="7" t="s">
        <v>247</v>
      </c>
      <c r="E4" s="7" t="s">
        <v>247</v>
      </c>
      <c r="F4" s="7" t="s">
        <v>247</v>
      </c>
      <c r="G4" s="7" t="s">
        <v>247</v>
      </c>
      <c r="H4" s="7" t="s">
        <v>247</v>
      </c>
      <c r="I4" s="7" t="s">
        <v>247</v>
      </c>
      <c r="J4" s="7" t="s">
        <v>247</v>
      </c>
      <c r="K4" s="7" t="s">
        <v>247</v>
      </c>
      <c r="L4" s="7" t="s">
        <v>247</v>
      </c>
      <c r="M4" s="7" t="s">
        <v>247</v>
      </c>
      <c r="N4" s="7" t="s">
        <v>247</v>
      </c>
      <c r="O4" s="7" t="s">
        <v>247</v>
      </c>
      <c r="P4" s="7" t="s">
        <v>247</v>
      </c>
      <c r="Q4" s="7" t="s">
        <v>247</v>
      </c>
      <c r="R4" s="7" t="s">
        <v>247</v>
      </c>
      <c r="S4" s="7" t="s">
        <v>247</v>
      </c>
      <c r="T4" s="7" t="s">
        <v>247</v>
      </c>
      <c r="U4" s="7" t="s">
        <v>247</v>
      </c>
      <c r="V4" s="7" t="s">
        <v>247</v>
      </c>
      <c r="W4" s="7" t="s">
        <v>247</v>
      </c>
      <c r="X4" s="7" t="s">
        <v>247</v>
      </c>
      <c r="Y4" s="7" t="s">
        <v>247</v>
      </c>
      <c r="Z4" s="7" t="s">
        <v>247</v>
      </c>
      <c r="AA4" s="7" t="s">
        <v>247</v>
      </c>
      <c r="AB4" s="7" t="s">
        <v>247</v>
      </c>
      <c r="AC4" s="7" t="s">
        <v>247</v>
      </c>
      <c r="AD4" s="7" t="s">
        <v>247</v>
      </c>
      <c r="AE4" s="7" t="s">
        <v>247</v>
      </c>
      <c r="AF4" s="7" t="s">
        <v>247</v>
      </c>
      <c r="AG4" s="7" t="s">
        <v>247</v>
      </c>
      <c r="AH4" s="7" t="s">
        <v>247</v>
      </c>
      <c r="AI4" s="7" t="s">
        <v>247</v>
      </c>
      <c r="AJ4" s="7" t="s">
        <v>247</v>
      </c>
      <c r="AK4" s="7" t="s">
        <v>247</v>
      </c>
      <c r="AL4" s="7" t="s">
        <v>247</v>
      </c>
      <c r="AM4" s="7" t="s">
        <v>247</v>
      </c>
      <c r="AN4" s="7" t="s">
        <v>247</v>
      </c>
      <c r="AO4" s="7" t="s">
        <v>247</v>
      </c>
      <c r="AP4" s="7" t="s">
        <v>247</v>
      </c>
      <c r="AQ4" s="7" t="s">
        <v>247</v>
      </c>
      <c r="AR4" s="7" t="s">
        <v>247</v>
      </c>
      <c r="AS4" s="7" t="s">
        <v>247</v>
      </c>
      <c r="AT4" s="7" t="s">
        <v>247</v>
      </c>
      <c r="AU4" s="7" t="s">
        <v>247</v>
      </c>
      <c r="AV4" s="7" t="s">
        <v>247</v>
      </c>
      <c r="AW4" s="7" t="s">
        <v>247</v>
      </c>
      <c r="AX4" s="7" t="s">
        <v>247</v>
      </c>
      <c r="AY4" s="7" t="s">
        <v>247</v>
      </c>
      <c r="AZ4" s="7" t="s">
        <v>247</v>
      </c>
      <c r="BA4" s="7" t="s">
        <v>247</v>
      </c>
      <c r="BB4" s="7" t="s">
        <v>247</v>
      </c>
      <c r="BC4" s="7" t="s">
        <v>247</v>
      </c>
      <c r="BD4" s="7" t="s">
        <v>247</v>
      </c>
      <c r="BE4" s="7" t="s">
        <v>247</v>
      </c>
    </row>
    <row r="5" spans="1:57" x14ac:dyDescent="0.2">
      <c r="A5" s="4" t="s">
        <v>239</v>
      </c>
      <c r="B5" s="7" t="s">
        <v>248</v>
      </c>
      <c r="C5" s="7" t="s">
        <v>248</v>
      </c>
      <c r="D5" s="7" t="s">
        <v>248</v>
      </c>
      <c r="E5" s="7" t="s">
        <v>248</v>
      </c>
      <c r="F5" s="7" t="s">
        <v>248</v>
      </c>
      <c r="G5" s="7" t="s">
        <v>248</v>
      </c>
      <c r="H5" s="7" t="s">
        <v>248</v>
      </c>
      <c r="I5" s="7" t="s">
        <v>248</v>
      </c>
      <c r="J5" s="7" t="s">
        <v>248</v>
      </c>
      <c r="K5" s="7" t="s">
        <v>248</v>
      </c>
      <c r="L5" s="7" t="s">
        <v>248</v>
      </c>
      <c r="M5" s="7" t="s">
        <v>248</v>
      </c>
      <c r="N5" s="7" t="s">
        <v>248</v>
      </c>
      <c r="O5" s="7" t="s">
        <v>248</v>
      </c>
      <c r="P5" s="7" t="s">
        <v>248</v>
      </c>
      <c r="Q5" s="7" t="s">
        <v>248</v>
      </c>
      <c r="R5" s="7" t="s">
        <v>248</v>
      </c>
      <c r="S5" s="7" t="s">
        <v>248</v>
      </c>
      <c r="T5" s="7" t="s">
        <v>248</v>
      </c>
      <c r="U5" s="7" t="s">
        <v>248</v>
      </c>
      <c r="V5" s="7" t="s">
        <v>248</v>
      </c>
      <c r="W5" s="7" t="s">
        <v>248</v>
      </c>
      <c r="X5" s="7" t="s">
        <v>248</v>
      </c>
      <c r="Y5" s="7" t="s">
        <v>248</v>
      </c>
      <c r="Z5" s="7" t="s">
        <v>248</v>
      </c>
      <c r="AA5" s="7" t="s">
        <v>248</v>
      </c>
      <c r="AB5" s="7" t="s">
        <v>248</v>
      </c>
      <c r="AC5" s="7" t="s">
        <v>248</v>
      </c>
      <c r="AD5" s="7" t="s">
        <v>248</v>
      </c>
      <c r="AE5" s="7" t="s">
        <v>248</v>
      </c>
      <c r="AF5" s="7" t="s">
        <v>248</v>
      </c>
      <c r="AG5" s="7" t="s">
        <v>248</v>
      </c>
      <c r="AH5" s="7" t="s">
        <v>248</v>
      </c>
      <c r="AI5" s="7" t="s">
        <v>248</v>
      </c>
      <c r="AJ5" s="7" t="s">
        <v>248</v>
      </c>
      <c r="AK5" s="7" t="s">
        <v>248</v>
      </c>
      <c r="AL5" s="7" t="s">
        <v>248</v>
      </c>
      <c r="AM5" s="7" t="s">
        <v>248</v>
      </c>
      <c r="AN5" s="7" t="s">
        <v>248</v>
      </c>
      <c r="AO5" s="7" t="s">
        <v>248</v>
      </c>
      <c r="AP5" s="7" t="s">
        <v>248</v>
      </c>
      <c r="AQ5" s="7" t="s">
        <v>248</v>
      </c>
      <c r="AR5" s="7" t="s">
        <v>248</v>
      </c>
      <c r="AS5" s="7" t="s">
        <v>248</v>
      </c>
      <c r="AT5" s="7" t="s">
        <v>248</v>
      </c>
      <c r="AU5" s="7" t="s">
        <v>248</v>
      </c>
      <c r="AV5" s="7" t="s">
        <v>248</v>
      </c>
      <c r="AW5" s="7" t="s">
        <v>248</v>
      </c>
      <c r="AX5" s="7" t="s">
        <v>248</v>
      </c>
      <c r="AY5" s="7" t="s">
        <v>248</v>
      </c>
      <c r="AZ5" s="7" t="s">
        <v>248</v>
      </c>
      <c r="BA5" s="7" t="s">
        <v>248</v>
      </c>
      <c r="BB5" s="7" t="s">
        <v>248</v>
      </c>
      <c r="BC5" s="7" t="s">
        <v>248</v>
      </c>
      <c r="BD5" s="7" t="s">
        <v>248</v>
      </c>
      <c r="BE5" s="7" t="s">
        <v>248</v>
      </c>
    </row>
    <row r="6" spans="1:57" x14ac:dyDescent="0.2">
      <c r="A6" s="4" t="s">
        <v>240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</row>
    <row r="7" spans="1:57" s="6" customFormat="1" x14ac:dyDescent="0.2">
      <c r="A7" s="5" t="s">
        <v>241</v>
      </c>
      <c r="B7" s="6">
        <v>42979</v>
      </c>
      <c r="C7" s="6">
        <v>42979</v>
      </c>
      <c r="D7" s="6">
        <v>42979</v>
      </c>
      <c r="E7" s="6">
        <v>42979</v>
      </c>
      <c r="F7" s="6">
        <v>45383</v>
      </c>
      <c r="G7" s="6">
        <v>45383</v>
      </c>
      <c r="H7" s="6">
        <v>45383</v>
      </c>
      <c r="I7" s="6">
        <v>45383</v>
      </c>
      <c r="J7" s="6">
        <v>45383</v>
      </c>
      <c r="K7" s="6">
        <v>45383</v>
      </c>
      <c r="L7" s="6">
        <v>45383</v>
      </c>
      <c r="M7" s="6">
        <v>45383</v>
      </c>
      <c r="N7" s="6">
        <v>45383</v>
      </c>
      <c r="O7" s="6">
        <v>45383</v>
      </c>
      <c r="P7" s="6">
        <v>45383</v>
      </c>
      <c r="Q7" s="6">
        <v>45383</v>
      </c>
      <c r="R7" s="6">
        <v>45383</v>
      </c>
      <c r="S7" s="6">
        <v>45383</v>
      </c>
      <c r="T7" s="6">
        <v>45383</v>
      </c>
      <c r="U7" s="6">
        <v>42979</v>
      </c>
      <c r="V7" s="6">
        <v>45383</v>
      </c>
      <c r="W7" s="6">
        <v>45383</v>
      </c>
      <c r="X7" s="6">
        <v>45383</v>
      </c>
      <c r="Y7" s="6">
        <v>45383</v>
      </c>
      <c r="Z7" s="6">
        <v>45383</v>
      </c>
      <c r="AA7" s="6">
        <v>45383</v>
      </c>
      <c r="AB7" s="6">
        <v>44743</v>
      </c>
      <c r="AC7" s="6">
        <v>45383</v>
      </c>
      <c r="AD7" s="6">
        <v>45383</v>
      </c>
      <c r="AE7" s="6">
        <v>45383</v>
      </c>
      <c r="AF7" s="6">
        <v>45383</v>
      </c>
      <c r="AG7" s="6">
        <v>45383</v>
      </c>
      <c r="AH7" s="6">
        <v>45383</v>
      </c>
      <c r="AI7" s="6">
        <v>45383</v>
      </c>
      <c r="AJ7" s="6">
        <v>45383</v>
      </c>
      <c r="AK7" s="6">
        <v>42979</v>
      </c>
      <c r="AL7" s="6">
        <v>42979</v>
      </c>
      <c r="AM7" s="6">
        <v>42979</v>
      </c>
      <c r="AN7" s="6">
        <v>45383</v>
      </c>
      <c r="AO7" s="6">
        <v>45383</v>
      </c>
      <c r="AP7" s="6">
        <v>45383</v>
      </c>
      <c r="AQ7" s="6">
        <v>42979</v>
      </c>
      <c r="AR7" s="6">
        <v>45383</v>
      </c>
      <c r="AS7" s="6">
        <v>45383</v>
      </c>
      <c r="AT7" s="6">
        <v>45383</v>
      </c>
      <c r="AU7" s="6">
        <v>45383</v>
      </c>
      <c r="AV7" s="6">
        <v>45383</v>
      </c>
      <c r="AW7" s="6">
        <v>45383</v>
      </c>
      <c r="AX7" s="6">
        <v>42979</v>
      </c>
      <c r="AY7" s="6">
        <v>42979</v>
      </c>
      <c r="AZ7" s="6">
        <v>45383</v>
      </c>
      <c r="BA7" s="6">
        <v>45383</v>
      </c>
      <c r="BB7" s="6">
        <v>45383</v>
      </c>
      <c r="BC7" s="6">
        <v>42979</v>
      </c>
      <c r="BD7" s="6">
        <v>42979</v>
      </c>
      <c r="BE7" s="6">
        <v>42979</v>
      </c>
    </row>
    <row r="8" spans="1:57" s="6" customFormat="1" x14ac:dyDescent="0.2">
      <c r="A8" s="5" t="s">
        <v>242</v>
      </c>
      <c r="B8" s="6">
        <v>46023</v>
      </c>
      <c r="C8" s="6">
        <v>46023</v>
      </c>
      <c r="D8" s="6">
        <v>46023</v>
      </c>
      <c r="E8" s="6">
        <v>46023</v>
      </c>
      <c r="F8" s="6">
        <v>46023</v>
      </c>
      <c r="G8" s="6">
        <v>46023</v>
      </c>
      <c r="H8" s="6">
        <v>46023</v>
      </c>
      <c r="I8" s="6">
        <v>46023</v>
      </c>
      <c r="J8" s="6">
        <v>46023</v>
      </c>
      <c r="K8" s="6">
        <v>46023</v>
      </c>
      <c r="L8" s="6">
        <v>46023</v>
      </c>
      <c r="M8" s="6">
        <v>46023</v>
      </c>
      <c r="N8" s="6">
        <v>46023</v>
      </c>
      <c r="O8" s="6">
        <v>46023</v>
      </c>
      <c r="P8" s="6">
        <v>46023</v>
      </c>
      <c r="Q8" s="6">
        <v>46023</v>
      </c>
      <c r="R8" s="6">
        <v>46023</v>
      </c>
      <c r="S8" s="6">
        <v>46023</v>
      </c>
      <c r="T8" s="6">
        <v>46023</v>
      </c>
      <c r="U8" s="6">
        <v>46023</v>
      </c>
      <c r="V8" s="6">
        <v>46023</v>
      </c>
      <c r="W8" s="6">
        <v>46023</v>
      </c>
      <c r="X8" s="6">
        <v>46023</v>
      </c>
      <c r="Y8" s="6">
        <v>46023</v>
      </c>
      <c r="Z8" s="6">
        <v>46023</v>
      </c>
      <c r="AA8" s="6">
        <v>46023</v>
      </c>
      <c r="AB8" s="6">
        <v>46023</v>
      </c>
      <c r="AC8" s="6">
        <v>46023</v>
      </c>
      <c r="AD8" s="6">
        <v>46023</v>
      </c>
      <c r="AE8" s="6">
        <v>46023</v>
      </c>
      <c r="AF8" s="6">
        <v>46023</v>
      </c>
      <c r="AG8" s="6">
        <v>46023</v>
      </c>
      <c r="AH8" s="6">
        <v>46023</v>
      </c>
      <c r="AI8" s="6">
        <v>46023</v>
      </c>
      <c r="AJ8" s="6">
        <v>46023</v>
      </c>
      <c r="AK8" s="6">
        <v>46023</v>
      </c>
      <c r="AL8" s="6">
        <v>46023</v>
      </c>
      <c r="AM8" s="6">
        <v>46023</v>
      </c>
      <c r="AN8" s="6">
        <v>46023</v>
      </c>
      <c r="AO8" s="6">
        <v>46023</v>
      </c>
      <c r="AP8" s="6">
        <v>46023</v>
      </c>
      <c r="AQ8" s="6">
        <v>46023</v>
      </c>
      <c r="AR8" s="6">
        <v>46023</v>
      </c>
      <c r="AS8" s="6">
        <v>46023</v>
      </c>
      <c r="AT8" s="6">
        <v>46023</v>
      </c>
      <c r="AU8" s="6">
        <v>46023</v>
      </c>
      <c r="AV8" s="6">
        <v>46023</v>
      </c>
      <c r="AW8" s="6">
        <v>46023</v>
      </c>
      <c r="AX8" s="6">
        <v>46023</v>
      </c>
      <c r="AY8" s="6">
        <v>46023</v>
      </c>
      <c r="AZ8" s="6">
        <v>46023</v>
      </c>
      <c r="BA8" s="6">
        <v>46023</v>
      </c>
      <c r="BB8" s="6">
        <v>46023</v>
      </c>
      <c r="BC8" s="6">
        <v>46023</v>
      </c>
      <c r="BD8" s="6">
        <v>46023</v>
      </c>
      <c r="BE8" s="6">
        <v>46023</v>
      </c>
    </row>
    <row r="9" spans="1:57" x14ac:dyDescent="0.2">
      <c r="A9" s="4" t="s">
        <v>243</v>
      </c>
      <c r="B9" s="1">
        <v>101</v>
      </c>
      <c r="C9" s="1">
        <v>101</v>
      </c>
      <c r="D9" s="1">
        <v>101</v>
      </c>
      <c r="E9" s="1">
        <v>101</v>
      </c>
      <c r="F9" s="1">
        <v>22</v>
      </c>
      <c r="G9" s="1">
        <v>22</v>
      </c>
      <c r="H9" s="1">
        <v>22</v>
      </c>
      <c r="I9" s="1">
        <v>22</v>
      </c>
      <c r="J9" s="1">
        <v>22</v>
      </c>
      <c r="K9" s="1">
        <v>22</v>
      </c>
      <c r="L9" s="1">
        <v>22</v>
      </c>
      <c r="M9" s="1">
        <v>22</v>
      </c>
      <c r="N9" s="1">
        <v>22</v>
      </c>
      <c r="O9" s="1">
        <v>22</v>
      </c>
      <c r="P9" s="1">
        <v>22</v>
      </c>
      <c r="Q9" s="1">
        <v>22</v>
      </c>
      <c r="R9" s="1">
        <v>22</v>
      </c>
      <c r="S9" s="1">
        <v>22</v>
      </c>
      <c r="T9" s="1">
        <v>22</v>
      </c>
      <c r="U9" s="1">
        <v>101</v>
      </c>
      <c r="V9" s="1">
        <v>22</v>
      </c>
      <c r="W9" s="1">
        <v>22</v>
      </c>
      <c r="X9" s="1">
        <v>22</v>
      </c>
      <c r="Y9" s="1">
        <v>22</v>
      </c>
      <c r="Z9" s="1">
        <v>22</v>
      </c>
      <c r="AA9" s="1">
        <v>22</v>
      </c>
      <c r="AB9" s="1">
        <v>43</v>
      </c>
      <c r="AC9" s="1">
        <v>22</v>
      </c>
      <c r="AD9" s="1">
        <v>22</v>
      </c>
      <c r="AE9" s="1">
        <v>22</v>
      </c>
      <c r="AF9" s="1">
        <v>22</v>
      </c>
      <c r="AG9" s="1">
        <v>22</v>
      </c>
      <c r="AH9" s="1">
        <v>22</v>
      </c>
      <c r="AI9" s="1">
        <v>22</v>
      </c>
      <c r="AJ9" s="1">
        <v>22</v>
      </c>
      <c r="AK9" s="1">
        <v>101</v>
      </c>
      <c r="AL9" s="1">
        <v>101</v>
      </c>
      <c r="AM9" s="1">
        <v>101</v>
      </c>
      <c r="AN9" s="1">
        <v>22</v>
      </c>
      <c r="AO9" s="1">
        <v>22</v>
      </c>
      <c r="AP9" s="1">
        <v>22</v>
      </c>
      <c r="AQ9" s="1">
        <v>101</v>
      </c>
      <c r="AR9" s="1">
        <v>22</v>
      </c>
      <c r="AS9" s="1">
        <v>22</v>
      </c>
      <c r="AT9" s="1">
        <v>22</v>
      </c>
      <c r="AU9" s="1">
        <v>22</v>
      </c>
      <c r="AV9" s="1">
        <v>22</v>
      </c>
      <c r="AW9" s="1">
        <v>22</v>
      </c>
      <c r="AX9" s="1">
        <v>101</v>
      </c>
      <c r="AY9" s="1">
        <v>101</v>
      </c>
      <c r="AZ9" s="1">
        <v>22</v>
      </c>
      <c r="BA9" s="1">
        <v>22</v>
      </c>
      <c r="BB9" s="1">
        <v>22</v>
      </c>
      <c r="BC9" s="1">
        <v>101</v>
      </c>
      <c r="BD9" s="1">
        <v>101</v>
      </c>
      <c r="BE9" s="1">
        <v>101</v>
      </c>
    </row>
    <row r="10" spans="1:57" x14ac:dyDescent="0.2">
      <c r="A10" s="4" t="s">
        <v>244</v>
      </c>
      <c r="B10" s="7" t="s">
        <v>2005</v>
      </c>
      <c r="C10" s="7" t="s">
        <v>2006</v>
      </c>
      <c r="D10" s="7" t="s">
        <v>2007</v>
      </c>
      <c r="E10" s="7" t="s">
        <v>2008</v>
      </c>
      <c r="F10" s="7" t="s">
        <v>2009</v>
      </c>
      <c r="G10" s="7" t="s">
        <v>2010</v>
      </c>
      <c r="H10" s="7" t="s">
        <v>2011</v>
      </c>
      <c r="I10" s="7" t="s">
        <v>2012</v>
      </c>
      <c r="J10" s="7" t="s">
        <v>2013</v>
      </c>
      <c r="K10" s="7" t="s">
        <v>2014</v>
      </c>
      <c r="L10" s="7" t="s">
        <v>2015</v>
      </c>
      <c r="M10" s="7" t="s">
        <v>2016</v>
      </c>
      <c r="N10" s="7" t="s">
        <v>2017</v>
      </c>
      <c r="O10" s="7" t="s">
        <v>2018</v>
      </c>
      <c r="P10" s="7" t="s">
        <v>2019</v>
      </c>
      <c r="Q10" s="7" t="s">
        <v>2020</v>
      </c>
      <c r="R10" s="7" t="s">
        <v>2021</v>
      </c>
      <c r="S10" s="7" t="s">
        <v>2022</v>
      </c>
      <c r="T10" s="7" t="s">
        <v>2023</v>
      </c>
      <c r="U10" s="7" t="s">
        <v>2024</v>
      </c>
      <c r="V10" s="7" t="s">
        <v>2025</v>
      </c>
      <c r="W10" s="7" t="s">
        <v>2026</v>
      </c>
      <c r="X10" s="7" t="s">
        <v>2027</v>
      </c>
      <c r="Y10" s="7" t="s">
        <v>2028</v>
      </c>
      <c r="Z10" s="7" t="s">
        <v>2029</v>
      </c>
      <c r="AA10" s="7" t="s">
        <v>2030</v>
      </c>
      <c r="AB10" s="7" t="s">
        <v>2031</v>
      </c>
      <c r="AC10" s="7" t="s">
        <v>2032</v>
      </c>
      <c r="AD10" s="7" t="s">
        <v>2033</v>
      </c>
      <c r="AE10" s="7" t="s">
        <v>2034</v>
      </c>
      <c r="AF10" s="7" t="s">
        <v>2035</v>
      </c>
      <c r="AG10" s="7" t="s">
        <v>2036</v>
      </c>
      <c r="AH10" s="7" t="s">
        <v>2037</v>
      </c>
      <c r="AI10" s="7" t="s">
        <v>2038</v>
      </c>
      <c r="AJ10" s="7" t="s">
        <v>2039</v>
      </c>
      <c r="AK10" s="7" t="s">
        <v>2040</v>
      </c>
      <c r="AL10" s="7" t="s">
        <v>2041</v>
      </c>
      <c r="AM10" s="7" t="s">
        <v>2042</v>
      </c>
      <c r="AN10" s="7" t="s">
        <v>2043</v>
      </c>
      <c r="AO10" s="7" t="s">
        <v>2044</v>
      </c>
      <c r="AP10" s="7" t="s">
        <v>2045</v>
      </c>
      <c r="AQ10" s="7" t="s">
        <v>2046</v>
      </c>
      <c r="AR10" s="7" t="s">
        <v>2047</v>
      </c>
      <c r="AS10" s="7" t="s">
        <v>2048</v>
      </c>
      <c r="AT10" s="7" t="s">
        <v>2049</v>
      </c>
      <c r="AU10" s="7" t="s">
        <v>2050</v>
      </c>
      <c r="AV10" s="7" t="s">
        <v>2051</v>
      </c>
      <c r="AW10" s="7" t="s">
        <v>2052</v>
      </c>
      <c r="AX10" s="7" t="s">
        <v>2053</v>
      </c>
      <c r="AY10" s="7" t="s">
        <v>2054</v>
      </c>
      <c r="AZ10" s="7" t="s">
        <v>2055</v>
      </c>
      <c r="BA10" s="7" t="s">
        <v>2056</v>
      </c>
      <c r="BB10" s="7" t="s">
        <v>2057</v>
      </c>
      <c r="BC10" s="7" t="s">
        <v>2058</v>
      </c>
      <c r="BD10" s="7" t="s">
        <v>2059</v>
      </c>
      <c r="BE10" s="7" t="s">
        <v>2060</v>
      </c>
    </row>
    <row r="11" spans="1:57" x14ac:dyDescent="0.2">
      <c r="A11" s="9">
        <v>42979</v>
      </c>
      <c r="B11" s="8">
        <v>83.67</v>
      </c>
      <c r="C11" s="8">
        <v>80.12</v>
      </c>
      <c r="D11" s="8">
        <v>86.11</v>
      </c>
      <c r="E11" s="8">
        <v>82.69</v>
      </c>
      <c r="U11" s="8">
        <v>68.790000000000006</v>
      </c>
      <c r="AK11" s="8">
        <v>76.739999999999995</v>
      </c>
      <c r="AL11" s="8">
        <v>66.510000000000005</v>
      </c>
      <c r="AM11" s="8">
        <v>64.849999999999994</v>
      </c>
      <c r="AQ11" s="8">
        <v>73.86</v>
      </c>
      <c r="AX11" s="8">
        <v>63.92</v>
      </c>
      <c r="AY11" s="8">
        <v>72.84</v>
      </c>
      <c r="BC11" s="8">
        <v>98.34</v>
      </c>
      <c r="BD11" s="8">
        <v>96.97</v>
      </c>
      <c r="BE11" s="8">
        <v>98.51</v>
      </c>
    </row>
    <row r="12" spans="1:57" x14ac:dyDescent="0.2">
      <c r="A12" s="9">
        <v>43009</v>
      </c>
      <c r="B12" s="8">
        <v>82.71</v>
      </c>
      <c r="C12" s="8">
        <v>80.599999999999994</v>
      </c>
      <c r="D12" s="8">
        <v>84.28</v>
      </c>
      <c r="E12" s="8">
        <v>82.1</v>
      </c>
      <c r="U12" s="8">
        <v>70.42</v>
      </c>
      <c r="AK12" s="8">
        <v>77.12</v>
      </c>
      <c r="AL12" s="8">
        <v>69.069999999999993</v>
      </c>
      <c r="AM12" s="8">
        <v>63.22</v>
      </c>
      <c r="AQ12" s="8">
        <v>72.77</v>
      </c>
      <c r="AX12" s="8">
        <v>63.92</v>
      </c>
      <c r="AY12" s="8">
        <v>72.84</v>
      </c>
      <c r="BC12" s="8">
        <v>98.07</v>
      </c>
      <c r="BD12" s="8">
        <v>94.3</v>
      </c>
      <c r="BE12" s="8">
        <v>98.51</v>
      </c>
    </row>
    <row r="13" spans="1:57" x14ac:dyDescent="0.2">
      <c r="A13" s="9">
        <v>43040</v>
      </c>
      <c r="B13" s="8">
        <v>83.1</v>
      </c>
      <c r="C13" s="8">
        <v>79.459999999999994</v>
      </c>
      <c r="D13" s="8">
        <v>85.06</v>
      </c>
      <c r="E13" s="8">
        <v>82.48</v>
      </c>
      <c r="U13" s="8">
        <v>75.349999999999994</v>
      </c>
      <c r="AK13" s="8">
        <v>75.48</v>
      </c>
      <c r="AL13" s="8">
        <v>67.33</v>
      </c>
      <c r="AM13" s="8">
        <v>62.11</v>
      </c>
      <c r="AQ13" s="8">
        <v>73.349999999999994</v>
      </c>
      <c r="AX13" s="8">
        <v>63.92</v>
      </c>
      <c r="AY13" s="8">
        <v>72.84</v>
      </c>
      <c r="BC13" s="8">
        <v>98.08</v>
      </c>
      <c r="BD13" s="8">
        <v>94.32</v>
      </c>
      <c r="BE13" s="8">
        <v>98.51</v>
      </c>
    </row>
    <row r="14" spans="1:57" x14ac:dyDescent="0.2">
      <c r="A14" s="9">
        <v>43070</v>
      </c>
      <c r="B14" s="8">
        <v>83.59</v>
      </c>
      <c r="C14" s="8">
        <v>80.86</v>
      </c>
      <c r="D14" s="8">
        <v>86.48</v>
      </c>
      <c r="E14" s="8">
        <v>82.18</v>
      </c>
      <c r="U14" s="8">
        <v>78.290000000000006</v>
      </c>
      <c r="AK14" s="8">
        <v>83.08</v>
      </c>
      <c r="AL14" s="8">
        <v>72.900000000000006</v>
      </c>
      <c r="AM14" s="8">
        <v>69.42</v>
      </c>
      <c r="AQ14" s="8">
        <v>73.260000000000005</v>
      </c>
      <c r="AX14" s="8">
        <v>63.92</v>
      </c>
      <c r="AY14" s="8">
        <v>72.84</v>
      </c>
      <c r="BC14" s="8">
        <v>98.27</v>
      </c>
      <c r="BD14" s="8">
        <v>93.49</v>
      </c>
      <c r="BE14" s="8">
        <v>98.81</v>
      </c>
    </row>
    <row r="15" spans="1:57" x14ac:dyDescent="0.2">
      <c r="A15" s="9">
        <v>43101</v>
      </c>
      <c r="B15" s="8">
        <v>84.02</v>
      </c>
      <c r="C15" s="8">
        <v>79.47</v>
      </c>
      <c r="D15" s="8">
        <v>86.9</v>
      </c>
      <c r="E15" s="8">
        <v>82.91</v>
      </c>
      <c r="U15" s="8">
        <v>78.87</v>
      </c>
      <c r="AK15" s="8">
        <v>82.02</v>
      </c>
      <c r="AL15" s="8">
        <v>73.739999999999995</v>
      </c>
      <c r="AM15" s="8">
        <v>66.989999999999995</v>
      </c>
      <c r="AQ15" s="8">
        <v>73.78</v>
      </c>
      <c r="AX15" s="8">
        <v>63.92</v>
      </c>
      <c r="AY15" s="8">
        <v>72.84</v>
      </c>
      <c r="BC15" s="8">
        <v>98.27</v>
      </c>
      <c r="BD15" s="8">
        <v>93.51</v>
      </c>
      <c r="BE15" s="8">
        <v>98.81</v>
      </c>
    </row>
    <row r="16" spans="1:57" x14ac:dyDescent="0.2">
      <c r="A16" s="9">
        <v>43132</v>
      </c>
      <c r="B16" s="8">
        <v>83.02</v>
      </c>
      <c r="C16" s="8">
        <v>79.52</v>
      </c>
      <c r="D16" s="8">
        <v>84.61</v>
      </c>
      <c r="E16" s="8">
        <v>82.64</v>
      </c>
      <c r="U16" s="8">
        <v>79.67</v>
      </c>
      <c r="AK16" s="8">
        <v>76.66</v>
      </c>
      <c r="AL16" s="8">
        <v>68.849999999999994</v>
      </c>
      <c r="AM16" s="8">
        <v>62.67</v>
      </c>
      <c r="AQ16" s="8">
        <v>72.599999999999994</v>
      </c>
      <c r="AX16" s="8">
        <v>66.87</v>
      </c>
      <c r="AY16" s="8">
        <v>74.58</v>
      </c>
      <c r="BC16" s="8">
        <v>98.27</v>
      </c>
      <c r="BD16" s="8">
        <v>93.53</v>
      </c>
      <c r="BE16" s="8">
        <v>98.81</v>
      </c>
    </row>
    <row r="17" spans="1:57" x14ac:dyDescent="0.2">
      <c r="A17" s="9">
        <v>43160</v>
      </c>
      <c r="B17" s="8">
        <v>83.6</v>
      </c>
      <c r="C17" s="8">
        <v>80.069999999999993</v>
      </c>
      <c r="D17" s="8">
        <v>85.55</v>
      </c>
      <c r="E17" s="8">
        <v>82.96</v>
      </c>
      <c r="U17" s="8">
        <v>79.3</v>
      </c>
      <c r="AK17" s="8">
        <v>75.930000000000007</v>
      </c>
      <c r="AL17" s="8">
        <v>70.040000000000006</v>
      </c>
      <c r="AM17" s="8">
        <v>60.47</v>
      </c>
      <c r="AQ17" s="8">
        <v>72.61</v>
      </c>
      <c r="AX17" s="8">
        <v>66.87</v>
      </c>
      <c r="AY17" s="8">
        <v>74.58</v>
      </c>
      <c r="BC17" s="8">
        <v>99.51</v>
      </c>
      <c r="BD17" s="8">
        <v>93.55</v>
      </c>
      <c r="BE17" s="8">
        <v>100.19</v>
      </c>
    </row>
    <row r="18" spans="1:57" x14ac:dyDescent="0.2">
      <c r="A18" s="9">
        <v>43191</v>
      </c>
      <c r="B18" s="8">
        <v>83.17</v>
      </c>
      <c r="C18" s="8">
        <v>78.81</v>
      </c>
      <c r="D18" s="8">
        <v>84.77</v>
      </c>
      <c r="E18" s="8">
        <v>82.9</v>
      </c>
      <c r="U18" s="8">
        <v>79.989999999999995</v>
      </c>
      <c r="AK18" s="8">
        <v>80.150000000000006</v>
      </c>
      <c r="AL18" s="8">
        <v>72.290000000000006</v>
      </c>
      <c r="AM18" s="8">
        <v>65.27</v>
      </c>
      <c r="AQ18" s="8">
        <v>73.180000000000007</v>
      </c>
      <c r="AX18" s="8">
        <v>66.87</v>
      </c>
      <c r="AY18" s="8">
        <v>74.58</v>
      </c>
      <c r="BC18" s="8">
        <v>99.51</v>
      </c>
      <c r="BD18" s="8">
        <v>93.57</v>
      </c>
      <c r="BE18" s="8">
        <v>100.19</v>
      </c>
    </row>
    <row r="19" spans="1:57" x14ac:dyDescent="0.2">
      <c r="A19" s="9">
        <v>43221</v>
      </c>
      <c r="B19" s="8">
        <v>83.03</v>
      </c>
      <c r="C19" s="8">
        <v>77.08</v>
      </c>
      <c r="D19" s="8">
        <v>84.44</v>
      </c>
      <c r="E19" s="8">
        <v>83.16</v>
      </c>
      <c r="U19" s="8">
        <v>80.790000000000006</v>
      </c>
      <c r="AK19" s="8">
        <v>77.34</v>
      </c>
      <c r="AL19" s="8">
        <v>69.72</v>
      </c>
      <c r="AM19" s="8">
        <v>63</v>
      </c>
      <c r="AQ19" s="8">
        <v>73.39</v>
      </c>
      <c r="AX19" s="8">
        <v>66.87</v>
      </c>
      <c r="AY19" s="8">
        <v>74.58</v>
      </c>
      <c r="BC19" s="8">
        <v>99.52</v>
      </c>
      <c r="BD19" s="8">
        <v>93.59</v>
      </c>
      <c r="BE19" s="8">
        <v>100.19</v>
      </c>
    </row>
    <row r="20" spans="1:57" x14ac:dyDescent="0.2">
      <c r="A20" s="9">
        <v>43252</v>
      </c>
      <c r="B20" s="8">
        <v>82.88</v>
      </c>
      <c r="C20" s="8">
        <v>77.739999999999995</v>
      </c>
      <c r="D20" s="8">
        <v>84.94</v>
      </c>
      <c r="E20" s="8">
        <v>82.42</v>
      </c>
      <c r="U20" s="8">
        <v>83.73</v>
      </c>
      <c r="AK20" s="8">
        <v>78.61</v>
      </c>
      <c r="AL20" s="8">
        <v>69.87</v>
      </c>
      <c r="AM20" s="8">
        <v>64.91</v>
      </c>
      <c r="AQ20" s="8">
        <v>71.95</v>
      </c>
      <c r="AX20" s="8">
        <v>66.87</v>
      </c>
      <c r="AY20" s="8">
        <v>74.58</v>
      </c>
      <c r="BC20" s="8">
        <v>98.4</v>
      </c>
      <c r="BD20" s="8">
        <v>93.6</v>
      </c>
      <c r="BE20" s="8">
        <v>98.95</v>
      </c>
    </row>
    <row r="21" spans="1:57" x14ac:dyDescent="0.2">
      <c r="A21" s="9">
        <v>43282</v>
      </c>
      <c r="B21" s="8">
        <v>82.95</v>
      </c>
      <c r="C21" s="8">
        <v>78.5</v>
      </c>
      <c r="D21" s="8">
        <v>85.03</v>
      </c>
      <c r="E21" s="8">
        <v>82.38</v>
      </c>
      <c r="U21" s="8">
        <v>83.46</v>
      </c>
      <c r="AK21" s="8">
        <v>85.86</v>
      </c>
      <c r="AL21" s="8">
        <v>74.900000000000006</v>
      </c>
      <c r="AM21" s="8">
        <v>72.13</v>
      </c>
      <c r="AQ21" s="8">
        <v>72.680000000000007</v>
      </c>
      <c r="AX21" s="8">
        <v>66.87</v>
      </c>
      <c r="AY21" s="8">
        <v>74.58</v>
      </c>
      <c r="BC21" s="8">
        <v>98.41</v>
      </c>
      <c r="BD21" s="8">
        <v>93.63</v>
      </c>
      <c r="BE21" s="8">
        <v>98.95</v>
      </c>
    </row>
    <row r="22" spans="1:57" x14ac:dyDescent="0.2">
      <c r="A22" s="9">
        <v>43313</v>
      </c>
      <c r="B22" s="8">
        <v>82.88</v>
      </c>
      <c r="C22" s="8">
        <v>78.28</v>
      </c>
      <c r="D22" s="8">
        <v>84.62</v>
      </c>
      <c r="E22" s="8">
        <v>82.56</v>
      </c>
      <c r="U22" s="8">
        <v>82.51</v>
      </c>
      <c r="AK22" s="8">
        <v>78.849999999999994</v>
      </c>
      <c r="AL22" s="8">
        <v>72.31</v>
      </c>
      <c r="AM22" s="8">
        <v>63.17</v>
      </c>
      <c r="AQ22" s="8">
        <v>72.64</v>
      </c>
      <c r="AX22" s="8">
        <v>66.87</v>
      </c>
      <c r="AY22" s="8">
        <v>74.58</v>
      </c>
      <c r="BC22" s="8">
        <v>98.41</v>
      </c>
      <c r="BD22" s="8">
        <v>93.66</v>
      </c>
      <c r="BE22" s="8">
        <v>98.95</v>
      </c>
    </row>
    <row r="23" spans="1:57" x14ac:dyDescent="0.2">
      <c r="A23" s="9">
        <v>43344</v>
      </c>
      <c r="B23" s="8">
        <v>82.74</v>
      </c>
      <c r="C23" s="8">
        <v>78.19</v>
      </c>
      <c r="D23" s="8">
        <v>84.44</v>
      </c>
      <c r="E23" s="8">
        <v>82.43</v>
      </c>
      <c r="U23" s="8">
        <v>84.17</v>
      </c>
      <c r="AK23" s="8">
        <v>81.510000000000005</v>
      </c>
      <c r="AL23" s="8">
        <v>74.510000000000005</v>
      </c>
      <c r="AM23" s="8">
        <v>65.52</v>
      </c>
      <c r="AQ23" s="8">
        <v>73.22</v>
      </c>
      <c r="AX23" s="8">
        <v>66.87</v>
      </c>
      <c r="AY23" s="8">
        <v>74.58</v>
      </c>
      <c r="BC23" s="8">
        <v>97.03</v>
      </c>
      <c r="BD23" s="8">
        <v>93.69</v>
      </c>
      <c r="BE23" s="8">
        <v>97.42</v>
      </c>
    </row>
    <row r="24" spans="1:57" x14ac:dyDescent="0.2">
      <c r="A24" s="9">
        <v>43374</v>
      </c>
      <c r="B24" s="8">
        <v>81.92</v>
      </c>
      <c r="C24" s="8">
        <v>79.180000000000007</v>
      </c>
      <c r="D24" s="8">
        <v>82.57</v>
      </c>
      <c r="E24" s="8">
        <v>82.06</v>
      </c>
      <c r="U24" s="8">
        <v>88.4</v>
      </c>
      <c r="AK24" s="8">
        <v>81.73</v>
      </c>
      <c r="AL24" s="8">
        <v>73.790000000000006</v>
      </c>
      <c r="AM24" s="8">
        <v>66.510000000000005</v>
      </c>
      <c r="AQ24" s="8">
        <v>71.94</v>
      </c>
      <c r="AX24" s="8">
        <v>66.87</v>
      </c>
      <c r="AY24" s="8">
        <v>74.58</v>
      </c>
      <c r="BC24" s="8">
        <v>97.04</v>
      </c>
      <c r="BD24" s="8">
        <v>93.71</v>
      </c>
      <c r="BE24" s="8">
        <v>97.42</v>
      </c>
    </row>
    <row r="25" spans="1:57" x14ac:dyDescent="0.2">
      <c r="A25" s="9">
        <v>43405</v>
      </c>
      <c r="B25" s="8">
        <v>82.53</v>
      </c>
      <c r="C25" s="8">
        <v>78.66</v>
      </c>
      <c r="D25" s="8">
        <v>83.61</v>
      </c>
      <c r="E25" s="8">
        <v>82.55</v>
      </c>
      <c r="U25" s="8">
        <v>87.12</v>
      </c>
      <c r="AK25" s="8">
        <v>78.900000000000006</v>
      </c>
      <c r="AL25" s="8">
        <v>72.72</v>
      </c>
      <c r="AM25" s="8">
        <v>62.88</v>
      </c>
      <c r="AQ25" s="8">
        <v>74.09</v>
      </c>
      <c r="AX25" s="8">
        <v>66.87</v>
      </c>
      <c r="AY25" s="8">
        <v>74.58</v>
      </c>
      <c r="BC25" s="8">
        <v>97.04</v>
      </c>
      <c r="BD25" s="8">
        <v>93.73</v>
      </c>
      <c r="BE25" s="8">
        <v>97.42</v>
      </c>
    </row>
    <row r="26" spans="1:57" x14ac:dyDescent="0.2">
      <c r="A26" s="9">
        <v>43435</v>
      </c>
      <c r="B26" s="8">
        <v>82.71</v>
      </c>
      <c r="C26" s="8">
        <v>80.36</v>
      </c>
      <c r="D26" s="8">
        <v>84.77</v>
      </c>
      <c r="E26" s="8">
        <v>81.81</v>
      </c>
      <c r="U26" s="8">
        <v>81.88</v>
      </c>
      <c r="AK26" s="8">
        <v>88.51</v>
      </c>
      <c r="AL26" s="8">
        <v>82.14</v>
      </c>
      <c r="AM26" s="8">
        <v>70.040000000000006</v>
      </c>
      <c r="AQ26" s="8">
        <v>73.959999999999994</v>
      </c>
      <c r="AX26" s="8">
        <v>66.87</v>
      </c>
      <c r="AY26" s="8">
        <v>74.58</v>
      </c>
      <c r="BC26" s="8">
        <v>97.07</v>
      </c>
      <c r="BD26" s="8">
        <v>93.74</v>
      </c>
      <c r="BE26" s="8">
        <v>97.45</v>
      </c>
    </row>
    <row r="27" spans="1:57" x14ac:dyDescent="0.2">
      <c r="A27" s="9">
        <v>43466</v>
      </c>
      <c r="B27" s="8">
        <v>82.61</v>
      </c>
      <c r="C27" s="8">
        <v>78.03</v>
      </c>
      <c r="D27" s="8">
        <v>85.5</v>
      </c>
      <c r="E27" s="8">
        <v>81.489999999999995</v>
      </c>
      <c r="U27" s="8">
        <v>78.23</v>
      </c>
      <c r="AK27" s="8">
        <v>85.78</v>
      </c>
      <c r="AL27" s="8">
        <v>78.42</v>
      </c>
      <c r="AM27" s="8">
        <v>68.930000000000007</v>
      </c>
      <c r="AQ27" s="8">
        <v>74.7</v>
      </c>
      <c r="AX27" s="8">
        <v>66.87</v>
      </c>
      <c r="AY27" s="8">
        <v>74.58</v>
      </c>
      <c r="BC27" s="8">
        <v>97.08</v>
      </c>
      <c r="BD27" s="8">
        <v>93.89</v>
      </c>
      <c r="BE27" s="8">
        <v>97.45</v>
      </c>
    </row>
    <row r="28" spans="1:57" x14ac:dyDescent="0.2">
      <c r="A28" s="9">
        <v>43497</v>
      </c>
      <c r="B28" s="8">
        <v>82.9</v>
      </c>
      <c r="C28" s="8">
        <v>79.17</v>
      </c>
      <c r="D28" s="8">
        <v>85.24</v>
      </c>
      <c r="E28" s="8">
        <v>82.03</v>
      </c>
      <c r="U28" s="8">
        <v>77.36</v>
      </c>
      <c r="AK28" s="8">
        <v>78.56</v>
      </c>
      <c r="AL28" s="8">
        <v>70.84</v>
      </c>
      <c r="AM28" s="8">
        <v>64.010000000000005</v>
      </c>
      <c r="AQ28" s="8">
        <v>73.34</v>
      </c>
      <c r="AX28" s="8">
        <v>69.930000000000007</v>
      </c>
      <c r="AY28" s="8">
        <v>76.150000000000006</v>
      </c>
      <c r="BC28" s="8">
        <v>97.08</v>
      </c>
      <c r="BD28" s="8">
        <v>93.91</v>
      </c>
      <c r="BE28" s="8">
        <v>97.45</v>
      </c>
    </row>
    <row r="29" spans="1:57" x14ac:dyDescent="0.2">
      <c r="A29" s="9">
        <v>43525</v>
      </c>
      <c r="B29" s="8">
        <v>82.86</v>
      </c>
      <c r="C29" s="8">
        <v>79.45</v>
      </c>
      <c r="D29" s="8">
        <v>84.54</v>
      </c>
      <c r="E29" s="8">
        <v>82.4</v>
      </c>
      <c r="U29" s="8">
        <v>77.63</v>
      </c>
      <c r="AK29" s="8">
        <v>76.2</v>
      </c>
      <c r="AL29" s="8">
        <v>69.930000000000007</v>
      </c>
      <c r="AM29" s="8">
        <v>61</v>
      </c>
      <c r="AQ29" s="8">
        <v>75.92</v>
      </c>
      <c r="AX29" s="8">
        <v>69.930000000000007</v>
      </c>
      <c r="AY29" s="8">
        <v>76.150000000000006</v>
      </c>
      <c r="BC29" s="8">
        <v>97.81</v>
      </c>
      <c r="BD29" s="8">
        <v>93.93</v>
      </c>
      <c r="BE29" s="8">
        <v>98.26</v>
      </c>
    </row>
    <row r="30" spans="1:57" x14ac:dyDescent="0.2">
      <c r="A30" s="9">
        <v>43556</v>
      </c>
      <c r="B30" s="8">
        <v>83.72</v>
      </c>
      <c r="C30" s="8">
        <v>79.83</v>
      </c>
      <c r="D30" s="8">
        <v>86.3</v>
      </c>
      <c r="E30" s="8">
        <v>82.71</v>
      </c>
      <c r="U30" s="8">
        <v>78.47</v>
      </c>
      <c r="AK30" s="8">
        <v>83.9</v>
      </c>
      <c r="AL30" s="8">
        <v>75.78</v>
      </c>
      <c r="AM30" s="8">
        <v>68.25</v>
      </c>
      <c r="AQ30" s="8">
        <v>77.37</v>
      </c>
      <c r="AX30" s="8">
        <v>69.930000000000007</v>
      </c>
      <c r="AY30" s="8">
        <v>76.150000000000006</v>
      </c>
      <c r="BC30" s="8">
        <v>97.82</v>
      </c>
      <c r="BD30" s="8">
        <v>93.95</v>
      </c>
      <c r="BE30" s="8">
        <v>98.26</v>
      </c>
    </row>
    <row r="31" spans="1:57" x14ac:dyDescent="0.2">
      <c r="A31" s="9">
        <v>43586</v>
      </c>
      <c r="B31" s="8">
        <v>83.29</v>
      </c>
      <c r="C31" s="8">
        <v>79.400000000000006</v>
      </c>
      <c r="D31" s="8">
        <v>85.76</v>
      </c>
      <c r="E31" s="8">
        <v>82.36</v>
      </c>
      <c r="U31" s="8">
        <v>79.87</v>
      </c>
      <c r="AK31" s="8">
        <v>78.22</v>
      </c>
      <c r="AL31" s="8">
        <v>69.88</v>
      </c>
      <c r="AM31" s="8">
        <v>64.31</v>
      </c>
      <c r="AQ31" s="8">
        <v>77.87</v>
      </c>
      <c r="AX31" s="8">
        <v>69.930000000000007</v>
      </c>
      <c r="AY31" s="8">
        <v>76.150000000000006</v>
      </c>
      <c r="BC31" s="8">
        <v>97.82</v>
      </c>
      <c r="BD31" s="8">
        <v>93.97</v>
      </c>
      <c r="BE31" s="8">
        <v>98.26</v>
      </c>
    </row>
    <row r="32" spans="1:57" x14ac:dyDescent="0.2">
      <c r="A32" s="9">
        <v>43617</v>
      </c>
      <c r="B32" s="8">
        <v>82.56</v>
      </c>
      <c r="C32" s="8">
        <v>78.92</v>
      </c>
      <c r="D32" s="8">
        <v>84.63</v>
      </c>
      <c r="E32" s="8">
        <v>81.86</v>
      </c>
      <c r="U32" s="8">
        <v>78.849999999999994</v>
      </c>
      <c r="AK32" s="8">
        <v>80.55</v>
      </c>
      <c r="AL32" s="8">
        <v>70.88</v>
      </c>
      <c r="AM32" s="8">
        <v>67.19</v>
      </c>
      <c r="AQ32" s="8">
        <v>77.19</v>
      </c>
      <c r="AX32" s="8">
        <v>69.930000000000007</v>
      </c>
      <c r="AY32" s="8">
        <v>76.150000000000006</v>
      </c>
      <c r="BC32" s="8">
        <v>97.13</v>
      </c>
      <c r="BD32" s="8">
        <v>92.08</v>
      </c>
      <c r="BE32" s="8">
        <v>97.7</v>
      </c>
    </row>
    <row r="33" spans="1:57" x14ac:dyDescent="0.2">
      <c r="A33" s="9">
        <v>43647</v>
      </c>
      <c r="B33" s="8">
        <v>83.53</v>
      </c>
      <c r="C33" s="8">
        <v>80.3</v>
      </c>
      <c r="D33" s="8">
        <v>86.05</v>
      </c>
      <c r="E33" s="8">
        <v>82.46</v>
      </c>
      <c r="U33" s="8">
        <v>78.16</v>
      </c>
      <c r="AK33" s="8">
        <v>87.99</v>
      </c>
      <c r="AL33" s="8">
        <v>75.260000000000005</v>
      </c>
      <c r="AM33" s="8">
        <v>75.31</v>
      </c>
      <c r="AQ33" s="8">
        <v>78.36</v>
      </c>
      <c r="AX33" s="8">
        <v>69.930000000000007</v>
      </c>
      <c r="AY33" s="8">
        <v>76.150000000000006</v>
      </c>
      <c r="BC33" s="8">
        <v>97.18</v>
      </c>
      <c r="BD33" s="8">
        <v>92.64</v>
      </c>
      <c r="BE33" s="8">
        <v>97.7</v>
      </c>
    </row>
    <row r="34" spans="1:57" x14ac:dyDescent="0.2">
      <c r="A34" s="9">
        <v>43678</v>
      </c>
      <c r="B34" s="8">
        <v>82.96</v>
      </c>
      <c r="C34" s="8">
        <v>79.67</v>
      </c>
      <c r="D34" s="8">
        <v>84.63</v>
      </c>
      <c r="E34" s="8">
        <v>82.48</v>
      </c>
      <c r="U34" s="8">
        <v>77.739999999999995</v>
      </c>
      <c r="AK34" s="8">
        <v>82.78</v>
      </c>
      <c r="AL34" s="8">
        <v>73.44</v>
      </c>
      <c r="AM34" s="8">
        <v>68.53</v>
      </c>
      <c r="AQ34" s="8">
        <v>78.14</v>
      </c>
      <c r="AX34" s="8">
        <v>69.930000000000007</v>
      </c>
      <c r="AY34" s="8">
        <v>76.19</v>
      </c>
      <c r="BC34" s="8">
        <v>97.18</v>
      </c>
      <c r="BD34" s="8">
        <v>92.66</v>
      </c>
      <c r="BE34" s="8">
        <v>97.7</v>
      </c>
    </row>
    <row r="35" spans="1:57" x14ac:dyDescent="0.2">
      <c r="A35" s="9">
        <v>43709</v>
      </c>
      <c r="B35" s="8">
        <v>82.62</v>
      </c>
      <c r="C35" s="8">
        <v>78.98</v>
      </c>
      <c r="D35" s="8">
        <v>84.75</v>
      </c>
      <c r="E35" s="8">
        <v>81.88</v>
      </c>
      <c r="U35" s="8">
        <v>78.53</v>
      </c>
      <c r="AK35" s="8">
        <v>83.69</v>
      </c>
      <c r="AL35" s="8">
        <v>74.569999999999993</v>
      </c>
      <c r="AM35" s="8">
        <v>68.98</v>
      </c>
      <c r="AQ35" s="8">
        <v>77.510000000000005</v>
      </c>
      <c r="AX35" s="8">
        <v>69.930000000000007</v>
      </c>
      <c r="AY35" s="8">
        <v>76.19</v>
      </c>
      <c r="BC35" s="8">
        <v>90.58</v>
      </c>
      <c r="BD35" s="8">
        <v>92.68</v>
      </c>
      <c r="BE35" s="8">
        <v>90.35</v>
      </c>
    </row>
    <row r="36" spans="1:57" x14ac:dyDescent="0.2">
      <c r="A36" s="9">
        <v>43739</v>
      </c>
      <c r="B36" s="8">
        <v>82.81</v>
      </c>
      <c r="C36" s="8">
        <v>80.010000000000005</v>
      </c>
      <c r="D36" s="8">
        <v>83.89</v>
      </c>
      <c r="E36" s="8">
        <v>82.65</v>
      </c>
      <c r="U36" s="8">
        <v>80.81</v>
      </c>
      <c r="AK36" s="8">
        <v>86.66</v>
      </c>
      <c r="AL36" s="8">
        <v>78.92</v>
      </c>
      <c r="AM36" s="8">
        <v>69.98</v>
      </c>
      <c r="AQ36" s="8">
        <v>77.290000000000006</v>
      </c>
      <c r="AX36" s="8">
        <v>69.930000000000007</v>
      </c>
      <c r="AY36" s="8">
        <v>76.19</v>
      </c>
      <c r="BC36" s="8">
        <v>90.58</v>
      </c>
      <c r="BD36" s="8">
        <v>92.7</v>
      </c>
      <c r="BE36" s="8">
        <v>90.35</v>
      </c>
    </row>
    <row r="37" spans="1:57" x14ac:dyDescent="0.2">
      <c r="A37" s="9">
        <v>43770</v>
      </c>
      <c r="B37" s="8">
        <v>83.63</v>
      </c>
      <c r="C37" s="8">
        <v>80.349999999999994</v>
      </c>
      <c r="D37" s="8">
        <v>85.39</v>
      </c>
      <c r="E37" s="8">
        <v>83.09</v>
      </c>
      <c r="U37" s="8">
        <v>80.34</v>
      </c>
      <c r="AK37" s="8">
        <v>80.489999999999995</v>
      </c>
      <c r="AL37" s="8">
        <v>74.05</v>
      </c>
      <c r="AM37" s="8">
        <v>64.36</v>
      </c>
      <c r="AQ37" s="8">
        <v>78.14</v>
      </c>
      <c r="AX37" s="8">
        <v>69.930000000000007</v>
      </c>
      <c r="AY37" s="8">
        <v>76.19</v>
      </c>
      <c r="BC37" s="8">
        <v>90.62</v>
      </c>
      <c r="BD37" s="8">
        <v>93.15</v>
      </c>
      <c r="BE37" s="8">
        <v>90.35</v>
      </c>
    </row>
    <row r="38" spans="1:57" x14ac:dyDescent="0.2">
      <c r="A38" s="9">
        <v>43800</v>
      </c>
      <c r="B38" s="8">
        <v>83.37</v>
      </c>
      <c r="C38" s="8">
        <v>82.69</v>
      </c>
      <c r="D38" s="8">
        <v>85.04</v>
      </c>
      <c r="E38" s="8">
        <v>82.48</v>
      </c>
      <c r="U38" s="8">
        <v>80.41</v>
      </c>
      <c r="AK38" s="8">
        <v>91.5</v>
      </c>
      <c r="AL38" s="8">
        <v>84.57</v>
      </c>
      <c r="AM38" s="8">
        <v>72.83</v>
      </c>
      <c r="AQ38" s="8">
        <v>78.23</v>
      </c>
      <c r="AX38" s="8">
        <v>69.930000000000007</v>
      </c>
      <c r="AY38" s="8">
        <v>76.19</v>
      </c>
      <c r="BC38" s="8">
        <v>92.23</v>
      </c>
      <c r="BD38" s="8">
        <v>94.33</v>
      </c>
      <c r="BE38" s="8">
        <v>92</v>
      </c>
    </row>
    <row r="39" spans="1:57" x14ac:dyDescent="0.2">
      <c r="A39" s="9">
        <v>43831</v>
      </c>
      <c r="B39" s="8">
        <v>83.47</v>
      </c>
      <c r="C39" s="8">
        <v>79.91</v>
      </c>
      <c r="D39" s="8">
        <v>86.32</v>
      </c>
      <c r="E39" s="8">
        <v>82.24</v>
      </c>
      <c r="U39" s="8">
        <v>80.23</v>
      </c>
      <c r="AK39" s="8">
        <v>90.12</v>
      </c>
      <c r="AL39" s="8">
        <v>82</v>
      </c>
      <c r="AM39" s="8">
        <v>72.83</v>
      </c>
      <c r="AQ39" s="8">
        <v>80.25</v>
      </c>
      <c r="AX39" s="8">
        <v>69.930000000000007</v>
      </c>
      <c r="AY39" s="8">
        <v>76.19</v>
      </c>
      <c r="BC39" s="8">
        <v>92.19</v>
      </c>
      <c r="BD39" s="8">
        <v>93.99</v>
      </c>
      <c r="BE39" s="8">
        <v>92</v>
      </c>
    </row>
    <row r="40" spans="1:57" x14ac:dyDescent="0.2">
      <c r="A40" s="9">
        <v>43862</v>
      </c>
      <c r="B40" s="8">
        <v>83.58</v>
      </c>
      <c r="C40" s="8">
        <v>82.08</v>
      </c>
      <c r="D40" s="8">
        <v>84.98</v>
      </c>
      <c r="E40" s="8">
        <v>83</v>
      </c>
      <c r="U40" s="8">
        <v>79.34</v>
      </c>
      <c r="AK40" s="8">
        <v>78.97</v>
      </c>
      <c r="AL40" s="8">
        <v>72.930000000000007</v>
      </c>
      <c r="AM40" s="8">
        <v>62.9</v>
      </c>
      <c r="AQ40" s="8">
        <v>78.44</v>
      </c>
      <c r="AX40" s="8">
        <v>72.790000000000006</v>
      </c>
      <c r="AY40" s="8">
        <v>77.34</v>
      </c>
      <c r="BC40" s="8">
        <v>92.2</v>
      </c>
      <c r="BD40" s="8">
        <v>94.01</v>
      </c>
      <c r="BE40" s="8">
        <v>92</v>
      </c>
    </row>
    <row r="41" spans="1:57" x14ac:dyDescent="0.2">
      <c r="A41" s="9">
        <v>43891</v>
      </c>
      <c r="B41" s="8">
        <v>88.78</v>
      </c>
      <c r="C41" s="8">
        <v>85.82</v>
      </c>
      <c r="D41" s="8">
        <v>89.44</v>
      </c>
      <c r="E41" s="8">
        <v>88.93</v>
      </c>
      <c r="U41" s="8">
        <v>76.77</v>
      </c>
      <c r="AK41" s="8">
        <v>80.38</v>
      </c>
      <c r="AL41" s="8">
        <v>73.16</v>
      </c>
      <c r="AM41" s="8">
        <v>64.95</v>
      </c>
      <c r="AQ41" s="8">
        <v>80.62</v>
      </c>
      <c r="AX41" s="8">
        <v>72.790000000000006</v>
      </c>
      <c r="AY41" s="8">
        <v>77.34</v>
      </c>
      <c r="BC41" s="8">
        <v>91.87</v>
      </c>
      <c r="BD41" s="8">
        <v>94.02</v>
      </c>
      <c r="BE41" s="8">
        <v>91.64</v>
      </c>
    </row>
    <row r="42" spans="1:57" x14ac:dyDescent="0.2">
      <c r="A42" s="9">
        <v>43922</v>
      </c>
      <c r="B42" s="8">
        <v>92.81</v>
      </c>
      <c r="C42" s="8">
        <v>89.36</v>
      </c>
      <c r="D42" s="8">
        <v>93.88</v>
      </c>
      <c r="E42" s="8">
        <v>92.76</v>
      </c>
      <c r="U42" s="8">
        <v>67.17</v>
      </c>
      <c r="AK42" s="8">
        <v>81.7</v>
      </c>
      <c r="AL42" s="8">
        <v>71.44</v>
      </c>
      <c r="AM42" s="8">
        <v>68.489999999999995</v>
      </c>
      <c r="AQ42" s="8">
        <v>82.11</v>
      </c>
      <c r="AX42" s="8">
        <v>72.790000000000006</v>
      </c>
      <c r="AY42" s="8">
        <v>77.34</v>
      </c>
      <c r="BC42" s="8">
        <v>91.73</v>
      </c>
      <c r="BD42" s="8">
        <v>92.59</v>
      </c>
      <c r="BE42" s="8">
        <v>91.64</v>
      </c>
    </row>
    <row r="43" spans="1:57" x14ac:dyDescent="0.2">
      <c r="A43" s="9">
        <v>43952</v>
      </c>
      <c r="B43" s="8">
        <v>88.92</v>
      </c>
      <c r="C43" s="8">
        <v>85.35</v>
      </c>
      <c r="D43" s="8">
        <v>89.62</v>
      </c>
      <c r="E43" s="8">
        <v>89.13</v>
      </c>
      <c r="U43" s="8">
        <v>59.43</v>
      </c>
      <c r="AK43" s="8">
        <v>80.400000000000006</v>
      </c>
      <c r="AL43" s="8">
        <v>71.44</v>
      </c>
      <c r="AM43" s="8">
        <v>66.44</v>
      </c>
      <c r="AQ43" s="8">
        <v>79.97</v>
      </c>
      <c r="AX43" s="8">
        <v>72.790000000000006</v>
      </c>
      <c r="AY43" s="8">
        <v>77.34</v>
      </c>
      <c r="BC43" s="8">
        <v>91.74</v>
      </c>
      <c r="BD43" s="8">
        <v>92.61</v>
      </c>
      <c r="BE43" s="8">
        <v>91.64</v>
      </c>
    </row>
    <row r="44" spans="1:57" x14ac:dyDescent="0.2">
      <c r="A44" s="9">
        <v>43983</v>
      </c>
      <c r="B44" s="8">
        <v>85.35</v>
      </c>
      <c r="C44" s="8">
        <v>82.93</v>
      </c>
      <c r="D44" s="8">
        <v>86.35</v>
      </c>
      <c r="E44" s="8">
        <v>85.18</v>
      </c>
      <c r="U44" s="8">
        <v>64.260000000000005</v>
      </c>
      <c r="AK44" s="8">
        <v>77.56</v>
      </c>
      <c r="AL44" s="8">
        <v>72.61</v>
      </c>
      <c r="AM44" s="8">
        <v>60.95</v>
      </c>
      <c r="AQ44" s="8">
        <v>80.22</v>
      </c>
      <c r="AX44" s="8">
        <v>72.790000000000006</v>
      </c>
      <c r="AY44" s="8">
        <v>77.34</v>
      </c>
      <c r="BC44" s="8">
        <v>92.57</v>
      </c>
      <c r="BD44" s="8">
        <v>92.96</v>
      </c>
      <c r="BE44" s="8">
        <v>92.52</v>
      </c>
    </row>
    <row r="45" spans="1:57" x14ac:dyDescent="0.2">
      <c r="A45" s="9">
        <v>44013</v>
      </c>
      <c r="B45" s="8">
        <v>86.87</v>
      </c>
      <c r="C45" s="8">
        <v>82.92</v>
      </c>
      <c r="D45" s="8">
        <v>87.96</v>
      </c>
      <c r="E45" s="8">
        <v>86.88</v>
      </c>
      <c r="U45" s="8">
        <v>67.739999999999995</v>
      </c>
      <c r="AK45" s="8">
        <v>86.58</v>
      </c>
      <c r="AL45" s="8">
        <v>75.3</v>
      </c>
      <c r="AM45" s="8">
        <v>72.92</v>
      </c>
      <c r="AQ45" s="8">
        <v>80.3</v>
      </c>
      <c r="AX45" s="8">
        <v>72.790000000000006</v>
      </c>
      <c r="AY45" s="8">
        <v>77.34</v>
      </c>
      <c r="BC45" s="8">
        <v>92.57</v>
      </c>
      <c r="BD45" s="8">
        <v>92.95</v>
      </c>
      <c r="BE45" s="8">
        <v>92.52</v>
      </c>
    </row>
    <row r="46" spans="1:57" x14ac:dyDescent="0.2">
      <c r="A46" s="9">
        <v>44044</v>
      </c>
      <c r="B46" s="8">
        <v>85.38</v>
      </c>
      <c r="C46" s="8">
        <v>82.47</v>
      </c>
      <c r="D46" s="8">
        <v>87.26</v>
      </c>
      <c r="E46" s="8">
        <v>84.7</v>
      </c>
      <c r="U46" s="8">
        <v>67.930000000000007</v>
      </c>
      <c r="AK46" s="8">
        <v>85.2</v>
      </c>
      <c r="AL46" s="8">
        <v>75.22</v>
      </c>
      <c r="AM46" s="8">
        <v>70.819999999999993</v>
      </c>
      <c r="AQ46" s="8">
        <v>80.45</v>
      </c>
      <c r="AX46" s="8">
        <v>72.790000000000006</v>
      </c>
      <c r="AY46" s="8">
        <v>77.34</v>
      </c>
      <c r="BC46" s="8">
        <v>92.57</v>
      </c>
      <c r="BD46" s="8">
        <v>92.94</v>
      </c>
      <c r="BE46" s="8">
        <v>92.52</v>
      </c>
    </row>
    <row r="47" spans="1:57" x14ac:dyDescent="0.2">
      <c r="A47" s="9">
        <v>44075</v>
      </c>
      <c r="B47" s="8">
        <v>85.11</v>
      </c>
      <c r="C47" s="8">
        <v>81.709999999999994</v>
      </c>
      <c r="D47" s="8">
        <v>87.23</v>
      </c>
      <c r="E47" s="8">
        <v>84.34</v>
      </c>
      <c r="U47" s="8">
        <v>67.64</v>
      </c>
      <c r="AK47" s="8">
        <v>72.94</v>
      </c>
      <c r="AL47" s="8">
        <v>69.12</v>
      </c>
      <c r="AM47" s="8">
        <v>56.61</v>
      </c>
      <c r="AQ47" s="8">
        <v>80.92</v>
      </c>
      <c r="AX47" s="8">
        <v>72.790000000000006</v>
      </c>
      <c r="AY47" s="8">
        <v>77.34</v>
      </c>
      <c r="BC47" s="8">
        <v>92.13</v>
      </c>
      <c r="BD47" s="8">
        <v>92.93</v>
      </c>
      <c r="BE47" s="8">
        <v>92.04</v>
      </c>
    </row>
    <row r="48" spans="1:57" x14ac:dyDescent="0.2">
      <c r="A48" s="9">
        <v>44105</v>
      </c>
      <c r="B48" s="8">
        <v>84.82</v>
      </c>
      <c r="C48" s="8">
        <v>82.22</v>
      </c>
      <c r="D48" s="8">
        <v>86.09</v>
      </c>
      <c r="E48" s="8">
        <v>84.45</v>
      </c>
      <c r="U48" s="8">
        <v>67.58</v>
      </c>
      <c r="AK48" s="8">
        <v>88.48</v>
      </c>
      <c r="AL48" s="8">
        <v>84.01</v>
      </c>
      <c r="AM48" s="8">
        <v>65.040000000000006</v>
      </c>
      <c r="AQ48" s="8">
        <v>80.12</v>
      </c>
      <c r="AX48" s="8">
        <v>72.790000000000006</v>
      </c>
      <c r="AY48" s="8">
        <v>77.34</v>
      </c>
      <c r="BC48" s="8">
        <v>92.2</v>
      </c>
      <c r="BD48" s="8">
        <v>93.58</v>
      </c>
      <c r="BE48" s="8">
        <v>92.04</v>
      </c>
    </row>
    <row r="49" spans="1:57" x14ac:dyDescent="0.2">
      <c r="A49" s="9">
        <v>44136</v>
      </c>
      <c r="B49" s="8">
        <v>84.45</v>
      </c>
      <c r="C49" s="8">
        <v>83.44</v>
      </c>
      <c r="D49" s="8">
        <v>85.84</v>
      </c>
      <c r="E49" s="8">
        <v>83.76</v>
      </c>
      <c r="U49" s="8">
        <v>67.59</v>
      </c>
      <c r="AK49" s="8">
        <v>82.98</v>
      </c>
      <c r="AL49" s="8">
        <v>78.81</v>
      </c>
      <c r="AM49" s="8">
        <v>60.21</v>
      </c>
      <c r="AQ49" s="8">
        <v>81.010000000000005</v>
      </c>
      <c r="AX49" s="8">
        <v>72.790000000000006</v>
      </c>
      <c r="AY49" s="8">
        <v>77.34</v>
      </c>
      <c r="BC49" s="8">
        <v>92.2</v>
      </c>
      <c r="BD49" s="8">
        <v>93.59</v>
      </c>
      <c r="BE49" s="8">
        <v>92.04</v>
      </c>
    </row>
    <row r="50" spans="1:57" x14ac:dyDescent="0.2">
      <c r="A50" s="9">
        <v>44166</v>
      </c>
      <c r="B50" s="8">
        <v>84.85</v>
      </c>
      <c r="C50" s="8">
        <v>85.56</v>
      </c>
      <c r="D50" s="8">
        <v>86.67</v>
      </c>
      <c r="E50" s="8">
        <v>83.65</v>
      </c>
      <c r="U50" s="8">
        <v>68.31</v>
      </c>
      <c r="AK50" s="8">
        <v>88.67</v>
      </c>
      <c r="AL50" s="8">
        <v>83.7</v>
      </c>
      <c r="AM50" s="8">
        <v>76.73</v>
      </c>
      <c r="AQ50" s="8">
        <v>81.36</v>
      </c>
      <c r="AX50" s="8">
        <v>72.790000000000006</v>
      </c>
      <c r="AY50" s="8">
        <v>77.34</v>
      </c>
      <c r="BC50" s="8">
        <v>93.01</v>
      </c>
      <c r="BD50" s="8">
        <v>93.6</v>
      </c>
      <c r="BE50" s="8">
        <v>92.94</v>
      </c>
    </row>
    <row r="51" spans="1:57" x14ac:dyDescent="0.2">
      <c r="A51" s="9">
        <v>44197</v>
      </c>
      <c r="B51" s="8">
        <v>84.8</v>
      </c>
      <c r="C51" s="8">
        <v>82.51</v>
      </c>
      <c r="D51" s="8">
        <v>87.27</v>
      </c>
      <c r="E51" s="8">
        <v>83.65</v>
      </c>
      <c r="U51" s="8">
        <v>69.22</v>
      </c>
      <c r="AK51" s="8">
        <v>90.1</v>
      </c>
      <c r="AL51" s="8">
        <v>85.92</v>
      </c>
      <c r="AM51" s="8">
        <v>57.18</v>
      </c>
      <c r="AQ51" s="8">
        <v>82.03</v>
      </c>
      <c r="AX51" s="8">
        <v>72.790000000000006</v>
      </c>
      <c r="AY51" s="8">
        <v>79.72</v>
      </c>
      <c r="BC51" s="8">
        <v>93.01</v>
      </c>
      <c r="BD51" s="8">
        <v>93.61</v>
      </c>
      <c r="BE51" s="8">
        <v>92.94</v>
      </c>
    </row>
    <row r="52" spans="1:57" x14ac:dyDescent="0.2">
      <c r="A52" s="9">
        <v>44228</v>
      </c>
      <c r="B52" s="8">
        <v>85.46</v>
      </c>
      <c r="C52" s="8">
        <v>83.69</v>
      </c>
      <c r="D52" s="8">
        <v>86.65</v>
      </c>
      <c r="E52" s="8">
        <v>85.02</v>
      </c>
      <c r="U52" s="8">
        <v>71.739999999999995</v>
      </c>
      <c r="AK52" s="8">
        <v>84.37</v>
      </c>
      <c r="AL52" s="8">
        <v>79.94</v>
      </c>
      <c r="AM52" s="8">
        <v>65.930000000000007</v>
      </c>
      <c r="AQ52" s="8">
        <v>81.12</v>
      </c>
      <c r="AX52" s="8">
        <v>76.27</v>
      </c>
      <c r="AY52" s="8">
        <v>75.349999999999994</v>
      </c>
      <c r="BC52" s="8">
        <v>92.98</v>
      </c>
      <c r="BD52" s="8">
        <v>93.31</v>
      </c>
      <c r="BE52" s="8">
        <v>92.94</v>
      </c>
    </row>
    <row r="53" spans="1:57" x14ac:dyDescent="0.2">
      <c r="A53" s="9">
        <v>44256</v>
      </c>
      <c r="B53" s="8">
        <v>85.32</v>
      </c>
      <c r="C53" s="8">
        <v>82.27</v>
      </c>
      <c r="D53" s="8">
        <v>86.37</v>
      </c>
      <c r="E53" s="8">
        <v>85.17</v>
      </c>
      <c r="U53" s="8">
        <v>75.900000000000006</v>
      </c>
      <c r="AK53" s="8">
        <v>84.5</v>
      </c>
      <c r="AL53" s="8">
        <v>79.45</v>
      </c>
      <c r="AM53" s="8">
        <v>80.489999999999995</v>
      </c>
      <c r="AQ53" s="8">
        <v>81.38</v>
      </c>
      <c r="AX53" s="8">
        <v>76.27</v>
      </c>
      <c r="AY53" s="8">
        <v>75.349999999999994</v>
      </c>
      <c r="BC53" s="8">
        <v>92.62</v>
      </c>
      <c r="BD53" s="8">
        <v>93.32</v>
      </c>
      <c r="BE53" s="8">
        <v>92.54</v>
      </c>
    </row>
    <row r="54" spans="1:57" x14ac:dyDescent="0.2">
      <c r="A54" s="9">
        <v>44287</v>
      </c>
      <c r="B54" s="8">
        <v>85.08</v>
      </c>
      <c r="C54" s="8">
        <v>83.21</v>
      </c>
      <c r="D54" s="8">
        <v>86.84</v>
      </c>
      <c r="E54" s="8">
        <v>84.3</v>
      </c>
      <c r="U54" s="8">
        <v>76.58</v>
      </c>
      <c r="AK54" s="8">
        <v>90.21</v>
      </c>
      <c r="AL54" s="8">
        <v>85.3</v>
      </c>
      <c r="AM54" s="8">
        <v>74.459999999999994</v>
      </c>
      <c r="AQ54" s="8">
        <v>81.08</v>
      </c>
      <c r="AX54" s="8">
        <v>76.27</v>
      </c>
      <c r="AY54" s="8">
        <v>75.349999999999994</v>
      </c>
      <c r="BC54" s="8">
        <v>92.62</v>
      </c>
      <c r="BD54" s="8">
        <v>93.34</v>
      </c>
      <c r="BE54" s="8">
        <v>92.54</v>
      </c>
    </row>
    <row r="55" spans="1:57" x14ac:dyDescent="0.2">
      <c r="A55" s="9">
        <v>44317</v>
      </c>
      <c r="B55" s="8">
        <v>84.99</v>
      </c>
      <c r="C55" s="8">
        <v>83.55</v>
      </c>
      <c r="D55" s="8">
        <v>86.22</v>
      </c>
      <c r="E55" s="8">
        <v>84.48</v>
      </c>
      <c r="U55" s="8">
        <v>76.819999999999993</v>
      </c>
      <c r="AK55" s="8">
        <v>83.64</v>
      </c>
      <c r="AL55" s="8">
        <v>78.61</v>
      </c>
      <c r="AM55" s="8">
        <v>80.38</v>
      </c>
      <c r="AQ55" s="8">
        <v>81.13</v>
      </c>
      <c r="AX55" s="8">
        <v>76.27</v>
      </c>
      <c r="AY55" s="8">
        <v>75.349999999999994</v>
      </c>
      <c r="BC55" s="8">
        <v>92.5</v>
      </c>
      <c r="BD55" s="8">
        <v>92.04</v>
      </c>
      <c r="BE55" s="8">
        <v>92.54</v>
      </c>
    </row>
    <row r="56" spans="1:57" x14ac:dyDescent="0.2">
      <c r="A56" s="9">
        <v>44348</v>
      </c>
      <c r="B56" s="8">
        <v>84.54</v>
      </c>
      <c r="C56" s="8">
        <v>82.7</v>
      </c>
      <c r="D56" s="8">
        <v>86.16</v>
      </c>
      <c r="E56" s="8">
        <v>83.85</v>
      </c>
      <c r="U56" s="8">
        <v>78.099999999999994</v>
      </c>
      <c r="AK56" s="8">
        <v>87.72</v>
      </c>
      <c r="AL56" s="8">
        <v>82.11</v>
      </c>
      <c r="AM56" s="8">
        <v>92.25</v>
      </c>
      <c r="AQ56" s="8">
        <v>81.25</v>
      </c>
      <c r="AX56" s="8">
        <v>76.27</v>
      </c>
      <c r="AY56" s="8">
        <v>75.349999999999994</v>
      </c>
      <c r="BC56" s="8">
        <v>92.62</v>
      </c>
      <c r="BD56" s="8">
        <v>92.06</v>
      </c>
      <c r="BE56" s="8">
        <v>92.67</v>
      </c>
    </row>
    <row r="57" spans="1:57" x14ac:dyDescent="0.2">
      <c r="A57" s="9">
        <v>44378</v>
      </c>
      <c r="B57" s="8">
        <v>85.67</v>
      </c>
      <c r="C57" s="8">
        <v>83.69</v>
      </c>
      <c r="D57" s="8">
        <v>86.71</v>
      </c>
      <c r="E57" s="8">
        <v>85.36</v>
      </c>
      <c r="U57" s="8">
        <v>82.02</v>
      </c>
      <c r="AK57" s="8">
        <v>85.49</v>
      </c>
      <c r="AL57" s="8">
        <v>80.05</v>
      </c>
      <c r="AM57" s="8">
        <v>89.27</v>
      </c>
      <c r="AQ57" s="8">
        <v>81.569999999999993</v>
      </c>
      <c r="AX57" s="8">
        <v>76.27</v>
      </c>
      <c r="AY57" s="8">
        <v>75.349999999999994</v>
      </c>
      <c r="BC57" s="8">
        <v>92.45</v>
      </c>
      <c r="BD57" s="8">
        <v>90.2</v>
      </c>
      <c r="BE57" s="8">
        <v>92.67</v>
      </c>
    </row>
    <row r="58" spans="1:57" x14ac:dyDescent="0.2">
      <c r="A58" s="9">
        <v>44409</v>
      </c>
      <c r="B58" s="8">
        <v>85.9</v>
      </c>
      <c r="C58" s="8">
        <v>84.24</v>
      </c>
      <c r="D58" s="8">
        <v>88.07</v>
      </c>
      <c r="E58" s="8">
        <v>84.84</v>
      </c>
      <c r="U58" s="8">
        <v>82.8</v>
      </c>
      <c r="AK58" s="8">
        <v>85.03</v>
      </c>
      <c r="AL58" s="8">
        <v>80.05</v>
      </c>
      <c r="AM58" s="8">
        <v>78.72</v>
      </c>
      <c r="AQ58" s="8">
        <v>81.28</v>
      </c>
      <c r="AX58" s="8">
        <v>76.27</v>
      </c>
      <c r="AY58" s="8">
        <v>75.349999999999994</v>
      </c>
      <c r="BC58" s="8">
        <v>92.45</v>
      </c>
      <c r="BD58" s="8">
        <v>90.25</v>
      </c>
      <c r="BE58" s="8">
        <v>92.67</v>
      </c>
    </row>
    <row r="59" spans="1:57" x14ac:dyDescent="0.2">
      <c r="A59" s="9">
        <v>44440</v>
      </c>
      <c r="B59" s="8">
        <v>86.5</v>
      </c>
      <c r="C59" s="8">
        <v>83.31</v>
      </c>
      <c r="D59" s="8">
        <v>88.16</v>
      </c>
      <c r="E59" s="8">
        <v>85.99</v>
      </c>
      <c r="U59" s="8">
        <v>86.04</v>
      </c>
      <c r="AK59" s="8">
        <v>94.36</v>
      </c>
      <c r="AL59" s="8">
        <v>88.86</v>
      </c>
      <c r="AM59" s="8">
        <v>86.74</v>
      </c>
      <c r="AQ59" s="8">
        <v>81.31</v>
      </c>
      <c r="AX59" s="8">
        <v>76.27</v>
      </c>
      <c r="AY59" s="8">
        <v>75.349999999999994</v>
      </c>
      <c r="BC59" s="8">
        <v>90.85</v>
      </c>
      <c r="BD59" s="8">
        <v>90.3</v>
      </c>
      <c r="BE59" s="8">
        <v>90.9</v>
      </c>
    </row>
    <row r="60" spans="1:57" x14ac:dyDescent="0.2">
      <c r="A60" s="9">
        <v>44470</v>
      </c>
      <c r="B60" s="8">
        <v>86.69</v>
      </c>
      <c r="C60" s="8">
        <v>83.71</v>
      </c>
      <c r="D60" s="8">
        <v>87.09</v>
      </c>
      <c r="E60" s="8">
        <v>86.91</v>
      </c>
      <c r="U60" s="8">
        <v>89.44</v>
      </c>
      <c r="AK60" s="8">
        <v>88.51</v>
      </c>
      <c r="AL60" s="8">
        <v>82.69</v>
      </c>
      <c r="AM60" s="8">
        <v>98.41</v>
      </c>
      <c r="AQ60" s="8">
        <v>80.33</v>
      </c>
      <c r="AX60" s="8">
        <v>76.27</v>
      </c>
      <c r="AY60" s="8">
        <v>75.349999999999994</v>
      </c>
      <c r="BC60" s="8">
        <v>90.85</v>
      </c>
      <c r="BD60" s="8">
        <v>90.35</v>
      </c>
      <c r="BE60" s="8">
        <v>90.9</v>
      </c>
    </row>
    <row r="61" spans="1:57" x14ac:dyDescent="0.2">
      <c r="A61" s="9">
        <v>44501</v>
      </c>
      <c r="B61" s="8">
        <v>87.22</v>
      </c>
      <c r="C61" s="8">
        <v>84.16</v>
      </c>
      <c r="D61" s="8">
        <v>87.17</v>
      </c>
      <c r="E61" s="8">
        <v>87.72</v>
      </c>
      <c r="U61" s="8">
        <v>92.88</v>
      </c>
      <c r="AK61" s="8">
        <v>83.74</v>
      </c>
      <c r="AL61" s="8">
        <v>78.03</v>
      </c>
      <c r="AM61" s="8">
        <v>98.7</v>
      </c>
      <c r="AQ61" s="8">
        <v>80.95</v>
      </c>
      <c r="AX61" s="8">
        <v>76.27</v>
      </c>
      <c r="AY61" s="8">
        <v>75.349999999999994</v>
      </c>
      <c r="BC61" s="8">
        <v>90.89</v>
      </c>
      <c r="BD61" s="8">
        <v>90.82</v>
      </c>
      <c r="BE61" s="8">
        <v>90.9</v>
      </c>
    </row>
    <row r="62" spans="1:57" x14ac:dyDescent="0.2">
      <c r="A62" s="9">
        <v>44531</v>
      </c>
      <c r="B62" s="8">
        <v>88.92</v>
      </c>
      <c r="C62" s="8">
        <v>87.23</v>
      </c>
      <c r="D62" s="8">
        <v>88.71</v>
      </c>
      <c r="E62" s="8">
        <v>89.32</v>
      </c>
      <c r="U62" s="8">
        <v>91.72</v>
      </c>
      <c r="AK62" s="8">
        <v>90.35</v>
      </c>
      <c r="AL62" s="8">
        <v>84.48</v>
      </c>
      <c r="AM62" s="8">
        <v>98.89</v>
      </c>
      <c r="AQ62" s="8">
        <v>83.17</v>
      </c>
      <c r="AX62" s="8">
        <v>76.27</v>
      </c>
      <c r="AY62" s="8">
        <v>75.349999999999994</v>
      </c>
      <c r="BC62" s="8">
        <v>91.43</v>
      </c>
      <c r="BD62" s="8">
        <v>90.96</v>
      </c>
      <c r="BE62" s="8">
        <v>91.47</v>
      </c>
    </row>
    <row r="63" spans="1:57" x14ac:dyDescent="0.2">
      <c r="A63" s="9">
        <v>44562</v>
      </c>
      <c r="B63" s="8">
        <v>90.21</v>
      </c>
      <c r="C63" s="8">
        <v>86.83</v>
      </c>
      <c r="D63" s="8">
        <v>90.19</v>
      </c>
      <c r="E63" s="8">
        <v>90.74</v>
      </c>
      <c r="U63" s="8">
        <v>92.28</v>
      </c>
      <c r="AK63" s="8">
        <v>96.69</v>
      </c>
      <c r="AL63" s="8">
        <v>91.62</v>
      </c>
      <c r="AM63" s="8">
        <v>73.849999999999994</v>
      </c>
      <c r="AQ63" s="8">
        <v>85.08</v>
      </c>
      <c r="AX63" s="8">
        <v>76.27</v>
      </c>
      <c r="AY63" s="8">
        <v>75.349999999999994</v>
      </c>
      <c r="BC63" s="8">
        <v>91.42</v>
      </c>
      <c r="BD63" s="8">
        <v>90.82</v>
      </c>
      <c r="BE63" s="8">
        <v>91.47</v>
      </c>
    </row>
    <row r="64" spans="1:57" x14ac:dyDescent="0.2">
      <c r="A64" s="9">
        <v>44593</v>
      </c>
      <c r="B64" s="8">
        <v>91.55</v>
      </c>
      <c r="C64" s="8">
        <v>87.33</v>
      </c>
      <c r="D64" s="8">
        <v>88.47</v>
      </c>
      <c r="E64" s="8">
        <v>94.08</v>
      </c>
      <c r="U64" s="8">
        <v>96.54</v>
      </c>
      <c r="AK64" s="8">
        <v>85.64</v>
      </c>
      <c r="AL64" s="8">
        <v>81.099999999999994</v>
      </c>
      <c r="AM64" s="8">
        <v>66.680000000000007</v>
      </c>
      <c r="AQ64" s="8">
        <v>84.39</v>
      </c>
      <c r="AX64" s="8">
        <v>80.2</v>
      </c>
      <c r="AY64" s="8">
        <v>80.78</v>
      </c>
      <c r="BC64" s="8">
        <v>91.42</v>
      </c>
      <c r="BD64" s="8">
        <v>90.87</v>
      </c>
      <c r="BE64" s="8">
        <v>91.47</v>
      </c>
    </row>
    <row r="65" spans="1:57" x14ac:dyDescent="0.2">
      <c r="A65" s="9">
        <v>44621</v>
      </c>
      <c r="B65" s="8">
        <v>92.49</v>
      </c>
      <c r="C65" s="8">
        <v>88.37</v>
      </c>
      <c r="D65" s="8">
        <v>89.56</v>
      </c>
      <c r="E65" s="8">
        <v>94.93</v>
      </c>
      <c r="U65" s="8">
        <v>109.42</v>
      </c>
      <c r="AK65" s="8">
        <v>87</v>
      </c>
      <c r="AL65" s="8">
        <v>82.36</v>
      </c>
      <c r="AM65" s="8">
        <v>68.599999999999994</v>
      </c>
      <c r="AQ65" s="8">
        <v>89.61</v>
      </c>
      <c r="AX65" s="8">
        <v>80.2</v>
      </c>
      <c r="AY65" s="8">
        <v>80.78</v>
      </c>
      <c r="BC65" s="8">
        <v>91.28</v>
      </c>
      <c r="BD65" s="8">
        <v>90.91</v>
      </c>
      <c r="BE65" s="8">
        <v>91.31</v>
      </c>
    </row>
    <row r="66" spans="1:57" x14ac:dyDescent="0.2">
      <c r="A66" s="9">
        <v>44652</v>
      </c>
      <c r="B66" s="8">
        <v>93.08</v>
      </c>
      <c r="C66" s="8">
        <v>90.66</v>
      </c>
      <c r="D66" s="8">
        <v>91.16</v>
      </c>
      <c r="E66" s="8">
        <v>94.64</v>
      </c>
      <c r="U66" s="8">
        <v>97.51</v>
      </c>
      <c r="AK66" s="8">
        <v>92.58</v>
      </c>
      <c r="AL66" s="8">
        <v>87.49</v>
      </c>
      <c r="AM66" s="8">
        <v>77.069999999999993</v>
      </c>
      <c r="AQ66" s="8">
        <v>91.08</v>
      </c>
      <c r="AX66" s="8">
        <v>80.2</v>
      </c>
      <c r="AY66" s="8">
        <v>80.78</v>
      </c>
      <c r="BC66" s="8">
        <v>91.15</v>
      </c>
      <c r="BD66" s="8">
        <v>89.23</v>
      </c>
      <c r="BE66" s="8">
        <v>91.31</v>
      </c>
    </row>
    <row r="67" spans="1:57" x14ac:dyDescent="0.2">
      <c r="A67" s="9">
        <v>44682</v>
      </c>
      <c r="B67" s="8">
        <v>93.94</v>
      </c>
      <c r="C67" s="8">
        <v>92.34</v>
      </c>
      <c r="D67" s="8">
        <v>91.95</v>
      </c>
      <c r="E67" s="8">
        <v>95.42</v>
      </c>
      <c r="U67" s="8">
        <v>105.09</v>
      </c>
      <c r="AK67" s="8">
        <v>86.2</v>
      </c>
      <c r="AL67" s="8">
        <v>81.05</v>
      </c>
      <c r="AM67" s="8">
        <v>82.59</v>
      </c>
      <c r="AQ67" s="8">
        <v>89.98</v>
      </c>
      <c r="AX67" s="8">
        <v>80.2</v>
      </c>
      <c r="AY67" s="8">
        <v>80.78</v>
      </c>
      <c r="BC67" s="8">
        <v>91.15</v>
      </c>
      <c r="BD67" s="8">
        <v>89.3</v>
      </c>
      <c r="BE67" s="8">
        <v>91.31</v>
      </c>
    </row>
    <row r="68" spans="1:57" x14ac:dyDescent="0.2">
      <c r="A68" s="9">
        <v>44713</v>
      </c>
      <c r="B68" s="8">
        <v>94.09</v>
      </c>
      <c r="C68" s="8">
        <v>91.98</v>
      </c>
      <c r="D68" s="8">
        <v>91.56</v>
      </c>
      <c r="E68" s="8">
        <v>95.98</v>
      </c>
      <c r="U68" s="8">
        <v>112.34</v>
      </c>
      <c r="AK68" s="8">
        <v>91.38</v>
      </c>
      <c r="AL68" s="8">
        <v>85.82</v>
      </c>
      <c r="AM68" s="8">
        <v>90.16</v>
      </c>
      <c r="AQ68" s="8">
        <v>91.64</v>
      </c>
      <c r="AX68" s="8">
        <v>80.2</v>
      </c>
      <c r="AY68" s="8">
        <v>80.78</v>
      </c>
      <c r="BC68" s="8">
        <v>92.49</v>
      </c>
      <c r="BD68" s="8">
        <v>89.81</v>
      </c>
      <c r="BE68" s="8">
        <v>92.71</v>
      </c>
    </row>
    <row r="69" spans="1:57" x14ac:dyDescent="0.2">
      <c r="A69" s="9">
        <v>44743</v>
      </c>
      <c r="B69" s="8">
        <v>95.07</v>
      </c>
      <c r="C69" s="8">
        <v>92.15</v>
      </c>
      <c r="D69" s="8">
        <v>92.65</v>
      </c>
      <c r="E69" s="8">
        <v>97.01</v>
      </c>
      <c r="U69" s="8">
        <v>116.08</v>
      </c>
      <c r="AB69" s="8">
        <v>80.95</v>
      </c>
      <c r="AK69" s="8">
        <v>97.31</v>
      </c>
      <c r="AL69" s="8">
        <v>91.52</v>
      </c>
      <c r="AM69" s="8">
        <v>92.45</v>
      </c>
      <c r="AQ69" s="8">
        <v>91.95</v>
      </c>
      <c r="AX69" s="8">
        <v>80.2</v>
      </c>
      <c r="AY69" s="8">
        <v>80.78</v>
      </c>
      <c r="BC69" s="8">
        <v>92.49</v>
      </c>
      <c r="BD69" s="8">
        <v>89.9</v>
      </c>
      <c r="BE69" s="8">
        <v>92.71</v>
      </c>
    </row>
    <row r="70" spans="1:57" x14ac:dyDescent="0.2">
      <c r="A70" s="9">
        <v>44774</v>
      </c>
      <c r="B70" s="8">
        <v>95.71</v>
      </c>
      <c r="C70" s="8">
        <v>92.92</v>
      </c>
      <c r="D70" s="8">
        <v>94.13</v>
      </c>
      <c r="E70" s="8">
        <v>97.12</v>
      </c>
      <c r="U70" s="8">
        <v>102.41</v>
      </c>
      <c r="AB70" s="8">
        <v>81.150000000000006</v>
      </c>
      <c r="AK70" s="8">
        <v>93.94</v>
      </c>
      <c r="AL70" s="8">
        <v>88.17</v>
      </c>
      <c r="AM70" s="8">
        <v>94.09</v>
      </c>
      <c r="AQ70" s="8">
        <v>92.26</v>
      </c>
      <c r="AX70" s="8">
        <v>80.2</v>
      </c>
      <c r="AY70" s="8">
        <v>81</v>
      </c>
      <c r="BC70" s="8">
        <v>92.4</v>
      </c>
      <c r="BD70" s="8">
        <v>88.73</v>
      </c>
      <c r="BE70" s="8">
        <v>92.71</v>
      </c>
    </row>
    <row r="71" spans="1:57" x14ac:dyDescent="0.2">
      <c r="A71" s="9">
        <v>44805</v>
      </c>
      <c r="B71" s="8">
        <v>96.76</v>
      </c>
      <c r="C71" s="8">
        <v>94.29</v>
      </c>
      <c r="D71" s="8">
        <v>94.51</v>
      </c>
      <c r="E71" s="8">
        <v>98.53</v>
      </c>
      <c r="U71" s="8">
        <v>98.45</v>
      </c>
      <c r="AB71" s="8">
        <v>81.84</v>
      </c>
      <c r="AK71" s="8">
        <v>99.96</v>
      </c>
      <c r="AL71" s="8">
        <v>93.59</v>
      </c>
      <c r="AM71" s="8">
        <v>106.03</v>
      </c>
      <c r="AQ71" s="8">
        <v>93.77</v>
      </c>
      <c r="AX71" s="8">
        <v>80.2</v>
      </c>
      <c r="AY71" s="8">
        <v>81</v>
      </c>
      <c r="BC71" s="8">
        <v>91</v>
      </c>
      <c r="BD71" s="8">
        <v>88.82</v>
      </c>
      <c r="BE71" s="8">
        <v>91.18</v>
      </c>
    </row>
    <row r="72" spans="1:57" x14ac:dyDescent="0.2">
      <c r="A72" s="9">
        <v>44835</v>
      </c>
      <c r="B72" s="8">
        <v>96.47</v>
      </c>
      <c r="C72" s="8">
        <v>93.68</v>
      </c>
      <c r="D72" s="8">
        <v>93.69</v>
      </c>
      <c r="E72" s="8">
        <v>98.62</v>
      </c>
      <c r="U72" s="8">
        <v>102.08</v>
      </c>
      <c r="AB72" s="8">
        <v>81.819999999999993</v>
      </c>
      <c r="AK72" s="8">
        <v>93.95</v>
      </c>
      <c r="AL72" s="8">
        <v>93.35</v>
      </c>
      <c r="AM72" s="8">
        <v>92.11</v>
      </c>
      <c r="AQ72" s="8">
        <v>94.86</v>
      </c>
      <c r="AX72" s="8">
        <v>80.2</v>
      </c>
      <c r="AY72" s="8">
        <v>81</v>
      </c>
      <c r="BC72" s="8">
        <v>91.01</v>
      </c>
      <c r="BD72" s="8">
        <v>89</v>
      </c>
      <c r="BE72" s="8">
        <v>91.18</v>
      </c>
    </row>
    <row r="73" spans="1:57" x14ac:dyDescent="0.2">
      <c r="A73" s="9">
        <v>44866</v>
      </c>
      <c r="B73" s="8">
        <v>98.41</v>
      </c>
      <c r="C73" s="8">
        <v>99.98</v>
      </c>
      <c r="D73" s="8">
        <v>94.73</v>
      </c>
      <c r="E73" s="8">
        <v>100.49</v>
      </c>
      <c r="U73" s="8">
        <v>104.85</v>
      </c>
      <c r="AB73" s="8">
        <v>81.73</v>
      </c>
      <c r="AK73" s="8">
        <v>96.02</v>
      </c>
      <c r="AL73" s="8">
        <v>94.39</v>
      </c>
      <c r="AM73" s="8">
        <v>95.57</v>
      </c>
      <c r="AQ73" s="8">
        <v>97.98</v>
      </c>
      <c r="AX73" s="8">
        <v>80.2</v>
      </c>
      <c r="AY73" s="8">
        <v>81</v>
      </c>
      <c r="BC73" s="8">
        <v>91.1</v>
      </c>
      <c r="BD73" s="8">
        <v>90.24</v>
      </c>
      <c r="BE73" s="8">
        <v>91.18</v>
      </c>
    </row>
    <row r="74" spans="1:57" x14ac:dyDescent="0.2">
      <c r="A74" s="9">
        <v>44896</v>
      </c>
      <c r="B74" s="8">
        <v>99.45</v>
      </c>
      <c r="C74" s="8">
        <v>100.78</v>
      </c>
      <c r="D74" s="8">
        <v>96.76</v>
      </c>
      <c r="E74" s="8">
        <v>100.94</v>
      </c>
      <c r="U74" s="8">
        <v>100.32</v>
      </c>
      <c r="AB74" s="8">
        <v>81.41</v>
      </c>
      <c r="AK74" s="8">
        <v>120.93</v>
      </c>
      <c r="AL74" s="8">
        <v>104.64</v>
      </c>
      <c r="AM74" s="8">
        <v>140.31</v>
      </c>
      <c r="AQ74" s="8">
        <v>99.15</v>
      </c>
      <c r="AX74" s="8">
        <v>80.2</v>
      </c>
      <c r="AY74" s="8">
        <v>81</v>
      </c>
      <c r="BC74" s="8">
        <v>94.76</v>
      </c>
      <c r="BD74" s="8">
        <v>89.12</v>
      </c>
      <c r="BE74" s="8">
        <v>95.23</v>
      </c>
    </row>
    <row r="75" spans="1:57" x14ac:dyDescent="0.2">
      <c r="A75" s="9">
        <v>44927</v>
      </c>
      <c r="B75" s="8">
        <v>99.03</v>
      </c>
      <c r="C75" s="8">
        <v>98.99</v>
      </c>
      <c r="D75" s="8">
        <v>96.12</v>
      </c>
      <c r="E75" s="8">
        <v>100.87</v>
      </c>
      <c r="U75" s="8">
        <v>98.12</v>
      </c>
      <c r="AB75" s="8">
        <v>81.819999999999993</v>
      </c>
      <c r="AK75" s="8">
        <v>111.87</v>
      </c>
      <c r="AL75" s="8">
        <v>109.68</v>
      </c>
      <c r="AM75" s="8">
        <v>111.74</v>
      </c>
      <c r="AQ75" s="8">
        <v>100.06</v>
      </c>
      <c r="AX75" s="8">
        <v>80.2</v>
      </c>
      <c r="AY75" s="8">
        <v>81</v>
      </c>
      <c r="BC75" s="8">
        <v>94.77</v>
      </c>
      <c r="BD75" s="8">
        <v>89.24</v>
      </c>
      <c r="BE75" s="8">
        <v>95.23</v>
      </c>
    </row>
    <row r="76" spans="1:57" x14ac:dyDescent="0.2">
      <c r="A76" s="9">
        <v>44958</v>
      </c>
      <c r="B76" s="8">
        <v>100.58</v>
      </c>
      <c r="C76" s="8">
        <v>99.66</v>
      </c>
      <c r="D76" s="8">
        <v>97.66</v>
      </c>
      <c r="E76" s="8">
        <v>102.54</v>
      </c>
      <c r="U76" s="8">
        <v>100.43</v>
      </c>
      <c r="AB76" s="8">
        <v>81.39</v>
      </c>
      <c r="AK76" s="8">
        <v>95.3</v>
      </c>
      <c r="AL76" s="8">
        <v>98.01</v>
      </c>
      <c r="AM76" s="8">
        <v>88.76</v>
      </c>
      <c r="AQ76" s="8">
        <v>99.45</v>
      </c>
      <c r="AX76" s="8">
        <v>86.66</v>
      </c>
      <c r="AY76" s="8">
        <v>89.69</v>
      </c>
      <c r="BC76" s="8">
        <v>94.78</v>
      </c>
      <c r="BD76" s="8">
        <v>89.35</v>
      </c>
      <c r="BE76" s="8">
        <v>95.23</v>
      </c>
    </row>
    <row r="77" spans="1:57" x14ac:dyDescent="0.2">
      <c r="A77" s="9">
        <v>44986</v>
      </c>
      <c r="B77" s="8">
        <v>100.86</v>
      </c>
      <c r="C77" s="8">
        <v>100.11</v>
      </c>
      <c r="D77" s="8">
        <v>97.86</v>
      </c>
      <c r="E77" s="8">
        <v>102.86</v>
      </c>
      <c r="U77" s="8">
        <v>101.39</v>
      </c>
      <c r="AB77" s="8">
        <v>85.88</v>
      </c>
      <c r="AK77" s="8">
        <v>97.19</v>
      </c>
      <c r="AL77" s="8">
        <v>98.35</v>
      </c>
      <c r="AM77" s="8">
        <v>92.77</v>
      </c>
      <c r="AQ77" s="8">
        <v>100.37</v>
      </c>
      <c r="AX77" s="8">
        <v>86.66</v>
      </c>
      <c r="AY77" s="8">
        <v>89.69</v>
      </c>
      <c r="BC77" s="8">
        <v>95.09</v>
      </c>
      <c r="BD77" s="8">
        <v>90.73</v>
      </c>
      <c r="BE77" s="8">
        <v>95.45</v>
      </c>
    </row>
    <row r="78" spans="1:57" x14ac:dyDescent="0.2">
      <c r="A78" s="9">
        <v>45017</v>
      </c>
      <c r="B78" s="8">
        <v>100.89</v>
      </c>
      <c r="C78" s="8">
        <v>100</v>
      </c>
      <c r="D78" s="8">
        <v>98.04</v>
      </c>
      <c r="E78" s="8">
        <v>102.8</v>
      </c>
      <c r="U78" s="8">
        <v>102.42</v>
      </c>
      <c r="AB78" s="8">
        <v>85.14</v>
      </c>
      <c r="AK78" s="8">
        <v>104.09</v>
      </c>
      <c r="AL78" s="8">
        <v>105.66</v>
      </c>
      <c r="AM78" s="8">
        <v>98.91</v>
      </c>
      <c r="AQ78" s="8">
        <v>98.95</v>
      </c>
      <c r="AX78" s="8">
        <v>86.66</v>
      </c>
      <c r="AY78" s="8">
        <v>89.69</v>
      </c>
      <c r="BC78" s="8">
        <v>95.1</v>
      </c>
      <c r="BD78" s="8">
        <v>90.84</v>
      </c>
      <c r="BE78" s="8">
        <v>95.45</v>
      </c>
    </row>
    <row r="79" spans="1:57" x14ac:dyDescent="0.2">
      <c r="A79" s="9">
        <v>45047</v>
      </c>
      <c r="B79" s="8">
        <v>101.31</v>
      </c>
      <c r="C79" s="8">
        <v>100.79</v>
      </c>
      <c r="D79" s="8">
        <v>98.37</v>
      </c>
      <c r="E79" s="8">
        <v>103.22</v>
      </c>
      <c r="U79" s="8">
        <v>99.97</v>
      </c>
      <c r="AB79" s="8">
        <v>86.33</v>
      </c>
      <c r="AK79" s="8">
        <v>93.38</v>
      </c>
      <c r="AL79" s="8">
        <v>90.72</v>
      </c>
      <c r="AM79" s="8">
        <v>94.43</v>
      </c>
      <c r="AQ79" s="8">
        <v>98.83</v>
      </c>
      <c r="AX79" s="8">
        <v>86.66</v>
      </c>
      <c r="AY79" s="8">
        <v>89.69</v>
      </c>
      <c r="BC79" s="8">
        <v>95.11</v>
      </c>
      <c r="BD79" s="8">
        <v>90.94</v>
      </c>
      <c r="BE79" s="8">
        <v>95.45</v>
      </c>
    </row>
    <row r="80" spans="1:57" x14ac:dyDescent="0.2">
      <c r="A80" s="9">
        <v>45078</v>
      </c>
      <c r="B80" s="8">
        <v>101.09</v>
      </c>
      <c r="C80" s="8">
        <v>100.55</v>
      </c>
      <c r="D80" s="8">
        <v>98.45</v>
      </c>
      <c r="E80" s="8">
        <v>102.83</v>
      </c>
      <c r="U80" s="8">
        <v>101</v>
      </c>
      <c r="AB80" s="8">
        <v>86.04</v>
      </c>
      <c r="AK80" s="8">
        <v>104.04</v>
      </c>
      <c r="AL80" s="8">
        <v>96.05</v>
      </c>
      <c r="AM80" s="8">
        <v>112.28</v>
      </c>
      <c r="AQ80" s="8">
        <v>101.86</v>
      </c>
      <c r="AX80" s="8">
        <v>86.66</v>
      </c>
      <c r="AY80" s="8">
        <v>89.69</v>
      </c>
      <c r="BC80" s="8">
        <v>97.47</v>
      </c>
      <c r="BD80" s="8">
        <v>91.31</v>
      </c>
      <c r="BE80" s="8">
        <v>97.97</v>
      </c>
    </row>
    <row r="81" spans="1:57" x14ac:dyDescent="0.2">
      <c r="A81" s="9">
        <v>45108</v>
      </c>
      <c r="B81" s="8">
        <v>101.31</v>
      </c>
      <c r="C81" s="8">
        <v>101.16</v>
      </c>
      <c r="D81" s="8">
        <v>98.49</v>
      </c>
      <c r="E81" s="8">
        <v>103.1</v>
      </c>
      <c r="U81" s="8">
        <v>100.31</v>
      </c>
      <c r="AB81" s="8">
        <v>90.95</v>
      </c>
      <c r="AK81" s="8">
        <v>98.69</v>
      </c>
      <c r="AL81" s="8">
        <v>95.41</v>
      </c>
      <c r="AM81" s="8">
        <v>102.91</v>
      </c>
      <c r="AQ81" s="8">
        <v>101.66</v>
      </c>
      <c r="AX81" s="8">
        <v>86.66</v>
      </c>
      <c r="AY81" s="8">
        <v>89.69</v>
      </c>
      <c r="BC81" s="8">
        <v>97.48</v>
      </c>
      <c r="BD81" s="8">
        <v>91.4</v>
      </c>
      <c r="BE81" s="8">
        <v>97.97</v>
      </c>
    </row>
    <row r="82" spans="1:57" x14ac:dyDescent="0.2">
      <c r="A82" s="9">
        <v>45139</v>
      </c>
      <c r="B82" s="8">
        <v>101.48</v>
      </c>
      <c r="C82" s="8">
        <v>100.66</v>
      </c>
      <c r="D82" s="8">
        <v>98.76</v>
      </c>
      <c r="E82" s="8">
        <v>103.3</v>
      </c>
      <c r="U82" s="8">
        <v>108.56</v>
      </c>
      <c r="AB82" s="8">
        <v>93.58</v>
      </c>
      <c r="AK82" s="8">
        <v>96.18</v>
      </c>
      <c r="AL82" s="8">
        <v>93.73</v>
      </c>
      <c r="AM82" s="8">
        <v>99.67</v>
      </c>
      <c r="AQ82" s="8">
        <v>100.19</v>
      </c>
      <c r="AX82" s="8">
        <v>86.66</v>
      </c>
      <c r="AY82" s="8">
        <v>89.75</v>
      </c>
      <c r="BC82" s="8">
        <v>97.55</v>
      </c>
      <c r="BD82" s="8">
        <v>92.39</v>
      </c>
      <c r="BE82" s="8">
        <v>97.97</v>
      </c>
    </row>
    <row r="83" spans="1:57" x14ac:dyDescent="0.2">
      <c r="A83" s="9">
        <v>45170</v>
      </c>
      <c r="B83" s="8">
        <v>100.89</v>
      </c>
      <c r="C83" s="8">
        <v>101.51</v>
      </c>
      <c r="D83" s="8">
        <v>99</v>
      </c>
      <c r="E83" s="8">
        <v>101.97</v>
      </c>
      <c r="U83" s="8">
        <v>112.25</v>
      </c>
      <c r="AB83" s="8">
        <v>94.06</v>
      </c>
      <c r="AK83" s="8">
        <v>99.95</v>
      </c>
      <c r="AL83" s="8">
        <v>95.6</v>
      </c>
      <c r="AM83" s="8">
        <v>105.09</v>
      </c>
      <c r="AQ83" s="8">
        <v>100.15</v>
      </c>
      <c r="AX83" s="8">
        <v>86.66</v>
      </c>
      <c r="AY83" s="8">
        <v>89.75</v>
      </c>
      <c r="BC83" s="8">
        <v>97.72</v>
      </c>
      <c r="BD83" s="8">
        <v>94.34</v>
      </c>
      <c r="BE83" s="8">
        <v>98</v>
      </c>
    </row>
    <row r="84" spans="1:57" x14ac:dyDescent="0.2">
      <c r="A84" s="9">
        <v>45200</v>
      </c>
      <c r="B84" s="8">
        <v>99.58</v>
      </c>
      <c r="C84" s="8">
        <v>101.84</v>
      </c>
      <c r="D84" s="8">
        <v>96.77</v>
      </c>
      <c r="E84" s="8">
        <v>101</v>
      </c>
      <c r="U84" s="8">
        <v>113.16</v>
      </c>
      <c r="AB84" s="8">
        <v>94.42</v>
      </c>
      <c r="AK84" s="8">
        <v>92.01</v>
      </c>
      <c r="AL84" s="8">
        <v>94.07</v>
      </c>
      <c r="AM84" s="8">
        <v>91.67</v>
      </c>
      <c r="AQ84" s="8">
        <v>98.86</v>
      </c>
      <c r="AX84" s="8">
        <v>86.66</v>
      </c>
      <c r="AY84" s="8">
        <v>89.75</v>
      </c>
      <c r="BC84" s="8">
        <v>97.72</v>
      </c>
      <c r="BD84" s="8">
        <v>94.42</v>
      </c>
      <c r="BE84" s="8">
        <v>98</v>
      </c>
    </row>
    <row r="85" spans="1:57" x14ac:dyDescent="0.2">
      <c r="A85" s="9">
        <v>45231</v>
      </c>
      <c r="B85" s="8">
        <v>99.61</v>
      </c>
      <c r="C85" s="8">
        <v>101.35</v>
      </c>
      <c r="D85" s="8">
        <v>97.1</v>
      </c>
      <c r="E85" s="8">
        <v>100.92</v>
      </c>
      <c r="U85" s="8">
        <v>109.55</v>
      </c>
      <c r="AB85" s="8">
        <v>95</v>
      </c>
      <c r="AK85" s="8">
        <v>93.61</v>
      </c>
      <c r="AL85" s="8">
        <v>93.94</v>
      </c>
      <c r="AM85" s="8">
        <v>94.73</v>
      </c>
      <c r="AQ85" s="8">
        <v>99.6</v>
      </c>
      <c r="AX85" s="8">
        <v>86.66</v>
      </c>
      <c r="AY85" s="8">
        <v>89.75</v>
      </c>
      <c r="BC85" s="8">
        <v>97.75</v>
      </c>
      <c r="BD85" s="8">
        <v>94.81</v>
      </c>
      <c r="BE85" s="8">
        <v>98</v>
      </c>
    </row>
    <row r="86" spans="1:57" x14ac:dyDescent="0.2">
      <c r="A86" s="9">
        <v>45261</v>
      </c>
      <c r="B86" s="8">
        <v>101.1</v>
      </c>
      <c r="C86" s="8">
        <v>103.02</v>
      </c>
      <c r="D86" s="8">
        <v>99.83</v>
      </c>
      <c r="E86" s="8">
        <v>101.6</v>
      </c>
      <c r="U86" s="8">
        <v>103.45</v>
      </c>
      <c r="AB86" s="8">
        <v>95.39</v>
      </c>
      <c r="AK86" s="8">
        <v>111.14</v>
      </c>
      <c r="AL86" s="8">
        <v>99.76</v>
      </c>
      <c r="AM86" s="8">
        <v>122.31</v>
      </c>
      <c r="AQ86" s="8">
        <v>101.29</v>
      </c>
      <c r="AX86" s="8">
        <v>86.66</v>
      </c>
      <c r="AY86" s="8">
        <v>89.75</v>
      </c>
      <c r="BC86" s="8">
        <v>96.85</v>
      </c>
      <c r="BD86" s="8">
        <v>95.61</v>
      </c>
      <c r="BE86" s="8">
        <v>96.95</v>
      </c>
    </row>
    <row r="87" spans="1:57" x14ac:dyDescent="0.2">
      <c r="A87" s="9">
        <v>45292</v>
      </c>
      <c r="B87" s="8">
        <v>100.76</v>
      </c>
      <c r="C87" s="8">
        <v>100.84</v>
      </c>
      <c r="D87" s="8">
        <v>99.88</v>
      </c>
      <c r="E87" s="8">
        <v>101.28</v>
      </c>
      <c r="U87" s="8">
        <v>102.63</v>
      </c>
      <c r="AB87" s="8">
        <v>95.02</v>
      </c>
      <c r="AK87" s="8">
        <v>103.89</v>
      </c>
      <c r="AL87" s="8">
        <v>101.38</v>
      </c>
      <c r="AM87" s="8">
        <v>105.34</v>
      </c>
      <c r="AQ87" s="8">
        <v>102.56</v>
      </c>
      <c r="AX87" s="8">
        <v>86.66</v>
      </c>
      <c r="AY87" s="8">
        <v>89.75</v>
      </c>
      <c r="BC87" s="8">
        <v>96.87</v>
      </c>
      <c r="BD87" s="8">
        <v>95.81</v>
      </c>
      <c r="BE87" s="8">
        <v>96.95</v>
      </c>
    </row>
    <row r="88" spans="1:57" x14ac:dyDescent="0.2">
      <c r="A88" s="9">
        <v>45323</v>
      </c>
      <c r="B88" s="8">
        <v>100.41</v>
      </c>
      <c r="C88" s="8">
        <v>100.97</v>
      </c>
      <c r="D88" s="8">
        <v>98.49</v>
      </c>
      <c r="E88" s="8">
        <v>101.52</v>
      </c>
      <c r="U88" s="8">
        <v>112.11</v>
      </c>
      <c r="AB88" s="8">
        <v>96.22</v>
      </c>
      <c r="AK88" s="8">
        <v>94.03</v>
      </c>
      <c r="AL88" s="8">
        <v>93.82</v>
      </c>
      <c r="AM88" s="8">
        <v>93.07</v>
      </c>
      <c r="AQ88" s="8">
        <v>101.08</v>
      </c>
      <c r="AX88" s="8">
        <v>93.51</v>
      </c>
      <c r="AY88" s="8">
        <v>96.25</v>
      </c>
      <c r="BC88" s="8">
        <v>96.87</v>
      </c>
      <c r="BD88" s="8">
        <v>95.9</v>
      </c>
      <c r="BE88" s="8">
        <v>96.95</v>
      </c>
    </row>
    <row r="89" spans="1:57" x14ac:dyDescent="0.2">
      <c r="A89" s="9">
        <v>45352</v>
      </c>
      <c r="B89" s="8">
        <v>100.97</v>
      </c>
      <c r="C89" s="8">
        <v>101.23</v>
      </c>
      <c r="D89" s="8">
        <v>99.67</v>
      </c>
      <c r="E89" s="8">
        <v>101.74</v>
      </c>
      <c r="U89" s="8">
        <v>111.48</v>
      </c>
      <c r="AB89" s="8">
        <v>96.21</v>
      </c>
      <c r="AK89" s="8">
        <v>93.28</v>
      </c>
      <c r="AL89" s="8">
        <v>96.11</v>
      </c>
      <c r="AM89" s="8">
        <v>88.96</v>
      </c>
      <c r="AQ89" s="8">
        <v>101.74</v>
      </c>
      <c r="AX89" s="8">
        <v>93.51</v>
      </c>
      <c r="AY89" s="8">
        <v>96.25</v>
      </c>
      <c r="BC89" s="8">
        <v>96.01</v>
      </c>
      <c r="BD89" s="8">
        <v>96.22</v>
      </c>
      <c r="BE89" s="8">
        <v>96</v>
      </c>
    </row>
    <row r="90" spans="1:57" x14ac:dyDescent="0.2">
      <c r="A90" s="9">
        <v>45383</v>
      </c>
      <c r="B90" s="8">
        <v>101.05</v>
      </c>
      <c r="C90" s="8">
        <v>100.03</v>
      </c>
      <c r="D90" s="8">
        <v>98.79</v>
      </c>
      <c r="E90" s="8">
        <v>102.62</v>
      </c>
      <c r="F90" s="8">
        <v>89.61</v>
      </c>
      <c r="G90" s="8">
        <v>82.97</v>
      </c>
      <c r="H90" s="8">
        <v>95.04</v>
      </c>
      <c r="I90" s="8">
        <v>96.04</v>
      </c>
      <c r="J90" s="8">
        <v>96.29</v>
      </c>
      <c r="K90" s="8">
        <v>103.75</v>
      </c>
      <c r="L90" s="8">
        <v>104.49</v>
      </c>
      <c r="M90" s="8">
        <v>98.56</v>
      </c>
      <c r="N90" s="8">
        <v>95</v>
      </c>
      <c r="O90" s="8">
        <v>95.09</v>
      </c>
      <c r="P90" s="8">
        <v>94.95</v>
      </c>
      <c r="Q90" s="8">
        <v>101.81</v>
      </c>
      <c r="R90" s="8">
        <v>101.83</v>
      </c>
      <c r="S90" s="8">
        <v>101.01</v>
      </c>
      <c r="T90" s="8">
        <v>95.18</v>
      </c>
      <c r="U90" s="8">
        <v>113</v>
      </c>
      <c r="V90" s="8">
        <v>96.58</v>
      </c>
      <c r="W90" s="8">
        <v>92.62</v>
      </c>
      <c r="X90" s="8">
        <v>101.03</v>
      </c>
      <c r="Y90" s="8">
        <v>101.03</v>
      </c>
      <c r="Z90" s="8">
        <v>98.51</v>
      </c>
      <c r="AA90" s="8">
        <v>98.51</v>
      </c>
      <c r="AB90" s="8">
        <v>96.77</v>
      </c>
      <c r="AC90" s="8">
        <v>98.64</v>
      </c>
      <c r="AD90" s="8">
        <v>98.59</v>
      </c>
      <c r="AE90" s="8">
        <v>94.53</v>
      </c>
      <c r="AF90" s="8">
        <v>100.55</v>
      </c>
      <c r="AG90" s="8">
        <v>87.03</v>
      </c>
      <c r="AH90" s="8">
        <v>101.03</v>
      </c>
      <c r="AI90" s="8">
        <v>99.86</v>
      </c>
      <c r="AJ90" s="8">
        <v>101.65</v>
      </c>
      <c r="AK90" s="8">
        <v>99.86</v>
      </c>
      <c r="AL90" s="8">
        <v>96</v>
      </c>
      <c r="AM90" s="8">
        <v>102.86</v>
      </c>
      <c r="AN90" s="8">
        <v>97.91</v>
      </c>
      <c r="AO90" s="8">
        <v>104.81</v>
      </c>
      <c r="AP90" s="8">
        <v>99.22</v>
      </c>
      <c r="AQ90" s="8">
        <v>100.4</v>
      </c>
      <c r="AR90" s="8">
        <v>90.48</v>
      </c>
      <c r="AS90" s="8">
        <v>92.23</v>
      </c>
      <c r="AT90" s="8">
        <v>100.21</v>
      </c>
      <c r="AU90" s="8">
        <v>94.11</v>
      </c>
      <c r="AV90" s="8">
        <v>94.11</v>
      </c>
      <c r="AW90" s="8">
        <v>91.79</v>
      </c>
      <c r="AX90" s="8">
        <v>93.51</v>
      </c>
      <c r="AY90" s="8">
        <v>96.25</v>
      </c>
      <c r="AZ90" s="8">
        <v>95.56</v>
      </c>
      <c r="BA90" s="8">
        <v>94.05</v>
      </c>
      <c r="BB90" s="8">
        <v>94.05</v>
      </c>
      <c r="BC90" s="8">
        <v>96.03</v>
      </c>
      <c r="BD90" s="8">
        <v>96.53</v>
      </c>
      <c r="BE90" s="8">
        <v>96</v>
      </c>
    </row>
    <row r="91" spans="1:57" x14ac:dyDescent="0.2">
      <c r="A91" s="9">
        <v>45413</v>
      </c>
      <c r="B91" s="8">
        <v>100.54</v>
      </c>
      <c r="C91" s="8">
        <v>99.1</v>
      </c>
      <c r="D91" s="8">
        <v>99.02</v>
      </c>
      <c r="E91" s="8">
        <v>101.7</v>
      </c>
      <c r="F91" s="8">
        <v>89.66</v>
      </c>
      <c r="G91" s="8">
        <v>82.9</v>
      </c>
      <c r="H91" s="8">
        <v>95.28</v>
      </c>
      <c r="I91" s="8">
        <v>96.04</v>
      </c>
      <c r="J91" s="8">
        <v>95.4</v>
      </c>
      <c r="K91" s="8">
        <v>103.13</v>
      </c>
      <c r="L91" s="8">
        <v>103.76</v>
      </c>
      <c r="M91" s="8">
        <v>98.71</v>
      </c>
      <c r="N91" s="8">
        <v>94.06</v>
      </c>
      <c r="O91" s="8">
        <v>93.8</v>
      </c>
      <c r="P91" s="8">
        <v>95.84</v>
      </c>
      <c r="Q91" s="8">
        <v>100.97</v>
      </c>
      <c r="R91" s="8">
        <v>100.98</v>
      </c>
      <c r="S91" s="8">
        <v>100.22</v>
      </c>
      <c r="T91" s="8">
        <v>95.91</v>
      </c>
      <c r="U91" s="8">
        <v>110.58</v>
      </c>
      <c r="V91" s="8">
        <v>96.58</v>
      </c>
      <c r="W91" s="8">
        <v>92.55</v>
      </c>
      <c r="X91" s="8">
        <v>101.03</v>
      </c>
      <c r="Y91" s="8">
        <v>101.03</v>
      </c>
      <c r="Z91" s="8">
        <v>97.8</v>
      </c>
      <c r="AA91" s="8">
        <v>97.8</v>
      </c>
      <c r="AB91" s="8">
        <v>94.61</v>
      </c>
      <c r="AC91" s="8">
        <v>98.09</v>
      </c>
      <c r="AD91" s="8">
        <v>96.96</v>
      </c>
      <c r="AE91" s="8">
        <v>95.91</v>
      </c>
      <c r="AF91" s="8">
        <v>101.35</v>
      </c>
      <c r="AG91" s="8">
        <v>89.15</v>
      </c>
      <c r="AH91" s="8">
        <v>101.06</v>
      </c>
      <c r="AI91" s="8">
        <v>100.21</v>
      </c>
      <c r="AJ91" s="8">
        <v>101.53</v>
      </c>
      <c r="AK91" s="8">
        <v>95.97</v>
      </c>
      <c r="AL91" s="8">
        <v>91.35</v>
      </c>
      <c r="AM91" s="8">
        <v>99.86</v>
      </c>
      <c r="AN91" s="8">
        <v>97.83</v>
      </c>
      <c r="AO91" s="8">
        <v>104.56</v>
      </c>
      <c r="AP91" s="8">
        <v>98.57</v>
      </c>
      <c r="AQ91" s="8">
        <v>100.57</v>
      </c>
      <c r="AR91" s="8">
        <v>90.34</v>
      </c>
      <c r="AS91" s="8">
        <v>92.39</v>
      </c>
      <c r="AT91" s="8">
        <v>100.21</v>
      </c>
      <c r="AU91" s="8">
        <v>94.11</v>
      </c>
      <c r="AV91" s="8">
        <v>94.11</v>
      </c>
      <c r="AW91" s="8">
        <v>91.78</v>
      </c>
      <c r="AX91" s="8">
        <v>93.51</v>
      </c>
      <c r="AY91" s="8">
        <v>96.25</v>
      </c>
      <c r="AZ91" s="8">
        <v>95.78</v>
      </c>
      <c r="BA91" s="8">
        <v>94.94</v>
      </c>
      <c r="BB91" s="8">
        <v>94.94</v>
      </c>
      <c r="BC91" s="8">
        <v>96.04</v>
      </c>
      <c r="BD91" s="8">
        <v>96.59</v>
      </c>
      <c r="BE91" s="8">
        <v>96</v>
      </c>
    </row>
    <row r="92" spans="1:57" x14ac:dyDescent="0.2">
      <c r="A92" s="9">
        <v>45444</v>
      </c>
      <c r="B92" s="8">
        <v>100.5</v>
      </c>
      <c r="C92" s="8">
        <v>99.46</v>
      </c>
      <c r="D92" s="8">
        <v>99</v>
      </c>
      <c r="E92" s="8">
        <v>101.59</v>
      </c>
      <c r="F92" s="8">
        <v>90.09</v>
      </c>
      <c r="G92" s="8">
        <v>83.13</v>
      </c>
      <c r="H92" s="8">
        <v>95.98</v>
      </c>
      <c r="I92" s="8">
        <v>96.45</v>
      </c>
      <c r="J92" s="8">
        <v>95.78</v>
      </c>
      <c r="K92" s="8">
        <v>103.08</v>
      </c>
      <c r="L92" s="8">
        <v>103.69</v>
      </c>
      <c r="M92" s="8">
        <v>98.76</v>
      </c>
      <c r="N92" s="8">
        <v>94.52</v>
      </c>
      <c r="O92" s="8">
        <v>94.35</v>
      </c>
      <c r="P92" s="8">
        <v>95.84</v>
      </c>
      <c r="Q92" s="8">
        <v>99.88</v>
      </c>
      <c r="R92" s="8">
        <v>99.87</v>
      </c>
      <c r="S92" s="8">
        <v>100.04</v>
      </c>
      <c r="T92" s="8">
        <v>97.17</v>
      </c>
      <c r="U92" s="8">
        <v>106.64</v>
      </c>
      <c r="V92" s="8">
        <v>96.58</v>
      </c>
      <c r="W92" s="8">
        <v>92.48</v>
      </c>
      <c r="X92" s="8">
        <v>101.03</v>
      </c>
      <c r="Y92" s="8">
        <v>101.03</v>
      </c>
      <c r="Z92" s="8">
        <v>97.1</v>
      </c>
      <c r="AA92" s="8">
        <v>97.1</v>
      </c>
      <c r="AB92" s="8">
        <v>92.38</v>
      </c>
      <c r="AC92" s="8">
        <v>97.54</v>
      </c>
      <c r="AD92" s="8">
        <v>100.09</v>
      </c>
      <c r="AE92" s="8">
        <v>94.98</v>
      </c>
      <c r="AF92" s="8">
        <v>99.09</v>
      </c>
      <c r="AG92" s="8">
        <v>89.91</v>
      </c>
      <c r="AH92" s="8">
        <v>100.76</v>
      </c>
      <c r="AI92" s="8">
        <v>100.8</v>
      </c>
      <c r="AJ92" s="8">
        <v>100.79</v>
      </c>
      <c r="AK92" s="8">
        <v>102.82</v>
      </c>
      <c r="AL92" s="8">
        <v>96.99</v>
      </c>
      <c r="AM92" s="8">
        <v>107.94</v>
      </c>
      <c r="AN92" s="8">
        <v>98.09</v>
      </c>
      <c r="AO92" s="8">
        <v>103.92</v>
      </c>
      <c r="AP92" s="8">
        <v>98.85</v>
      </c>
      <c r="AQ92" s="8">
        <v>102.29</v>
      </c>
      <c r="AR92" s="8">
        <v>92.51</v>
      </c>
      <c r="AS92" s="8">
        <v>91.71</v>
      </c>
      <c r="AT92" s="8">
        <v>100.32</v>
      </c>
      <c r="AU92" s="8">
        <v>94.11</v>
      </c>
      <c r="AV92" s="8">
        <v>94.11</v>
      </c>
      <c r="AW92" s="8">
        <v>91.83</v>
      </c>
      <c r="AX92" s="8">
        <v>93.51</v>
      </c>
      <c r="AY92" s="8">
        <v>96.25</v>
      </c>
      <c r="AZ92" s="8">
        <v>98.3</v>
      </c>
      <c r="BA92" s="8">
        <v>96.02</v>
      </c>
      <c r="BB92" s="8">
        <v>96.02</v>
      </c>
      <c r="BC92" s="8">
        <v>99.01</v>
      </c>
      <c r="BD92" s="8">
        <v>96.92</v>
      </c>
      <c r="BE92" s="8">
        <v>99.19</v>
      </c>
    </row>
    <row r="93" spans="1:57" x14ac:dyDescent="0.2">
      <c r="A93" s="9">
        <v>45474</v>
      </c>
      <c r="B93" s="8">
        <v>100.08</v>
      </c>
      <c r="C93" s="8">
        <v>100.3</v>
      </c>
      <c r="D93" s="8">
        <v>98.72</v>
      </c>
      <c r="E93" s="8">
        <v>100.89</v>
      </c>
      <c r="F93" s="8">
        <v>90.48</v>
      </c>
      <c r="G93" s="8">
        <v>83.41</v>
      </c>
      <c r="H93" s="8">
        <v>96.38</v>
      </c>
      <c r="I93" s="8">
        <v>97.08</v>
      </c>
      <c r="J93" s="8">
        <v>95.68</v>
      </c>
      <c r="K93" s="8">
        <v>102.83</v>
      </c>
      <c r="L93" s="8">
        <v>103.41</v>
      </c>
      <c r="M93" s="8">
        <v>98.76</v>
      </c>
      <c r="N93" s="8">
        <v>94.44</v>
      </c>
      <c r="O93" s="8">
        <v>93.97</v>
      </c>
      <c r="P93" s="8">
        <v>97.32</v>
      </c>
      <c r="Q93" s="8">
        <v>100.27</v>
      </c>
      <c r="R93" s="8">
        <v>100.26</v>
      </c>
      <c r="S93" s="8">
        <v>100.02</v>
      </c>
      <c r="T93" s="8">
        <v>96.52</v>
      </c>
      <c r="U93" s="8">
        <v>107.05</v>
      </c>
      <c r="V93" s="8">
        <v>96.2</v>
      </c>
      <c r="W93" s="8">
        <v>95.22</v>
      </c>
      <c r="X93" s="8">
        <v>101.03</v>
      </c>
      <c r="Y93" s="8">
        <v>101.03</v>
      </c>
      <c r="Z93" s="8">
        <v>98.83</v>
      </c>
      <c r="AA93" s="8">
        <v>98.83</v>
      </c>
      <c r="AB93" s="8">
        <v>96.26</v>
      </c>
      <c r="AC93" s="8">
        <v>99.04</v>
      </c>
      <c r="AD93" s="8">
        <v>98.02</v>
      </c>
      <c r="AE93" s="8">
        <v>96.06</v>
      </c>
      <c r="AF93" s="8">
        <v>100.35</v>
      </c>
      <c r="AG93" s="8">
        <v>90.77</v>
      </c>
      <c r="AH93" s="8">
        <v>98.26</v>
      </c>
      <c r="AI93" s="8">
        <v>100.13</v>
      </c>
      <c r="AJ93" s="8">
        <v>97.38</v>
      </c>
      <c r="AK93" s="8">
        <v>97.93</v>
      </c>
      <c r="AL93" s="8">
        <v>98.32</v>
      </c>
      <c r="AM93" s="8">
        <v>96.25</v>
      </c>
      <c r="AN93" s="8">
        <v>98.51</v>
      </c>
      <c r="AO93" s="8">
        <v>102.99</v>
      </c>
      <c r="AP93" s="8">
        <v>96.26</v>
      </c>
      <c r="AQ93" s="8">
        <v>103.17</v>
      </c>
      <c r="AR93" s="8">
        <v>93.02</v>
      </c>
      <c r="AS93" s="8">
        <v>94.14</v>
      </c>
      <c r="AT93" s="8">
        <v>101.01</v>
      </c>
      <c r="AU93" s="8">
        <v>94.13</v>
      </c>
      <c r="AV93" s="8">
        <v>94.13</v>
      </c>
      <c r="AW93" s="8">
        <v>91.9</v>
      </c>
      <c r="AX93" s="8">
        <v>93.51</v>
      </c>
      <c r="AY93" s="8">
        <v>96.25</v>
      </c>
      <c r="AZ93" s="8">
        <v>98.56</v>
      </c>
      <c r="BA93" s="8">
        <v>97.11</v>
      </c>
      <c r="BB93" s="8">
        <v>97.11</v>
      </c>
      <c r="BC93" s="8">
        <v>99.02</v>
      </c>
      <c r="BD93" s="8">
        <v>96.98</v>
      </c>
      <c r="BE93" s="8">
        <v>99.19</v>
      </c>
    </row>
    <row r="94" spans="1:57" x14ac:dyDescent="0.2">
      <c r="A94" s="9">
        <v>45505</v>
      </c>
      <c r="B94" s="8">
        <v>100.3</v>
      </c>
      <c r="C94" s="8">
        <v>99.78</v>
      </c>
      <c r="D94" s="8">
        <v>99.16</v>
      </c>
      <c r="E94" s="8">
        <v>101.08</v>
      </c>
      <c r="F94" s="8">
        <v>91.19</v>
      </c>
      <c r="G94" s="8">
        <v>84.68</v>
      </c>
      <c r="H94" s="8">
        <v>96.61</v>
      </c>
      <c r="I94" s="8">
        <v>97.27</v>
      </c>
      <c r="J94" s="8">
        <v>95.45</v>
      </c>
      <c r="K94" s="8">
        <v>101.96</v>
      </c>
      <c r="L94" s="8">
        <v>102.23</v>
      </c>
      <c r="M94" s="8">
        <v>100.01</v>
      </c>
      <c r="N94" s="8">
        <v>94.33</v>
      </c>
      <c r="O94" s="8">
        <v>93.84</v>
      </c>
      <c r="P94" s="8">
        <v>97.32</v>
      </c>
      <c r="Q94" s="8">
        <v>99.17</v>
      </c>
      <c r="R94" s="8">
        <v>99.15</v>
      </c>
      <c r="S94" s="8">
        <v>98.66</v>
      </c>
      <c r="T94" s="8">
        <v>97.45</v>
      </c>
      <c r="U94" s="8">
        <v>104.08</v>
      </c>
      <c r="V94" s="8">
        <v>96.2</v>
      </c>
      <c r="W94" s="8">
        <v>95.28</v>
      </c>
      <c r="X94" s="8">
        <v>101</v>
      </c>
      <c r="Y94" s="8">
        <v>101</v>
      </c>
      <c r="Z94" s="8">
        <v>98.33</v>
      </c>
      <c r="AA94" s="8">
        <v>98.33</v>
      </c>
      <c r="AB94" s="8">
        <v>96.17</v>
      </c>
      <c r="AC94" s="8">
        <v>98.5</v>
      </c>
      <c r="AD94" s="8">
        <v>97.42</v>
      </c>
      <c r="AE94" s="8">
        <v>95.87</v>
      </c>
      <c r="AF94" s="8">
        <v>99.78</v>
      </c>
      <c r="AG94" s="8">
        <v>91.08</v>
      </c>
      <c r="AH94" s="8">
        <v>98.03</v>
      </c>
      <c r="AI94" s="8">
        <v>101.11</v>
      </c>
      <c r="AJ94" s="8">
        <v>96.55</v>
      </c>
      <c r="AK94" s="8">
        <v>96.28</v>
      </c>
      <c r="AL94" s="8">
        <v>94.99</v>
      </c>
      <c r="AM94" s="8">
        <v>96.49</v>
      </c>
      <c r="AN94" s="8">
        <v>99.17</v>
      </c>
      <c r="AO94" s="8">
        <v>104.04</v>
      </c>
      <c r="AP94" s="8">
        <v>98.18</v>
      </c>
      <c r="AQ94" s="8">
        <v>102.22</v>
      </c>
      <c r="AR94" s="8">
        <v>93.91</v>
      </c>
      <c r="AS94" s="8">
        <v>94.63</v>
      </c>
      <c r="AT94" s="8">
        <v>101.7</v>
      </c>
      <c r="AU94" s="8">
        <v>94.11</v>
      </c>
      <c r="AV94" s="8">
        <v>94.11</v>
      </c>
      <c r="AW94" s="8">
        <v>91.78</v>
      </c>
      <c r="AX94" s="8">
        <v>93.51</v>
      </c>
      <c r="AY94" s="8">
        <v>96.25</v>
      </c>
      <c r="AZ94" s="8">
        <v>98.71</v>
      </c>
      <c r="BA94" s="8">
        <v>98.2</v>
      </c>
      <c r="BB94" s="8">
        <v>98.2</v>
      </c>
      <c r="BC94" s="8">
        <v>98.86</v>
      </c>
      <c r="BD94" s="8">
        <v>94.95</v>
      </c>
      <c r="BE94" s="8">
        <v>99.19</v>
      </c>
    </row>
    <row r="95" spans="1:57" x14ac:dyDescent="0.2">
      <c r="A95" s="9">
        <v>45536</v>
      </c>
      <c r="B95" s="8">
        <v>99.65</v>
      </c>
      <c r="C95" s="8">
        <v>98.85</v>
      </c>
      <c r="D95" s="8">
        <v>97.97</v>
      </c>
      <c r="E95" s="8">
        <v>100.82</v>
      </c>
      <c r="F95" s="8">
        <v>94.13</v>
      </c>
      <c r="G95" s="8">
        <v>89.86</v>
      </c>
      <c r="H95" s="8">
        <v>97.99</v>
      </c>
      <c r="I95" s="8">
        <v>97.32</v>
      </c>
      <c r="J95" s="8">
        <v>95.73</v>
      </c>
      <c r="K95" s="8">
        <v>101.66</v>
      </c>
      <c r="L95" s="8">
        <v>101.9</v>
      </c>
      <c r="M95" s="8">
        <v>100.01</v>
      </c>
      <c r="N95" s="8">
        <v>94.71</v>
      </c>
      <c r="O95" s="8">
        <v>94.29</v>
      </c>
      <c r="P95" s="8">
        <v>97.32</v>
      </c>
      <c r="Q95" s="8">
        <v>97.46</v>
      </c>
      <c r="R95" s="8">
        <v>97.63</v>
      </c>
      <c r="S95" s="8">
        <v>98.85</v>
      </c>
      <c r="T95" s="8">
        <v>97.36</v>
      </c>
      <c r="U95" s="8">
        <v>98.89</v>
      </c>
      <c r="V95" s="8">
        <v>96.43</v>
      </c>
      <c r="W95" s="8">
        <v>95.14</v>
      </c>
      <c r="X95" s="8">
        <v>86.96</v>
      </c>
      <c r="Y95" s="8">
        <v>86.96</v>
      </c>
      <c r="Z95" s="8">
        <v>98.36</v>
      </c>
      <c r="AA95" s="8">
        <v>98.36</v>
      </c>
      <c r="AB95" s="8">
        <v>95.96</v>
      </c>
      <c r="AC95" s="8">
        <v>98.56</v>
      </c>
      <c r="AD95" s="8">
        <v>98.48</v>
      </c>
      <c r="AE95" s="8">
        <v>95.84</v>
      </c>
      <c r="AF95" s="8">
        <v>99.45</v>
      </c>
      <c r="AG95" s="8">
        <v>91.41</v>
      </c>
      <c r="AH95" s="8">
        <v>97.18</v>
      </c>
      <c r="AI95" s="8">
        <v>98.99</v>
      </c>
      <c r="AJ95" s="8">
        <v>96.34</v>
      </c>
      <c r="AK95" s="8">
        <v>98.6</v>
      </c>
      <c r="AL95" s="8">
        <v>97.75</v>
      </c>
      <c r="AM95" s="8">
        <v>98.28</v>
      </c>
      <c r="AN95" s="8">
        <v>99.2</v>
      </c>
      <c r="AO95" s="8">
        <v>103.34</v>
      </c>
      <c r="AP95" s="8">
        <v>99.64</v>
      </c>
      <c r="AQ95" s="8">
        <v>101.61</v>
      </c>
      <c r="AR95" s="8">
        <v>93.9</v>
      </c>
      <c r="AS95" s="8">
        <v>94.81</v>
      </c>
      <c r="AT95" s="8">
        <v>101.49</v>
      </c>
      <c r="AU95" s="8">
        <v>94.23</v>
      </c>
      <c r="AV95" s="8">
        <v>94.23</v>
      </c>
      <c r="AW95" s="8">
        <v>92.5</v>
      </c>
      <c r="AX95" s="8">
        <v>93.51</v>
      </c>
      <c r="AY95" s="8">
        <v>96.25</v>
      </c>
      <c r="AZ95" s="8">
        <v>97.56</v>
      </c>
      <c r="BA95" s="8">
        <v>98.99</v>
      </c>
      <c r="BB95" s="8">
        <v>98.99</v>
      </c>
      <c r="BC95" s="8">
        <v>97.09</v>
      </c>
      <c r="BD95" s="8">
        <v>95.16</v>
      </c>
      <c r="BE95" s="8">
        <v>97.25</v>
      </c>
    </row>
    <row r="96" spans="1:57" x14ac:dyDescent="0.2">
      <c r="A96" s="9">
        <v>45566</v>
      </c>
      <c r="B96" s="8">
        <v>98.9</v>
      </c>
      <c r="C96" s="8">
        <v>99.49</v>
      </c>
      <c r="D96" s="8">
        <v>97.13</v>
      </c>
      <c r="E96" s="8">
        <v>99.92</v>
      </c>
      <c r="F96" s="8">
        <v>94.31</v>
      </c>
      <c r="G96" s="8">
        <v>89.95</v>
      </c>
      <c r="H96" s="8">
        <v>98.37</v>
      </c>
      <c r="I96" s="8">
        <v>97.32</v>
      </c>
      <c r="J96" s="8">
        <v>95.48</v>
      </c>
      <c r="K96" s="8">
        <v>101.73</v>
      </c>
      <c r="L96" s="8">
        <v>102.03</v>
      </c>
      <c r="M96" s="8">
        <v>99.65</v>
      </c>
      <c r="N96" s="8">
        <v>94.41</v>
      </c>
      <c r="O96" s="8">
        <v>93.93</v>
      </c>
      <c r="P96" s="8">
        <v>97.32</v>
      </c>
      <c r="Q96" s="8">
        <v>96.38</v>
      </c>
      <c r="R96" s="8">
        <v>96.94</v>
      </c>
      <c r="S96" s="8">
        <v>98.72</v>
      </c>
      <c r="T96" s="8">
        <v>98.37</v>
      </c>
      <c r="U96" s="8">
        <v>96.38</v>
      </c>
      <c r="V96" s="8">
        <v>96.37</v>
      </c>
      <c r="W96" s="8">
        <v>95.14</v>
      </c>
      <c r="X96" s="8">
        <v>61.17</v>
      </c>
      <c r="Y96" s="8">
        <v>61.17</v>
      </c>
      <c r="Z96" s="8">
        <v>98.95</v>
      </c>
      <c r="AA96" s="8">
        <v>98.95</v>
      </c>
      <c r="AB96" s="8">
        <v>95.36</v>
      </c>
      <c r="AC96" s="8">
        <v>99.27</v>
      </c>
      <c r="AD96" s="8">
        <v>97.33</v>
      </c>
      <c r="AE96" s="8">
        <v>95.5</v>
      </c>
      <c r="AF96" s="8">
        <v>98.92</v>
      </c>
      <c r="AG96" s="8">
        <v>91.32</v>
      </c>
      <c r="AH96" s="8">
        <v>97.61</v>
      </c>
      <c r="AI96" s="8">
        <v>96.9</v>
      </c>
      <c r="AJ96" s="8">
        <v>98.01</v>
      </c>
      <c r="AK96" s="8">
        <v>96.97</v>
      </c>
      <c r="AL96" s="8">
        <v>99.75</v>
      </c>
      <c r="AM96" s="8">
        <v>92.67</v>
      </c>
      <c r="AN96" s="8">
        <v>98.15</v>
      </c>
      <c r="AO96" s="8">
        <v>103.43</v>
      </c>
      <c r="AP96" s="8">
        <v>99.6</v>
      </c>
      <c r="AQ96" s="8">
        <v>97.26</v>
      </c>
      <c r="AR96" s="8">
        <v>93.99</v>
      </c>
      <c r="AS96" s="8">
        <v>95.43</v>
      </c>
      <c r="AT96" s="8">
        <v>99.24</v>
      </c>
      <c r="AU96" s="8">
        <v>94.23</v>
      </c>
      <c r="AV96" s="8">
        <v>94.23</v>
      </c>
      <c r="AW96" s="8">
        <v>92.53</v>
      </c>
      <c r="AX96" s="8">
        <v>93.51</v>
      </c>
      <c r="AY96" s="8">
        <v>96.25</v>
      </c>
      <c r="AZ96" s="8">
        <v>97.87</v>
      </c>
      <c r="BA96" s="8">
        <v>99.77</v>
      </c>
      <c r="BB96" s="8">
        <v>99.77</v>
      </c>
      <c r="BC96" s="8">
        <v>97.25</v>
      </c>
      <c r="BD96" s="8">
        <v>97.32</v>
      </c>
      <c r="BE96" s="8">
        <v>97.25</v>
      </c>
    </row>
    <row r="97" spans="1:57" x14ac:dyDescent="0.2">
      <c r="A97" s="9">
        <v>45597</v>
      </c>
      <c r="B97" s="8">
        <v>99.03</v>
      </c>
      <c r="C97" s="8">
        <v>98.15</v>
      </c>
      <c r="D97" s="8">
        <v>96.88</v>
      </c>
      <c r="E97" s="8">
        <v>100.51</v>
      </c>
      <c r="F97" s="8">
        <v>94.82</v>
      </c>
      <c r="G97" s="8">
        <v>90.51</v>
      </c>
      <c r="H97" s="8">
        <v>98.37</v>
      </c>
      <c r="I97" s="8">
        <v>98.75</v>
      </c>
      <c r="J97" s="8">
        <v>95.78</v>
      </c>
      <c r="K97" s="8">
        <v>100.67</v>
      </c>
      <c r="L97" s="8">
        <v>100.82</v>
      </c>
      <c r="M97" s="8">
        <v>99.65</v>
      </c>
      <c r="N97" s="8">
        <v>94.95</v>
      </c>
      <c r="O97" s="8">
        <v>94.57</v>
      </c>
      <c r="P97" s="8">
        <v>97.32</v>
      </c>
      <c r="Q97" s="8">
        <v>96.52</v>
      </c>
      <c r="R97" s="8">
        <v>97</v>
      </c>
      <c r="S97" s="8">
        <v>98.37</v>
      </c>
      <c r="T97" s="8">
        <v>97.68</v>
      </c>
      <c r="U97" s="8">
        <v>96.97</v>
      </c>
      <c r="V97" s="8">
        <v>96.49</v>
      </c>
      <c r="W97" s="8">
        <v>95.28</v>
      </c>
      <c r="X97" s="8">
        <v>66.489999999999995</v>
      </c>
      <c r="Y97" s="8">
        <v>66.489999999999995</v>
      </c>
      <c r="Z97" s="8">
        <v>98.84</v>
      </c>
      <c r="AA97" s="8">
        <v>98.84</v>
      </c>
      <c r="AB97" s="8">
        <v>95.19</v>
      </c>
      <c r="AC97" s="8">
        <v>99.16</v>
      </c>
      <c r="AD97" s="8">
        <v>97.31</v>
      </c>
      <c r="AE97" s="8">
        <v>96.51</v>
      </c>
      <c r="AF97" s="8">
        <v>99.94</v>
      </c>
      <c r="AG97" s="8">
        <v>92.31</v>
      </c>
      <c r="AH97" s="8">
        <v>97.62</v>
      </c>
      <c r="AI97" s="8">
        <v>99.67</v>
      </c>
      <c r="AJ97" s="8">
        <v>96.66</v>
      </c>
      <c r="AK97" s="8">
        <v>95.49</v>
      </c>
      <c r="AL97" s="8">
        <v>98.86</v>
      </c>
      <c r="AM97" s="8">
        <v>90.55</v>
      </c>
      <c r="AN97" s="8">
        <v>99.69</v>
      </c>
      <c r="AO97" s="8">
        <v>103.53</v>
      </c>
      <c r="AP97" s="8">
        <v>100.8</v>
      </c>
      <c r="AQ97" s="8">
        <v>99.56</v>
      </c>
      <c r="AR97" s="8">
        <v>94.1</v>
      </c>
      <c r="AS97" s="8">
        <v>96.01</v>
      </c>
      <c r="AT97" s="8">
        <v>102.49</v>
      </c>
      <c r="AU97" s="8">
        <v>94.24</v>
      </c>
      <c r="AV97" s="8">
        <v>94.24</v>
      </c>
      <c r="AW97" s="8">
        <v>92.6</v>
      </c>
      <c r="AX97" s="8">
        <v>93.51</v>
      </c>
      <c r="AY97" s="8">
        <v>96.25</v>
      </c>
      <c r="AZ97" s="8">
        <v>97.99</v>
      </c>
      <c r="BA97" s="8">
        <v>100.65</v>
      </c>
      <c r="BB97" s="8">
        <v>100.65</v>
      </c>
      <c r="BC97" s="8">
        <v>97.13</v>
      </c>
      <c r="BD97" s="8">
        <v>95.75</v>
      </c>
      <c r="BE97" s="8">
        <v>97.25</v>
      </c>
    </row>
    <row r="98" spans="1:57" x14ac:dyDescent="0.2">
      <c r="A98" s="9">
        <v>45627</v>
      </c>
      <c r="B98" s="8">
        <v>99.48</v>
      </c>
      <c r="C98" s="8">
        <v>101.02</v>
      </c>
      <c r="D98" s="8">
        <v>97.67</v>
      </c>
      <c r="E98" s="8">
        <v>100.38</v>
      </c>
      <c r="F98" s="8">
        <v>94.87</v>
      </c>
      <c r="G98" s="8">
        <v>90.66</v>
      </c>
      <c r="H98" s="8">
        <v>98.37</v>
      </c>
      <c r="I98" s="8">
        <v>98.56</v>
      </c>
      <c r="J98" s="8">
        <v>94.82</v>
      </c>
      <c r="K98" s="8">
        <v>100.37</v>
      </c>
      <c r="L98" s="8">
        <v>100.58</v>
      </c>
      <c r="M98" s="8">
        <v>98.9</v>
      </c>
      <c r="N98" s="8">
        <v>93.87</v>
      </c>
      <c r="O98" s="8">
        <v>93.29</v>
      </c>
      <c r="P98" s="8">
        <v>97.32</v>
      </c>
      <c r="Q98" s="8">
        <v>99.27</v>
      </c>
      <c r="R98" s="8">
        <v>99.3</v>
      </c>
      <c r="S98" s="8">
        <v>98.11</v>
      </c>
      <c r="T98" s="8">
        <v>97.07</v>
      </c>
      <c r="U98" s="8">
        <v>104.98</v>
      </c>
      <c r="V98" s="8">
        <v>96.51</v>
      </c>
      <c r="W98" s="8">
        <v>95.25</v>
      </c>
      <c r="X98" s="8">
        <v>97.95</v>
      </c>
      <c r="Y98" s="8">
        <v>97.95</v>
      </c>
      <c r="Z98" s="8">
        <v>98.62</v>
      </c>
      <c r="AA98" s="8">
        <v>98.62</v>
      </c>
      <c r="AB98" s="8">
        <v>95.05</v>
      </c>
      <c r="AC98" s="8">
        <v>98.94</v>
      </c>
      <c r="AD98" s="8">
        <v>101.83</v>
      </c>
      <c r="AE98" s="8">
        <v>94.99</v>
      </c>
      <c r="AF98" s="8">
        <v>97.23</v>
      </c>
      <c r="AG98" s="8">
        <v>92.33</v>
      </c>
      <c r="AH98" s="8">
        <v>97</v>
      </c>
      <c r="AI98" s="8">
        <v>99.86</v>
      </c>
      <c r="AJ98" s="8">
        <v>95.63</v>
      </c>
      <c r="AK98" s="8">
        <v>106.06</v>
      </c>
      <c r="AL98" s="8">
        <v>99.78</v>
      </c>
      <c r="AM98" s="8">
        <v>111.65</v>
      </c>
      <c r="AN98" s="8">
        <v>99.21</v>
      </c>
      <c r="AO98" s="8">
        <v>102.27</v>
      </c>
      <c r="AP98" s="8">
        <v>95.69</v>
      </c>
      <c r="AQ98" s="8">
        <v>101.49</v>
      </c>
      <c r="AR98" s="8">
        <v>94.95</v>
      </c>
      <c r="AS98" s="8">
        <v>96.12</v>
      </c>
      <c r="AT98" s="8">
        <v>102.78</v>
      </c>
      <c r="AU98" s="8">
        <v>94.25</v>
      </c>
      <c r="AV98" s="8">
        <v>94.25</v>
      </c>
      <c r="AW98" s="8">
        <v>92.66</v>
      </c>
      <c r="AX98" s="8">
        <v>93.51</v>
      </c>
      <c r="AY98" s="8">
        <v>96.25</v>
      </c>
      <c r="AZ98" s="8">
        <v>99.35</v>
      </c>
      <c r="BA98" s="8">
        <v>101.1</v>
      </c>
      <c r="BB98" s="8">
        <v>101.1</v>
      </c>
      <c r="BC98" s="8">
        <v>98.79</v>
      </c>
      <c r="BD98" s="8">
        <v>95.94</v>
      </c>
      <c r="BE98" s="8">
        <v>99.02</v>
      </c>
    </row>
    <row r="99" spans="1:57" x14ac:dyDescent="0.2">
      <c r="A99" s="9">
        <v>45658</v>
      </c>
      <c r="B99" s="8">
        <v>100.04</v>
      </c>
      <c r="C99" s="8">
        <v>99.22</v>
      </c>
      <c r="D99" s="8">
        <v>99.6</v>
      </c>
      <c r="E99" s="8">
        <v>100.43</v>
      </c>
      <c r="F99" s="8">
        <v>94.32</v>
      </c>
      <c r="G99" s="8">
        <v>89.34</v>
      </c>
      <c r="H99" s="8">
        <v>98.73</v>
      </c>
      <c r="I99" s="8">
        <v>98.28</v>
      </c>
      <c r="J99" s="8">
        <v>99.21</v>
      </c>
      <c r="K99" s="8">
        <v>104.73</v>
      </c>
      <c r="L99" s="8">
        <v>105.64</v>
      </c>
      <c r="M99" s="8">
        <v>98.37</v>
      </c>
      <c r="N99" s="8">
        <v>98.26</v>
      </c>
      <c r="O99" s="8">
        <v>98.42</v>
      </c>
      <c r="P99" s="8">
        <v>97.32</v>
      </c>
      <c r="Q99" s="8">
        <v>99.15</v>
      </c>
      <c r="R99" s="8">
        <v>99.17</v>
      </c>
      <c r="S99" s="8">
        <v>98.34</v>
      </c>
      <c r="T99" s="8">
        <v>97.51</v>
      </c>
      <c r="U99" s="8">
        <v>105.7</v>
      </c>
      <c r="V99" s="8">
        <v>94</v>
      </c>
      <c r="W99" s="8">
        <v>95.28</v>
      </c>
      <c r="X99" s="8">
        <v>98.22</v>
      </c>
      <c r="Y99" s="8">
        <v>98.22</v>
      </c>
      <c r="Z99" s="8">
        <v>98.27</v>
      </c>
      <c r="AA99" s="8">
        <v>98.27</v>
      </c>
      <c r="AB99" s="8">
        <v>95.03</v>
      </c>
      <c r="AC99" s="8">
        <v>98.56</v>
      </c>
      <c r="AD99" s="8">
        <v>98.86</v>
      </c>
      <c r="AE99" s="8">
        <v>94.72</v>
      </c>
      <c r="AF99" s="8">
        <v>96.72</v>
      </c>
      <c r="AG99" s="8">
        <v>92.33</v>
      </c>
      <c r="AH99" s="8">
        <v>97.5</v>
      </c>
      <c r="AI99" s="8">
        <v>101.66</v>
      </c>
      <c r="AJ99" s="8">
        <v>95.51</v>
      </c>
      <c r="AK99" s="8">
        <v>99.11</v>
      </c>
      <c r="AL99" s="8">
        <v>102.4</v>
      </c>
      <c r="AM99" s="8">
        <v>96.18</v>
      </c>
      <c r="AN99" s="8">
        <v>100.71</v>
      </c>
      <c r="AO99" s="8">
        <v>102.37</v>
      </c>
      <c r="AP99" s="8">
        <v>102.49</v>
      </c>
      <c r="AQ99" s="8">
        <v>102.6</v>
      </c>
      <c r="AR99" s="8">
        <v>97.12</v>
      </c>
      <c r="AS99" s="8">
        <v>96.12</v>
      </c>
      <c r="AT99" s="8">
        <v>103.31</v>
      </c>
      <c r="AU99" s="8">
        <v>94.2</v>
      </c>
      <c r="AV99" s="8">
        <v>94.2</v>
      </c>
      <c r="AW99" s="8">
        <v>92.38</v>
      </c>
      <c r="AX99" s="8">
        <v>93.51</v>
      </c>
      <c r="AY99" s="8">
        <v>96.25</v>
      </c>
      <c r="AZ99" s="8">
        <v>99.79</v>
      </c>
      <c r="BA99" s="8">
        <v>102.87</v>
      </c>
      <c r="BB99" s="8">
        <v>102.87</v>
      </c>
      <c r="BC99" s="8">
        <v>98.79</v>
      </c>
      <c r="BD99" s="8">
        <v>95.99</v>
      </c>
      <c r="BE99" s="8">
        <v>99.02</v>
      </c>
    </row>
    <row r="100" spans="1:57" x14ac:dyDescent="0.2">
      <c r="A100" s="9">
        <v>45689</v>
      </c>
      <c r="B100" s="8">
        <v>99.9</v>
      </c>
      <c r="C100" s="8">
        <v>99.18</v>
      </c>
      <c r="D100" s="8">
        <v>99.34</v>
      </c>
      <c r="E100" s="8">
        <v>100.35</v>
      </c>
      <c r="F100" s="8">
        <v>94.72</v>
      </c>
      <c r="G100" s="8">
        <v>89.88</v>
      </c>
      <c r="H100" s="8">
        <v>99.24</v>
      </c>
      <c r="I100" s="8">
        <v>98.15</v>
      </c>
      <c r="J100" s="8">
        <v>99.14</v>
      </c>
      <c r="K100" s="8">
        <v>105.66</v>
      </c>
      <c r="L100" s="8">
        <v>106.7</v>
      </c>
      <c r="M100" s="8">
        <v>98.37</v>
      </c>
      <c r="N100" s="8">
        <v>98.03</v>
      </c>
      <c r="O100" s="8">
        <v>98.14</v>
      </c>
      <c r="P100" s="8">
        <v>97.32</v>
      </c>
      <c r="Q100" s="8">
        <v>100.04</v>
      </c>
      <c r="R100" s="8">
        <v>100.07</v>
      </c>
      <c r="S100" s="8">
        <v>98.39</v>
      </c>
      <c r="T100" s="8">
        <v>99.44</v>
      </c>
      <c r="U100" s="8">
        <v>105.06</v>
      </c>
      <c r="V100" s="8">
        <v>98.62</v>
      </c>
      <c r="W100" s="8">
        <v>95.29</v>
      </c>
      <c r="X100" s="8">
        <v>98.76</v>
      </c>
      <c r="Y100" s="8">
        <v>98.76</v>
      </c>
      <c r="Z100" s="8">
        <v>99.01</v>
      </c>
      <c r="AA100" s="8">
        <v>99.01</v>
      </c>
      <c r="AB100" s="8">
        <v>96.36</v>
      </c>
      <c r="AC100" s="8">
        <v>99.25</v>
      </c>
      <c r="AD100" s="8">
        <v>95.33</v>
      </c>
      <c r="AE100" s="8">
        <v>94.98</v>
      </c>
      <c r="AF100" s="8">
        <v>96.92</v>
      </c>
      <c r="AG100" s="8">
        <v>92.67</v>
      </c>
      <c r="AH100" s="8">
        <v>98.83</v>
      </c>
      <c r="AI100" s="8">
        <v>102.42</v>
      </c>
      <c r="AJ100" s="8">
        <v>97.12</v>
      </c>
      <c r="AK100" s="8">
        <v>92.1</v>
      </c>
      <c r="AL100" s="8">
        <v>95.52</v>
      </c>
      <c r="AM100" s="8">
        <v>89.06</v>
      </c>
      <c r="AN100" s="8">
        <v>100.16</v>
      </c>
      <c r="AO100" s="8">
        <v>101.91</v>
      </c>
      <c r="AP100" s="8">
        <v>101.55</v>
      </c>
      <c r="AQ100" s="8">
        <v>100.45</v>
      </c>
      <c r="AR100" s="8">
        <v>97.09</v>
      </c>
      <c r="AS100" s="8">
        <v>96.12</v>
      </c>
      <c r="AT100" s="8">
        <v>103.07</v>
      </c>
      <c r="AU100" s="8">
        <v>99.78</v>
      </c>
      <c r="AV100" s="8">
        <v>99.78</v>
      </c>
      <c r="AW100" s="8">
        <v>98.72</v>
      </c>
      <c r="AX100" s="8">
        <v>100</v>
      </c>
      <c r="AY100" s="8">
        <v>100</v>
      </c>
      <c r="AZ100" s="8">
        <v>99.89</v>
      </c>
      <c r="BA100" s="8">
        <v>103.2</v>
      </c>
      <c r="BB100" s="8">
        <v>103.2</v>
      </c>
      <c r="BC100" s="8">
        <v>98.81</v>
      </c>
      <c r="BD100" s="8">
        <v>96.32</v>
      </c>
      <c r="BE100" s="8">
        <v>99.02</v>
      </c>
    </row>
    <row r="101" spans="1:57" x14ac:dyDescent="0.2">
      <c r="A101" s="9">
        <v>45717</v>
      </c>
      <c r="B101" s="8">
        <v>99.81</v>
      </c>
      <c r="C101" s="8">
        <v>99.44</v>
      </c>
      <c r="D101" s="8">
        <v>98.91</v>
      </c>
      <c r="E101" s="8">
        <v>100.42</v>
      </c>
      <c r="F101" s="8">
        <v>97.02</v>
      </c>
      <c r="G101" s="8">
        <v>93.96</v>
      </c>
      <c r="H101" s="8">
        <v>99.54</v>
      </c>
      <c r="I101" s="8">
        <v>99.78</v>
      </c>
      <c r="J101" s="8">
        <v>99.11</v>
      </c>
      <c r="K101" s="8">
        <v>104.75</v>
      </c>
      <c r="L101" s="8">
        <v>105.66</v>
      </c>
      <c r="M101" s="8">
        <v>98.33</v>
      </c>
      <c r="N101" s="8">
        <v>98.15</v>
      </c>
      <c r="O101" s="8">
        <v>98.28</v>
      </c>
      <c r="P101" s="8">
        <v>97.32</v>
      </c>
      <c r="Q101" s="8">
        <v>99.71</v>
      </c>
      <c r="R101" s="8">
        <v>99.72</v>
      </c>
      <c r="S101" s="8">
        <v>98.39</v>
      </c>
      <c r="T101" s="8">
        <v>100.88</v>
      </c>
      <c r="U101" s="8">
        <v>103.65</v>
      </c>
      <c r="V101" s="8">
        <v>98.04</v>
      </c>
      <c r="W101" s="8">
        <v>95.3</v>
      </c>
      <c r="X101" s="8">
        <v>99.1</v>
      </c>
      <c r="Y101" s="8">
        <v>99.1</v>
      </c>
      <c r="Z101" s="8">
        <v>98.89</v>
      </c>
      <c r="AA101" s="8">
        <v>98.89</v>
      </c>
      <c r="AB101" s="8">
        <v>96.76</v>
      </c>
      <c r="AC101" s="8">
        <v>99.08</v>
      </c>
      <c r="AD101" s="8">
        <v>95.74</v>
      </c>
      <c r="AE101" s="8">
        <v>96.21</v>
      </c>
      <c r="AF101" s="8">
        <v>98.33</v>
      </c>
      <c r="AG101" s="8">
        <v>93.67</v>
      </c>
      <c r="AH101" s="8">
        <v>96.81</v>
      </c>
      <c r="AI101" s="8">
        <v>95.93</v>
      </c>
      <c r="AJ101" s="8">
        <v>97.23</v>
      </c>
      <c r="AK101" s="8">
        <v>92.82</v>
      </c>
      <c r="AL101" s="8">
        <v>96.51</v>
      </c>
      <c r="AM101" s="8">
        <v>89.53</v>
      </c>
      <c r="AN101" s="8">
        <v>99.98</v>
      </c>
      <c r="AO101" s="8">
        <v>100.73</v>
      </c>
      <c r="AP101" s="8">
        <v>99.41</v>
      </c>
      <c r="AQ101" s="8">
        <v>100.9</v>
      </c>
      <c r="AR101" s="8">
        <v>96.97</v>
      </c>
      <c r="AS101" s="8">
        <v>96.9</v>
      </c>
      <c r="AT101" s="8">
        <v>103.15</v>
      </c>
      <c r="AU101" s="8">
        <v>99.89</v>
      </c>
      <c r="AV101" s="8">
        <v>99.89</v>
      </c>
      <c r="AW101" s="8">
        <v>99.34</v>
      </c>
      <c r="AX101" s="8">
        <v>100</v>
      </c>
      <c r="AY101" s="8">
        <v>100</v>
      </c>
      <c r="AZ101" s="8">
        <v>101.11</v>
      </c>
      <c r="BA101" s="8">
        <v>101.99</v>
      </c>
      <c r="BB101" s="8">
        <v>101.99</v>
      </c>
      <c r="BC101" s="8">
        <v>100.83</v>
      </c>
      <c r="BD101" s="8">
        <v>98.47</v>
      </c>
      <c r="BE101" s="8">
        <v>101.02</v>
      </c>
    </row>
    <row r="102" spans="1:57" x14ac:dyDescent="0.2">
      <c r="A102" s="9">
        <v>45748</v>
      </c>
      <c r="B102" s="8">
        <v>100.92</v>
      </c>
      <c r="C102" s="8">
        <v>98.78</v>
      </c>
      <c r="D102" s="8">
        <v>100.75</v>
      </c>
      <c r="E102" s="8">
        <v>101.34</v>
      </c>
      <c r="F102" s="8">
        <v>97.22</v>
      </c>
      <c r="G102" s="8">
        <v>94.35</v>
      </c>
      <c r="H102" s="8">
        <v>99.54</v>
      </c>
      <c r="I102" s="8">
        <v>99.85</v>
      </c>
      <c r="J102" s="8">
        <v>100.38</v>
      </c>
      <c r="K102" s="8">
        <v>103.95</v>
      </c>
      <c r="L102" s="8">
        <v>104.64</v>
      </c>
      <c r="M102" s="8">
        <v>99.11</v>
      </c>
      <c r="N102" s="8">
        <v>99.77</v>
      </c>
      <c r="O102" s="8">
        <v>100.17</v>
      </c>
      <c r="P102" s="8">
        <v>97.32</v>
      </c>
      <c r="Q102" s="8">
        <v>98.14</v>
      </c>
      <c r="R102" s="8">
        <v>98.13</v>
      </c>
      <c r="S102" s="8">
        <v>99.1</v>
      </c>
      <c r="T102" s="8">
        <v>99.71</v>
      </c>
      <c r="U102" s="8">
        <v>98.1</v>
      </c>
      <c r="V102" s="8">
        <v>98.04</v>
      </c>
      <c r="W102" s="8">
        <v>95.35</v>
      </c>
      <c r="X102" s="8">
        <v>98.31</v>
      </c>
      <c r="Y102" s="8">
        <v>98.31</v>
      </c>
      <c r="Z102" s="8">
        <v>99.19</v>
      </c>
      <c r="AA102" s="8">
        <v>99.19</v>
      </c>
      <c r="AB102" s="8">
        <v>98.13</v>
      </c>
      <c r="AC102" s="8">
        <v>99.29</v>
      </c>
      <c r="AD102" s="8">
        <v>98.71</v>
      </c>
      <c r="AE102" s="8">
        <v>96.66</v>
      </c>
      <c r="AF102" s="8">
        <v>99.15</v>
      </c>
      <c r="AG102" s="8">
        <v>93.68</v>
      </c>
      <c r="AH102" s="8">
        <v>97.94</v>
      </c>
      <c r="AI102" s="8">
        <v>99.06</v>
      </c>
      <c r="AJ102" s="8">
        <v>97.4</v>
      </c>
      <c r="AK102" s="8">
        <v>99.2</v>
      </c>
      <c r="AL102" s="8">
        <v>100.11</v>
      </c>
      <c r="AM102" s="8">
        <v>98.39</v>
      </c>
      <c r="AN102" s="8">
        <v>99.08</v>
      </c>
      <c r="AO102" s="8">
        <v>100.06</v>
      </c>
      <c r="AP102" s="8">
        <v>97.51</v>
      </c>
      <c r="AQ102" s="8">
        <v>101.44</v>
      </c>
      <c r="AR102" s="8">
        <v>97.68</v>
      </c>
      <c r="AS102" s="8">
        <v>96.51</v>
      </c>
      <c r="AT102" s="8">
        <v>101.05</v>
      </c>
      <c r="AU102" s="8">
        <v>99.9</v>
      </c>
      <c r="AV102" s="8">
        <v>99.9</v>
      </c>
      <c r="AW102" s="8">
        <v>99.41</v>
      </c>
      <c r="AX102" s="8">
        <v>100</v>
      </c>
      <c r="AY102" s="8">
        <v>100</v>
      </c>
      <c r="AZ102" s="8">
        <v>100.81</v>
      </c>
      <c r="BA102" s="8">
        <v>100.61</v>
      </c>
      <c r="BB102" s="8">
        <v>100.61</v>
      </c>
      <c r="BC102" s="8">
        <v>100.87</v>
      </c>
      <c r="BD102" s="8">
        <v>99.05</v>
      </c>
      <c r="BE102" s="8">
        <v>101.02</v>
      </c>
    </row>
    <row r="103" spans="1:57" x14ac:dyDescent="0.2">
      <c r="A103" s="9">
        <v>45778</v>
      </c>
      <c r="B103" s="8">
        <v>100.2</v>
      </c>
      <c r="C103" s="8">
        <v>98.98</v>
      </c>
      <c r="D103" s="8">
        <v>99.07</v>
      </c>
      <c r="E103" s="8">
        <v>101.08</v>
      </c>
      <c r="F103" s="8">
        <v>95.87</v>
      </c>
      <c r="G103" s="8">
        <v>91.38</v>
      </c>
      <c r="H103" s="8">
        <v>99.54</v>
      </c>
      <c r="I103" s="8">
        <v>99.91</v>
      </c>
      <c r="J103" s="8">
        <v>100</v>
      </c>
      <c r="K103" s="8">
        <v>103.2</v>
      </c>
      <c r="L103" s="8">
        <v>103.7</v>
      </c>
      <c r="M103" s="8">
        <v>99.72</v>
      </c>
      <c r="N103" s="8">
        <v>99.45</v>
      </c>
      <c r="O103" s="8">
        <v>99.78</v>
      </c>
      <c r="P103" s="8">
        <v>97.51</v>
      </c>
      <c r="Q103" s="8">
        <v>97.35</v>
      </c>
      <c r="R103" s="8">
        <v>97.31</v>
      </c>
      <c r="S103" s="8">
        <v>97.63</v>
      </c>
      <c r="T103" s="8">
        <v>99.74</v>
      </c>
      <c r="U103" s="8">
        <v>96.33</v>
      </c>
      <c r="V103" s="8">
        <v>98.43</v>
      </c>
      <c r="W103" s="8">
        <v>95.37</v>
      </c>
      <c r="X103" s="8">
        <v>99.3</v>
      </c>
      <c r="Y103" s="8">
        <v>99.3</v>
      </c>
      <c r="Z103" s="8">
        <v>98.82</v>
      </c>
      <c r="AA103" s="8">
        <v>98.82</v>
      </c>
      <c r="AB103" s="8">
        <v>97.98</v>
      </c>
      <c r="AC103" s="8">
        <v>98.89</v>
      </c>
      <c r="AD103" s="8">
        <v>95.98</v>
      </c>
      <c r="AE103" s="8">
        <v>97.53</v>
      </c>
      <c r="AF103" s="8">
        <v>100.52</v>
      </c>
      <c r="AG103" s="8">
        <v>93.96</v>
      </c>
      <c r="AH103" s="8">
        <v>99.6</v>
      </c>
      <c r="AI103" s="8">
        <v>101.28</v>
      </c>
      <c r="AJ103" s="8">
        <v>98.79</v>
      </c>
      <c r="AK103" s="8">
        <v>92.7</v>
      </c>
      <c r="AL103" s="8">
        <v>93.19</v>
      </c>
      <c r="AM103" s="8">
        <v>92.26</v>
      </c>
      <c r="AN103" s="8">
        <v>99.93</v>
      </c>
      <c r="AO103" s="8">
        <v>101.51</v>
      </c>
      <c r="AP103" s="8">
        <v>101.06</v>
      </c>
      <c r="AQ103" s="8">
        <v>100.5</v>
      </c>
      <c r="AR103" s="8">
        <v>97.63</v>
      </c>
      <c r="AS103" s="8">
        <v>97.85</v>
      </c>
      <c r="AT103" s="8">
        <v>100.98</v>
      </c>
      <c r="AU103" s="8">
        <v>99.81</v>
      </c>
      <c r="AV103" s="8">
        <v>99.81</v>
      </c>
      <c r="AW103" s="8">
        <v>98.93</v>
      </c>
      <c r="AX103" s="8">
        <v>100</v>
      </c>
      <c r="AY103" s="8">
        <v>100</v>
      </c>
      <c r="AZ103" s="8">
        <v>100.67</v>
      </c>
      <c r="BA103" s="8">
        <v>100.05</v>
      </c>
      <c r="BB103" s="8">
        <v>100.05</v>
      </c>
      <c r="BC103" s="8">
        <v>100.88</v>
      </c>
      <c r="BD103" s="8">
        <v>99.08</v>
      </c>
      <c r="BE103" s="8">
        <v>101.02</v>
      </c>
    </row>
    <row r="104" spans="1:57" x14ac:dyDescent="0.2">
      <c r="A104" s="9">
        <v>45809</v>
      </c>
      <c r="B104" s="8">
        <v>99.91</v>
      </c>
      <c r="C104" s="8">
        <v>99.46</v>
      </c>
      <c r="D104" s="8">
        <v>98.84</v>
      </c>
      <c r="E104" s="8">
        <v>100.65</v>
      </c>
      <c r="F104" s="8">
        <v>97.55</v>
      </c>
      <c r="G104" s="8">
        <v>95.12</v>
      </c>
      <c r="H104" s="8">
        <v>99.48</v>
      </c>
      <c r="I104" s="8">
        <v>99.86</v>
      </c>
      <c r="J104" s="8">
        <v>100.34</v>
      </c>
      <c r="K104" s="8">
        <v>102.51</v>
      </c>
      <c r="L104" s="8">
        <v>102.93</v>
      </c>
      <c r="M104" s="8">
        <v>99.5</v>
      </c>
      <c r="N104" s="8">
        <v>99.97</v>
      </c>
      <c r="O104" s="8">
        <v>100.38</v>
      </c>
      <c r="P104" s="8">
        <v>97.51</v>
      </c>
      <c r="Q104" s="8">
        <v>97.28</v>
      </c>
      <c r="R104" s="8">
        <v>97.24</v>
      </c>
      <c r="S104" s="8">
        <v>97.23</v>
      </c>
      <c r="T104" s="8">
        <v>99.77</v>
      </c>
      <c r="U104" s="8">
        <v>96.54</v>
      </c>
      <c r="V104" s="8">
        <v>98.24</v>
      </c>
      <c r="W104" s="8">
        <v>95.37</v>
      </c>
      <c r="X104" s="8">
        <v>99.3</v>
      </c>
      <c r="Y104" s="8">
        <v>99.3</v>
      </c>
      <c r="Z104" s="8">
        <v>98.02</v>
      </c>
      <c r="AA104" s="8">
        <v>98.02</v>
      </c>
      <c r="AB104" s="8">
        <v>98.29</v>
      </c>
      <c r="AC104" s="8">
        <v>98</v>
      </c>
      <c r="AD104" s="8">
        <v>96.78</v>
      </c>
      <c r="AE104" s="8">
        <v>96.58</v>
      </c>
      <c r="AF104" s="8">
        <v>98.16</v>
      </c>
      <c r="AG104" s="8">
        <v>94.69</v>
      </c>
      <c r="AH104" s="8">
        <v>98.72</v>
      </c>
      <c r="AI104" s="8">
        <v>98.31</v>
      </c>
      <c r="AJ104" s="8">
        <v>98.92</v>
      </c>
      <c r="AK104" s="8">
        <v>94.45</v>
      </c>
      <c r="AL104" s="8">
        <v>93.87</v>
      </c>
      <c r="AM104" s="8">
        <v>94.97</v>
      </c>
      <c r="AN104" s="8">
        <v>100.31</v>
      </c>
      <c r="AO104" s="8">
        <v>102.27</v>
      </c>
      <c r="AP104" s="8">
        <v>98.59</v>
      </c>
      <c r="AQ104" s="8">
        <v>101.05</v>
      </c>
      <c r="AR104" s="8">
        <v>98.25</v>
      </c>
      <c r="AS104" s="8">
        <v>98.49</v>
      </c>
      <c r="AT104" s="8">
        <v>102.31</v>
      </c>
      <c r="AU104" s="8">
        <v>99.92</v>
      </c>
      <c r="AV104" s="8">
        <v>99.92</v>
      </c>
      <c r="AW104" s="8">
        <v>99.54</v>
      </c>
      <c r="AX104" s="8">
        <v>100</v>
      </c>
      <c r="AY104" s="8">
        <v>100</v>
      </c>
      <c r="AZ104" s="8">
        <v>100.42</v>
      </c>
      <c r="BA104" s="8">
        <v>100.36</v>
      </c>
      <c r="BB104" s="8">
        <v>100.36</v>
      </c>
      <c r="BC104" s="8">
        <v>100.44</v>
      </c>
      <c r="BD104" s="8">
        <v>100.3</v>
      </c>
      <c r="BE104" s="8">
        <v>100.45</v>
      </c>
    </row>
    <row r="105" spans="1:57" x14ac:dyDescent="0.2">
      <c r="A105" s="9">
        <v>45839</v>
      </c>
      <c r="B105" s="8">
        <v>100.31</v>
      </c>
      <c r="C105" s="8">
        <v>101.13</v>
      </c>
      <c r="D105" s="8">
        <v>99.65</v>
      </c>
      <c r="E105" s="8">
        <v>100.6</v>
      </c>
      <c r="F105" s="8">
        <v>98</v>
      </c>
      <c r="G105" s="8">
        <v>95.57</v>
      </c>
      <c r="H105" s="8">
        <v>99.94</v>
      </c>
      <c r="I105" s="8">
        <v>100.25</v>
      </c>
      <c r="J105" s="8">
        <v>100.09</v>
      </c>
      <c r="K105" s="8">
        <v>101.77</v>
      </c>
      <c r="L105" s="8">
        <v>102.03</v>
      </c>
      <c r="M105" s="8">
        <v>99.92</v>
      </c>
      <c r="N105" s="8">
        <v>99.8</v>
      </c>
      <c r="O105" s="8">
        <v>100.18</v>
      </c>
      <c r="P105" s="8">
        <v>97.51</v>
      </c>
      <c r="Q105" s="8">
        <v>99.2</v>
      </c>
      <c r="R105" s="8">
        <v>99.19</v>
      </c>
      <c r="S105" s="8">
        <v>98.7</v>
      </c>
      <c r="T105" s="8">
        <v>101.14</v>
      </c>
      <c r="U105" s="8">
        <v>98.59</v>
      </c>
      <c r="V105" s="8">
        <v>99.05</v>
      </c>
      <c r="W105" s="8">
        <v>99.85</v>
      </c>
      <c r="X105" s="8">
        <v>100</v>
      </c>
      <c r="Y105" s="8">
        <v>100</v>
      </c>
      <c r="Z105" s="8">
        <v>99.49</v>
      </c>
      <c r="AA105" s="8">
        <v>99.49</v>
      </c>
      <c r="AB105" s="8">
        <v>99.4</v>
      </c>
      <c r="AC105" s="8">
        <v>99.5</v>
      </c>
      <c r="AD105" s="8">
        <v>99.23</v>
      </c>
      <c r="AE105" s="8">
        <v>97.64</v>
      </c>
      <c r="AF105" s="8">
        <v>100</v>
      </c>
      <c r="AG105" s="8">
        <v>94.83</v>
      </c>
      <c r="AH105" s="8">
        <v>99.81</v>
      </c>
      <c r="AI105" s="8">
        <v>99.75</v>
      </c>
      <c r="AJ105" s="8">
        <v>99.84</v>
      </c>
      <c r="AK105" s="8">
        <v>98.93</v>
      </c>
      <c r="AL105" s="8">
        <v>100.63</v>
      </c>
      <c r="AM105" s="8">
        <v>97.41</v>
      </c>
      <c r="AN105" s="8">
        <v>100.45</v>
      </c>
      <c r="AO105" s="8">
        <v>101.52</v>
      </c>
      <c r="AP105" s="8">
        <v>97.12</v>
      </c>
      <c r="AQ105" s="8">
        <v>101.02</v>
      </c>
      <c r="AR105" s="8">
        <v>99.42</v>
      </c>
      <c r="AS105" s="8">
        <v>100</v>
      </c>
      <c r="AT105" s="8">
        <v>102.22</v>
      </c>
      <c r="AU105" s="8">
        <v>99.94</v>
      </c>
      <c r="AV105" s="8">
        <v>99.94</v>
      </c>
      <c r="AW105" s="8">
        <v>99.64</v>
      </c>
      <c r="AX105" s="8">
        <v>100</v>
      </c>
      <c r="AY105" s="8">
        <v>100</v>
      </c>
      <c r="AZ105" s="8">
        <v>100.49</v>
      </c>
      <c r="BA105" s="8">
        <v>100.54</v>
      </c>
      <c r="BB105" s="8">
        <v>100.54</v>
      </c>
      <c r="BC105" s="8">
        <v>100.48</v>
      </c>
      <c r="BD105" s="8">
        <v>100.79</v>
      </c>
      <c r="BE105" s="8">
        <v>100.45</v>
      </c>
    </row>
    <row r="106" spans="1:57" x14ac:dyDescent="0.2">
      <c r="A106" s="9">
        <v>45870</v>
      </c>
      <c r="B106" s="8">
        <v>100.61</v>
      </c>
      <c r="C106" s="8">
        <v>99.66</v>
      </c>
      <c r="D106" s="8">
        <v>100.32</v>
      </c>
      <c r="E106" s="8">
        <v>100.93</v>
      </c>
      <c r="F106" s="8">
        <v>98.65</v>
      </c>
      <c r="G106" s="8">
        <v>96.73</v>
      </c>
      <c r="H106" s="8">
        <v>99.94</v>
      </c>
      <c r="I106" s="8">
        <v>100.87</v>
      </c>
      <c r="J106" s="8">
        <v>100.32</v>
      </c>
      <c r="K106" s="8">
        <v>101.51</v>
      </c>
      <c r="L106" s="8">
        <v>101.74</v>
      </c>
      <c r="M106" s="8">
        <v>99.92</v>
      </c>
      <c r="N106" s="8">
        <v>100.12</v>
      </c>
      <c r="O106" s="8">
        <v>100.55</v>
      </c>
      <c r="P106" s="8">
        <v>97.51</v>
      </c>
      <c r="Q106" s="8">
        <v>98.78</v>
      </c>
      <c r="R106" s="8">
        <v>98.76</v>
      </c>
      <c r="S106" s="8">
        <v>98.58</v>
      </c>
      <c r="T106" s="8">
        <v>98.08</v>
      </c>
      <c r="U106" s="8">
        <v>98.83</v>
      </c>
      <c r="V106" s="8">
        <v>99.64</v>
      </c>
      <c r="W106" s="8">
        <v>98.38</v>
      </c>
      <c r="X106" s="8">
        <v>100</v>
      </c>
      <c r="Y106" s="8">
        <v>100</v>
      </c>
      <c r="Z106" s="8">
        <v>100.17</v>
      </c>
      <c r="AA106" s="8">
        <v>100.17</v>
      </c>
      <c r="AB106" s="8">
        <v>99.59</v>
      </c>
      <c r="AC106" s="8">
        <v>100.23</v>
      </c>
      <c r="AD106" s="8">
        <v>98.18</v>
      </c>
      <c r="AE106" s="8">
        <v>99.5</v>
      </c>
      <c r="AF106" s="8">
        <v>99.82</v>
      </c>
      <c r="AG106" s="8">
        <v>99.13</v>
      </c>
      <c r="AH106" s="8">
        <v>99.84</v>
      </c>
      <c r="AI106" s="8">
        <v>100.37</v>
      </c>
      <c r="AJ106" s="8">
        <v>99.59</v>
      </c>
      <c r="AK106" s="8">
        <v>96.33</v>
      </c>
      <c r="AL106" s="8">
        <v>97.92</v>
      </c>
      <c r="AM106" s="8">
        <v>94.91</v>
      </c>
      <c r="AN106" s="8">
        <v>100.22</v>
      </c>
      <c r="AO106" s="8">
        <v>99.89</v>
      </c>
      <c r="AP106" s="8">
        <v>97.5</v>
      </c>
      <c r="AQ106" s="8">
        <v>100.36</v>
      </c>
      <c r="AR106" s="8">
        <v>99.24</v>
      </c>
      <c r="AS106" s="8">
        <v>100</v>
      </c>
      <c r="AT106" s="8">
        <v>102.18</v>
      </c>
      <c r="AU106" s="8">
        <v>99.9</v>
      </c>
      <c r="AV106" s="8">
        <v>99.9</v>
      </c>
      <c r="AW106" s="8">
        <v>99.44</v>
      </c>
      <c r="AX106" s="8">
        <v>100</v>
      </c>
      <c r="AY106" s="8">
        <v>100</v>
      </c>
      <c r="AZ106" s="8">
        <v>100.33</v>
      </c>
      <c r="BA106" s="8">
        <v>99.8</v>
      </c>
      <c r="BB106" s="8">
        <v>99.8</v>
      </c>
      <c r="BC106" s="8">
        <v>100.5</v>
      </c>
      <c r="BD106" s="8">
        <v>101.03</v>
      </c>
      <c r="BE106" s="8">
        <v>100.45</v>
      </c>
    </row>
    <row r="107" spans="1:57" x14ac:dyDescent="0.2">
      <c r="A107" s="9">
        <v>45901</v>
      </c>
      <c r="B107" s="8">
        <v>100</v>
      </c>
      <c r="C107" s="8">
        <v>100</v>
      </c>
      <c r="D107" s="8">
        <v>100</v>
      </c>
      <c r="E107" s="8">
        <v>100</v>
      </c>
      <c r="F107" s="8">
        <v>100</v>
      </c>
      <c r="G107" s="8">
        <v>100</v>
      </c>
      <c r="H107" s="8">
        <v>100</v>
      </c>
      <c r="I107" s="8">
        <v>100</v>
      </c>
      <c r="J107" s="8">
        <v>100</v>
      </c>
      <c r="K107" s="8">
        <v>100</v>
      </c>
      <c r="L107" s="8">
        <v>100</v>
      </c>
      <c r="M107" s="8">
        <v>100</v>
      </c>
      <c r="N107" s="8">
        <v>100</v>
      </c>
      <c r="O107" s="8">
        <v>100</v>
      </c>
      <c r="P107" s="8">
        <v>100</v>
      </c>
      <c r="Q107" s="8">
        <v>100</v>
      </c>
      <c r="R107" s="8">
        <v>100</v>
      </c>
      <c r="S107" s="8">
        <v>100</v>
      </c>
      <c r="T107" s="8">
        <v>100</v>
      </c>
      <c r="U107" s="8">
        <v>100</v>
      </c>
      <c r="V107" s="8">
        <v>100</v>
      </c>
      <c r="W107" s="8">
        <v>100</v>
      </c>
      <c r="X107" s="8">
        <v>100</v>
      </c>
      <c r="Y107" s="8">
        <v>100</v>
      </c>
      <c r="Z107" s="8">
        <v>100</v>
      </c>
      <c r="AA107" s="8">
        <v>100</v>
      </c>
      <c r="AB107" s="8">
        <v>100</v>
      </c>
      <c r="AC107" s="8">
        <v>100</v>
      </c>
      <c r="AD107" s="8">
        <v>100</v>
      </c>
      <c r="AE107" s="8">
        <v>100</v>
      </c>
      <c r="AF107" s="8">
        <v>100</v>
      </c>
      <c r="AG107" s="8">
        <v>100</v>
      </c>
      <c r="AH107" s="8">
        <v>100</v>
      </c>
      <c r="AI107" s="8">
        <v>100</v>
      </c>
      <c r="AJ107" s="8">
        <v>100</v>
      </c>
      <c r="AK107" s="8">
        <v>100</v>
      </c>
      <c r="AL107" s="8">
        <v>100</v>
      </c>
      <c r="AM107" s="8">
        <v>100</v>
      </c>
      <c r="AN107" s="8">
        <v>100</v>
      </c>
      <c r="AO107" s="8">
        <v>100</v>
      </c>
      <c r="AP107" s="8">
        <v>100</v>
      </c>
      <c r="AQ107" s="8">
        <v>100</v>
      </c>
      <c r="AR107" s="8">
        <v>100</v>
      </c>
      <c r="AS107" s="8">
        <v>100</v>
      </c>
      <c r="AT107" s="8">
        <v>100</v>
      </c>
      <c r="AU107" s="8">
        <v>100</v>
      </c>
      <c r="AV107" s="8">
        <v>100</v>
      </c>
      <c r="AW107" s="8">
        <v>100</v>
      </c>
      <c r="AX107" s="8">
        <v>100</v>
      </c>
      <c r="AY107" s="8">
        <v>100</v>
      </c>
      <c r="AZ107" s="8">
        <v>100</v>
      </c>
      <c r="BA107" s="8">
        <v>100</v>
      </c>
      <c r="BB107" s="8">
        <v>100</v>
      </c>
      <c r="BC107" s="8">
        <v>100</v>
      </c>
      <c r="BD107" s="8">
        <v>100</v>
      </c>
      <c r="BE107" s="8">
        <v>100</v>
      </c>
    </row>
    <row r="108" spans="1:57" x14ac:dyDescent="0.2">
      <c r="A108" s="9">
        <v>45931</v>
      </c>
      <c r="B108" s="8">
        <v>99.73</v>
      </c>
      <c r="C108" s="8">
        <v>100.13</v>
      </c>
      <c r="D108" s="8">
        <v>99.12</v>
      </c>
      <c r="E108" s="8">
        <v>100.04</v>
      </c>
      <c r="F108" s="8">
        <v>100.32</v>
      </c>
      <c r="G108" s="8">
        <v>100.62</v>
      </c>
      <c r="H108" s="8">
        <v>100.09</v>
      </c>
      <c r="I108" s="8">
        <v>100</v>
      </c>
      <c r="J108" s="8">
        <v>99.22</v>
      </c>
      <c r="K108" s="8">
        <v>99.71</v>
      </c>
      <c r="L108" s="8">
        <v>99.68</v>
      </c>
      <c r="M108" s="8">
        <v>99.87</v>
      </c>
      <c r="N108" s="8">
        <v>99.13</v>
      </c>
      <c r="O108" s="8">
        <v>98.99</v>
      </c>
      <c r="P108" s="8">
        <v>100</v>
      </c>
      <c r="Q108" s="8">
        <v>100.56</v>
      </c>
      <c r="R108" s="8">
        <v>100.57</v>
      </c>
      <c r="S108" s="8">
        <v>102.66</v>
      </c>
      <c r="T108" s="8">
        <v>100.65</v>
      </c>
      <c r="U108" s="8">
        <v>100.16</v>
      </c>
      <c r="V108" s="8">
        <v>99.47</v>
      </c>
      <c r="W108" s="8">
        <v>99.01</v>
      </c>
      <c r="X108" s="8">
        <v>100</v>
      </c>
      <c r="Y108" s="8">
        <v>100</v>
      </c>
      <c r="Z108" s="8">
        <v>99.84</v>
      </c>
      <c r="AA108" s="8">
        <v>99.84</v>
      </c>
      <c r="AB108" s="8">
        <v>100.56</v>
      </c>
      <c r="AC108" s="8">
        <v>99.77</v>
      </c>
      <c r="AD108" s="8">
        <v>100.45</v>
      </c>
      <c r="AE108" s="8">
        <v>99.79</v>
      </c>
      <c r="AF108" s="8">
        <v>99.73</v>
      </c>
      <c r="AG108" s="8">
        <v>99.87</v>
      </c>
      <c r="AH108" s="8">
        <v>100.04</v>
      </c>
      <c r="AI108" s="8">
        <v>101.21</v>
      </c>
      <c r="AJ108" s="8">
        <v>99.47</v>
      </c>
      <c r="AK108" s="8">
        <v>100.1</v>
      </c>
      <c r="AL108" s="8">
        <v>108.53</v>
      </c>
      <c r="AM108" s="8">
        <v>92.6</v>
      </c>
      <c r="AN108" s="8">
        <v>101.38</v>
      </c>
      <c r="AO108" s="8">
        <v>103.31</v>
      </c>
      <c r="AP108" s="8">
        <v>101.37</v>
      </c>
      <c r="AQ108" s="8">
        <v>100.52</v>
      </c>
      <c r="AR108" s="8">
        <v>100.02</v>
      </c>
      <c r="AS108" s="8">
        <v>100.44</v>
      </c>
      <c r="AT108" s="8">
        <v>102.29</v>
      </c>
      <c r="AU108" s="8">
        <v>100.01</v>
      </c>
      <c r="AV108" s="8">
        <v>100.01</v>
      </c>
      <c r="AW108" s="8">
        <v>100.08</v>
      </c>
      <c r="AX108" s="8">
        <v>100</v>
      </c>
      <c r="AY108" s="8">
        <v>100</v>
      </c>
      <c r="AZ108" s="8">
        <v>100.19</v>
      </c>
      <c r="BA108" s="8">
        <v>100.52</v>
      </c>
      <c r="BB108" s="8">
        <v>100.52</v>
      </c>
      <c r="BC108" s="8">
        <v>100.08</v>
      </c>
      <c r="BD108" s="8">
        <v>101.1</v>
      </c>
      <c r="BE108" s="8">
        <v>100</v>
      </c>
    </row>
    <row r="109" spans="1:57" x14ac:dyDescent="0.2">
      <c r="A109" s="9">
        <v>45962</v>
      </c>
      <c r="B109" s="8">
        <v>98.83</v>
      </c>
      <c r="C109" s="8">
        <v>99.13</v>
      </c>
      <c r="D109" s="8">
        <v>98.41</v>
      </c>
      <c r="E109" s="8">
        <v>99.05</v>
      </c>
      <c r="F109" s="8">
        <v>100.73</v>
      </c>
      <c r="G109" s="8">
        <v>101.23</v>
      </c>
      <c r="H109" s="8">
        <v>100.47</v>
      </c>
      <c r="I109" s="8">
        <v>100.04</v>
      </c>
      <c r="J109" s="8">
        <v>98.89</v>
      </c>
      <c r="K109" s="8">
        <v>99.18</v>
      </c>
      <c r="L109" s="8">
        <v>99.07</v>
      </c>
      <c r="M109" s="8">
        <v>100</v>
      </c>
      <c r="N109" s="8">
        <v>98.84</v>
      </c>
      <c r="O109" s="8">
        <v>98.64</v>
      </c>
      <c r="P109" s="8">
        <v>100</v>
      </c>
      <c r="Q109" s="8">
        <v>101.01</v>
      </c>
      <c r="R109" s="8">
        <v>101.03</v>
      </c>
      <c r="S109" s="8">
        <v>102.72</v>
      </c>
      <c r="T109" s="8">
        <v>102.12</v>
      </c>
      <c r="U109" s="8">
        <v>100.95</v>
      </c>
      <c r="V109" s="8">
        <v>99.63</v>
      </c>
      <c r="W109" s="8">
        <v>99.08</v>
      </c>
      <c r="X109" s="8">
        <v>100</v>
      </c>
      <c r="Y109" s="8">
        <v>100</v>
      </c>
      <c r="Z109" s="8">
        <v>100.27</v>
      </c>
      <c r="AA109" s="8">
        <v>100.27</v>
      </c>
      <c r="AB109" s="8">
        <v>100.63</v>
      </c>
      <c r="AC109" s="8">
        <v>100.24</v>
      </c>
      <c r="AD109" s="8">
        <v>99.21</v>
      </c>
      <c r="AE109" s="8">
        <v>99.47</v>
      </c>
      <c r="AF109" s="8">
        <v>98.52</v>
      </c>
      <c r="AG109" s="8">
        <v>100.59</v>
      </c>
      <c r="AH109" s="8">
        <v>100.16</v>
      </c>
      <c r="AI109" s="8">
        <v>101.05</v>
      </c>
      <c r="AJ109" s="8">
        <v>99.73</v>
      </c>
      <c r="AK109" s="8">
        <v>97.56</v>
      </c>
      <c r="AL109" s="8">
        <v>103.55</v>
      </c>
      <c r="AM109" s="8">
        <v>92.23</v>
      </c>
      <c r="AN109" s="8">
        <v>101.55</v>
      </c>
      <c r="AO109" s="8">
        <v>104.2</v>
      </c>
      <c r="AP109" s="8">
        <v>100.41</v>
      </c>
      <c r="AQ109" s="8">
        <v>102.14</v>
      </c>
      <c r="AR109" s="8">
        <v>100.02</v>
      </c>
      <c r="AS109" s="8">
        <v>100.44</v>
      </c>
      <c r="AT109" s="8">
        <v>102.3</v>
      </c>
      <c r="AU109" s="8">
        <v>100.03</v>
      </c>
      <c r="AV109" s="8">
        <v>100.03</v>
      </c>
      <c r="AW109" s="8">
        <v>100.16</v>
      </c>
      <c r="AX109" s="8">
        <v>100</v>
      </c>
      <c r="AY109" s="8">
        <v>100</v>
      </c>
      <c r="AZ109" s="8">
        <v>100.29</v>
      </c>
      <c r="BA109" s="8">
        <v>101.15</v>
      </c>
      <c r="BB109" s="8">
        <v>101.15</v>
      </c>
      <c r="BC109" s="8">
        <v>100.01</v>
      </c>
      <c r="BD109" s="8">
        <v>100.09</v>
      </c>
      <c r="BE109" s="8">
        <v>100</v>
      </c>
    </row>
    <row r="110" spans="1:57" x14ac:dyDescent="0.2">
      <c r="A110" s="9">
        <v>45992</v>
      </c>
      <c r="B110" s="8">
        <v>100.29</v>
      </c>
      <c r="C110" s="8">
        <v>102.37</v>
      </c>
      <c r="D110" s="8">
        <v>101.01</v>
      </c>
      <c r="E110" s="8">
        <v>99.54</v>
      </c>
      <c r="F110" s="8">
        <v>100.88</v>
      </c>
      <c r="G110" s="8">
        <v>101.28</v>
      </c>
      <c r="H110" s="8">
        <v>100.84</v>
      </c>
      <c r="I110" s="8">
        <v>100.04</v>
      </c>
      <c r="J110" s="8">
        <v>98.67</v>
      </c>
      <c r="K110" s="8">
        <v>98.61</v>
      </c>
      <c r="L110" s="8">
        <v>98.41</v>
      </c>
      <c r="M110" s="8">
        <v>100</v>
      </c>
      <c r="N110" s="8">
        <v>98.68</v>
      </c>
      <c r="O110" s="8">
        <v>98.46</v>
      </c>
      <c r="P110" s="8">
        <v>100</v>
      </c>
      <c r="Q110" s="8">
        <v>101.04</v>
      </c>
      <c r="R110" s="8">
        <v>101.03</v>
      </c>
      <c r="S110" s="8">
        <v>102.58</v>
      </c>
      <c r="T110" s="8">
        <v>101.45</v>
      </c>
      <c r="U110" s="8">
        <v>101.02</v>
      </c>
      <c r="V110" s="8">
        <v>100.31</v>
      </c>
      <c r="W110" s="8">
        <v>98.9</v>
      </c>
      <c r="X110" s="8">
        <v>101.3</v>
      </c>
      <c r="Y110" s="8">
        <v>101.3</v>
      </c>
      <c r="Z110" s="8">
        <v>99.85</v>
      </c>
      <c r="AA110" s="8">
        <v>99.85</v>
      </c>
      <c r="AB110" s="8">
        <v>100.87</v>
      </c>
      <c r="AC110" s="8">
        <v>99.76</v>
      </c>
      <c r="AD110" s="8">
        <v>105.73</v>
      </c>
      <c r="AE110" s="8">
        <v>98.08</v>
      </c>
      <c r="AF110" s="8">
        <v>95.61</v>
      </c>
      <c r="AG110" s="8">
        <v>101.01</v>
      </c>
      <c r="AH110" s="8">
        <v>100.17</v>
      </c>
      <c r="AI110" s="8">
        <v>101.1</v>
      </c>
      <c r="AJ110" s="8">
        <v>99.73</v>
      </c>
      <c r="AK110" s="8">
        <v>110.93</v>
      </c>
      <c r="AL110" s="8">
        <v>107.32</v>
      </c>
      <c r="AM110" s="8">
        <v>114.15</v>
      </c>
      <c r="AN110" s="8">
        <v>102.08</v>
      </c>
      <c r="AO110" s="8">
        <v>104.13</v>
      </c>
      <c r="AP110" s="8">
        <v>99.3</v>
      </c>
      <c r="AQ110" s="8">
        <v>102.81</v>
      </c>
      <c r="AR110" s="8">
        <v>100.14</v>
      </c>
      <c r="AS110" s="8">
        <v>100.7</v>
      </c>
      <c r="AT110" s="8">
        <v>104.19</v>
      </c>
      <c r="AU110" s="8">
        <v>100.03</v>
      </c>
      <c r="AV110" s="8">
        <v>100.03</v>
      </c>
      <c r="AW110" s="8">
        <v>100.17</v>
      </c>
      <c r="AX110" s="8">
        <v>100</v>
      </c>
      <c r="AY110" s="8">
        <v>100</v>
      </c>
      <c r="AZ110" s="8">
        <v>101.89</v>
      </c>
      <c r="BA110" s="8">
        <v>101.3</v>
      </c>
      <c r="BB110" s="8">
        <v>101.3</v>
      </c>
      <c r="BC110" s="8">
        <v>102.08</v>
      </c>
      <c r="BD110" s="8">
        <v>99.92</v>
      </c>
      <c r="BE110" s="8">
        <v>102.26</v>
      </c>
    </row>
    <row r="111" spans="1:57" x14ac:dyDescent="0.2">
      <c r="A111" s="9">
        <v>46023</v>
      </c>
      <c r="B111" s="8">
        <v>99.45</v>
      </c>
      <c r="C111" s="8">
        <v>99.81</v>
      </c>
      <c r="D111" s="8">
        <v>100.76</v>
      </c>
      <c r="E111" s="8">
        <v>98.59</v>
      </c>
      <c r="F111" s="8">
        <v>100.82</v>
      </c>
      <c r="G111" s="8">
        <v>100.75</v>
      </c>
      <c r="H111" s="8">
        <v>100.96</v>
      </c>
      <c r="I111" s="8">
        <v>100.74</v>
      </c>
      <c r="J111" s="8">
        <v>102.93</v>
      </c>
      <c r="K111" s="8">
        <v>102.69</v>
      </c>
      <c r="L111" s="8">
        <v>102.96</v>
      </c>
      <c r="M111" s="8">
        <v>100.79</v>
      </c>
      <c r="N111" s="8">
        <v>102.97</v>
      </c>
      <c r="O111" s="8">
        <v>103.46</v>
      </c>
      <c r="P111" s="8">
        <v>100</v>
      </c>
      <c r="Q111" s="8">
        <v>101.36</v>
      </c>
      <c r="R111" s="8">
        <v>101.31</v>
      </c>
      <c r="S111" s="8">
        <v>103.32</v>
      </c>
      <c r="T111" s="8">
        <v>100.74</v>
      </c>
      <c r="U111" s="8">
        <v>101.15</v>
      </c>
      <c r="V111" s="8">
        <v>101.12</v>
      </c>
      <c r="W111" s="8">
        <v>98.78</v>
      </c>
      <c r="X111" s="8">
        <v>103.57</v>
      </c>
      <c r="Y111" s="8">
        <v>103.57</v>
      </c>
      <c r="Z111" s="8">
        <v>99.76</v>
      </c>
      <c r="AA111" s="8">
        <v>99.76</v>
      </c>
      <c r="AB111" s="8">
        <v>100.78</v>
      </c>
      <c r="AC111" s="8">
        <v>99.67</v>
      </c>
      <c r="AD111" s="8">
        <v>101.96</v>
      </c>
      <c r="AE111" s="8">
        <v>99.54</v>
      </c>
      <c r="AF111" s="8">
        <v>98.38</v>
      </c>
      <c r="AG111" s="8">
        <v>100.93</v>
      </c>
      <c r="AH111" s="8">
        <v>100.44</v>
      </c>
      <c r="AI111" s="8">
        <v>105.91</v>
      </c>
      <c r="AJ111" s="8">
        <v>97.81</v>
      </c>
      <c r="AK111" s="8">
        <v>102.41</v>
      </c>
      <c r="AL111" s="8">
        <v>108.15</v>
      </c>
      <c r="AM111" s="8">
        <v>97.31</v>
      </c>
      <c r="AN111" s="8">
        <v>102.66</v>
      </c>
      <c r="AO111" s="8">
        <v>102.12</v>
      </c>
      <c r="AP111" s="8">
        <v>104.95</v>
      </c>
      <c r="AQ111" s="8">
        <v>102.57</v>
      </c>
      <c r="AR111" s="8">
        <v>99.17</v>
      </c>
      <c r="AS111" s="8">
        <v>100.92</v>
      </c>
      <c r="AT111" s="8">
        <v>104.29</v>
      </c>
      <c r="AU111" s="8">
        <v>100.01</v>
      </c>
      <c r="AV111" s="8">
        <v>100.01</v>
      </c>
      <c r="AW111" s="8">
        <v>100.04</v>
      </c>
      <c r="AX111" s="8">
        <v>100</v>
      </c>
      <c r="AY111" s="8">
        <v>100</v>
      </c>
      <c r="AZ111" s="8">
        <v>102.23</v>
      </c>
      <c r="BA111" s="8">
        <v>102.69</v>
      </c>
      <c r="BB111" s="8">
        <v>102.69</v>
      </c>
      <c r="BC111" s="8">
        <v>102.09</v>
      </c>
      <c r="BD111" s="8">
        <v>99.96</v>
      </c>
      <c r="BE111" s="8">
        <v>102.26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Z11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2061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2062</v>
      </c>
    </row>
    <row r="6" spans="2:26" ht="15.75" customHeight="1" x14ac:dyDescent="0.2">
      <c r="B6" s="59" t="s">
        <v>2063</v>
      </c>
      <c r="C6" s="59"/>
      <c r="D6" s="59"/>
      <c r="E6" s="59"/>
      <c r="F6" s="59"/>
      <c r="G6" s="59"/>
      <c r="H6" s="59"/>
      <c r="I6" s="59"/>
      <c r="J6" s="59"/>
      <c r="K6" s="59"/>
      <c r="L6" s="59"/>
    </row>
    <row r="10" spans="2:26" ht="12.75" x14ac:dyDescent="0.2">
      <c r="B10" s="14" t="s">
        <v>2064</v>
      </c>
    </row>
    <row r="11" spans="2:26" x14ac:dyDescent="0.2">
      <c r="B11" s="10" t="s">
        <v>2065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3170</vt:i4>
      </vt:variant>
    </vt:vector>
  </HeadingPairs>
  <TitlesOfParts>
    <vt:vector size="3179" baseType="lpstr">
      <vt:lpstr>Index</vt:lpstr>
      <vt:lpstr>Energy Summary</vt:lpstr>
      <vt:lpstr>Telecom Prices</vt:lpstr>
      <vt:lpstr>Data1</vt:lpstr>
      <vt:lpstr>Data2</vt:lpstr>
      <vt:lpstr>Data3</vt:lpstr>
      <vt:lpstr>Data4</vt:lpstr>
      <vt:lpstr>Data5</vt:lpstr>
      <vt:lpstr>Enquiries</vt:lpstr>
      <vt:lpstr>A130389940C</vt:lpstr>
      <vt:lpstr>A130389940C_Data</vt:lpstr>
      <vt:lpstr>A130389940C_Latest</vt:lpstr>
      <vt:lpstr>A130389947V</vt:lpstr>
      <vt:lpstr>A130389947V_Data</vt:lpstr>
      <vt:lpstr>A130389947V_Latest</vt:lpstr>
      <vt:lpstr>A130389954T</vt:lpstr>
      <vt:lpstr>A130389954T_Data</vt:lpstr>
      <vt:lpstr>A130389954T_Latest</vt:lpstr>
      <vt:lpstr>A130389961R</vt:lpstr>
      <vt:lpstr>A130389961R_Data</vt:lpstr>
      <vt:lpstr>A130389961R_Latest</vt:lpstr>
      <vt:lpstr>A130389968F</vt:lpstr>
      <vt:lpstr>A130389968F_Data</vt:lpstr>
      <vt:lpstr>A130389968F_Latest</vt:lpstr>
      <vt:lpstr>A130389975C</vt:lpstr>
      <vt:lpstr>A130389975C_Data</vt:lpstr>
      <vt:lpstr>A130389975C_Latest</vt:lpstr>
      <vt:lpstr>A130389982A</vt:lpstr>
      <vt:lpstr>A130389982A_Data</vt:lpstr>
      <vt:lpstr>A130389982A_Latest</vt:lpstr>
      <vt:lpstr>A130389996R</vt:lpstr>
      <vt:lpstr>A130389996R_Data</vt:lpstr>
      <vt:lpstr>A130389996R_Latest</vt:lpstr>
      <vt:lpstr>A130390003J</vt:lpstr>
      <vt:lpstr>A130390003J_Data</vt:lpstr>
      <vt:lpstr>A130390003J_Latest</vt:lpstr>
      <vt:lpstr>A130390010F</vt:lpstr>
      <vt:lpstr>A130390010F_Data</vt:lpstr>
      <vt:lpstr>A130390010F_Latest</vt:lpstr>
      <vt:lpstr>A130390017W</vt:lpstr>
      <vt:lpstr>A130390017W_Data</vt:lpstr>
      <vt:lpstr>A130390017W_Latest</vt:lpstr>
      <vt:lpstr>A130390031T</vt:lpstr>
      <vt:lpstr>A130390031T_Data</vt:lpstr>
      <vt:lpstr>A130390031T_Latest</vt:lpstr>
      <vt:lpstr>A130390038J</vt:lpstr>
      <vt:lpstr>A130390038J_Data</vt:lpstr>
      <vt:lpstr>A130390038J_Latest</vt:lpstr>
      <vt:lpstr>A130390045F</vt:lpstr>
      <vt:lpstr>A130390045F_Data</vt:lpstr>
      <vt:lpstr>A130390045F_Latest</vt:lpstr>
      <vt:lpstr>A130390066T</vt:lpstr>
      <vt:lpstr>A130390066T_Data</vt:lpstr>
      <vt:lpstr>A130390066T_Latest</vt:lpstr>
      <vt:lpstr>A130390073R</vt:lpstr>
      <vt:lpstr>A130390073R_Data</vt:lpstr>
      <vt:lpstr>A130390073R_Latest</vt:lpstr>
      <vt:lpstr>A130390080L</vt:lpstr>
      <vt:lpstr>A130390080L_Data</vt:lpstr>
      <vt:lpstr>A130390080L_Latest</vt:lpstr>
      <vt:lpstr>A130390087C</vt:lpstr>
      <vt:lpstr>A130390087C_Data</vt:lpstr>
      <vt:lpstr>A130390087C_Latest</vt:lpstr>
      <vt:lpstr>A130390101L</vt:lpstr>
      <vt:lpstr>A130390101L_Data</vt:lpstr>
      <vt:lpstr>A130390101L_Latest</vt:lpstr>
      <vt:lpstr>A130390171V</vt:lpstr>
      <vt:lpstr>A130390171V_Data</vt:lpstr>
      <vt:lpstr>A130390171V_Latest</vt:lpstr>
      <vt:lpstr>A130390178K</vt:lpstr>
      <vt:lpstr>A130390178K_Data</vt:lpstr>
      <vt:lpstr>A130390178K_Latest</vt:lpstr>
      <vt:lpstr>A130390206J</vt:lpstr>
      <vt:lpstr>A130390206J_Data</vt:lpstr>
      <vt:lpstr>A130390206J_Latest</vt:lpstr>
      <vt:lpstr>A130390213F</vt:lpstr>
      <vt:lpstr>A130390213F_Data</vt:lpstr>
      <vt:lpstr>A130390213F_Latest</vt:lpstr>
      <vt:lpstr>A130390220C</vt:lpstr>
      <vt:lpstr>A130390220C_Data</vt:lpstr>
      <vt:lpstr>A130390220C_Latest</vt:lpstr>
      <vt:lpstr>A130390234T</vt:lpstr>
      <vt:lpstr>A130390234T_Data</vt:lpstr>
      <vt:lpstr>A130390234T_Latest</vt:lpstr>
      <vt:lpstr>A130390241R</vt:lpstr>
      <vt:lpstr>A130390241R_Data</vt:lpstr>
      <vt:lpstr>A130390241R_Latest</vt:lpstr>
      <vt:lpstr>A130390248F</vt:lpstr>
      <vt:lpstr>A130390248F_Data</vt:lpstr>
      <vt:lpstr>A130390248F_Latest</vt:lpstr>
      <vt:lpstr>A130390255C</vt:lpstr>
      <vt:lpstr>A130390255C_Data</vt:lpstr>
      <vt:lpstr>A130390255C_Latest</vt:lpstr>
      <vt:lpstr>A130390262A</vt:lpstr>
      <vt:lpstr>A130390262A_Data</vt:lpstr>
      <vt:lpstr>A130390262A_Latest</vt:lpstr>
      <vt:lpstr>A130390269T</vt:lpstr>
      <vt:lpstr>A130390269T_Data</vt:lpstr>
      <vt:lpstr>A130390269T_Latest</vt:lpstr>
      <vt:lpstr>A130390276R</vt:lpstr>
      <vt:lpstr>A130390276R_Data</vt:lpstr>
      <vt:lpstr>A130390276R_Latest</vt:lpstr>
      <vt:lpstr>A130390290K</vt:lpstr>
      <vt:lpstr>A130390290K_Data</vt:lpstr>
      <vt:lpstr>A130390290K_Latest</vt:lpstr>
      <vt:lpstr>A130390297A</vt:lpstr>
      <vt:lpstr>A130390297A_Data</vt:lpstr>
      <vt:lpstr>A130390297A_Latest</vt:lpstr>
      <vt:lpstr>A130390304L</vt:lpstr>
      <vt:lpstr>A130390304L_Data</vt:lpstr>
      <vt:lpstr>A130390304L_Latest</vt:lpstr>
      <vt:lpstr>A130390353J</vt:lpstr>
      <vt:lpstr>A130390353J_Data</vt:lpstr>
      <vt:lpstr>A130390353J_Latest</vt:lpstr>
      <vt:lpstr>A130390360F</vt:lpstr>
      <vt:lpstr>A130390360F_Data</vt:lpstr>
      <vt:lpstr>A130390360F_Latest</vt:lpstr>
      <vt:lpstr>A130390367W</vt:lpstr>
      <vt:lpstr>A130390367W_Data</vt:lpstr>
      <vt:lpstr>A130390367W_Latest</vt:lpstr>
      <vt:lpstr>A130390374V</vt:lpstr>
      <vt:lpstr>A130390374V_Data</vt:lpstr>
      <vt:lpstr>A130390374V_Latest</vt:lpstr>
      <vt:lpstr>A130390381T</vt:lpstr>
      <vt:lpstr>A130390381T_Data</vt:lpstr>
      <vt:lpstr>A130390381T_Latest</vt:lpstr>
      <vt:lpstr>A130390388J</vt:lpstr>
      <vt:lpstr>A130390388J_Data</vt:lpstr>
      <vt:lpstr>A130390388J_Latest</vt:lpstr>
      <vt:lpstr>A130390395F</vt:lpstr>
      <vt:lpstr>A130390395F_Data</vt:lpstr>
      <vt:lpstr>A130390395F_Latest</vt:lpstr>
      <vt:lpstr>A130390402T</vt:lpstr>
      <vt:lpstr>A130390402T_Data</vt:lpstr>
      <vt:lpstr>A130390402T_Latest</vt:lpstr>
      <vt:lpstr>A130390409J</vt:lpstr>
      <vt:lpstr>A130390409J_Data</vt:lpstr>
      <vt:lpstr>A130390409J_Latest</vt:lpstr>
      <vt:lpstr>A130390416F</vt:lpstr>
      <vt:lpstr>A130390416F_Data</vt:lpstr>
      <vt:lpstr>A130390416F_Latest</vt:lpstr>
      <vt:lpstr>A130390423C</vt:lpstr>
      <vt:lpstr>A130390423C_Data</vt:lpstr>
      <vt:lpstr>A130390423C_Latest</vt:lpstr>
      <vt:lpstr>A130390430A</vt:lpstr>
      <vt:lpstr>A130390430A_Data</vt:lpstr>
      <vt:lpstr>A130390430A_Latest</vt:lpstr>
      <vt:lpstr>A130390444R</vt:lpstr>
      <vt:lpstr>A130390444R_Data</vt:lpstr>
      <vt:lpstr>A130390444R_Latest</vt:lpstr>
      <vt:lpstr>A130390451L</vt:lpstr>
      <vt:lpstr>A130390451L_Data</vt:lpstr>
      <vt:lpstr>A130390451L_Latest</vt:lpstr>
      <vt:lpstr>A130390458C</vt:lpstr>
      <vt:lpstr>A130390458C_Data</vt:lpstr>
      <vt:lpstr>A130390458C_Latest</vt:lpstr>
      <vt:lpstr>A130390465A</vt:lpstr>
      <vt:lpstr>A130390465A_Data</vt:lpstr>
      <vt:lpstr>A130390465A_Latest</vt:lpstr>
      <vt:lpstr>A130390472X</vt:lpstr>
      <vt:lpstr>A130390472X_Data</vt:lpstr>
      <vt:lpstr>A130390472X_Latest</vt:lpstr>
      <vt:lpstr>A130390486L</vt:lpstr>
      <vt:lpstr>A130390486L_Data</vt:lpstr>
      <vt:lpstr>A130390486L_Latest</vt:lpstr>
      <vt:lpstr>A130390493K</vt:lpstr>
      <vt:lpstr>A130390493K_Data</vt:lpstr>
      <vt:lpstr>A130390493K_Latest</vt:lpstr>
      <vt:lpstr>A130390500W</vt:lpstr>
      <vt:lpstr>A130390500W_Data</vt:lpstr>
      <vt:lpstr>A130390500W_Latest</vt:lpstr>
      <vt:lpstr>A130390507L</vt:lpstr>
      <vt:lpstr>A130390507L_Data</vt:lpstr>
      <vt:lpstr>A130390507L_Latest</vt:lpstr>
      <vt:lpstr>A130390514K</vt:lpstr>
      <vt:lpstr>A130390514K_Data</vt:lpstr>
      <vt:lpstr>A130390514K_Latest</vt:lpstr>
      <vt:lpstr>A130390521J</vt:lpstr>
      <vt:lpstr>A130390521J_Data</vt:lpstr>
      <vt:lpstr>A130390521J_Latest</vt:lpstr>
      <vt:lpstr>A130390528X</vt:lpstr>
      <vt:lpstr>A130390528X_Data</vt:lpstr>
      <vt:lpstr>A130390528X_Latest</vt:lpstr>
      <vt:lpstr>A130390542V</vt:lpstr>
      <vt:lpstr>A130390542V_Data</vt:lpstr>
      <vt:lpstr>A130390542V_Latest</vt:lpstr>
      <vt:lpstr>A130390549K</vt:lpstr>
      <vt:lpstr>A130390549K_Data</vt:lpstr>
      <vt:lpstr>A130390549K_Latest</vt:lpstr>
      <vt:lpstr>A130390556J</vt:lpstr>
      <vt:lpstr>A130390556J_Data</vt:lpstr>
      <vt:lpstr>A130390556J_Latest</vt:lpstr>
      <vt:lpstr>A130390563F</vt:lpstr>
      <vt:lpstr>A130390563F_Data</vt:lpstr>
      <vt:lpstr>A130390563F_Latest</vt:lpstr>
      <vt:lpstr>A130390570C</vt:lpstr>
      <vt:lpstr>A130390570C_Data</vt:lpstr>
      <vt:lpstr>A130390570C_Latest</vt:lpstr>
      <vt:lpstr>A130390577V</vt:lpstr>
      <vt:lpstr>A130390577V_Data</vt:lpstr>
      <vt:lpstr>A130390577V_Latest</vt:lpstr>
      <vt:lpstr>A130390584T</vt:lpstr>
      <vt:lpstr>A130390584T_Data</vt:lpstr>
      <vt:lpstr>A130390584T_Latest</vt:lpstr>
      <vt:lpstr>A130390591R</vt:lpstr>
      <vt:lpstr>A130390591R_Data</vt:lpstr>
      <vt:lpstr>A130390591R_Latest</vt:lpstr>
      <vt:lpstr>A130390605T</vt:lpstr>
      <vt:lpstr>A130390605T_Data</vt:lpstr>
      <vt:lpstr>A130390605T_Latest</vt:lpstr>
      <vt:lpstr>A130390626C</vt:lpstr>
      <vt:lpstr>A130390626C_Data</vt:lpstr>
      <vt:lpstr>A130390626C_Latest</vt:lpstr>
      <vt:lpstr>A130390633A</vt:lpstr>
      <vt:lpstr>A130390633A_Data</vt:lpstr>
      <vt:lpstr>A130390633A_Latest</vt:lpstr>
      <vt:lpstr>A130390654L</vt:lpstr>
      <vt:lpstr>A130390654L_Data</vt:lpstr>
      <vt:lpstr>A130390654L_Latest</vt:lpstr>
      <vt:lpstr>A130390661K</vt:lpstr>
      <vt:lpstr>A130390661K_Data</vt:lpstr>
      <vt:lpstr>A130390661K_Latest</vt:lpstr>
      <vt:lpstr>A130390668A</vt:lpstr>
      <vt:lpstr>A130390668A_Data</vt:lpstr>
      <vt:lpstr>A130390668A_Latest</vt:lpstr>
      <vt:lpstr>A130390675X</vt:lpstr>
      <vt:lpstr>A130390675X_Data</vt:lpstr>
      <vt:lpstr>A130390675X_Latest</vt:lpstr>
      <vt:lpstr>A130390682W</vt:lpstr>
      <vt:lpstr>A130390682W_Data</vt:lpstr>
      <vt:lpstr>A130390682W_Latest</vt:lpstr>
      <vt:lpstr>A130390689L</vt:lpstr>
      <vt:lpstr>A130390689L_Data</vt:lpstr>
      <vt:lpstr>A130390689L_Latest</vt:lpstr>
      <vt:lpstr>A130390696K</vt:lpstr>
      <vt:lpstr>A130390696K_Data</vt:lpstr>
      <vt:lpstr>A130390696K_Latest</vt:lpstr>
      <vt:lpstr>A130390703W</vt:lpstr>
      <vt:lpstr>A130390703W_Data</vt:lpstr>
      <vt:lpstr>A130390703W_Latest</vt:lpstr>
      <vt:lpstr>A130390710V</vt:lpstr>
      <vt:lpstr>A130390710V_Data</vt:lpstr>
      <vt:lpstr>A130390710V_Latest</vt:lpstr>
      <vt:lpstr>A130390717K</vt:lpstr>
      <vt:lpstr>A130390717K_Data</vt:lpstr>
      <vt:lpstr>A130390717K_Latest</vt:lpstr>
      <vt:lpstr>A130390724J</vt:lpstr>
      <vt:lpstr>A130390724J_Data</vt:lpstr>
      <vt:lpstr>A130390724J_Latest</vt:lpstr>
      <vt:lpstr>A130390738W</vt:lpstr>
      <vt:lpstr>A130390738W_Data</vt:lpstr>
      <vt:lpstr>A130390738W_Latest</vt:lpstr>
      <vt:lpstr>A130390745V</vt:lpstr>
      <vt:lpstr>A130390745V_Data</vt:lpstr>
      <vt:lpstr>A130390745V_Latest</vt:lpstr>
      <vt:lpstr>A130390752T</vt:lpstr>
      <vt:lpstr>A130390752T_Data</vt:lpstr>
      <vt:lpstr>A130390752T_Latest</vt:lpstr>
      <vt:lpstr>A130390759J</vt:lpstr>
      <vt:lpstr>A130390759J_Data</vt:lpstr>
      <vt:lpstr>A130390759J_Latest</vt:lpstr>
      <vt:lpstr>A130390766F</vt:lpstr>
      <vt:lpstr>A130390766F_Data</vt:lpstr>
      <vt:lpstr>A130390766F_Latest</vt:lpstr>
      <vt:lpstr>A130390773C</vt:lpstr>
      <vt:lpstr>A130390773C_Data</vt:lpstr>
      <vt:lpstr>A130390773C_Latest</vt:lpstr>
      <vt:lpstr>A130390780A</vt:lpstr>
      <vt:lpstr>A130390780A_Data</vt:lpstr>
      <vt:lpstr>A130390780A_Latest</vt:lpstr>
      <vt:lpstr>A130390787T</vt:lpstr>
      <vt:lpstr>A130390787T_Data</vt:lpstr>
      <vt:lpstr>A130390787T_Latest</vt:lpstr>
      <vt:lpstr>A130390794R</vt:lpstr>
      <vt:lpstr>A130390794R_Data</vt:lpstr>
      <vt:lpstr>A130390794R_Latest</vt:lpstr>
      <vt:lpstr>A130390801A</vt:lpstr>
      <vt:lpstr>A130390801A_Data</vt:lpstr>
      <vt:lpstr>A130390801A_Latest</vt:lpstr>
      <vt:lpstr>A130390815R</vt:lpstr>
      <vt:lpstr>A130390815R_Data</vt:lpstr>
      <vt:lpstr>A130390815R_Latest</vt:lpstr>
      <vt:lpstr>A130390822L</vt:lpstr>
      <vt:lpstr>A130390822L_Data</vt:lpstr>
      <vt:lpstr>A130390822L_Latest</vt:lpstr>
      <vt:lpstr>A130390829C</vt:lpstr>
      <vt:lpstr>A130390829C_Data</vt:lpstr>
      <vt:lpstr>A130390829C_Latest</vt:lpstr>
      <vt:lpstr>A130390836A</vt:lpstr>
      <vt:lpstr>A130390836A_Data</vt:lpstr>
      <vt:lpstr>A130390836A_Latest</vt:lpstr>
      <vt:lpstr>A130390843X</vt:lpstr>
      <vt:lpstr>A130390843X_Data</vt:lpstr>
      <vt:lpstr>A130390843X_Latest</vt:lpstr>
      <vt:lpstr>A130390857L</vt:lpstr>
      <vt:lpstr>A130390857L_Data</vt:lpstr>
      <vt:lpstr>A130390857L_Latest</vt:lpstr>
      <vt:lpstr>A130390864K</vt:lpstr>
      <vt:lpstr>A130390864K_Data</vt:lpstr>
      <vt:lpstr>A130390864K_Latest</vt:lpstr>
      <vt:lpstr>A130390871J</vt:lpstr>
      <vt:lpstr>A130390871J_Data</vt:lpstr>
      <vt:lpstr>A130390871J_Latest</vt:lpstr>
      <vt:lpstr>A130390878X</vt:lpstr>
      <vt:lpstr>A130390878X_Data</vt:lpstr>
      <vt:lpstr>A130390878X_Latest</vt:lpstr>
      <vt:lpstr>A130390885W</vt:lpstr>
      <vt:lpstr>A130390885W_Data</vt:lpstr>
      <vt:lpstr>A130390885W_Latest</vt:lpstr>
      <vt:lpstr>A130390899K</vt:lpstr>
      <vt:lpstr>A130390899K_Data</vt:lpstr>
      <vt:lpstr>A130390899K_Latest</vt:lpstr>
      <vt:lpstr>A130390906W</vt:lpstr>
      <vt:lpstr>A130390906W_Data</vt:lpstr>
      <vt:lpstr>A130390906W_Latest</vt:lpstr>
      <vt:lpstr>A130390913V</vt:lpstr>
      <vt:lpstr>A130390913V_Data</vt:lpstr>
      <vt:lpstr>A130390913V_Latest</vt:lpstr>
      <vt:lpstr>A130390927J</vt:lpstr>
      <vt:lpstr>A130390927J_Data</vt:lpstr>
      <vt:lpstr>A130390927J_Latest</vt:lpstr>
      <vt:lpstr>A130390934F</vt:lpstr>
      <vt:lpstr>A130390934F_Data</vt:lpstr>
      <vt:lpstr>A130390934F_Latest</vt:lpstr>
      <vt:lpstr>A130390941C</vt:lpstr>
      <vt:lpstr>A130390941C_Data</vt:lpstr>
      <vt:lpstr>A130390941C_Latest</vt:lpstr>
      <vt:lpstr>A130390948V</vt:lpstr>
      <vt:lpstr>A130390948V_Data</vt:lpstr>
      <vt:lpstr>A130390948V_Latest</vt:lpstr>
      <vt:lpstr>A130390955T</vt:lpstr>
      <vt:lpstr>A130390955T_Data</vt:lpstr>
      <vt:lpstr>A130390955T_Latest</vt:lpstr>
      <vt:lpstr>A130390962R</vt:lpstr>
      <vt:lpstr>A130390962R_Data</vt:lpstr>
      <vt:lpstr>A130390962R_Latest</vt:lpstr>
      <vt:lpstr>A130390969F</vt:lpstr>
      <vt:lpstr>A130390969F_Data</vt:lpstr>
      <vt:lpstr>A130390969F_Latest</vt:lpstr>
      <vt:lpstr>A130390976C</vt:lpstr>
      <vt:lpstr>A130390976C_Data</vt:lpstr>
      <vt:lpstr>A130390976C_Latest</vt:lpstr>
      <vt:lpstr>A130390983A</vt:lpstr>
      <vt:lpstr>A130390983A_Data</vt:lpstr>
      <vt:lpstr>A130390983A_Latest</vt:lpstr>
      <vt:lpstr>A130390990X</vt:lpstr>
      <vt:lpstr>A130390990X_Data</vt:lpstr>
      <vt:lpstr>A130390990X_Latest</vt:lpstr>
      <vt:lpstr>A130390997R</vt:lpstr>
      <vt:lpstr>A130390997R_Data</vt:lpstr>
      <vt:lpstr>A130390997R_Latest</vt:lpstr>
      <vt:lpstr>A130391004C</vt:lpstr>
      <vt:lpstr>A130391004C_Data</vt:lpstr>
      <vt:lpstr>A130391004C_Latest</vt:lpstr>
      <vt:lpstr>A130391011A</vt:lpstr>
      <vt:lpstr>A130391011A_Data</vt:lpstr>
      <vt:lpstr>A130391011A_Latest</vt:lpstr>
      <vt:lpstr>A130391025R</vt:lpstr>
      <vt:lpstr>A130391025R_Data</vt:lpstr>
      <vt:lpstr>A130391025R_Latest</vt:lpstr>
      <vt:lpstr>A130391032L</vt:lpstr>
      <vt:lpstr>A130391032L_Data</vt:lpstr>
      <vt:lpstr>A130391032L_Latest</vt:lpstr>
      <vt:lpstr>A130391039C</vt:lpstr>
      <vt:lpstr>A130391039C_Data</vt:lpstr>
      <vt:lpstr>A130391039C_Latest</vt:lpstr>
      <vt:lpstr>A130391046A</vt:lpstr>
      <vt:lpstr>A130391046A_Data</vt:lpstr>
      <vt:lpstr>A130391046A_Latest</vt:lpstr>
      <vt:lpstr>A130391053X</vt:lpstr>
      <vt:lpstr>A130391053X_Data</vt:lpstr>
      <vt:lpstr>A130391053X_Latest</vt:lpstr>
      <vt:lpstr>A130391067L</vt:lpstr>
      <vt:lpstr>A130391067L_Data</vt:lpstr>
      <vt:lpstr>A130391067L_Latest</vt:lpstr>
      <vt:lpstr>A130391074K</vt:lpstr>
      <vt:lpstr>A130391074K_Data</vt:lpstr>
      <vt:lpstr>A130391074K_Latest</vt:lpstr>
      <vt:lpstr>A130391081J</vt:lpstr>
      <vt:lpstr>A130391081J_Data</vt:lpstr>
      <vt:lpstr>A130391081J_Latest</vt:lpstr>
      <vt:lpstr>A130391088X</vt:lpstr>
      <vt:lpstr>A130391088X_Data</vt:lpstr>
      <vt:lpstr>A130391088X_Latest</vt:lpstr>
      <vt:lpstr>A130391095W</vt:lpstr>
      <vt:lpstr>A130391095W_Data</vt:lpstr>
      <vt:lpstr>A130391095W_Latest</vt:lpstr>
      <vt:lpstr>A130391102J</vt:lpstr>
      <vt:lpstr>A130391102J_Data</vt:lpstr>
      <vt:lpstr>A130391102J_Latest</vt:lpstr>
      <vt:lpstr>A130391109X</vt:lpstr>
      <vt:lpstr>A130391109X_Data</vt:lpstr>
      <vt:lpstr>A130391109X_Latest</vt:lpstr>
      <vt:lpstr>A130391123V</vt:lpstr>
      <vt:lpstr>A130391123V_Data</vt:lpstr>
      <vt:lpstr>A130391123V_Latest</vt:lpstr>
      <vt:lpstr>A130391130T</vt:lpstr>
      <vt:lpstr>A130391130T_Data</vt:lpstr>
      <vt:lpstr>A130391130T_Latest</vt:lpstr>
      <vt:lpstr>A130391137J</vt:lpstr>
      <vt:lpstr>A130391137J_Data</vt:lpstr>
      <vt:lpstr>A130391137J_Latest</vt:lpstr>
      <vt:lpstr>A130391144F</vt:lpstr>
      <vt:lpstr>A130391144F_Data</vt:lpstr>
      <vt:lpstr>A130391144F_Latest</vt:lpstr>
      <vt:lpstr>A130391214A</vt:lpstr>
      <vt:lpstr>A130391214A_Data</vt:lpstr>
      <vt:lpstr>A130391214A_Latest</vt:lpstr>
      <vt:lpstr>A130391221X</vt:lpstr>
      <vt:lpstr>A130391221X_Data</vt:lpstr>
      <vt:lpstr>A130391221X_Latest</vt:lpstr>
      <vt:lpstr>A130391228R</vt:lpstr>
      <vt:lpstr>A130391228R_Data</vt:lpstr>
      <vt:lpstr>A130391228R_Latest</vt:lpstr>
      <vt:lpstr>A130391235L</vt:lpstr>
      <vt:lpstr>A130391235L_Data</vt:lpstr>
      <vt:lpstr>A130391235L_Latest</vt:lpstr>
      <vt:lpstr>A130391242K</vt:lpstr>
      <vt:lpstr>A130391242K_Data</vt:lpstr>
      <vt:lpstr>A130391242K_Latest</vt:lpstr>
      <vt:lpstr>A130391256X</vt:lpstr>
      <vt:lpstr>A130391256X_Data</vt:lpstr>
      <vt:lpstr>A130391256X_Latest</vt:lpstr>
      <vt:lpstr>A130391270V</vt:lpstr>
      <vt:lpstr>A130391270V_Data</vt:lpstr>
      <vt:lpstr>A130391270V_Latest</vt:lpstr>
      <vt:lpstr>A130391277K</vt:lpstr>
      <vt:lpstr>A130391277K_Data</vt:lpstr>
      <vt:lpstr>A130391277K_Latest</vt:lpstr>
      <vt:lpstr>A130391284J</vt:lpstr>
      <vt:lpstr>A130391284J_Data</vt:lpstr>
      <vt:lpstr>A130391284J_Latest</vt:lpstr>
      <vt:lpstr>A130391298W</vt:lpstr>
      <vt:lpstr>A130391298W_Data</vt:lpstr>
      <vt:lpstr>A130391298W_Latest</vt:lpstr>
      <vt:lpstr>A130391305J</vt:lpstr>
      <vt:lpstr>A130391305J_Data</vt:lpstr>
      <vt:lpstr>A130391305J_Latest</vt:lpstr>
      <vt:lpstr>A130391312F</vt:lpstr>
      <vt:lpstr>A130391312F_Data</vt:lpstr>
      <vt:lpstr>A130391312F_Latest</vt:lpstr>
      <vt:lpstr>A130391319W</vt:lpstr>
      <vt:lpstr>A130391319W_Data</vt:lpstr>
      <vt:lpstr>A130391319W_Latest</vt:lpstr>
      <vt:lpstr>A130391326V</vt:lpstr>
      <vt:lpstr>A130391326V_Data</vt:lpstr>
      <vt:lpstr>A130391326V_Latest</vt:lpstr>
      <vt:lpstr>A130391333T</vt:lpstr>
      <vt:lpstr>A130391333T_Data</vt:lpstr>
      <vt:lpstr>A130391333T_Latest</vt:lpstr>
      <vt:lpstr>A130391340R</vt:lpstr>
      <vt:lpstr>A130391340R_Data</vt:lpstr>
      <vt:lpstr>A130391340R_Latest</vt:lpstr>
      <vt:lpstr>A130391347F</vt:lpstr>
      <vt:lpstr>A130391347F_Data</vt:lpstr>
      <vt:lpstr>A130391347F_Latest</vt:lpstr>
      <vt:lpstr>A130391354C</vt:lpstr>
      <vt:lpstr>A130391354C_Data</vt:lpstr>
      <vt:lpstr>A130391354C_Latest</vt:lpstr>
      <vt:lpstr>A130391361A</vt:lpstr>
      <vt:lpstr>A130391361A_Data</vt:lpstr>
      <vt:lpstr>A130391361A_Latest</vt:lpstr>
      <vt:lpstr>A130391368T</vt:lpstr>
      <vt:lpstr>A130391368T_Data</vt:lpstr>
      <vt:lpstr>A130391368T_Latest</vt:lpstr>
      <vt:lpstr>A130391375R</vt:lpstr>
      <vt:lpstr>A130391375R_Data</vt:lpstr>
      <vt:lpstr>A130391375R_Latest</vt:lpstr>
      <vt:lpstr>A130391459X</vt:lpstr>
      <vt:lpstr>A130391459X_Data</vt:lpstr>
      <vt:lpstr>A130391459X_Latest</vt:lpstr>
      <vt:lpstr>A130391466W</vt:lpstr>
      <vt:lpstr>A130391466W_Data</vt:lpstr>
      <vt:lpstr>A130391466W_Latest</vt:lpstr>
      <vt:lpstr>A130391473V</vt:lpstr>
      <vt:lpstr>A130391473V_Data</vt:lpstr>
      <vt:lpstr>A130391473V_Latest</vt:lpstr>
      <vt:lpstr>A130391487J</vt:lpstr>
      <vt:lpstr>A130391487J_Data</vt:lpstr>
      <vt:lpstr>A130391487J_Latest</vt:lpstr>
      <vt:lpstr>A130391494F</vt:lpstr>
      <vt:lpstr>A130391494F_Data</vt:lpstr>
      <vt:lpstr>A130391494F_Latest</vt:lpstr>
      <vt:lpstr>A130391501T</vt:lpstr>
      <vt:lpstr>A130391501T_Data</vt:lpstr>
      <vt:lpstr>A130391501T_Latest</vt:lpstr>
      <vt:lpstr>A130391508J</vt:lpstr>
      <vt:lpstr>A130391508J_Data</vt:lpstr>
      <vt:lpstr>A130391508J_Latest</vt:lpstr>
      <vt:lpstr>A130391515F</vt:lpstr>
      <vt:lpstr>A130391515F_Data</vt:lpstr>
      <vt:lpstr>A130391515F_Latest</vt:lpstr>
      <vt:lpstr>A130391522C</vt:lpstr>
      <vt:lpstr>A130391522C_Data</vt:lpstr>
      <vt:lpstr>A130391522C_Latest</vt:lpstr>
      <vt:lpstr>A130391529V</vt:lpstr>
      <vt:lpstr>A130391529V_Data</vt:lpstr>
      <vt:lpstr>A130391529V_Latest</vt:lpstr>
      <vt:lpstr>A130391543R</vt:lpstr>
      <vt:lpstr>A130391543R_Data</vt:lpstr>
      <vt:lpstr>A130391543R_Latest</vt:lpstr>
      <vt:lpstr>A130391550L</vt:lpstr>
      <vt:lpstr>A130391550L_Data</vt:lpstr>
      <vt:lpstr>A130391550L_Latest</vt:lpstr>
      <vt:lpstr>A130391557C</vt:lpstr>
      <vt:lpstr>A130391557C_Data</vt:lpstr>
      <vt:lpstr>A130391557C_Latest</vt:lpstr>
      <vt:lpstr>A130391564A</vt:lpstr>
      <vt:lpstr>A130391564A_Data</vt:lpstr>
      <vt:lpstr>A130391564A_Latest</vt:lpstr>
      <vt:lpstr>A130391571X</vt:lpstr>
      <vt:lpstr>A130391571X_Data</vt:lpstr>
      <vt:lpstr>A130391571X_Latest</vt:lpstr>
      <vt:lpstr>A130391578R</vt:lpstr>
      <vt:lpstr>A130391578R_Data</vt:lpstr>
      <vt:lpstr>A130391578R_Latest</vt:lpstr>
      <vt:lpstr>A130391585L</vt:lpstr>
      <vt:lpstr>A130391585L_Data</vt:lpstr>
      <vt:lpstr>A130391585L_Latest</vt:lpstr>
      <vt:lpstr>A130391592K</vt:lpstr>
      <vt:lpstr>A130391592K_Data</vt:lpstr>
      <vt:lpstr>A130391592K_Latest</vt:lpstr>
      <vt:lpstr>A130391599A</vt:lpstr>
      <vt:lpstr>A130391599A_Data</vt:lpstr>
      <vt:lpstr>A130391599A_Latest</vt:lpstr>
      <vt:lpstr>A130391606L</vt:lpstr>
      <vt:lpstr>A130391606L_Data</vt:lpstr>
      <vt:lpstr>A130391606L_Latest</vt:lpstr>
      <vt:lpstr>A130391613K</vt:lpstr>
      <vt:lpstr>A130391613K_Data</vt:lpstr>
      <vt:lpstr>A130391613K_Latest</vt:lpstr>
      <vt:lpstr>A130391620J</vt:lpstr>
      <vt:lpstr>A130391620J_Data</vt:lpstr>
      <vt:lpstr>A130391620J_Latest</vt:lpstr>
      <vt:lpstr>A130391676V</vt:lpstr>
      <vt:lpstr>A130391676V_Data</vt:lpstr>
      <vt:lpstr>A130391676V_Latest</vt:lpstr>
      <vt:lpstr>A130391683T</vt:lpstr>
      <vt:lpstr>A130391683T_Data</vt:lpstr>
      <vt:lpstr>A130391683T_Latest</vt:lpstr>
      <vt:lpstr>A130391690R</vt:lpstr>
      <vt:lpstr>A130391690R_Data</vt:lpstr>
      <vt:lpstr>A130391690R_Latest</vt:lpstr>
      <vt:lpstr>A130391697F</vt:lpstr>
      <vt:lpstr>A130391697F_Data</vt:lpstr>
      <vt:lpstr>A130391697F_Latest</vt:lpstr>
      <vt:lpstr>A130391711R</vt:lpstr>
      <vt:lpstr>A130391711R_Data</vt:lpstr>
      <vt:lpstr>A130391711R_Latest</vt:lpstr>
      <vt:lpstr>A130391718F</vt:lpstr>
      <vt:lpstr>A130391718F_Data</vt:lpstr>
      <vt:lpstr>A130391718F_Latest</vt:lpstr>
      <vt:lpstr>A130391725C</vt:lpstr>
      <vt:lpstr>A130391725C_Data</vt:lpstr>
      <vt:lpstr>A130391725C_Latest</vt:lpstr>
      <vt:lpstr>A130391732A</vt:lpstr>
      <vt:lpstr>A130391732A_Data</vt:lpstr>
      <vt:lpstr>A130391732A_Latest</vt:lpstr>
      <vt:lpstr>A130391739T</vt:lpstr>
      <vt:lpstr>A130391739T_Data</vt:lpstr>
      <vt:lpstr>A130391739T_Latest</vt:lpstr>
      <vt:lpstr>A130391746R</vt:lpstr>
      <vt:lpstr>A130391746R_Data</vt:lpstr>
      <vt:lpstr>A130391746R_Latest</vt:lpstr>
      <vt:lpstr>A130391753L</vt:lpstr>
      <vt:lpstr>A130391753L_Data</vt:lpstr>
      <vt:lpstr>A130391753L_Latest</vt:lpstr>
      <vt:lpstr>A130391767A</vt:lpstr>
      <vt:lpstr>A130391767A_Data</vt:lpstr>
      <vt:lpstr>A130391767A_Latest</vt:lpstr>
      <vt:lpstr>A130391774X</vt:lpstr>
      <vt:lpstr>A130391774X_Data</vt:lpstr>
      <vt:lpstr>A130391774X_Latest</vt:lpstr>
      <vt:lpstr>A130391781W</vt:lpstr>
      <vt:lpstr>A130391781W_Data</vt:lpstr>
      <vt:lpstr>A130391781W_Latest</vt:lpstr>
      <vt:lpstr>A130391795K</vt:lpstr>
      <vt:lpstr>A130391795K_Data</vt:lpstr>
      <vt:lpstr>A130391795K_Latest</vt:lpstr>
      <vt:lpstr>A130391802W</vt:lpstr>
      <vt:lpstr>A130391802W_Data</vt:lpstr>
      <vt:lpstr>A130391802W_Latest</vt:lpstr>
      <vt:lpstr>A130391809L</vt:lpstr>
      <vt:lpstr>A130391809L_Data</vt:lpstr>
      <vt:lpstr>A130391809L_Latest</vt:lpstr>
      <vt:lpstr>A130391816K</vt:lpstr>
      <vt:lpstr>A130391816K_Data</vt:lpstr>
      <vt:lpstr>A130391816K_Latest</vt:lpstr>
      <vt:lpstr>A130391823J</vt:lpstr>
      <vt:lpstr>A130391823J_Data</vt:lpstr>
      <vt:lpstr>A130391823J_Latest</vt:lpstr>
      <vt:lpstr>A130391837W</vt:lpstr>
      <vt:lpstr>A130391837W_Data</vt:lpstr>
      <vt:lpstr>A130391837W_Latest</vt:lpstr>
      <vt:lpstr>A130391851T</vt:lpstr>
      <vt:lpstr>A130391851T_Data</vt:lpstr>
      <vt:lpstr>A130391851T_Latest</vt:lpstr>
      <vt:lpstr>A130391858J</vt:lpstr>
      <vt:lpstr>A130391858J_Data</vt:lpstr>
      <vt:lpstr>A130391858J_Latest</vt:lpstr>
      <vt:lpstr>A130391865F</vt:lpstr>
      <vt:lpstr>A130391865F_Data</vt:lpstr>
      <vt:lpstr>A130391865F_Latest</vt:lpstr>
      <vt:lpstr>A130391872C</vt:lpstr>
      <vt:lpstr>A130391872C_Data</vt:lpstr>
      <vt:lpstr>A130391872C_Latest</vt:lpstr>
      <vt:lpstr>A130391879V</vt:lpstr>
      <vt:lpstr>A130391879V_Data</vt:lpstr>
      <vt:lpstr>A130391879V_Latest</vt:lpstr>
      <vt:lpstr>A130391886T</vt:lpstr>
      <vt:lpstr>A130391886T_Data</vt:lpstr>
      <vt:lpstr>A130391886T_Latest</vt:lpstr>
      <vt:lpstr>A130391893R</vt:lpstr>
      <vt:lpstr>A130391893R_Data</vt:lpstr>
      <vt:lpstr>A130391893R_Latest</vt:lpstr>
      <vt:lpstr>A130391900A</vt:lpstr>
      <vt:lpstr>A130391900A_Data</vt:lpstr>
      <vt:lpstr>A130391900A_Latest</vt:lpstr>
      <vt:lpstr>A130391907T</vt:lpstr>
      <vt:lpstr>A130391907T_Data</vt:lpstr>
      <vt:lpstr>A130391907T_Latest</vt:lpstr>
      <vt:lpstr>A130391914R</vt:lpstr>
      <vt:lpstr>A130391914R_Data</vt:lpstr>
      <vt:lpstr>A130391914R_Latest</vt:lpstr>
      <vt:lpstr>A130391935A</vt:lpstr>
      <vt:lpstr>A130391935A_Data</vt:lpstr>
      <vt:lpstr>A130391935A_Latest</vt:lpstr>
      <vt:lpstr>A130391949R</vt:lpstr>
      <vt:lpstr>A130391949R_Data</vt:lpstr>
      <vt:lpstr>A130391949R_Latest</vt:lpstr>
      <vt:lpstr>A130391956L</vt:lpstr>
      <vt:lpstr>A130391956L_Data</vt:lpstr>
      <vt:lpstr>A130391956L_Latest</vt:lpstr>
      <vt:lpstr>A130391970J</vt:lpstr>
      <vt:lpstr>A130391970J_Data</vt:lpstr>
      <vt:lpstr>A130391970J_Latest</vt:lpstr>
      <vt:lpstr>A130391977X</vt:lpstr>
      <vt:lpstr>A130391977X_Data</vt:lpstr>
      <vt:lpstr>A130391977X_Latest</vt:lpstr>
      <vt:lpstr>A130391984W</vt:lpstr>
      <vt:lpstr>A130391984W_Data</vt:lpstr>
      <vt:lpstr>A130391984W_Latest</vt:lpstr>
      <vt:lpstr>A130391998K</vt:lpstr>
      <vt:lpstr>A130391998K_Data</vt:lpstr>
      <vt:lpstr>A130391998K_Latest</vt:lpstr>
      <vt:lpstr>A130392005X</vt:lpstr>
      <vt:lpstr>A130392005X_Data</vt:lpstr>
      <vt:lpstr>A130392005X_Latest</vt:lpstr>
      <vt:lpstr>A130392012W</vt:lpstr>
      <vt:lpstr>A130392012W_Data</vt:lpstr>
      <vt:lpstr>A130392012W_Latest</vt:lpstr>
      <vt:lpstr>A130392019L</vt:lpstr>
      <vt:lpstr>A130392019L_Data</vt:lpstr>
      <vt:lpstr>A130392019L_Latest</vt:lpstr>
      <vt:lpstr>A130392026K</vt:lpstr>
      <vt:lpstr>A130392026K_Data</vt:lpstr>
      <vt:lpstr>A130392026K_Latest</vt:lpstr>
      <vt:lpstr>A130392040F</vt:lpstr>
      <vt:lpstr>A130392040F_Data</vt:lpstr>
      <vt:lpstr>A130392040F_Latest</vt:lpstr>
      <vt:lpstr>A130392047W</vt:lpstr>
      <vt:lpstr>A130392047W_Data</vt:lpstr>
      <vt:lpstr>A130392047W_Latest</vt:lpstr>
      <vt:lpstr>A130392061T</vt:lpstr>
      <vt:lpstr>A130392061T_Data</vt:lpstr>
      <vt:lpstr>A130392061T_Latest</vt:lpstr>
      <vt:lpstr>A130392068J</vt:lpstr>
      <vt:lpstr>A130392068J_Data</vt:lpstr>
      <vt:lpstr>A130392068J_Latest</vt:lpstr>
      <vt:lpstr>A130392075F</vt:lpstr>
      <vt:lpstr>A130392075F_Data</vt:lpstr>
      <vt:lpstr>A130392075F_Latest</vt:lpstr>
      <vt:lpstr>A130392082C</vt:lpstr>
      <vt:lpstr>A130392082C_Data</vt:lpstr>
      <vt:lpstr>A130392082C_Latest</vt:lpstr>
      <vt:lpstr>A130392089V</vt:lpstr>
      <vt:lpstr>A130392089V_Data</vt:lpstr>
      <vt:lpstr>A130392089V_Latest</vt:lpstr>
      <vt:lpstr>A130392096T</vt:lpstr>
      <vt:lpstr>A130392096T_Data</vt:lpstr>
      <vt:lpstr>A130392096T_Latest</vt:lpstr>
      <vt:lpstr>A130392103C</vt:lpstr>
      <vt:lpstr>A130392103C_Data</vt:lpstr>
      <vt:lpstr>A130392103C_Latest</vt:lpstr>
      <vt:lpstr>A130392117T</vt:lpstr>
      <vt:lpstr>A130392117T_Data</vt:lpstr>
      <vt:lpstr>A130392117T_Latest</vt:lpstr>
      <vt:lpstr>A130392124R</vt:lpstr>
      <vt:lpstr>A130392124R_Data</vt:lpstr>
      <vt:lpstr>A130392124R_Latest</vt:lpstr>
      <vt:lpstr>A130392131L</vt:lpstr>
      <vt:lpstr>A130392131L_Data</vt:lpstr>
      <vt:lpstr>A130392131L_Latest</vt:lpstr>
      <vt:lpstr>A130392138C</vt:lpstr>
      <vt:lpstr>A130392138C_Data</vt:lpstr>
      <vt:lpstr>A130392138C_Latest</vt:lpstr>
      <vt:lpstr>A130392145A</vt:lpstr>
      <vt:lpstr>A130392145A_Data</vt:lpstr>
      <vt:lpstr>A130392145A_Latest</vt:lpstr>
      <vt:lpstr>A130392152X</vt:lpstr>
      <vt:lpstr>A130392152X_Data</vt:lpstr>
      <vt:lpstr>A130392152X_Latest</vt:lpstr>
      <vt:lpstr>A130392159R</vt:lpstr>
      <vt:lpstr>A130392159R_Data</vt:lpstr>
      <vt:lpstr>A130392159R_Latest</vt:lpstr>
      <vt:lpstr>A130392166L</vt:lpstr>
      <vt:lpstr>A130392166L_Data</vt:lpstr>
      <vt:lpstr>A130392166L_Latest</vt:lpstr>
      <vt:lpstr>A130392173K</vt:lpstr>
      <vt:lpstr>A130392173K_Data</vt:lpstr>
      <vt:lpstr>A130392173K_Latest</vt:lpstr>
      <vt:lpstr>A130392180J</vt:lpstr>
      <vt:lpstr>A130392180J_Data</vt:lpstr>
      <vt:lpstr>A130392180J_Latest</vt:lpstr>
      <vt:lpstr>A130392187X</vt:lpstr>
      <vt:lpstr>A130392187X_Data</vt:lpstr>
      <vt:lpstr>A130392187X_Latest</vt:lpstr>
      <vt:lpstr>A130392201J</vt:lpstr>
      <vt:lpstr>A130392201J_Data</vt:lpstr>
      <vt:lpstr>A130392201J_Latest</vt:lpstr>
      <vt:lpstr>A130392208X</vt:lpstr>
      <vt:lpstr>A130392208X_Data</vt:lpstr>
      <vt:lpstr>A130392208X_Latest</vt:lpstr>
      <vt:lpstr>A130392222V</vt:lpstr>
      <vt:lpstr>A130392222V_Data</vt:lpstr>
      <vt:lpstr>A130392222V_Latest</vt:lpstr>
      <vt:lpstr>A130392229K</vt:lpstr>
      <vt:lpstr>A130392229K_Data</vt:lpstr>
      <vt:lpstr>A130392229K_Latest</vt:lpstr>
      <vt:lpstr>A130392236J</vt:lpstr>
      <vt:lpstr>A130392236J_Data</vt:lpstr>
      <vt:lpstr>A130392236J_Latest</vt:lpstr>
      <vt:lpstr>A130392243F</vt:lpstr>
      <vt:lpstr>A130392243F_Data</vt:lpstr>
      <vt:lpstr>A130392243F_Latest</vt:lpstr>
      <vt:lpstr>A130392250C</vt:lpstr>
      <vt:lpstr>A130392250C_Data</vt:lpstr>
      <vt:lpstr>A130392250C_Latest</vt:lpstr>
      <vt:lpstr>A130392257V</vt:lpstr>
      <vt:lpstr>A130392257V_Data</vt:lpstr>
      <vt:lpstr>A130392257V_Latest</vt:lpstr>
      <vt:lpstr>A130392264T</vt:lpstr>
      <vt:lpstr>A130392264T_Data</vt:lpstr>
      <vt:lpstr>A130392264T_Latest</vt:lpstr>
      <vt:lpstr>A130392271R</vt:lpstr>
      <vt:lpstr>A130392271R_Data</vt:lpstr>
      <vt:lpstr>A130392271R_Latest</vt:lpstr>
      <vt:lpstr>A130392278F</vt:lpstr>
      <vt:lpstr>A130392278F_Data</vt:lpstr>
      <vt:lpstr>A130392278F_Latest</vt:lpstr>
      <vt:lpstr>A130392285C</vt:lpstr>
      <vt:lpstr>A130392285C_Data</vt:lpstr>
      <vt:lpstr>A130392285C_Latest</vt:lpstr>
      <vt:lpstr>A130392292A</vt:lpstr>
      <vt:lpstr>A130392292A_Data</vt:lpstr>
      <vt:lpstr>A130392292A_Latest</vt:lpstr>
      <vt:lpstr>A130392299T</vt:lpstr>
      <vt:lpstr>A130392299T_Data</vt:lpstr>
      <vt:lpstr>A130392299T_Latest</vt:lpstr>
      <vt:lpstr>A130392306C</vt:lpstr>
      <vt:lpstr>A130392306C_Data</vt:lpstr>
      <vt:lpstr>A130392306C_Latest</vt:lpstr>
      <vt:lpstr>A130392313A</vt:lpstr>
      <vt:lpstr>A130392313A_Data</vt:lpstr>
      <vt:lpstr>A130392313A_Latest</vt:lpstr>
      <vt:lpstr>A130392320X</vt:lpstr>
      <vt:lpstr>A130392320X_Data</vt:lpstr>
      <vt:lpstr>A130392320X_Latest</vt:lpstr>
      <vt:lpstr>A130392327R</vt:lpstr>
      <vt:lpstr>A130392327R_Data</vt:lpstr>
      <vt:lpstr>A130392327R_Latest</vt:lpstr>
      <vt:lpstr>A130392341K</vt:lpstr>
      <vt:lpstr>A130392341K_Data</vt:lpstr>
      <vt:lpstr>A130392341K_Latest</vt:lpstr>
      <vt:lpstr>A130392348A</vt:lpstr>
      <vt:lpstr>A130392348A_Data</vt:lpstr>
      <vt:lpstr>A130392348A_Latest</vt:lpstr>
      <vt:lpstr>A130392355X</vt:lpstr>
      <vt:lpstr>A130392355X_Data</vt:lpstr>
      <vt:lpstr>A130392355X_Latest</vt:lpstr>
      <vt:lpstr>A130392418W</vt:lpstr>
      <vt:lpstr>A130392418W_Data</vt:lpstr>
      <vt:lpstr>A130392418W_Latest</vt:lpstr>
      <vt:lpstr>A130392425V</vt:lpstr>
      <vt:lpstr>A130392425V_Data</vt:lpstr>
      <vt:lpstr>A130392425V_Latest</vt:lpstr>
      <vt:lpstr>A130392432T</vt:lpstr>
      <vt:lpstr>A130392432T_Data</vt:lpstr>
      <vt:lpstr>A130392432T_Latest</vt:lpstr>
      <vt:lpstr>A130392439J</vt:lpstr>
      <vt:lpstr>A130392439J_Data</vt:lpstr>
      <vt:lpstr>A130392439J_Latest</vt:lpstr>
      <vt:lpstr>A130392453C</vt:lpstr>
      <vt:lpstr>A130392453C_Data</vt:lpstr>
      <vt:lpstr>A130392453C_Latest</vt:lpstr>
      <vt:lpstr>A130392460A</vt:lpstr>
      <vt:lpstr>A130392460A_Data</vt:lpstr>
      <vt:lpstr>A130392460A_Latest</vt:lpstr>
      <vt:lpstr>A130392467T</vt:lpstr>
      <vt:lpstr>A130392467T_Data</vt:lpstr>
      <vt:lpstr>A130392467T_Latest</vt:lpstr>
      <vt:lpstr>A130392481L</vt:lpstr>
      <vt:lpstr>A130392481L_Data</vt:lpstr>
      <vt:lpstr>A130392481L_Latest</vt:lpstr>
      <vt:lpstr>A130392488C</vt:lpstr>
      <vt:lpstr>A130392488C_Data</vt:lpstr>
      <vt:lpstr>A130392488C_Latest</vt:lpstr>
      <vt:lpstr>A130392495A</vt:lpstr>
      <vt:lpstr>A130392495A_Data</vt:lpstr>
      <vt:lpstr>A130392495A_Latest</vt:lpstr>
      <vt:lpstr>A130392502L</vt:lpstr>
      <vt:lpstr>A130392502L_Data</vt:lpstr>
      <vt:lpstr>A130392502L_Latest</vt:lpstr>
      <vt:lpstr>A130392509C</vt:lpstr>
      <vt:lpstr>A130392509C_Data</vt:lpstr>
      <vt:lpstr>A130392509C_Latest</vt:lpstr>
      <vt:lpstr>A130392516A</vt:lpstr>
      <vt:lpstr>A130392516A_Data</vt:lpstr>
      <vt:lpstr>A130392516A_Latest</vt:lpstr>
      <vt:lpstr>A130392523X</vt:lpstr>
      <vt:lpstr>A130392523X_Data</vt:lpstr>
      <vt:lpstr>A130392523X_Latest</vt:lpstr>
      <vt:lpstr>A130392530W</vt:lpstr>
      <vt:lpstr>A130392530W_Data</vt:lpstr>
      <vt:lpstr>A130392530W_Latest</vt:lpstr>
      <vt:lpstr>A130392537L</vt:lpstr>
      <vt:lpstr>A130392537L_Data</vt:lpstr>
      <vt:lpstr>A130392537L_Latest</vt:lpstr>
      <vt:lpstr>A130392544K</vt:lpstr>
      <vt:lpstr>A130392544K_Data</vt:lpstr>
      <vt:lpstr>A130392544K_Latest</vt:lpstr>
      <vt:lpstr>A130392551J</vt:lpstr>
      <vt:lpstr>A130392551J_Data</vt:lpstr>
      <vt:lpstr>A130392551J_Latest</vt:lpstr>
      <vt:lpstr>A130392558X</vt:lpstr>
      <vt:lpstr>A130392558X_Data</vt:lpstr>
      <vt:lpstr>A130392558X_Latest</vt:lpstr>
      <vt:lpstr>A130392565W</vt:lpstr>
      <vt:lpstr>A130392565W_Data</vt:lpstr>
      <vt:lpstr>A130392565W_Latest</vt:lpstr>
      <vt:lpstr>A130392572V</vt:lpstr>
      <vt:lpstr>A130392572V_Data</vt:lpstr>
      <vt:lpstr>A130392572V_Latest</vt:lpstr>
      <vt:lpstr>A130392579K</vt:lpstr>
      <vt:lpstr>A130392579K_Data</vt:lpstr>
      <vt:lpstr>A130392579K_Latest</vt:lpstr>
      <vt:lpstr>A130392586J</vt:lpstr>
      <vt:lpstr>A130392586J_Data</vt:lpstr>
      <vt:lpstr>A130392586J_Latest</vt:lpstr>
      <vt:lpstr>A130392593F</vt:lpstr>
      <vt:lpstr>A130392593F_Data</vt:lpstr>
      <vt:lpstr>A130392593F_Latest</vt:lpstr>
      <vt:lpstr>A130392600T</vt:lpstr>
      <vt:lpstr>A130392600T_Data</vt:lpstr>
      <vt:lpstr>A130392600T_Latest</vt:lpstr>
      <vt:lpstr>A130392607J</vt:lpstr>
      <vt:lpstr>A130392607J_Data</vt:lpstr>
      <vt:lpstr>A130392607J_Latest</vt:lpstr>
      <vt:lpstr>A130392621C</vt:lpstr>
      <vt:lpstr>A130392621C_Data</vt:lpstr>
      <vt:lpstr>A130392621C_Latest</vt:lpstr>
      <vt:lpstr>A130392628V</vt:lpstr>
      <vt:lpstr>A130392628V_Data</vt:lpstr>
      <vt:lpstr>A130392628V_Latest</vt:lpstr>
      <vt:lpstr>A130392754J</vt:lpstr>
      <vt:lpstr>A130392754J_Data</vt:lpstr>
      <vt:lpstr>A130392754J_Latest</vt:lpstr>
      <vt:lpstr>A130392782T</vt:lpstr>
      <vt:lpstr>A130392782T_Data</vt:lpstr>
      <vt:lpstr>A130392782T_Latest</vt:lpstr>
      <vt:lpstr>A130392789J</vt:lpstr>
      <vt:lpstr>A130392789J_Data</vt:lpstr>
      <vt:lpstr>A130392789J_Latest</vt:lpstr>
      <vt:lpstr>A130392796F</vt:lpstr>
      <vt:lpstr>A130392796F_Data</vt:lpstr>
      <vt:lpstr>A130392796F_Latest</vt:lpstr>
      <vt:lpstr>A130392803T</vt:lpstr>
      <vt:lpstr>A130392803T_Data</vt:lpstr>
      <vt:lpstr>A130392803T_Latest</vt:lpstr>
      <vt:lpstr>A130392810R</vt:lpstr>
      <vt:lpstr>A130392810R_Data</vt:lpstr>
      <vt:lpstr>A130392810R_Latest</vt:lpstr>
      <vt:lpstr>A130392817F</vt:lpstr>
      <vt:lpstr>A130392817F_Data</vt:lpstr>
      <vt:lpstr>A130392817F_Latest</vt:lpstr>
      <vt:lpstr>A130392824C</vt:lpstr>
      <vt:lpstr>A130392824C_Data</vt:lpstr>
      <vt:lpstr>A130392824C_Latest</vt:lpstr>
      <vt:lpstr>A130392831A</vt:lpstr>
      <vt:lpstr>A130392831A_Data</vt:lpstr>
      <vt:lpstr>A130392831A_Latest</vt:lpstr>
      <vt:lpstr>A130392838T</vt:lpstr>
      <vt:lpstr>A130392838T_Data</vt:lpstr>
      <vt:lpstr>A130392838T_Latest</vt:lpstr>
      <vt:lpstr>A130392845R</vt:lpstr>
      <vt:lpstr>A130392845R_Data</vt:lpstr>
      <vt:lpstr>A130392845R_Latest</vt:lpstr>
      <vt:lpstr>A130392852L</vt:lpstr>
      <vt:lpstr>A130392852L_Data</vt:lpstr>
      <vt:lpstr>A130392852L_Latest</vt:lpstr>
      <vt:lpstr>A130392859C</vt:lpstr>
      <vt:lpstr>A130392859C_Data</vt:lpstr>
      <vt:lpstr>A130392859C_Latest</vt:lpstr>
      <vt:lpstr>A130392866A</vt:lpstr>
      <vt:lpstr>A130392866A_Data</vt:lpstr>
      <vt:lpstr>A130392866A_Latest</vt:lpstr>
      <vt:lpstr>A130392873X</vt:lpstr>
      <vt:lpstr>A130392873X_Data</vt:lpstr>
      <vt:lpstr>A130392873X_Latest</vt:lpstr>
      <vt:lpstr>A130392887L</vt:lpstr>
      <vt:lpstr>A130392887L_Data</vt:lpstr>
      <vt:lpstr>A130392887L_Latest</vt:lpstr>
      <vt:lpstr>A130392894K</vt:lpstr>
      <vt:lpstr>A130392894K_Data</vt:lpstr>
      <vt:lpstr>A130392894K_Latest</vt:lpstr>
      <vt:lpstr>A130392957J</vt:lpstr>
      <vt:lpstr>A130392957J_Data</vt:lpstr>
      <vt:lpstr>A130392957J_Latest</vt:lpstr>
      <vt:lpstr>A130392964F</vt:lpstr>
      <vt:lpstr>A130392964F_Data</vt:lpstr>
      <vt:lpstr>A130392964F_Latest</vt:lpstr>
      <vt:lpstr>A130392971C</vt:lpstr>
      <vt:lpstr>A130392971C_Data</vt:lpstr>
      <vt:lpstr>A130392971C_Latest</vt:lpstr>
      <vt:lpstr>A130392978V</vt:lpstr>
      <vt:lpstr>A130392978V_Data</vt:lpstr>
      <vt:lpstr>A130392978V_Latest</vt:lpstr>
      <vt:lpstr>A130392985T</vt:lpstr>
      <vt:lpstr>A130392985T_Data</vt:lpstr>
      <vt:lpstr>A130392985T_Latest</vt:lpstr>
      <vt:lpstr>A130392992R</vt:lpstr>
      <vt:lpstr>A130392992R_Data</vt:lpstr>
      <vt:lpstr>A130392992R_Latest</vt:lpstr>
      <vt:lpstr>A130392999F</vt:lpstr>
      <vt:lpstr>A130392999F_Data</vt:lpstr>
      <vt:lpstr>A130392999F_Latest</vt:lpstr>
      <vt:lpstr>A130393006V</vt:lpstr>
      <vt:lpstr>A130393006V_Data</vt:lpstr>
      <vt:lpstr>A130393006V_Latest</vt:lpstr>
      <vt:lpstr>A130393013T</vt:lpstr>
      <vt:lpstr>A130393013T_Data</vt:lpstr>
      <vt:lpstr>A130393013T_Latest</vt:lpstr>
      <vt:lpstr>A130393020R</vt:lpstr>
      <vt:lpstr>A130393020R_Data</vt:lpstr>
      <vt:lpstr>A130393020R_Latest</vt:lpstr>
      <vt:lpstr>A130393041A</vt:lpstr>
      <vt:lpstr>A130393041A_Data</vt:lpstr>
      <vt:lpstr>A130393041A_Latest</vt:lpstr>
      <vt:lpstr>A130393048T</vt:lpstr>
      <vt:lpstr>A130393048T_Data</vt:lpstr>
      <vt:lpstr>A130393048T_Latest</vt:lpstr>
      <vt:lpstr>A130393055R</vt:lpstr>
      <vt:lpstr>A130393055R_Data</vt:lpstr>
      <vt:lpstr>A130393055R_Latest</vt:lpstr>
      <vt:lpstr>A130393062L</vt:lpstr>
      <vt:lpstr>A130393062L_Data</vt:lpstr>
      <vt:lpstr>A130393062L_Latest</vt:lpstr>
      <vt:lpstr>A130393069C</vt:lpstr>
      <vt:lpstr>A130393069C_Data</vt:lpstr>
      <vt:lpstr>A130393069C_Latest</vt:lpstr>
      <vt:lpstr>A130393076A</vt:lpstr>
      <vt:lpstr>A130393076A_Data</vt:lpstr>
      <vt:lpstr>A130393076A_Latest</vt:lpstr>
      <vt:lpstr>A130393083X</vt:lpstr>
      <vt:lpstr>A130393083X_Data</vt:lpstr>
      <vt:lpstr>A130393083X_Latest</vt:lpstr>
      <vt:lpstr>A130393097L</vt:lpstr>
      <vt:lpstr>A130393097L_Data</vt:lpstr>
      <vt:lpstr>A130393097L_Latest</vt:lpstr>
      <vt:lpstr>A130393104X</vt:lpstr>
      <vt:lpstr>A130393104X_Data</vt:lpstr>
      <vt:lpstr>A130393104X_Latest</vt:lpstr>
      <vt:lpstr>A130393111W</vt:lpstr>
      <vt:lpstr>A130393111W_Data</vt:lpstr>
      <vt:lpstr>A130393111W_Latest</vt:lpstr>
      <vt:lpstr>A130393125K</vt:lpstr>
      <vt:lpstr>A130393125K_Data</vt:lpstr>
      <vt:lpstr>A130393125K_Latest</vt:lpstr>
      <vt:lpstr>A130393132J</vt:lpstr>
      <vt:lpstr>A130393132J_Data</vt:lpstr>
      <vt:lpstr>A130393132J_Latest</vt:lpstr>
      <vt:lpstr>A130393139X</vt:lpstr>
      <vt:lpstr>A130393139X_Data</vt:lpstr>
      <vt:lpstr>A130393139X_Latest</vt:lpstr>
      <vt:lpstr>A130393146W</vt:lpstr>
      <vt:lpstr>A130393146W_Data</vt:lpstr>
      <vt:lpstr>A130393146W_Latest</vt:lpstr>
      <vt:lpstr>A130393153V</vt:lpstr>
      <vt:lpstr>A130393153V_Data</vt:lpstr>
      <vt:lpstr>A130393153V_Latest</vt:lpstr>
      <vt:lpstr>A130393160T</vt:lpstr>
      <vt:lpstr>A130393160T_Data</vt:lpstr>
      <vt:lpstr>A130393160T_Latest</vt:lpstr>
      <vt:lpstr>A130393167J</vt:lpstr>
      <vt:lpstr>A130393167J_Data</vt:lpstr>
      <vt:lpstr>A130393167J_Latest</vt:lpstr>
      <vt:lpstr>A130393174F</vt:lpstr>
      <vt:lpstr>A130393174F_Data</vt:lpstr>
      <vt:lpstr>A130393174F_Latest</vt:lpstr>
      <vt:lpstr>A130393181C</vt:lpstr>
      <vt:lpstr>A130393181C_Data</vt:lpstr>
      <vt:lpstr>A130393181C_Latest</vt:lpstr>
      <vt:lpstr>A130393188V</vt:lpstr>
      <vt:lpstr>A130393188V_Data</vt:lpstr>
      <vt:lpstr>A130393188V_Latest</vt:lpstr>
      <vt:lpstr>A130393209V</vt:lpstr>
      <vt:lpstr>A130393209V_Data</vt:lpstr>
      <vt:lpstr>A130393209V_Latest</vt:lpstr>
      <vt:lpstr>A130393216T</vt:lpstr>
      <vt:lpstr>A130393216T_Data</vt:lpstr>
      <vt:lpstr>A130393216T_Latest</vt:lpstr>
      <vt:lpstr>A130393230L</vt:lpstr>
      <vt:lpstr>A130393230L_Data</vt:lpstr>
      <vt:lpstr>A130393230L_Latest</vt:lpstr>
      <vt:lpstr>A130393237C</vt:lpstr>
      <vt:lpstr>A130393237C_Data</vt:lpstr>
      <vt:lpstr>A130393237C_Latest</vt:lpstr>
      <vt:lpstr>A130393251X</vt:lpstr>
      <vt:lpstr>A130393251X_Data</vt:lpstr>
      <vt:lpstr>A130393251X_Latest</vt:lpstr>
      <vt:lpstr>A130393258R</vt:lpstr>
      <vt:lpstr>A130393258R_Data</vt:lpstr>
      <vt:lpstr>A130393258R_Latest</vt:lpstr>
      <vt:lpstr>A130393265L</vt:lpstr>
      <vt:lpstr>A130393265L_Data</vt:lpstr>
      <vt:lpstr>A130393265L_Latest</vt:lpstr>
      <vt:lpstr>A130393272K</vt:lpstr>
      <vt:lpstr>A130393272K_Data</vt:lpstr>
      <vt:lpstr>A130393272K_Latest</vt:lpstr>
      <vt:lpstr>A130393286X</vt:lpstr>
      <vt:lpstr>A130393286X_Data</vt:lpstr>
      <vt:lpstr>A130393286X_Latest</vt:lpstr>
      <vt:lpstr>A130393293W</vt:lpstr>
      <vt:lpstr>A130393293W_Data</vt:lpstr>
      <vt:lpstr>A130393293W_Latest</vt:lpstr>
      <vt:lpstr>A130393300J</vt:lpstr>
      <vt:lpstr>A130393300J_Data</vt:lpstr>
      <vt:lpstr>A130393300J_Latest</vt:lpstr>
      <vt:lpstr>A130393307X</vt:lpstr>
      <vt:lpstr>A130393307X_Data</vt:lpstr>
      <vt:lpstr>A130393307X_Latest</vt:lpstr>
      <vt:lpstr>A130393314W</vt:lpstr>
      <vt:lpstr>A130393314W_Data</vt:lpstr>
      <vt:lpstr>A130393314W_Latest</vt:lpstr>
      <vt:lpstr>A130393321V</vt:lpstr>
      <vt:lpstr>A130393321V_Data</vt:lpstr>
      <vt:lpstr>A130393321V_Latest</vt:lpstr>
      <vt:lpstr>A130393328K</vt:lpstr>
      <vt:lpstr>A130393328K_Data</vt:lpstr>
      <vt:lpstr>A130393328K_Latest</vt:lpstr>
      <vt:lpstr>A130393335J</vt:lpstr>
      <vt:lpstr>A130393335J_Data</vt:lpstr>
      <vt:lpstr>A130393335J_Latest</vt:lpstr>
      <vt:lpstr>A130393342F</vt:lpstr>
      <vt:lpstr>A130393342F_Data</vt:lpstr>
      <vt:lpstr>A130393342F_Latest</vt:lpstr>
      <vt:lpstr>A130393349W</vt:lpstr>
      <vt:lpstr>A130393349W_Data</vt:lpstr>
      <vt:lpstr>A130393349W_Latest</vt:lpstr>
      <vt:lpstr>A130393356V</vt:lpstr>
      <vt:lpstr>A130393356V_Data</vt:lpstr>
      <vt:lpstr>A130393356V_Latest</vt:lpstr>
      <vt:lpstr>A130393363T</vt:lpstr>
      <vt:lpstr>A130393363T_Data</vt:lpstr>
      <vt:lpstr>A130393363T_Latest</vt:lpstr>
      <vt:lpstr>A130393370R</vt:lpstr>
      <vt:lpstr>A130393370R_Data</vt:lpstr>
      <vt:lpstr>A130393370R_Latest</vt:lpstr>
      <vt:lpstr>A130393377F</vt:lpstr>
      <vt:lpstr>A130393377F_Data</vt:lpstr>
      <vt:lpstr>A130393377F_Latest</vt:lpstr>
      <vt:lpstr>A130393384C</vt:lpstr>
      <vt:lpstr>A130393384C_Data</vt:lpstr>
      <vt:lpstr>A130393384C_Latest</vt:lpstr>
      <vt:lpstr>A130393398T</vt:lpstr>
      <vt:lpstr>A130393398T_Data</vt:lpstr>
      <vt:lpstr>A130393398T_Latest</vt:lpstr>
      <vt:lpstr>A130393405C</vt:lpstr>
      <vt:lpstr>A130393405C_Data</vt:lpstr>
      <vt:lpstr>A130393405C_Latest</vt:lpstr>
      <vt:lpstr>A130393419T</vt:lpstr>
      <vt:lpstr>A130393419T_Data</vt:lpstr>
      <vt:lpstr>A130393419T_Latest</vt:lpstr>
      <vt:lpstr>A130393426R</vt:lpstr>
      <vt:lpstr>A130393426R_Data</vt:lpstr>
      <vt:lpstr>A130393426R_Latest</vt:lpstr>
      <vt:lpstr>A130393433L</vt:lpstr>
      <vt:lpstr>A130393433L_Data</vt:lpstr>
      <vt:lpstr>A130393433L_Latest</vt:lpstr>
      <vt:lpstr>A130393447A</vt:lpstr>
      <vt:lpstr>A130393447A_Data</vt:lpstr>
      <vt:lpstr>A130393447A_Latest</vt:lpstr>
      <vt:lpstr>A130393454X</vt:lpstr>
      <vt:lpstr>A130393454X_Data</vt:lpstr>
      <vt:lpstr>A130393454X_Latest</vt:lpstr>
      <vt:lpstr>A130393461W</vt:lpstr>
      <vt:lpstr>A130393461W_Data</vt:lpstr>
      <vt:lpstr>A130393461W_Latest</vt:lpstr>
      <vt:lpstr>A130393468L</vt:lpstr>
      <vt:lpstr>A130393468L_Data</vt:lpstr>
      <vt:lpstr>A130393468L_Latest</vt:lpstr>
      <vt:lpstr>A130393475K</vt:lpstr>
      <vt:lpstr>A130393475K_Data</vt:lpstr>
      <vt:lpstr>A130393475K_Latest</vt:lpstr>
      <vt:lpstr>A130393489X</vt:lpstr>
      <vt:lpstr>A130393489X_Data</vt:lpstr>
      <vt:lpstr>A130393489X_Latest</vt:lpstr>
      <vt:lpstr>A130393503J</vt:lpstr>
      <vt:lpstr>A130393503J_Data</vt:lpstr>
      <vt:lpstr>A130393503J_Latest</vt:lpstr>
      <vt:lpstr>A130393510F</vt:lpstr>
      <vt:lpstr>A130393510F_Data</vt:lpstr>
      <vt:lpstr>A130393510F_Latest</vt:lpstr>
      <vt:lpstr>A130393524V</vt:lpstr>
      <vt:lpstr>A130393524V_Data</vt:lpstr>
      <vt:lpstr>A130393524V_Latest</vt:lpstr>
      <vt:lpstr>A130393538J</vt:lpstr>
      <vt:lpstr>A130393538J_Data</vt:lpstr>
      <vt:lpstr>A130393538J_Latest</vt:lpstr>
      <vt:lpstr>A130393552C</vt:lpstr>
      <vt:lpstr>A130393552C_Data</vt:lpstr>
      <vt:lpstr>A130393552C_Latest</vt:lpstr>
      <vt:lpstr>A130393559V</vt:lpstr>
      <vt:lpstr>A130393559V_Data</vt:lpstr>
      <vt:lpstr>A130393559V_Latest</vt:lpstr>
      <vt:lpstr>A130393566T</vt:lpstr>
      <vt:lpstr>A130393566T_Data</vt:lpstr>
      <vt:lpstr>A130393566T_Latest</vt:lpstr>
      <vt:lpstr>A130393580L</vt:lpstr>
      <vt:lpstr>A130393580L_Data</vt:lpstr>
      <vt:lpstr>A130393580L_Latest</vt:lpstr>
      <vt:lpstr>A130393587C</vt:lpstr>
      <vt:lpstr>A130393587C_Data</vt:lpstr>
      <vt:lpstr>A130393587C_Latest</vt:lpstr>
      <vt:lpstr>A130393594A</vt:lpstr>
      <vt:lpstr>A130393594A_Data</vt:lpstr>
      <vt:lpstr>A130393594A_Latest</vt:lpstr>
      <vt:lpstr>A130393601L</vt:lpstr>
      <vt:lpstr>A130393601L_Data</vt:lpstr>
      <vt:lpstr>A130393601L_Latest</vt:lpstr>
      <vt:lpstr>A130393608C</vt:lpstr>
      <vt:lpstr>A130393608C_Data</vt:lpstr>
      <vt:lpstr>A130393608C_Latest</vt:lpstr>
      <vt:lpstr>A130393615A</vt:lpstr>
      <vt:lpstr>A130393615A_Data</vt:lpstr>
      <vt:lpstr>A130393615A_Latest</vt:lpstr>
      <vt:lpstr>A130393622X</vt:lpstr>
      <vt:lpstr>A130393622X_Data</vt:lpstr>
      <vt:lpstr>A130393622X_Latest</vt:lpstr>
      <vt:lpstr>A130393629R</vt:lpstr>
      <vt:lpstr>A130393629R_Data</vt:lpstr>
      <vt:lpstr>A130393629R_Latest</vt:lpstr>
      <vt:lpstr>A130393636L</vt:lpstr>
      <vt:lpstr>A130393636L_Data</vt:lpstr>
      <vt:lpstr>A130393636L_Latest</vt:lpstr>
      <vt:lpstr>A130393643K</vt:lpstr>
      <vt:lpstr>A130393643K_Data</vt:lpstr>
      <vt:lpstr>A130393643K_Latest</vt:lpstr>
      <vt:lpstr>A130393650J</vt:lpstr>
      <vt:lpstr>A130393650J_Data</vt:lpstr>
      <vt:lpstr>A130393650J_Latest</vt:lpstr>
      <vt:lpstr>A130393657X</vt:lpstr>
      <vt:lpstr>A130393657X_Data</vt:lpstr>
      <vt:lpstr>A130393657X_Latest</vt:lpstr>
      <vt:lpstr>A130393664W</vt:lpstr>
      <vt:lpstr>A130393664W_Data</vt:lpstr>
      <vt:lpstr>A130393664W_Latest</vt:lpstr>
      <vt:lpstr>A130393671V</vt:lpstr>
      <vt:lpstr>A130393671V_Data</vt:lpstr>
      <vt:lpstr>A130393671V_Latest</vt:lpstr>
      <vt:lpstr>A130393678K</vt:lpstr>
      <vt:lpstr>A130393678K_Data</vt:lpstr>
      <vt:lpstr>A130393678K_Latest</vt:lpstr>
      <vt:lpstr>A130393685J</vt:lpstr>
      <vt:lpstr>A130393685J_Data</vt:lpstr>
      <vt:lpstr>A130393685J_Latest</vt:lpstr>
      <vt:lpstr>A130393692F</vt:lpstr>
      <vt:lpstr>A130393692F_Data</vt:lpstr>
      <vt:lpstr>A130393692F_Latest</vt:lpstr>
      <vt:lpstr>A130393699W</vt:lpstr>
      <vt:lpstr>A130393699W_Data</vt:lpstr>
      <vt:lpstr>A130393699W_Latest</vt:lpstr>
      <vt:lpstr>A130393706J</vt:lpstr>
      <vt:lpstr>A130393706J_Data</vt:lpstr>
      <vt:lpstr>A130393706J_Latest</vt:lpstr>
      <vt:lpstr>A130393713F</vt:lpstr>
      <vt:lpstr>A130393713F_Data</vt:lpstr>
      <vt:lpstr>A130393713F_Latest</vt:lpstr>
      <vt:lpstr>A130393727V</vt:lpstr>
      <vt:lpstr>A130393727V_Data</vt:lpstr>
      <vt:lpstr>A130393727V_Latest</vt:lpstr>
      <vt:lpstr>A130393783L</vt:lpstr>
      <vt:lpstr>A130393783L_Data</vt:lpstr>
      <vt:lpstr>A130393783L_Latest</vt:lpstr>
      <vt:lpstr>A130393790K</vt:lpstr>
      <vt:lpstr>A130393790K_Data</vt:lpstr>
      <vt:lpstr>A130393790K_Latest</vt:lpstr>
      <vt:lpstr>A130393797A</vt:lpstr>
      <vt:lpstr>A130393797A_Data</vt:lpstr>
      <vt:lpstr>A130393797A_Latest</vt:lpstr>
      <vt:lpstr>A130393804L</vt:lpstr>
      <vt:lpstr>A130393804L_Data</vt:lpstr>
      <vt:lpstr>A130393804L_Latest</vt:lpstr>
      <vt:lpstr>A130393811K</vt:lpstr>
      <vt:lpstr>A130393811K_Data</vt:lpstr>
      <vt:lpstr>A130393811K_Latest</vt:lpstr>
      <vt:lpstr>A130393818A</vt:lpstr>
      <vt:lpstr>A130393818A_Data</vt:lpstr>
      <vt:lpstr>A130393818A_Latest</vt:lpstr>
      <vt:lpstr>A130393825X</vt:lpstr>
      <vt:lpstr>A130393825X_Data</vt:lpstr>
      <vt:lpstr>A130393825X_Latest</vt:lpstr>
      <vt:lpstr>A130393839L</vt:lpstr>
      <vt:lpstr>A130393839L_Data</vt:lpstr>
      <vt:lpstr>A130393839L_Latest</vt:lpstr>
      <vt:lpstr>A130393846K</vt:lpstr>
      <vt:lpstr>A130393846K_Data</vt:lpstr>
      <vt:lpstr>A130393846K_Latest</vt:lpstr>
      <vt:lpstr>A130393853J</vt:lpstr>
      <vt:lpstr>A130393853J_Data</vt:lpstr>
      <vt:lpstr>A130393853J_Latest</vt:lpstr>
      <vt:lpstr>A130393860F</vt:lpstr>
      <vt:lpstr>A130393860F_Data</vt:lpstr>
      <vt:lpstr>A130393860F_Latest</vt:lpstr>
      <vt:lpstr>A130393867W</vt:lpstr>
      <vt:lpstr>A130393867W_Data</vt:lpstr>
      <vt:lpstr>A130393867W_Latest</vt:lpstr>
      <vt:lpstr>A130393874V</vt:lpstr>
      <vt:lpstr>A130393874V_Data</vt:lpstr>
      <vt:lpstr>A130393874V_Latest</vt:lpstr>
      <vt:lpstr>A130393881T</vt:lpstr>
      <vt:lpstr>A130393881T_Data</vt:lpstr>
      <vt:lpstr>A130393881T_Latest</vt:lpstr>
      <vt:lpstr>A130393888J</vt:lpstr>
      <vt:lpstr>A130393888J_Data</vt:lpstr>
      <vt:lpstr>A130393888J_Latest</vt:lpstr>
      <vt:lpstr>A130393895F</vt:lpstr>
      <vt:lpstr>A130393895F_Data</vt:lpstr>
      <vt:lpstr>A130393895F_Latest</vt:lpstr>
      <vt:lpstr>A130393902T</vt:lpstr>
      <vt:lpstr>A130393902T_Data</vt:lpstr>
      <vt:lpstr>A130393902T_Latest</vt:lpstr>
      <vt:lpstr>A130393909J</vt:lpstr>
      <vt:lpstr>A130393909J_Data</vt:lpstr>
      <vt:lpstr>A130393909J_Latest</vt:lpstr>
      <vt:lpstr>A130393916F</vt:lpstr>
      <vt:lpstr>A130393916F_Data</vt:lpstr>
      <vt:lpstr>A130393916F_Latest</vt:lpstr>
      <vt:lpstr>A130393923C</vt:lpstr>
      <vt:lpstr>A130393923C_Data</vt:lpstr>
      <vt:lpstr>A130393923C_Latest</vt:lpstr>
      <vt:lpstr>A130393930A</vt:lpstr>
      <vt:lpstr>A130393930A_Data</vt:lpstr>
      <vt:lpstr>A130393930A_Latest</vt:lpstr>
      <vt:lpstr>A130393937T</vt:lpstr>
      <vt:lpstr>A130393937T_Data</vt:lpstr>
      <vt:lpstr>A130393937T_Latest</vt:lpstr>
      <vt:lpstr>A130393951L</vt:lpstr>
      <vt:lpstr>A130393951L_Data</vt:lpstr>
      <vt:lpstr>A130393951L_Latest</vt:lpstr>
      <vt:lpstr>A130393958C</vt:lpstr>
      <vt:lpstr>A130393958C_Data</vt:lpstr>
      <vt:lpstr>A130393958C_Latest</vt:lpstr>
      <vt:lpstr>A130394098J</vt:lpstr>
      <vt:lpstr>A130394098J_Data</vt:lpstr>
      <vt:lpstr>A130394098J_Latest</vt:lpstr>
      <vt:lpstr>A130394112T</vt:lpstr>
      <vt:lpstr>A130394112T_Data</vt:lpstr>
      <vt:lpstr>A130394112T_Latest</vt:lpstr>
      <vt:lpstr>A130394119J</vt:lpstr>
      <vt:lpstr>A130394119J_Data</vt:lpstr>
      <vt:lpstr>A130394119J_Latest</vt:lpstr>
      <vt:lpstr>A130394126F</vt:lpstr>
      <vt:lpstr>A130394126F_Data</vt:lpstr>
      <vt:lpstr>A130394126F_Latest</vt:lpstr>
      <vt:lpstr>A130394133C</vt:lpstr>
      <vt:lpstr>A130394133C_Data</vt:lpstr>
      <vt:lpstr>A130394133C_Latest</vt:lpstr>
      <vt:lpstr>A130394140A</vt:lpstr>
      <vt:lpstr>A130394140A_Data</vt:lpstr>
      <vt:lpstr>A130394140A_Latest</vt:lpstr>
      <vt:lpstr>A130394147T</vt:lpstr>
      <vt:lpstr>A130394147T_Data</vt:lpstr>
      <vt:lpstr>A130394147T_Latest</vt:lpstr>
      <vt:lpstr>A130394154R</vt:lpstr>
      <vt:lpstr>A130394154R_Data</vt:lpstr>
      <vt:lpstr>A130394154R_Latest</vt:lpstr>
      <vt:lpstr>A130394161L</vt:lpstr>
      <vt:lpstr>A130394161L_Data</vt:lpstr>
      <vt:lpstr>A130394161L_Latest</vt:lpstr>
      <vt:lpstr>A130394168C</vt:lpstr>
      <vt:lpstr>A130394168C_Data</vt:lpstr>
      <vt:lpstr>A130394168C_Latest</vt:lpstr>
      <vt:lpstr>A130394175A</vt:lpstr>
      <vt:lpstr>A130394175A_Data</vt:lpstr>
      <vt:lpstr>A130394175A_Latest</vt:lpstr>
      <vt:lpstr>A130394182X</vt:lpstr>
      <vt:lpstr>A130394182X_Data</vt:lpstr>
      <vt:lpstr>A130394182X_Latest</vt:lpstr>
      <vt:lpstr>A130394189R</vt:lpstr>
      <vt:lpstr>A130394189R_Data</vt:lpstr>
      <vt:lpstr>A130394189R_Latest</vt:lpstr>
      <vt:lpstr>A130394203X</vt:lpstr>
      <vt:lpstr>A130394203X_Data</vt:lpstr>
      <vt:lpstr>A130394203X_Latest</vt:lpstr>
      <vt:lpstr>A130394210W</vt:lpstr>
      <vt:lpstr>A130394210W_Data</vt:lpstr>
      <vt:lpstr>A130394210W_Latest</vt:lpstr>
      <vt:lpstr>A130394217L</vt:lpstr>
      <vt:lpstr>A130394217L_Data</vt:lpstr>
      <vt:lpstr>A130394217L_Latest</vt:lpstr>
      <vt:lpstr>A130394224K</vt:lpstr>
      <vt:lpstr>A130394224K_Data</vt:lpstr>
      <vt:lpstr>A130394224K_Latest</vt:lpstr>
      <vt:lpstr>A130394231J</vt:lpstr>
      <vt:lpstr>A130394231J_Data</vt:lpstr>
      <vt:lpstr>A130394231J_Latest</vt:lpstr>
      <vt:lpstr>A130394238X</vt:lpstr>
      <vt:lpstr>A130394238X_Data</vt:lpstr>
      <vt:lpstr>A130394238X_Latest</vt:lpstr>
      <vt:lpstr>A130394273F</vt:lpstr>
      <vt:lpstr>A130394273F_Data</vt:lpstr>
      <vt:lpstr>A130394273F_Latest</vt:lpstr>
      <vt:lpstr>A130394280C</vt:lpstr>
      <vt:lpstr>A130394280C_Data</vt:lpstr>
      <vt:lpstr>A130394280C_Latest</vt:lpstr>
      <vt:lpstr>A130394287V</vt:lpstr>
      <vt:lpstr>A130394287V_Data</vt:lpstr>
      <vt:lpstr>A130394287V_Latest</vt:lpstr>
      <vt:lpstr>A130394294T</vt:lpstr>
      <vt:lpstr>A130394294T_Data</vt:lpstr>
      <vt:lpstr>A130394294T_Latest</vt:lpstr>
      <vt:lpstr>A130394301C</vt:lpstr>
      <vt:lpstr>A130394301C_Data</vt:lpstr>
      <vt:lpstr>A130394301C_Latest</vt:lpstr>
      <vt:lpstr>A130394308V</vt:lpstr>
      <vt:lpstr>A130394308V_Data</vt:lpstr>
      <vt:lpstr>A130394308V_Latest</vt:lpstr>
      <vt:lpstr>A130394315T</vt:lpstr>
      <vt:lpstr>A130394315T_Data</vt:lpstr>
      <vt:lpstr>A130394315T_Latest</vt:lpstr>
      <vt:lpstr>A130394322R</vt:lpstr>
      <vt:lpstr>A130394322R_Data</vt:lpstr>
      <vt:lpstr>A130394322R_Latest</vt:lpstr>
      <vt:lpstr>A130394329F</vt:lpstr>
      <vt:lpstr>A130394329F_Data</vt:lpstr>
      <vt:lpstr>A130394329F_Latest</vt:lpstr>
      <vt:lpstr>A130394336C</vt:lpstr>
      <vt:lpstr>A130394336C_Data</vt:lpstr>
      <vt:lpstr>A130394336C_Latest</vt:lpstr>
      <vt:lpstr>A130394343A</vt:lpstr>
      <vt:lpstr>A130394343A_Data</vt:lpstr>
      <vt:lpstr>A130394343A_Latest</vt:lpstr>
      <vt:lpstr>A130394350X</vt:lpstr>
      <vt:lpstr>A130394350X_Data</vt:lpstr>
      <vt:lpstr>A130394350X_Latest</vt:lpstr>
      <vt:lpstr>A130394357R</vt:lpstr>
      <vt:lpstr>A130394357R_Data</vt:lpstr>
      <vt:lpstr>A130394357R_Latest</vt:lpstr>
      <vt:lpstr>A130394371K</vt:lpstr>
      <vt:lpstr>A130394371K_Data</vt:lpstr>
      <vt:lpstr>A130394371K_Latest</vt:lpstr>
      <vt:lpstr>A130394378A</vt:lpstr>
      <vt:lpstr>A130394378A_Data</vt:lpstr>
      <vt:lpstr>A130394378A_Latest</vt:lpstr>
      <vt:lpstr>A130394385X</vt:lpstr>
      <vt:lpstr>A130394385X_Data</vt:lpstr>
      <vt:lpstr>A130394385X_Latest</vt:lpstr>
      <vt:lpstr>A130394392W</vt:lpstr>
      <vt:lpstr>A130394392W_Data</vt:lpstr>
      <vt:lpstr>A130394392W_Latest</vt:lpstr>
      <vt:lpstr>A130394399L</vt:lpstr>
      <vt:lpstr>A130394399L_Data</vt:lpstr>
      <vt:lpstr>A130394399L_Latest</vt:lpstr>
      <vt:lpstr>A130394406X</vt:lpstr>
      <vt:lpstr>A130394406X_Data</vt:lpstr>
      <vt:lpstr>A130394406X_Latest</vt:lpstr>
      <vt:lpstr>A130394420V</vt:lpstr>
      <vt:lpstr>A130394420V_Data</vt:lpstr>
      <vt:lpstr>A130394420V_Latest</vt:lpstr>
      <vt:lpstr>A130394427K</vt:lpstr>
      <vt:lpstr>A130394427K_Data</vt:lpstr>
      <vt:lpstr>A130394427K_Latest</vt:lpstr>
      <vt:lpstr>A130394434J</vt:lpstr>
      <vt:lpstr>A130394434J_Data</vt:lpstr>
      <vt:lpstr>A130394434J_Latest</vt:lpstr>
      <vt:lpstr>A130394441F</vt:lpstr>
      <vt:lpstr>A130394441F_Data</vt:lpstr>
      <vt:lpstr>A130394441F_Latest</vt:lpstr>
      <vt:lpstr>A130394448W</vt:lpstr>
      <vt:lpstr>A130394448W_Data</vt:lpstr>
      <vt:lpstr>A130394448W_Latest</vt:lpstr>
      <vt:lpstr>A130394455V</vt:lpstr>
      <vt:lpstr>A130394455V_Data</vt:lpstr>
      <vt:lpstr>A130394455V_Latest</vt:lpstr>
      <vt:lpstr>A130394462T</vt:lpstr>
      <vt:lpstr>A130394462T_Data</vt:lpstr>
      <vt:lpstr>A130394462T_Latest</vt:lpstr>
      <vt:lpstr>A130394469J</vt:lpstr>
      <vt:lpstr>A130394469J_Data</vt:lpstr>
      <vt:lpstr>A130394469J_Latest</vt:lpstr>
      <vt:lpstr>A130394476F</vt:lpstr>
      <vt:lpstr>A130394476F_Data</vt:lpstr>
      <vt:lpstr>A130394476F_Latest</vt:lpstr>
      <vt:lpstr>A130394483C</vt:lpstr>
      <vt:lpstr>A130394483C_Data</vt:lpstr>
      <vt:lpstr>A130394483C_Latest</vt:lpstr>
      <vt:lpstr>A130394490A</vt:lpstr>
      <vt:lpstr>A130394490A_Data</vt:lpstr>
      <vt:lpstr>A130394490A_Latest</vt:lpstr>
      <vt:lpstr>A130394497T</vt:lpstr>
      <vt:lpstr>A130394497T_Data</vt:lpstr>
      <vt:lpstr>A130394497T_Latest</vt:lpstr>
      <vt:lpstr>A130394504C</vt:lpstr>
      <vt:lpstr>A130394504C_Data</vt:lpstr>
      <vt:lpstr>A130394504C_Latest</vt:lpstr>
      <vt:lpstr>A130394511A</vt:lpstr>
      <vt:lpstr>A130394511A_Data</vt:lpstr>
      <vt:lpstr>A130394511A_Latest</vt:lpstr>
      <vt:lpstr>A130394518T</vt:lpstr>
      <vt:lpstr>A130394518T_Data</vt:lpstr>
      <vt:lpstr>A130394518T_Latest</vt:lpstr>
      <vt:lpstr>A130394525R</vt:lpstr>
      <vt:lpstr>A130394525R_Data</vt:lpstr>
      <vt:lpstr>A130394525R_Latest</vt:lpstr>
      <vt:lpstr>A130394532L</vt:lpstr>
      <vt:lpstr>A130394532L_Data</vt:lpstr>
      <vt:lpstr>A130394532L_Latest</vt:lpstr>
      <vt:lpstr>A130394539C</vt:lpstr>
      <vt:lpstr>A130394539C_Data</vt:lpstr>
      <vt:lpstr>A130394539C_Latest</vt:lpstr>
      <vt:lpstr>A130394546A</vt:lpstr>
      <vt:lpstr>A130394546A_Data</vt:lpstr>
      <vt:lpstr>A130394546A_Latest</vt:lpstr>
      <vt:lpstr>A130394553X</vt:lpstr>
      <vt:lpstr>A130394553X_Data</vt:lpstr>
      <vt:lpstr>A130394553X_Latest</vt:lpstr>
      <vt:lpstr>A130394560W</vt:lpstr>
      <vt:lpstr>A130394560W_Data</vt:lpstr>
      <vt:lpstr>A130394560W_Latest</vt:lpstr>
      <vt:lpstr>A130394567L</vt:lpstr>
      <vt:lpstr>A130394567L_Data</vt:lpstr>
      <vt:lpstr>A130394567L_Latest</vt:lpstr>
      <vt:lpstr>A130394574K</vt:lpstr>
      <vt:lpstr>A130394574K_Data</vt:lpstr>
      <vt:lpstr>A130394574K_Latest</vt:lpstr>
      <vt:lpstr>A130394581J</vt:lpstr>
      <vt:lpstr>A130394581J_Data</vt:lpstr>
      <vt:lpstr>A130394581J_Latest</vt:lpstr>
      <vt:lpstr>A130394602J</vt:lpstr>
      <vt:lpstr>A130394602J_Data</vt:lpstr>
      <vt:lpstr>A130394602J_Latest</vt:lpstr>
      <vt:lpstr>A130394609X</vt:lpstr>
      <vt:lpstr>A130394609X_Data</vt:lpstr>
      <vt:lpstr>A130394609X_Latest</vt:lpstr>
      <vt:lpstr>A130394616W</vt:lpstr>
      <vt:lpstr>A130394616W_Data</vt:lpstr>
      <vt:lpstr>A130394616W_Latest</vt:lpstr>
      <vt:lpstr>A130394623V</vt:lpstr>
      <vt:lpstr>A130394623V_Data</vt:lpstr>
      <vt:lpstr>A130394623V_Latest</vt:lpstr>
      <vt:lpstr>A130394630T</vt:lpstr>
      <vt:lpstr>A130394630T_Data</vt:lpstr>
      <vt:lpstr>A130394630T_Latest</vt:lpstr>
      <vt:lpstr>A130394637J</vt:lpstr>
      <vt:lpstr>A130394637J_Data</vt:lpstr>
      <vt:lpstr>A130394637J_Latest</vt:lpstr>
      <vt:lpstr>A130394644F</vt:lpstr>
      <vt:lpstr>A130394644F_Data</vt:lpstr>
      <vt:lpstr>A130394644F_Latest</vt:lpstr>
      <vt:lpstr>A130394651C</vt:lpstr>
      <vt:lpstr>A130394651C_Data</vt:lpstr>
      <vt:lpstr>A130394651C_Latest</vt:lpstr>
      <vt:lpstr>A130394658V</vt:lpstr>
      <vt:lpstr>A130394658V_Data</vt:lpstr>
      <vt:lpstr>A130394658V_Latest</vt:lpstr>
      <vt:lpstr>A130394665T</vt:lpstr>
      <vt:lpstr>A130394665T_Data</vt:lpstr>
      <vt:lpstr>A130394665T_Latest</vt:lpstr>
      <vt:lpstr>A130394672R</vt:lpstr>
      <vt:lpstr>A130394672R_Data</vt:lpstr>
      <vt:lpstr>A130394672R_Latest</vt:lpstr>
      <vt:lpstr>A130394679F</vt:lpstr>
      <vt:lpstr>A130394679F_Data</vt:lpstr>
      <vt:lpstr>A130394679F_Latest</vt:lpstr>
      <vt:lpstr>A130394686C</vt:lpstr>
      <vt:lpstr>A130394686C_Data</vt:lpstr>
      <vt:lpstr>A130394686C_Latest</vt:lpstr>
      <vt:lpstr>A130394693A</vt:lpstr>
      <vt:lpstr>A130394693A_Data</vt:lpstr>
      <vt:lpstr>A130394693A_Latest</vt:lpstr>
      <vt:lpstr>A130394700L</vt:lpstr>
      <vt:lpstr>A130394700L_Data</vt:lpstr>
      <vt:lpstr>A130394700L_Latest</vt:lpstr>
      <vt:lpstr>A130394707C</vt:lpstr>
      <vt:lpstr>A130394707C_Data</vt:lpstr>
      <vt:lpstr>A130394707C_Latest</vt:lpstr>
      <vt:lpstr>A130394714A</vt:lpstr>
      <vt:lpstr>A130394714A_Data</vt:lpstr>
      <vt:lpstr>A130394714A_Latest</vt:lpstr>
      <vt:lpstr>A130394721X</vt:lpstr>
      <vt:lpstr>A130394721X_Data</vt:lpstr>
      <vt:lpstr>A130394721X_Latest</vt:lpstr>
      <vt:lpstr>A130394728R</vt:lpstr>
      <vt:lpstr>A130394728R_Data</vt:lpstr>
      <vt:lpstr>A130394728R_Latest</vt:lpstr>
      <vt:lpstr>A130394735L</vt:lpstr>
      <vt:lpstr>A130394735L_Data</vt:lpstr>
      <vt:lpstr>A130394735L_Latest</vt:lpstr>
      <vt:lpstr>A130394742K</vt:lpstr>
      <vt:lpstr>A130394742K_Data</vt:lpstr>
      <vt:lpstr>A130394742K_Latest</vt:lpstr>
      <vt:lpstr>A130394749A</vt:lpstr>
      <vt:lpstr>A130394749A_Data</vt:lpstr>
      <vt:lpstr>A130394749A_Latest</vt:lpstr>
      <vt:lpstr>A130394756X</vt:lpstr>
      <vt:lpstr>A130394756X_Data</vt:lpstr>
      <vt:lpstr>A130394756X_Latest</vt:lpstr>
      <vt:lpstr>A130394763W</vt:lpstr>
      <vt:lpstr>A130394763W_Data</vt:lpstr>
      <vt:lpstr>A130394763W_Latest</vt:lpstr>
      <vt:lpstr>A130394770V</vt:lpstr>
      <vt:lpstr>A130394770V_Data</vt:lpstr>
      <vt:lpstr>A130394770V_Latest</vt:lpstr>
      <vt:lpstr>A130394777K</vt:lpstr>
      <vt:lpstr>A130394777K_Data</vt:lpstr>
      <vt:lpstr>A130394777K_Latest</vt:lpstr>
      <vt:lpstr>A130394784J</vt:lpstr>
      <vt:lpstr>A130394784J_Data</vt:lpstr>
      <vt:lpstr>A130394784J_Latest</vt:lpstr>
      <vt:lpstr>A130394791F</vt:lpstr>
      <vt:lpstr>A130394791F_Data</vt:lpstr>
      <vt:lpstr>A130394791F_Latest</vt:lpstr>
      <vt:lpstr>A130394805J</vt:lpstr>
      <vt:lpstr>A130394805J_Data</vt:lpstr>
      <vt:lpstr>A130394805J_Latest</vt:lpstr>
      <vt:lpstr>A130394812F</vt:lpstr>
      <vt:lpstr>A130394812F_Data</vt:lpstr>
      <vt:lpstr>A130394812F_Latest</vt:lpstr>
      <vt:lpstr>A130394826V</vt:lpstr>
      <vt:lpstr>A130394826V_Data</vt:lpstr>
      <vt:lpstr>A130394826V_Latest</vt:lpstr>
      <vt:lpstr>A130394833T</vt:lpstr>
      <vt:lpstr>A130394833T_Data</vt:lpstr>
      <vt:lpstr>A130394833T_Latest</vt:lpstr>
      <vt:lpstr>A130394840R</vt:lpstr>
      <vt:lpstr>A130394840R_Data</vt:lpstr>
      <vt:lpstr>A130394840R_Latest</vt:lpstr>
      <vt:lpstr>A130394847F</vt:lpstr>
      <vt:lpstr>A130394847F_Data</vt:lpstr>
      <vt:lpstr>A130394847F_Latest</vt:lpstr>
      <vt:lpstr>A130394854C</vt:lpstr>
      <vt:lpstr>A130394854C_Data</vt:lpstr>
      <vt:lpstr>A130394854C_Latest</vt:lpstr>
      <vt:lpstr>A130394861A</vt:lpstr>
      <vt:lpstr>A130394861A_Data</vt:lpstr>
      <vt:lpstr>A130394861A_Latest</vt:lpstr>
      <vt:lpstr>A130394868T</vt:lpstr>
      <vt:lpstr>A130394868T_Data</vt:lpstr>
      <vt:lpstr>A130394868T_Latest</vt:lpstr>
      <vt:lpstr>A130394875R</vt:lpstr>
      <vt:lpstr>A130394875R_Data</vt:lpstr>
      <vt:lpstr>A130394875R_Latest</vt:lpstr>
      <vt:lpstr>A130394882L</vt:lpstr>
      <vt:lpstr>A130394882L_Data</vt:lpstr>
      <vt:lpstr>A130394882L_Latest</vt:lpstr>
      <vt:lpstr>A130394889C</vt:lpstr>
      <vt:lpstr>A130394889C_Data</vt:lpstr>
      <vt:lpstr>A130394889C_Latest</vt:lpstr>
      <vt:lpstr>A130394896A</vt:lpstr>
      <vt:lpstr>A130394896A_Data</vt:lpstr>
      <vt:lpstr>A130394896A_Latest</vt:lpstr>
      <vt:lpstr>A130394903L</vt:lpstr>
      <vt:lpstr>A130394903L_Data</vt:lpstr>
      <vt:lpstr>A130394903L_Latest</vt:lpstr>
      <vt:lpstr>A130394910K</vt:lpstr>
      <vt:lpstr>A130394910K_Data</vt:lpstr>
      <vt:lpstr>A130394910K_Latest</vt:lpstr>
      <vt:lpstr>A130394924X</vt:lpstr>
      <vt:lpstr>A130394924X_Data</vt:lpstr>
      <vt:lpstr>A130394924X_Latest</vt:lpstr>
      <vt:lpstr>A130394931W</vt:lpstr>
      <vt:lpstr>A130394931W_Data</vt:lpstr>
      <vt:lpstr>A130394931W_Latest</vt:lpstr>
      <vt:lpstr>A130394938L</vt:lpstr>
      <vt:lpstr>A130394938L_Data</vt:lpstr>
      <vt:lpstr>A130394938L_Latest</vt:lpstr>
      <vt:lpstr>A130394945K</vt:lpstr>
      <vt:lpstr>A130394945K_Data</vt:lpstr>
      <vt:lpstr>A130394945K_Latest</vt:lpstr>
      <vt:lpstr>A130394959X</vt:lpstr>
      <vt:lpstr>A130394959X_Data</vt:lpstr>
      <vt:lpstr>A130394959X_Latest</vt:lpstr>
      <vt:lpstr>A130394966W</vt:lpstr>
      <vt:lpstr>A130394966W_Data</vt:lpstr>
      <vt:lpstr>A130394966W_Latest</vt:lpstr>
      <vt:lpstr>A130394973V</vt:lpstr>
      <vt:lpstr>A130394973V_Data</vt:lpstr>
      <vt:lpstr>A130394973V_Latest</vt:lpstr>
      <vt:lpstr>A130394980T</vt:lpstr>
      <vt:lpstr>A130394980T_Data</vt:lpstr>
      <vt:lpstr>A130394980T_Latest</vt:lpstr>
      <vt:lpstr>A130394987J</vt:lpstr>
      <vt:lpstr>A130394987J_Data</vt:lpstr>
      <vt:lpstr>A130394987J_Latest</vt:lpstr>
      <vt:lpstr>A130394994F</vt:lpstr>
      <vt:lpstr>A130394994F_Data</vt:lpstr>
      <vt:lpstr>A130394994F_Latest</vt:lpstr>
      <vt:lpstr>A130395001V</vt:lpstr>
      <vt:lpstr>A130395001V_Data</vt:lpstr>
      <vt:lpstr>A130395001V_Latest</vt:lpstr>
      <vt:lpstr>A130395008K</vt:lpstr>
      <vt:lpstr>A130395008K_Data</vt:lpstr>
      <vt:lpstr>A130395008K_Latest</vt:lpstr>
      <vt:lpstr>A130395099C</vt:lpstr>
      <vt:lpstr>A130395099C_Data</vt:lpstr>
      <vt:lpstr>A130395099C_Latest</vt:lpstr>
      <vt:lpstr>A130395106R</vt:lpstr>
      <vt:lpstr>A130395106R_Data</vt:lpstr>
      <vt:lpstr>A130395106R_Latest</vt:lpstr>
      <vt:lpstr>A130395113L</vt:lpstr>
      <vt:lpstr>A130395113L_Data</vt:lpstr>
      <vt:lpstr>A130395113L_Latest</vt:lpstr>
      <vt:lpstr>A130395120K</vt:lpstr>
      <vt:lpstr>A130395120K_Data</vt:lpstr>
      <vt:lpstr>A130395120K_Latest</vt:lpstr>
      <vt:lpstr>A130395127A</vt:lpstr>
      <vt:lpstr>A130395127A_Data</vt:lpstr>
      <vt:lpstr>A130395127A_Latest</vt:lpstr>
      <vt:lpstr>A130395134X</vt:lpstr>
      <vt:lpstr>A130395134X_Data</vt:lpstr>
      <vt:lpstr>A130395134X_Latest</vt:lpstr>
      <vt:lpstr>A130395141W</vt:lpstr>
      <vt:lpstr>A130395141W_Data</vt:lpstr>
      <vt:lpstr>A130395141W_Latest</vt:lpstr>
      <vt:lpstr>A130395155K</vt:lpstr>
      <vt:lpstr>A130395155K_Data</vt:lpstr>
      <vt:lpstr>A130395155K_Latest</vt:lpstr>
      <vt:lpstr>A130395162J</vt:lpstr>
      <vt:lpstr>A130395162J_Data</vt:lpstr>
      <vt:lpstr>A130395162J_Latest</vt:lpstr>
      <vt:lpstr>A130395169X</vt:lpstr>
      <vt:lpstr>A130395169X_Data</vt:lpstr>
      <vt:lpstr>A130395169X_Latest</vt:lpstr>
      <vt:lpstr>A130395176W</vt:lpstr>
      <vt:lpstr>A130395176W_Data</vt:lpstr>
      <vt:lpstr>A130395176W_Latest</vt:lpstr>
      <vt:lpstr>A130395183V</vt:lpstr>
      <vt:lpstr>A130395183V_Data</vt:lpstr>
      <vt:lpstr>A130395183V_Latest</vt:lpstr>
      <vt:lpstr>A130395190T</vt:lpstr>
      <vt:lpstr>A130395190T_Data</vt:lpstr>
      <vt:lpstr>A130395190T_Latest</vt:lpstr>
      <vt:lpstr>A130395204V</vt:lpstr>
      <vt:lpstr>A130395204V_Data</vt:lpstr>
      <vt:lpstr>A130395204V_Latest</vt:lpstr>
      <vt:lpstr>A130395218J</vt:lpstr>
      <vt:lpstr>A130395218J_Data</vt:lpstr>
      <vt:lpstr>A130395218J_Latest</vt:lpstr>
      <vt:lpstr>A130395225F</vt:lpstr>
      <vt:lpstr>A130395225F_Data</vt:lpstr>
      <vt:lpstr>A130395225F_Latest</vt:lpstr>
      <vt:lpstr>A130395232C</vt:lpstr>
      <vt:lpstr>A130395232C_Data</vt:lpstr>
      <vt:lpstr>A130395232C_Latest</vt:lpstr>
      <vt:lpstr>A130395288R</vt:lpstr>
      <vt:lpstr>A130395288R_Data</vt:lpstr>
      <vt:lpstr>A130395288R_Latest</vt:lpstr>
      <vt:lpstr>A130395330J</vt:lpstr>
      <vt:lpstr>A130395330J_Data</vt:lpstr>
      <vt:lpstr>A130395330J_Latest</vt:lpstr>
      <vt:lpstr>A130395344W</vt:lpstr>
      <vt:lpstr>A130395344W_Data</vt:lpstr>
      <vt:lpstr>A130395344W_Latest</vt:lpstr>
      <vt:lpstr>A130395351V</vt:lpstr>
      <vt:lpstr>A130395351V_Data</vt:lpstr>
      <vt:lpstr>A130395351V_Latest</vt:lpstr>
      <vt:lpstr>A130395358K</vt:lpstr>
      <vt:lpstr>A130395358K_Data</vt:lpstr>
      <vt:lpstr>A130395358K_Latest</vt:lpstr>
      <vt:lpstr>A130395365J</vt:lpstr>
      <vt:lpstr>A130395365J_Data</vt:lpstr>
      <vt:lpstr>A130395365J_Latest</vt:lpstr>
      <vt:lpstr>A130395372F</vt:lpstr>
      <vt:lpstr>A130395372F_Data</vt:lpstr>
      <vt:lpstr>A130395372F_Latest</vt:lpstr>
      <vt:lpstr>A130395386V</vt:lpstr>
      <vt:lpstr>A130395386V_Data</vt:lpstr>
      <vt:lpstr>A130395386V_Latest</vt:lpstr>
      <vt:lpstr>A130395393T</vt:lpstr>
      <vt:lpstr>A130395393T_Data</vt:lpstr>
      <vt:lpstr>A130395393T_Latest</vt:lpstr>
      <vt:lpstr>A130395400C</vt:lpstr>
      <vt:lpstr>A130395400C_Data</vt:lpstr>
      <vt:lpstr>A130395400C_Latest</vt:lpstr>
      <vt:lpstr>A130395407V</vt:lpstr>
      <vt:lpstr>A130395407V_Data</vt:lpstr>
      <vt:lpstr>A130395407V_Latest</vt:lpstr>
      <vt:lpstr>A130395414T</vt:lpstr>
      <vt:lpstr>A130395414T_Data</vt:lpstr>
      <vt:lpstr>A130395414T_Latest</vt:lpstr>
      <vt:lpstr>A130395421R</vt:lpstr>
      <vt:lpstr>A130395421R_Data</vt:lpstr>
      <vt:lpstr>A130395421R_Latest</vt:lpstr>
      <vt:lpstr>A130395428F</vt:lpstr>
      <vt:lpstr>A130395428F_Data</vt:lpstr>
      <vt:lpstr>A130395428F_Latest</vt:lpstr>
      <vt:lpstr>A130395470K</vt:lpstr>
      <vt:lpstr>A130395470K_Data</vt:lpstr>
      <vt:lpstr>A130395470K_Latest</vt:lpstr>
      <vt:lpstr>A130395484X</vt:lpstr>
      <vt:lpstr>A130395484X_Data</vt:lpstr>
      <vt:lpstr>A130395484X_Latest</vt:lpstr>
      <vt:lpstr>A130395491W</vt:lpstr>
      <vt:lpstr>A130395491W_Data</vt:lpstr>
      <vt:lpstr>A130395491W_Latest</vt:lpstr>
      <vt:lpstr>A130395498L</vt:lpstr>
      <vt:lpstr>A130395498L_Data</vt:lpstr>
      <vt:lpstr>A130395498L_Latest</vt:lpstr>
      <vt:lpstr>A130395505X</vt:lpstr>
      <vt:lpstr>A130395505X_Data</vt:lpstr>
      <vt:lpstr>A130395505X_Latest</vt:lpstr>
      <vt:lpstr>A130395512W</vt:lpstr>
      <vt:lpstr>A130395512W_Data</vt:lpstr>
      <vt:lpstr>A130395512W_Latest</vt:lpstr>
      <vt:lpstr>A130395519L</vt:lpstr>
      <vt:lpstr>A130395519L_Data</vt:lpstr>
      <vt:lpstr>A130395519L_Latest</vt:lpstr>
      <vt:lpstr>A130395526K</vt:lpstr>
      <vt:lpstr>A130395526K_Data</vt:lpstr>
      <vt:lpstr>A130395526K_Latest</vt:lpstr>
      <vt:lpstr>A130395533J</vt:lpstr>
      <vt:lpstr>A130395533J_Data</vt:lpstr>
      <vt:lpstr>A130395533J_Latest</vt:lpstr>
      <vt:lpstr>A130395540F</vt:lpstr>
      <vt:lpstr>A130395540F_Data</vt:lpstr>
      <vt:lpstr>A130395540F_Latest</vt:lpstr>
      <vt:lpstr>A130395547W</vt:lpstr>
      <vt:lpstr>A130395547W_Data</vt:lpstr>
      <vt:lpstr>A130395547W_Latest</vt:lpstr>
      <vt:lpstr>A130395554V</vt:lpstr>
      <vt:lpstr>A130395554V_Data</vt:lpstr>
      <vt:lpstr>A130395554V_Latest</vt:lpstr>
      <vt:lpstr>A130395561T</vt:lpstr>
      <vt:lpstr>A130395561T_Data</vt:lpstr>
      <vt:lpstr>A130395561T_Latest</vt:lpstr>
      <vt:lpstr>A130395568J</vt:lpstr>
      <vt:lpstr>A130395568J_Data</vt:lpstr>
      <vt:lpstr>A130395568J_Latest</vt:lpstr>
      <vt:lpstr>A130395575F</vt:lpstr>
      <vt:lpstr>A130395575F_Data</vt:lpstr>
      <vt:lpstr>A130395575F_Latest</vt:lpstr>
      <vt:lpstr>A130395582C</vt:lpstr>
      <vt:lpstr>A130395582C_Data</vt:lpstr>
      <vt:lpstr>A130395582C_Latest</vt:lpstr>
      <vt:lpstr>A130395589V</vt:lpstr>
      <vt:lpstr>A130395589V_Data</vt:lpstr>
      <vt:lpstr>A130395589V_Latest</vt:lpstr>
      <vt:lpstr>A130395596T</vt:lpstr>
      <vt:lpstr>A130395596T_Data</vt:lpstr>
      <vt:lpstr>A130395596T_Latest</vt:lpstr>
      <vt:lpstr>A130395603C</vt:lpstr>
      <vt:lpstr>A130395603C_Data</vt:lpstr>
      <vt:lpstr>A130395603C_Latest</vt:lpstr>
      <vt:lpstr>A130395610A</vt:lpstr>
      <vt:lpstr>A130395610A_Data</vt:lpstr>
      <vt:lpstr>A130395610A_Latest</vt:lpstr>
      <vt:lpstr>A130395617T</vt:lpstr>
      <vt:lpstr>A130395617T_Data</vt:lpstr>
      <vt:lpstr>A130395617T_Latest</vt:lpstr>
      <vt:lpstr>A130395624R</vt:lpstr>
      <vt:lpstr>A130395624R_Data</vt:lpstr>
      <vt:lpstr>A130395624R_Latest</vt:lpstr>
      <vt:lpstr>A130395631L</vt:lpstr>
      <vt:lpstr>A130395631L_Data</vt:lpstr>
      <vt:lpstr>A130395631L_Latest</vt:lpstr>
      <vt:lpstr>A130395638C</vt:lpstr>
      <vt:lpstr>A130395638C_Data</vt:lpstr>
      <vt:lpstr>A130395638C_Latest</vt:lpstr>
      <vt:lpstr>A130395645A</vt:lpstr>
      <vt:lpstr>A130395645A_Data</vt:lpstr>
      <vt:lpstr>A130395645A_Latest</vt:lpstr>
      <vt:lpstr>A130395652X</vt:lpstr>
      <vt:lpstr>A130395652X_Data</vt:lpstr>
      <vt:lpstr>A130395652X_Latest</vt:lpstr>
      <vt:lpstr>A130395659R</vt:lpstr>
      <vt:lpstr>A130395659R_Data</vt:lpstr>
      <vt:lpstr>A130395659R_Latest</vt:lpstr>
      <vt:lpstr>A130395666L</vt:lpstr>
      <vt:lpstr>A130395666L_Data</vt:lpstr>
      <vt:lpstr>A130395666L_Latest</vt:lpstr>
      <vt:lpstr>A130395673K</vt:lpstr>
      <vt:lpstr>A130395673K_Data</vt:lpstr>
      <vt:lpstr>A130395673K_Latest</vt:lpstr>
      <vt:lpstr>A130395680J</vt:lpstr>
      <vt:lpstr>A130395680J_Data</vt:lpstr>
      <vt:lpstr>A130395680J_Latest</vt:lpstr>
      <vt:lpstr>A130395687X</vt:lpstr>
      <vt:lpstr>A130395687X_Data</vt:lpstr>
      <vt:lpstr>A130395687X_Latest</vt:lpstr>
      <vt:lpstr>A130395694W</vt:lpstr>
      <vt:lpstr>A130395694W_Data</vt:lpstr>
      <vt:lpstr>A130395694W_Latest</vt:lpstr>
      <vt:lpstr>A130395701J</vt:lpstr>
      <vt:lpstr>A130395701J_Data</vt:lpstr>
      <vt:lpstr>A130395701J_Latest</vt:lpstr>
      <vt:lpstr>A130395708X</vt:lpstr>
      <vt:lpstr>A130395708X_Data</vt:lpstr>
      <vt:lpstr>A130395708X_Latest</vt:lpstr>
      <vt:lpstr>A130395715W</vt:lpstr>
      <vt:lpstr>A130395715W_Data</vt:lpstr>
      <vt:lpstr>A130395715W_Latest</vt:lpstr>
      <vt:lpstr>A130395722V</vt:lpstr>
      <vt:lpstr>A130395722V_Data</vt:lpstr>
      <vt:lpstr>A130395722V_Latest</vt:lpstr>
      <vt:lpstr>A130395729K</vt:lpstr>
      <vt:lpstr>A130395729K_Data</vt:lpstr>
      <vt:lpstr>A130395729K_Latest</vt:lpstr>
      <vt:lpstr>A130395736J</vt:lpstr>
      <vt:lpstr>A130395736J_Data</vt:lpstr>
      <vt:lpstr>A130395736J_Latest</vt:lpstr>
      <vt:lpstr>A130395750C</vt:lpstr>
      <vt:lpstr>A130395750C_Data</vt:lpstr>
      <vt:lpstr>A130395750C_Latest</vt:lpstr>
      <vt:lpstr>A130395757V</vt:lpstr>
      <vt:lpstr>A130395757V_Data</vt:lpstr>
      <vt:lpstr>A130395757V_Latest</vt:lpstr>
      <vt:lpstr>A130395764T</vt:lpstr>
      <vt:lpstr>A130395764T_Data</vt:lpstr>
      <vt:lpstr>A130395764T_Latest</vt:lpstr>
      <vt:lpstr>A130395771R</vt:lpstr>
      <vt:lpstr>A130395771R_Data</vt:lpstr>
      <vt:lpstr>A130395771R_Latest</vt:lpstr>
      <vt:lpstr>A130395778F</vt:lpstr>
      <vt:lpstr>A130395778F_Data</vt:lpstr>
      <vt:lpstr>A130395778F_Latest</vt:lpstr>
      <vt:lpstr>A130395785C</vt:lpstr>
      <vt:lpstr>A130395785C_Data</vt:lpstr>
      <vt:lpstr>A130395785C_Latest</vt:lpstr>
      <vt:lpstr>A130395792A</vt:lpstr>
      <vt:lpstr>A130395792A_Data</vt:lpstr>
      <vt:lpstr>A130395792A_Latest</vt:lpstr>
      <vt:lpstr>A130395799T</vt:lpstr>
      <vt:lpstr>A130395799T_Data</vt:lpstr>
      <vt:lpstr>A130395799T_Latest</vt:lpstr>
      <vt:lpstr>A130395806C</vt:lpstr>
      <vt:lpstr>A130395806C_Data</vt:lpstr>
      <vt:lpstr>A130395806C_Latest</vt:lpstr>
      <vt:lpstr>A130395813A</vt:lpstr>
      <vt:lpstr>A130395813A_Data</vt:lpstr>
      <vt:lpstr>A130395813A_Latest</vt:lpstr>
      <vt:lpstr>A130395820X</vt:lpstr>
      <vt:lpstr>A130395820X_Data</vt:lpstr>
      <vt:lpstr>A130395820X_Latest</vt:lpstr>
      <vt:lpstr>A130395827R</vt:lpstr>
      <vt:lpstr>A130395827R_Data</vt:lpstr>
      <vt:lpstr>A130395827R_Latest</vt:lpstr>
      <vt:lpstr>A130395841K</vt:lpstr>
      <vt:lpstr>A130395841K_Data</vt:lpstr>
      <vt:lpstr>A130395841K_Latest</vt:lpstr>
      <vt:lpstr>A130395848A</vt:lpstr>
      <vt:lpstr>A130395848A_Data</vt:lpstr>
      <vt:lpstr>A130395848A_Latest</vt:lpstr>
      <vt:lpstr>A130395855X</vt:lpstr>
      <vt:lpstr>A130395855X_Data</vt:lpstr>
      <vt:lpstr>A130395855X_Latest</vt:lpstr>
      <vt:lpstr>A130395862W</vt:lpstr>
      <vt:lpstr>A130395862W_Data</vt:lpstr>
      <vt:lpstr>A130395862W_Latest</vt:lpstr>
      <vt:lpstr>A130395869L</vt:lpstr>
      <vt:lpstr>A130395869L_Data</vt:lpstr>
      <vt:lpstr>A130395869L_Latest</vt:lpstr>
      <vt:lpstr>A130395876K</vt:lpstr>
      <vt:lpstr>A130395876K_Data</vt:lpstr>
      <vt:lpstr>A130395876K_Latest</vt:lpstr>
      <vt:lpstr>A130395883J</vt:lpstr>
      <vt:lpstr>A130395883J_Data</vt:lpstr>
      <vt:lpstr>A130395883J_Latest</vt:lpstr>
      <vt:lpstr>A130395890F</vt:lpstr>
      <vt:lpstr>A130395890F_Data</vt:lpstr>
      <vt:lpstr>A130395890F_Latest</vt:lpstr>
      <vt:lpstr>A130395897W</vt:lpstr>
      <vt:lpstr>A130395897W_Data</vt:lpstr>
      <vt:lpstr>A130395897W_Latest</vt:lpstr>
      <vt:lpstr>A130395904J</vt:lpstr>
      <vt:lpstr>A130395904J_Data</vt:lpstr>
      <vt:lpstr>A130395904J_Latest</vt:lpstr>
      <vt:lpstr>A130395911F</vt:lpstr>
      <vt:lpstr>A130395911F_Data</vt:lpstr>
      <vt:lpstr>A130395911F_Latest</vt:lpstr>
      <vt:lpstr>A130395918W</vt:lpstr>
      <vt:lpstr>A130395918W_Data</vt:lpstr>
      <vt:lpstr>A130395918W_Latest</vt:lpstr>
      <vt:lpstr>A130395925V</vt:lpstr>
      <vt:lpstr>A130395925V_Data</vt:lpstr>
      <vt:lpstr>A130395925V_Latest</vt:lpstr>
      <vt:lpstr>A130395932T</vt:lpstr>
      <vt:lpstr>A130395932T_Data</vt:lpstr>
      <vt:lpstr>A130395932T_Latest</vt:lpstr>
      <vt:lpstr>A130395939J</vt:lpstr>
      <vt:lpstr>A130395939J_Data</vt:lpstr>
      <vt:lpstr>A130395939J_Latest</vt:lpstr>
      <vt:lpstr>A130395946F</vt:lpstr>
      <vt:lpstr>A130395946F_Data</vt:lpstr>
      <vt:lpstr>A130395946F_Latest</vt:lpstr>
      <vt:lpstr>A130395953C</vt:lpstr>
      <vt:lpstr>A130395953C_Data</vt:lpstr>
      <vt:lpstr>A130395953C_Latest</vt:lpstr>
      <vt:lpstr>A130395960A</vt:lpstr>
      <vt:lpstr>A130395960A_Data</vt:lpstr>
      <vt:lpstr>A130395960A_Latest</vt:lpstr>
      <vt:lpstr>A130395967T</vt:lpstr>
      <vt:lpstr>A130395967T_Data</vt:lpstr>
      <vt:lpstr>A130395967T_Latest</vt:lpstr>
      <vt:lpstr>A130395974R</vt:lpstr>
      <vt:lpstr>A130395974R_Data</vt:lpstr>
      <vt:lpstr>A130395974R_Latest</vt:lpstr>
      <vt:lpstr>A130395981L</vt:lpstr>
      <vt:lpstr>A130395981L_Data</vt:lpstr>
      <vt:lpstr>A130395981L_Latest</vt:lpstr>
      <vt:lpstr>A130395988C</vt:lpstr>
      <vt:lpstr>A130395988C_Data</vt:lpstr>
      <vt:lpstr>A130395988C_Latest</vt:lpstr>
      <vt:lpstr>A130395995A</vt:lpstr>
      <vt:lpstr>A130395995A_Data</vt:lpstr>
      <vt:lpstr>A130395995A_Latest</vt:lpstr>
      <vt:lpstr>A130396002R</vt:lpstr>
      <vt:lpstr>A130396002R_Data</vt:lpstr>
      <vt:lpstr>A130396002R_Latest</vt:lpstr>
      <vt:lpstr>A130396009F</vt:lpstr>
      <vt:lpstr>A130396009F_Data</vt:lpstr>
      <vt:lpstr>A130396009F_Latest</vt:lpstr>
      <vt:lpstr>A130396023A</vt:lpstr>
      <vt:lpstr>A130396023A_Data</vt:lpstr>
      <vt:lpstr>A130396023A_Latest</vt:lpstr>
      <vt:lpstr>A130396030X</vt:lpstr>
      <vt:lpstr>A130396030X_Data</vt:lpstr>
      <vt:lpstr>A130396030X_Latest</vt:lpstr>
      <vt:lpstr>A130396037R</vt:lpstr>
      <vt:lpstr>A130396037R_Data</vt:lpstr>
      <vt:lpstr>A130396037R_Latest</vt:lpstr>
      <vt:lpstr>A130396044L</vt:lpstr>
      <vt:lpstr>A130396044L_Data</vt:lpstr>
      <vt:lpstr>A130396044L_Latest</vt:lpstr>
      <vt:lpstr>A130396051K</vt:lpstr>
      <vt:lpstr>A130396051K_Data</vt:lpstr>
      <vt:lpstr>A130396051K_Latest</vt:lpstr>
      <vt:lpstr>A130396058A</vt:lpstr>
      <vt:lpstr>A130396058A_Data</vt:lpstr>
      <vt:lpstr>A130396058A_Latest</vt:lpstr>
      <vt:lpstr>A130396065X</vt:lpstr>
      <vt:lpstr>A130396065X_Data</vt:lpstr>
      <vt:lpstr>A130396065X_Latest</vt:lpstr>
      <vt:lpstr>A130396072W</vt:lpstr>
      <vt:lpstr>A130396072W_Data</vt:lpstr>
      <vt:lpstr>A130396072W_Latest</vt:lpstr>
      <vt:lpstr>A130396079L</vt:lpstr>
      <vt:lpstr>A130396079L_Data</vt:lpstr>
      <vt:lpstr>A130396079L_Latest</vt:lpstr>
      <vt:lpstr>A130396086K</vt:lpstr>
      <vt:lpstr>A130396086K_Data</vt:lpstr>
      <vt:lpstr>A130396086K_Latest</vt:lpstr>
      <vt:lpstr>A130396156F</vt:lpstr>
      <vt:lpstr>A130396156F_Data</vt:lpstr>
      <vt:lpstr>A130396156F_Latest</vt:lpstr>
      <vt:lpstr>A130396163C</vt:lpstr>
      <vt:lpstr>A130396163C_Data</vt:lpstr>
      <vt:lpstr>A130396163C_Latest</vt:lpstr>
      <vt:lpstr>A130396170A</vt:lpstr>
      <vt:lpstr>A130396170A_Data</vt:lpstr>
      <vt:lpstr>A130396170A_Latest</vt:lpstr>
      <vt:lpstr>A130396177T</vt:lpstr>
      <vt:lpstr>A130396177T_Data</vt:lpstr>
      <vt:lpstr>A130396177T_Latest</vt:lpstr>
      <vt:lpstr>A130396184R</vt:lpstr>
      <vt:lpstr>A130396184R_Data</vt:lpstr>
      <vt:lpstr>A130396184R_Latest</vt:lpstr>
      <vt:lpstr>A130396191L</vt:lpstr>
      <vt:lpstr>A130396191L_Data</vt:lpstr>
      <vt:lpstr>A130396191L_Latest</vt:lpstr>
      <vt:lpstr>A130396198C</vt:lpstr>
      <vt:lpstr>A130396198C_Data</vt:lpstr>
      <vt:lpstr>A130396198C_Latest</vt:lpstr>
      <vt:lpstr>A130396205R</vt:lpstr>
      <vt:lpstr>A130396205R_Data</vt:lpstr>
      <vt:lpstr>A130396205R_Latest</vt:lpstr>
      <vt:lpstr>A130396212L</vt:lpstr>
      <vt:lpstr>A130396212L_Data</vt:lpstr>
      <vt:lpstr>A130396212L_Latest</vt:lpstr>
      <vt:lpstr>A130396219C</vt:lpstr>
      <vt:lpstr>A130396219C_Data</vt:lpstr>
      <vt:lpstr>A130396219C_Latest</vt:lpstr>
      <vt:lpstr>A130396226A</vt:lpstr>
      <vt:lpstr>A130396226A_Data</vt:lpstr>
      <vt:lpstr>A130396226A_Latest</vt:lpstr>
      <vt:lpstr>A130396233X</vt:lpstr>
      <vt:lpstr>A130396233X_Data</vt:lpstr>
      <vt:lpstr>A130396233X_Latest</vt:lpstr>
      <vt:lpstr>A130396247L</vt:lpstr>
      <vt:lpstr>A130396247L_Data</vt:lpstr>
      <vt:lpstr>A130396247L_Latest</vt:lpstr>
      <vt:lpstr>A130396261J</vt:lpstr>
      <vt:lpstr>A130396261J_Data</vt:lpstr>
      <vt:lpstr>A130396261J_Latest</vt:lpstr>
      <vt:lpstr>A130396268X</vt:lpstr>
      <vt:lpstr>A130396268X_Data</vt:lpstr>
      <vt:lpstr>A130396268X_Latest</vt:lpstr>
      <vt:lpstr>A130396275W</vt:lpstr>
      <vt:lpstr>A130396275W_Data</vt:lpstr>
      <vt:lpstr>A130396275W_Latest</vt:lpstr>
      <vt:lpstr>A130396282V</vt:lpstr>
      <vt:lpstr>A130396282V_Data</vt:lpstr>
      <vt:lpstr>A130396282V_Latest</vt:lpstr>
      <vt:lpstr>A130396289K</vt:lpstr>
      <vt:lpstr>A130396289K_Data</vt:lpstr>
      <vt:lpstr>A130396289K_Latest</vt:lpstr>
      <vt:lpstr>A130396296J</vt:lpstr>
      <vt:lpstr>A130396296J_Data</vt:lpstr>
      <vt:lpstr>A130396296J_Latest</vt:lpstr>
      <vt:lpstr>A130396303V</vt:lpstr>
      <vt:lpstr>A130396303V_Data</vt:lpstr>
      <vt:lpstr>A130396303V_Latest</vt:lpstr>
      <vt:lpstr>A130396310T</vt:lpstr>
      <vt:lpstr>A130396310T_Data</vt:lpstr>
      <vt:lpstr>A130396310T_Latest</vt:lpstr>
      <vt:lpstr>A130396317J</vt:lpstr>
      <vt:lpstr>A130396317J_Data</vt:lpstr>
      <vt:lpstr>A130396317J_Latest</vt:lpstr>
      <vt:lpstr>A130396422K</vt:lpstr>
      <vt:lpstr>A130396422K_Data</vt:lpstr>
      <vt:lpstr>A130396422K_Latest</vt:lpstr>
      <vt:lpstr>A130396436X</vt:lpstr>
      <vt:lpstr>A130396436X_Data</vt:lpstr>
      <vt:lpstr>A130396436X_Latest</vt:lpstr>
      <vt:lpstr>A130396443W</vt:lpstr>
      <vt:lpstr>A130396443W_Data</vt:lpstr>
      <vt:lpstr>A130396443W_Latest</vt:lpstr>
      <vt:lpstr>A130396450V</vt:lpstr>
      <vt:lpstr>A130396450V_Data</vt:lpstr>
      <vt:lpstr>A130396450V_Latest</vt:lpstr>
      <vt:lpstr>A130396457K</vt:lpstr>
      <vt:lpstr>A130396457K_Data</vt:lpstr>
      <vt:lpstr>A130396457K_Latest</vt:lpstr>
      <vt:lpstr>A130396464J</vt:lpstr>
      <vt:lpstr>A130396464J_Data</vt:lpstr>
      <vt:lpstr>A130396464J_Latest</vt:lpstr>
      <vt:lpstr>A130396471F</vt:lpstr>
      <vt:lpstr>A130396471F_Data</vt:lpstr>
      <vt:lpstr>A130396471F_Latest</vt:lpstr>
      <vt:lpstr>A130396478W</vt:lpstr>
      <vt:lpstr>A130396478W_Data</vt:lpstr>
      <vt:lpstr>A130396478W_Latest</vt:lpstr>
      <vt:lpstr>A130396485V</vt:lpstr>
      <vt:lpstr>A130396485V_Data</vt:lpstr>
      <vt:lpstr>A130396485V_Latest</vt:lpstr>
      <vt:lpstr>A130396499J</vt:lpstr>
      <vt:lpstr>A130396499J_Data</vt:lpstr>
      <vt:lpstr>A130396499J_Latest</vt:lpstr>
      <vt:lpstr>A130396506V</vt:lpstr>
      <vt:lpstr>A130396506V_Data</vt:lpstr>
      <vt:lpstr>A130396506V_Latest</vt:lpstr>
      <vt:lpstr>A130396513T</vt:lpstr>
      <vt:lpstr>A130396513T_Data</vt:lpstr>
      <vt:lpstr>A130396513T_Latest</vt:lpstr>
      <vt:lpstr>A130396520R</vt:lpstr>
      <vt:lpstr>A130396520R_Data</vt:lpstr>
      <vt:lpstr>A130396520R_Latest</vt:lpstr>
      <vt:lpstr>A130396527F</vt:lpstr>
      <vt:lpstr>A130396527F_Data</vt:lpstr>
      <vt:lpstr>A130396527F_Latest</vt:lpstr>
      <vt:lpstr>A130396534C</vt:lpstr>
      <vt:lpstr>A130396534C_Data</vt:lpstr>
      <vt:lpstr>A130396534C_Latest</vt:lpstr>
      <vt:lpstr>A130396541A</vt:lpstr>
      <vt:lpstr>A130396541A_Data</vt:lpstr>
      <vt:lpstr>A130396541A_Latest</vt:lpstr>
      <vt:lpstr>A130396548T</vt:lpstr>
      <vt:lpstr>A130396548T_Data</vt:lpstr>
      <vt:lpstr>A130396548T_Latest</vt:lpstr>
      <vt:lpstr>A130396555R</vt:lpstr>
      <vt:lpstr>A130396555R_Data</vt:lpstr>
      <vt:lpstr>A130396555R_Latest</vt:lpstr>
      <vt:lpstr>A130396562L</vt:lpstr>
      <vt:lpstr>A130396562L_Data</vt:lpstr>
      <vt:lpstr>A130396562L_Latest</vt:lpstr>
      <vt:lpstr>A130396569C</vt:lpstr>
      <vt:lpstr>A130396569C_Data</vt:lpstr>
      <vt:lpstr>A130396569C_Latest</vt:lpstr>
      <vt:lpstr>A130396576A</vt:lpstr>
      <vt:lpstr>A130396576A_Data</vt:lpstr>
      <vt:lpstr>A130396576A_Latest</vt:lpstr>
      <vt:lpstr>A130396583X</vt:lpstr>
      <vt:lpstr>A130396583X_Data</vt:lpstr>
      <vt:lpstr>A130396583X_Latest</vt:lpstr>
      <vt:lpstr>A130396590W</vt:lpstr>
      <vt:lpstr>A130396590W_Data</vt:lpstr>
      <vt:lpstr>A130396590W_Latest</vt:lpstr>
      <vt:lpstr>A130396597L</vt:lpstr>
      <vt:lpstr>A130396597L_Data</vt:lpstr>
      <vt:lpstr>A130396597L_Latest</vt:lpstr>
      <vt:lpstr>A130396604X</vt:lpstr>
      <vt:lpstr>A130396604X_Data</vt:lpstr>
      <vt:lpstr>A130396604X_Latest</vt:lpstr>
      <vt:lpstr>A130396611W</vt:lpstr>
      <vt:lpstr>A130396611W_Data</vt:lpstr>
      <vt:lpstr>A130396611W_Latest</vt:lpstr>
      <vt:lpstr>A130396618L</vt:lpstr>
      <vt:lpstr>A130396618L_Data</vt:lpstr>
      <vt:lpstr>A130396618L_Latest</vt:lpstr>
      <vt:lpstr>A130396660T</vt:lpstr>
      <vt:lpstr>A130396660T_Data</vt:lpstr>
      <vt:lpstr>A130396660T_Latest</vt:lpstr>
      <vt:lpstr>A130396667J</vt:lpstr>
      <vt:lpstr>A130396667J_Data</vt:lpstr>
      <vt:lpstr>A130396667J_Latest</vt:lpstr>
      <vt:lpstr>A130396674F</vt:lpstr>
      <vt:lpstr>A130396674F_Data</vt:lpstr>
      <vt:lpstr>A130396674F_Latest</vt:lpstr>
      <vt:lpstr>A130396681C</vt:lpstr>
      <vt:lpstr>A130396681C_Data</vt:lpstr>
      <vt:lpstr>A130396681C_Latest</vt:lpstr>
      <vt:lpstr>A130396695T</vt:lpstr>
      <vt:lpstr>A130396695T_Data</vt:lpstr>
      <vt:lpstr>A130396695T_Latest</vt:lpstr>
      <vt:lpstr>A130396702C</vt:lpstr>
      <vt:lpstr>A130396702C_Data</vt:lpstr>
      <vt:lpstr>A130396702C_Latest</vt:lpstr>
      <vt:lpstr>A130396709V</vt:lpstr>
      <vt:lpstr>A130396709V_Data</vt:lpstr>
      <vt:lpstr>A130396709V_Latest</vt:lpstr>
      <vt:lpstr>A130396716T</vt:lpstr>
      <vt:lpstr>A130396716T_Data</vt:lpstr>
      <vt:lpstr>A130396716T_Latest</vt:lpstr>
      <vt:lpstr>A130396723R</vt:lpstr>
      <vt:lpstr>A130396723R_Data</vt:lpstr>
      <vt:lpstr>A130396723R_Latest</vt:lpstr>
      <vt:lpstr>A130396730L</vt:lpstr>
      <vt:lpstr>A130396730L_Data</vt:lpstr>
      <vt:lpstr>A130396730L_Latest</vt:lpstr>
      <vt:lpstr>A130396737C</vt:lpstr>
      <vt:lpstr>A130396737C_Data</vt:lpstr>
      <vt:lpstr>A130396737C_Latest</vt:lpstr>
      <vt:lpstr>A130396744A</vt:lpstr>
      <vt:lpstr>A130396744A_Data</vt:lpstr>
      <vt:lpstr>A130396744A_Latest</vt:lpstr>
      <vt:lpstr>A130396751X</vt:lpstr>
      <vt:lpstr>A130396751X_Data</vt:lpstr>
      <vt:lpstr>A130396751X_Latest</vt:lpstr>
      <vt:lpstr>A130396758R</vt:lpstr>
      <vt:lpstr>A130396758R_Data</vt:lpstr>
      <vt:lpstr>A130396758R_Latest</vt:lpstr>
      <vt:lpstr>A130396765L</vt:lpstr>
      <vt:lpstr>A130396765L_Data</vt:lpstr>
      <vt:lpstr>A130396765L_Latest</vt:lpstr>
      <vt:lpstr>A130396772K</vt:lpstr>
      <vt:lpstr>A130396772K_Data</vt:lpstr>
      <vt:lpstr>A130396772K_Latest</vt:lpstr>
      <vt:lpstr>A130396779A</vt:lpstr>
      <vt:lpstr>A130396779A_Data</vt:lpstr>
      <vt:lpstr>A130396779A_Latest</vt:lpstr>
      <vt:lpstr>A130396786X</vt:lpstr>
      <vt:lpstr>A130396786X_Data</vt:lpstr>
      <vt:lpstr>A130396786X_Latest</vt:lpstr>
      <vt:lpstr>A130396793W</vt:lpstr>
      <vt:lpstr>A130396793W_Data</vt:lpstr>
      <vt:lpstr>A130396793W_Latest</vt:lpstr>
      <vt:lpstr>A130396800J</vt:lpstr>
      <vt:lpstr>A130396800J_Data</vt:lpstr>
      <vt:lpstr>A130396800J_Latest</vt:lpstr>
      <vt:lpstr>A130396807X</vt:lpstr>
      <vt:lpstr>A130396807X_Data</vt:lpstr>
      <vt:lpstr>A130396807X_Latest</vt:lpstr>
      <vt:lpstr>A130396814W</vt:lpstr>
      <vt:lpstr>A130396814W_Data</vt:lpstr>
      <vt:lpstr>A130396814W_Latest</vt:lpstr>
      <vt:lpstr>A130396821V</vt:lpstr>
      <vt:lpstr>A130396821V_Data</vt:lpstr>
      <vt:lpstr>A130396821V_Latest</vt:lpstr>
      <vt:lpstr>A130396828K</vt:lpstr>
      <vt:lpstr>A130396828K_Data</vt:lpstr>
      <vt:lpstr>A130396828K_Latest</vt:lpstr>
      <vt:lpstr>A130396835J</vt:lpstr>
      <vt:lpstr>A130396835J_Data</vt:lpstr>
      <vt:lpstr>A130396835J_Latest</vt:lpstr>
      <vt:lpstr>A130396842F</vt:lpstr>
      <vt:lpstr>A130396842F_Data</vt:lpstr>
      <vt:lpstr>A130396842F_Latest</vt:lpstr>
      <vt:lpstr>A130396849W</vt:lpstr>
      <vt:lpstr>A130396849W_Data</vt:lpstr>
      <vt:lpstr>A130396849W_Latest</vt:lpstr>
      <vt:lpstr>A130396856V</vt:lpstr>
      <vt:lpstr>A130396856V_Data</vt:lpstr>
      <vt:lpstr>A130396856V_Latest</vt:lpstr>
      <vt:lpstr>A130396863T</vt:lpstr>
      <vt:lpstr>A130396863T_Data</vt:lpstr>
      <vt:lpstr>A130396863T_Latest</vt:lpstr>
      <vt:lpstr>A130396870R</vt:lpstr>
      <vt:lpstr>A130396870R_Data</vt:lpstr>
      <vt:lpstr>A130396870R_Latest</vt:lpstr>
      <vt:lpstr>A130396877F</vt:lpstr>
      <vt:lpstr>A130396877F_Data</vt:lpstr>
      <vt:lpstr>A130396877F_Latest</vt:lpstr>
      <vt:lpstr>A130396884C</vt:lpstr>
      <vt:lpstr>A130396884C_Data</vt:lpstr>
      <vt:lpstr>A130396884C_Latest</vt:lpstr>
      <vt:lpstr>A130396891A</vt:lpstr>
      <vt:lpstr>A130396891A_Data</vt:lpstr>
      <vt:lpstr>A130396891A_Latest</vt:lpstr>
      <vt:lpstr>A130396898T</vt:lpstr>
      <vt:lpstr>A130396898T_Data</vt:lpstr>
      <vt:lpstr>A130396898T_Latest</vt:lpstr>
      <vt:lpstr>A130396905C</vt:lpstr>
      <vt:lpstr>A130396905C_Data</vt:lpstr>
      <vt:lpstr>A130396905C_Latest</vt:lpstr>
      <vt:lpstr>A130396912A</vt:lpstr>
      <vt:lpstr>A130396912A_Data</vt:lpstr>
      <vt:lpstr>A130396912A_Latest</vt:lpstr>
      <vt:lpstr>A130396919T</vt:lpstr>
      <vt:lpstr>A130396919T_Data</vt:lpstr>
      <vt:lpstr>A130396919T_Latest</vt:lpstr>
      <vt:lpstr>A130396926R</vt:lpstr>
      <vt:lpstr>A130396926R_Data</vt:lpstr>
      <vt:lpstr>A130396926R_Latest</vt:lpstr>
      <vt:lpstr>A130396933L</vt:lpstr>
      <vt:lpstr>A130396933L_Data</vt:lpstr>
      <vt:lpstr>A130396933L_Latest</vt:lpstr>
      <vt:lpstr>A130396940K</vt:lpstr>
      <vt:lpstr>A130396940K_Data</vt:lpstr>
      <vt:lpstr>A130396940K_Latest</vt:lpstr>
      <vt:lpstr>A130396947A</vt:lpstr>
      <vt:lpstr>A130396947A_Data</vt:lpstr>
      <vt:lpstr>A130396947A_Latest</vt:lpstr>
      <vt:lpstr>A130396954X</vt:lpstr>
      <vt:lpstr>A130396954X_Data</vt:lpstr>
      <vt:lpstr>A130396954X_Latest</vt:lpstr>
      <vt:lpstr>A130396961W</vt:lpstr>
      <vt:lpstr>A130396961W_Data</vt:lpstr>
      <vt:lpstr>A130396961W_Latest</vt:lpstr>
      <vt:lpstr>A130396968L</vt:lpstr>
      <vt:lpstr>A130396968L_Data</vt:lpstr>
      <vt:lpstr>A130396968L_Latest</vt:lpstr>
      <vt:lpstr>A130396975K</vt:lpstr>
      <vt:lpstr>A130396975K_Data</vt:lpstr>
      <vt:lpstr>A130396975K_Latest</vt:lpstr>
      <vt:lpstr>A130396982J</vt:lpstr>
      <vt:lpstr>A130396982J_Data</vt:lpstr>
      <vt:lpstr>A130396982J_Latest</vt:lpstr>
      <vt:lpstr>A130396989X</vt:lpstr>
      <vt:lpstr>A130396989X_Data</vt:lpstr>
      <vt:lpstr>A130396989X_Latest</vt:lpstr>
      <vt:lpstr>A130396996W</vt:lpstr>
      <vt:lpstr>A130396996W_Data</vt:lpstr>
      <vt:lpstr>A130396996W_Latest</vt:lpstr>
      <vt:lpstr>A130397003K</vt:lpstr>
      <vt:lpstr>A130397003K_Data</vt:lpstr>
      <vt:lpstr>A130397003K_Latest</vt:lpstr>
      <vt:lpstr>A130397010J</vt:lpstr>
      <vt:lpstr>A130397010J_Data</vt:lpstr>
      <vt:lpstr>A130397010J_Latest</vt:lpstr>
      <vt:lpstr>A130397017X</vt:lpstr>
      <vt:lpstr>A130397017X_Data</vt:lpstr>
      <vt:lpstr>A130397017X_Latest</vt:lpstr>
      <vt:lpstr>A130397024W</vt:lpstr>
      <vt:lpstr>A130397024W_Data</vt:lpstr>
      <vt:lpstr>A130397024W_Latest</vt:lpstr>
      <vt:lpstr>A130397031V</vt:lpstr>
      <vt:lpstr>A130397031V_Data</vt:lpstr>
      <vt:lpstr>A130397031V_Latest</vt:lpstr>
      <vt:lpstr>A130397038K</vt:lpstr>
      <vt:lpstr>A130397038K_Data</vt:lpstr>
      <vt:lpstr>A130397038K_Latest</vt:lpstr>
      <vt:lpstr>A130397045J</vt:lpstr>
      <vt:lpstr>A130397045J_Data</vt:lpstr>
      <vt:lpstr>A130397045J_Latest</vt:lpstr>
      <vt:lpstr>A130397052F</vt:lpstr>
      <vt:lpstr>A130397052F_Data</vt:lpstr>
      <vt:lpstr>A130397052F_Latest</vt:lpstr>
      <vt:lpstr>A130397059W</vt:lpstr>
      <vt:lpstr>A130397059W_Data</vt:lpstr>
      <vt:lpstr>A130397059W_Latest</vt:lpstr>
      <vt:lpstr>A130397066V</vt:lpstr>
      <vt:lpstr>A130397066V_Data</vt:lpstr>
      <vt:lpstr>A130397066V_Latest</vt:lpstr>
      <vt:lpstr>A130397073T</vt:lpstr>
      <vt:lpstr>A130397073T_Data</vt:lpstr>
      <vt:lpstr>A130397073T_Latest</vt:lpstr>
      <vt:lpstr>A130397080R</vt:lpstr>
      <vt:lpstr>A130397080R_Data</vt:lpstr>
      <vt:lpstr>A130397080R_Latest</vt:lpstr>
      <vt:lpstr>A130397087F</vt:lpstr>
      <vt:lpstr>A130397087F_Data</vt:lpstr>
      <vt:lpstr>A130397087F_Latest</vt:lpstr>
      <vt:lpstr>A130397094C</vt:lpstr>
      <vt:lpstr>A130397094C_Data</vt:lpstr>
      <vt:lpstr>A130397094C_Latest</vt:lpstr>
      <vt:lpstr>A130397101R</vt:lpstr>
      <vt:lpstr>A130397101R_Data</vt:lpstr>
      <vt:lpstr>A130397101R_Latest</vt:lpstr>
      <vt:lpstr>A130397108F</vt:lpstr>
      <vt:lpstr>A130397108F_Data</vt:lpstr>
      <vt:lpstr>A130397108F_Latest</vt:lpstr>
      <vt:lpstr>A130397122A</vt:lpstr>
      <vt:lpstr>A130397122A_Data</vt:lpstr>
      <vt:lpstr>A130397122A_Latest</vt:lpstr>
      <vt:lpstr>A130397129T</vt:lpstr>
      <vt:lpstr>A130397129T_Data</vt:lpstr>
      <vt:lpstr>A130397129T_Latest</vt:lpstr>
      <vt:lpstr>A130397136R</vt:lpstr>
      <vt:lpstr>A130397136R_Data</vt:lpstr>
      <vt:lpstr>A130397136R_Latest</vt:lpstr>
      <vt:lpstr>A130397143L</vt:lpstr>
      <vt:lpstr>A130397143L_Data</vt:lpstr>
      <vt:lpstr>A130397143L_Latest</vt:lpstr>
      <vt:lpstr>A130397150K</vt:lpstr>
      <vt:lpstr>A130397150K_Data</vt:lpstr>
      <vt:lpstr>A130397150K_Latest</vt:lpstr>
      <vt:lpstr>A130397157A</vt:lpstr>
      <vt:lpstr>A130397157A_Data</vt:lpstr>
      <vt:lpstr>A130397157A_Latest</vt:lpstr>
      <vt:lpstr>A130397164X</vt:lpstr>
      <vt:lpstr>A130397164X_Data</vt:lpstr>
      <vt:lpstr>A130397164X_Latest</vt:lpstr>
      <vt:lpstr>A130397171W</vt:lpstr>
      <vt:lpstr>A130397171W_Data</vt:lpstr>
      <vt:lpstr>A130397171W_Latest</vt:lpstr>
      <vt:lpstr>A130397178L</vt:lpstr>
      <vt:lpstr>A130397178L_Data</vt:lpstr>
      <vt:lpstr>A130397178L_Latest</vt:lpstr>
      <vt:lpstr>A130397192J</vt:lpstr>
      <vt:lpstr>A130397192J_Data</vt:lpstr>
      <vt:lpstr>A130397192J_Latest</vt:lpstr>
      <vt:lpstr>A130397199X</vt:lpstr>
      <vt:lpstr>A130397199X_Data</vt:lpstr>
      <vt:lpstr>A130397199X_Latest</vt:lpstr>
      <vt:lpstr>A130397206K</vt:lpstr>
      <vt:lpstr>A130397206K_Data</vt:lpstr>
      <vt:lpstr>A130397206K_Latest</vt:lpstr>
      <vt:lpstr>A130397213J</vt:lpstr>
      <vt:lpstr>A130397213J_Data</vt:lpstr>
      <vt:lpstr>A130397213J_Latest</vt:lpstr>
      <vt:lpstr>A130397220F</vt:lpstr>
      <vt:lpstr>A130397220F_Data</vt:lpstr>
      <vt:lpstr>A130397220F_Latest</vt:lpstr>
      <vt:lpstr>A130397227W</vt:lpstr>
      <vt:lpstr>A130397227W_Data</vt:lpstr>
      <vt:lpstr>A130397227W_Latest</vt:lpstr>
      <vt:lpstr>A130397234V</vt:lpstr>
      <vt:lpstr>A130397234V_Data</vt:lpstr>
      <vt:lpstr>A130397234V_Latest</vt:lpstr>
      <vt:lpstr>A130397241T</vt:lpstr>
      <vt:lpstr>A130397241T_Data</vt:lpstr>
      <vt:lpstr>A130397241T_Latest</vt:lpstr>
      <vt:lpstr>A130397248J</vt:lpstr>
      <vt:lpstr>A130397248J_Data</vt:lpstr>
      <vt:lpstr>A130397248J_Latest</vt:lpstr>
      <vt:lpstr>A130397255F</vt:lpstr>
      <vt:lpstr>A130397255F_Data</vt:lpstr>
      <vt:lpstr>A130397255F_Latest</vt:lpstr>
      <vt:lpstr>A130397262C</vt:lpstr>
      <vt:lpstr>A130397262C_Data</vt:lpstr>
      <vt:lpstr>A130397262C_Latest</vt:lpstr>
      <vt:lpstr>A130397269V</vt:lpstr>
      <vt:lpstr>A130397269V_Data</vt:lpstr>
      <vt:lpstr>A130397269V_Latest</vt:lpstr>
      <vt:lpstr>A130397276T</vt:lpstr>
      <vt:lpstr>A130397276T_Data</vt:lpstr>
      <vt:lpstr>A130397276T_Latest</vt:lpstr>
      <vt:lpstr>A130397283R</vt:lpstr>
      <vt:lpstr>A130397283R_Data</vt:lpstr>
      <vt:lpstr>A130397283R_Latest</vt:lpstr>
      <vt:lpstr>A130397297C</vt:lpstr>
      <vt:lpstr>A130397297C_Data</vt:lpstr>
      <vt:lpstr>A130397297C_Latest</vt:lpstr>
      <vt:lpstr>A130397304R</vt:lpstr>
      <vt:lpstr>A130397304R_Data</vt:lpstr>
      <vt:lpstr>A130397304R_Latest</vt:lpstr>
      <vt:lpstr>A130397311L</vt:lpstr>
      <vt:lpstr>A130397311L_Data</vt:lpstr>
      <vt:lpstr>A130397311L_Latest</vt:lpstr>
      <vt:lpstr>A130397318C</vt:lpstr>
      <vt:lpstr>A130397318C_Data</vt:lpstr>
      <vt:lpstr>A130397318C_Latest</vt:lpstr>
      <vt:lpstr>A130397325A</vt:lpstr>
      <vt:lpstr>A130397325A_Data</vt:lpstr>
      <vt:lpstr>A130397325A_Latest</vt:lpstr>
      <vt:lpstr>A130397332X</vt:lpstr>
      <vt:lpstr>A130397332X_Data</vt:lpstr>
      <vt:lpstr>A130397332X_Latest</vt:lpstr>
      <vt:lpstr>A130397346L</vt:lpstr>
      <vt:lpstr>A130397346L_Data</vt:lpstr>
      <vt:lpstr>A130397346L_Latest</vt:lpstr>
      <vt:lpstr>A130397353K</vt:lpstr>
      <vt:lpstr>A130397353K_Data</vt:lpstr>
      <vt:lpstr>A130397353K_Latest</vt:lpstr>
      <vt:lpstr>A130397367X</vt:lpstr>
      <vt:lpstr>A130397367X_Data</vt:lpstr>
      <vt:lpstr>A130397367X_Latest</vt:lpstr>
      <vt:lpstr>A130397375X</vt:lpstr>
      <vt:lpstr>A130397375X_Data</vt:lpstr>
      <vt:lpstr>A130397375X_Latest</vt:lpstr>
      <vt:lpstr>A130397382W</vt:lpstr>
      <vt:lpstr>A130397382W_Data</vt:lpstr>
      <vt:lpstr>A130397382W_Latest</vt:lpstr>
      <vt:lpstr>A130397480A</vt:lpstr>
      <vt:lpstr>A130397480A_Data</vt:lpstr>
      <vt:lpstr>A130397480A_Latest</vt:lpstr>
      <vt:lpstr>A130397494R</vt:lpstr>
      <vt:lpstr>A130397494R_Data</vt:lpstr>
      <vt:lpstr>A130397494R_Latest</vt:lpstr>
      <vt:lpstr>A130397501A</vt:lpstr>
      <vt:lpstr>A130397501A_Data</vt:lpstr>
      <vt:lpstr>A130397501A_Latest</vt:lpstr>
      <vt:lpstr>A130397508T</vt:lpstr>
      <vt:lpstr>A130397508T_Data</vt:lpstr>
      <vt:lpstr>A130397508T_Latest</vt:lpstr>
      <vt:lpstr>A130397515R</vt:lpstr>
      <vt:lpstr>A130397515R_Data</vt:lpstr>
      <vt:lpstr>A130397515R_Latest</vt:lpstr>
      <vt:lpstr>A130397522L</vt:lpstr>
      <vt:lpstr>A130397522L_Data</vt:lpstr>
      <vt:lpstr>A130397522L_Latest</vt:lpstr>
      <vt:lpstr>A130397529C</vt:lpstr>
      <vt:lpstr>A130397529C_Data</vt:lpstr>
      <vt:lpstr>A130397529C_Latest</vt:lpstr>
      <vt:lpstr>A130397536A</vt:lpstr>
      <vt:lpstr>A130397536A_Data</vt:lpstr>
      <vt:lpstr>A130397536A_Latest</vt:lpstr>
      <vt:lpstr>A130397543X</vt:lpstr>
      <vt:lpstr>A130397543X_Data</vt:lpstr>
      <vt:lpstr>A130397543X_Latest</vt:lpstr>
      <vt:lpstr>A130397550W</vt:lpstr>
      <vt:lpstr>A130397550W_Data</vt:lpstr>
      <vt:lpstr>A130397550W_Latest</vt:lpstr>
      <vt:lpstr>A130397557L</vt:lpstr>
      <vt:lpstr>A130397557L_Data</vt:lpstr>
      <vt:lpstr>A130397557L_Latest</vt:lpstr>
      <vt:lpstr>A130397564K</vt:lpstr>
      <vt:lpstr>A130397564K_Data</vt:lpstr>
      <vt:lpstr>A130397564K_Latest</vt:lpstr>
      <vt:lpstr>A130397571J</vt:lpstr>
      <vt:lpstr>A130397571J_Data</vt:lpstr>
      <vt:lpstr>A130397571J_Latest</vt:lpstr>
      <vt:lpstr>A130397578X</vt:lpstr>
      <vt:lpstr>A130397578X_Data</vt:lpstr>
      <vt:lpstr>A130397578X_Latest</vt:lpstr>
      <vt:lpstr>A130397585W</vt:lpstr>
      <vt:lpstr>A130397585W_Data</vt:lpstr>
      <vt:lpstr>A130397585W_Latest</vt:lpstr>
      <vt:lpstr>A130397592V</vt:lpstr>
      <vt:lpstr>A130397592V_Data</vt:lpstr>
      <vt:lpstr>A130397592V_Latest</vt:lpstr>
      <vt:lpstr>A130397599K</vt:lpstr>
      <vt:lpstr>A130397599K_Data</vt:lpstr>
      <vt:lpstr>A130397599K_Latest</vt:lpstr>
      <vt:lpstr>A130397606W</vt:lpstr>
      <vt:lpstr>A130397606W_Data</vt:lpstr>
      <vt:lpstr>A130397606W_Latest</vt:lpstr>
      <vt:lpstr>A130397613V</vt:lpstr>
      <vt:lpstr>A130397613V_Data</vt:lpstr>
      <vt:lpstr>A130397613V_Latest</vt:lpstr>
      <vt:lpstr>A130397620T</vt:lpstr>
      <vt:lpstr>A130397620T_Data</vt:lpstr>
      <vt:lpstr>A130397620T_Latest</vt:lpstr>
      <vt:lpstr>A130397627J</vt:lpstr>
      <vt:lpstr>A130397627J_Data</vt:lpstr>
      <vt:lpstr>A130397627J_Latest</vt:lpstr>
      <vt:lpstr>A130397634F</vt:lpstr>
      <vt:lpstr>A130397634F_Data</vt:lpstr>
      <vt:lpstr>A130397634F_Latest</vt:lpstr>
      <vt:lpstr>A130397641C</vt:lpstr>
      <vt:lpstr>A130397641C_Data</vt:lpstr>
      <vt:lpstr>A130397641C_Latest</vt:lpstr>
      <vt:lpstr>A130397767K</vt:lpstr>
      <vt:lpstr>A130397767K_Data</vt:lpstr>
      <vt:lpstr>A130397767K_Latest</vt:lpstr>
      <vt:lpstr>A130397774J</vt:lpstr>
      <vt:lpstr>A130397774J_Data</vt:lpstr>
      <vt:lpstr>A130397774J_Latest</vt:lpstr>
      <vt:lpstr>A130397781F</vt:lpstr>
      <vt:lpstr>A130397781F_Data</vt:lpstr>
      <vt:lpstr>A130397781F_Latest</vt:lpstr>
      <vt:lpstr>A130397788W</vt:lpstr>
      <vt:lpstr>A130397788W_Data</vt:lpstr>
      <vt:lpstr>A130397788W_Latest</vt:lpstr>
      <vt:lpstr>A130397802F</vt:lpstr>
      <vt:lpstr>A130397802F_Data</vt:lpstr>
      <vt:lpstr>A130397802F_Latest</vt:lpstr>
      <vt:lpstr>A130397809W</vt:lpstr>
      <vt:lpstr>A130397809W_Data</vt:lpstr>
      <vt:lpstr>A130397809W_Latest</vt:lpstr>
      <vt:lpstr>A130397816V</vt:lpstr>
      <vt:lpstr>A130397816V_Data</vt:lpstr>
      <vt:lpstr>A130397816V_Latest</vt:lpstr>
      <vt:lpstr>A130397830R</vt:lpstr>
      <vt:lpstr>A130397830R_Data</vt:lpstr>
      <vt:lpstr>A130397830R_Latest</vt:lpstr>
      <vt:lpstr>A130397837F</vt:lpstr>
      <vt:lpstr>A130397837F_Data</vt:lpstr>
      <vt:lpstr>A130397837F_Latest</vt:lpstr>
      <vt:lpstr>A130397858T</vt:lpstr>
      <vt:lpstr>A130397858T_Data</vt:lpstr>
      <vt:lpstr>A130397858T_Latest</vt:lpstr>
      <vt:lpstr>A130397872L</vt:lpstr>
      <vt:lpstr>A130397872L_Data</vt:lpstr>
      <vt:lpstr>A130397872L_Latest</vt:lpstr>
      <vt:lpstr>A130397879C</vt:lpstr>
      <vt:lpstr>A130397879C_Data</vt:lpstr>
      <vt:lpstr>A130397879C_Latest</vt:lpstr>
      <vt:lpstr>A130397886A</vt:lpstr>
      <vt:lpstr>A130397886A_Data</vt:lpstr>
      <vt:lpstr>A130397886A_Latest</vt:lpstr>
      <vt:lpstr>A130397935K</vt:lpstr>
      <vt:lpstr>A130397935K_Data</vt:lpstr>
      <vt:lpstr>A130397935K_Latest</vt:lpstr>
      <vt:lpstr>A130397942J</vt:lpstr>
      <vt:lpstr>A130397942J_Data</vt:lpstr>
      <vt:lpstr>A130397942J_Latest</vt:lpstr>
      <vt:lpstr>A130397949X</vt:lpstr>
      <vt:lpstr>A130397949X_Data</vt:lpstr>
      <vt:lpstr>A130397949X_Latest</vt:lpstr>
      <vt:lpstr>A130397956W</vt:lpstr>
      <vt:lpstr>A130397956W_Data</vt:lpstr>
      <vt:lpstr>A130397956W_Latest</vt:lpstr>
      <vt:lpstr>A130397963V</vt:lpstr>
      <vt:lpstr>A130397963V_Data</vt:lpstr>
      <vt:lpstr>A130397963V_Latest</vt:lpstr>
      <vt:lpstr>A130397977J</vt:lpstr>
      <vt:lpstr>A130397977J_Data</vt:lpstr>
      <vt:lpstr>A130397977J_Latest</vt:lpstr>
      <vt:lpstr>A130397984F</vt:lpstr>
      <vt:lpstr>A130397984F_Data</vt:lpstr>
      <vt:lpstr>A130397984F_Latest</vt:lpstr>
      <vt:lpstr>A130397991C</vt:lpstr>
      <vt:lpstr>A130397991C_Data</vt:lpstr>
      <vt:lpstr>A130397991C_Latest</vt:lpstr>
      <vt:lpstr>A130397998V</vt:lpstr>
      <vt:lpstr>A130397998V_Data</vt:lpstr>
      <vt:lpstr>A130397998V_Latest</vt:lpstr>
      <vt:lpstr>A130398005J</vt:lpstr>
      <vt:lpstr>A130398005J_Data</vt:lpstr>
      <vt:lpstr>A130398005J_Latest</vt:lpstr>
      <vt:lpstr>A130398019W</vt:lpstr>
      <vt:lpstr>A130398019W_Data</vt:lpstr>
      <vt:lpstr>A130398019W_Latest</vt:lpstr>
      <vt:lpstr>A130398026V</vt:lpstr>
      <vt:lpstr>A130398026V_Data</vt:lpstr>
      <vt:lpstr>A130398026V_Latest</vt:lpstr>
      <vt:lpstr>A130398033T</vt:lpstr>
      <vt:lpstr>A130398033T_Data</vt:lpstr>
      <vt:lpstr>A130398033T_Latest</vt:lpstr>
      <vt:lpstr>A130398040R</vt:lpstr>
      <vt:lpstr>A130398040R_Data</vt:lpstr>
      <vt:lpstr>A130398040R_Latest</vt:lpstr>
      <vt:lpstr>A130398047F</vt:lpstr>
      <vt:lpstr>A130398047F_Data</vt:lpstr>
      <vt:lpstr>A130398047F_Latest</vt:lpstr>
      <vt:lpstr>A130398054C</vt:lpstr>
      <vt:lpstr>A130398054C_Data</vt:lpstr>
      <vt:lpstr>A130398054C_Latest</vt:lpstr>
      <vt:lpstr>A130398068T</vt:lpstr>
      <vt:lpstr>A130398068T_Data</vt:lpstr>
      <vt:lpstr>A130398068T_Latest</vt:lpstr>
      <vt:lpstr>A130398075R</vt:lpstr>
      <vt:lpstr>A130398075R_Data</vt:lpstr>
      <vt:lpstr>A130398075R_Latest</vt:lpstr>
      <vt:lpstr>A130398082L</vt:lpstr>
      <vt:lpstr>A130398082L_Data</vt:lpstr>
      <vt:lpstr>A130398082L_Latest</vt:lpstr>
      <vt:lpstr>A130398089C</vt:lpstr>
      <vt:lpstr>A130398089C_Data</vt:lpstr>
      <vt:lpstr>A130398089C_Latest</vt:lpstr>
      <vt:lpstr>A130398096A</vt:lpstr>
      <vt:lpstr>A130398096A_Data</vt:lpstr>
      <vt:lpstr>A130398096A_Latest</vt:lpstr>
      <vt:lpstr>A130398103L</vt:lpstr>
      <vt:lpstr>A130398103L_Data</vt:lpstr>
      <vt:lpstr>A130398103L_Latest</vt:lpstr>
      <vt:lpstr>A130398110K</vt:lpstr>
      <vt:lpstr>A130398110K_Data</vt:lpstr>
      <vt:lpstr>A130398110K_Latest</vt:lpstr>
      <vt:lpstr>A130398117A</vt:lpstr>
      <vt:lpstr>A130398117A_Data</vt:lpstr>
      <vt:lpstr>A130398117A_Latest</vt:lpstr>
      <vt:lpstr>A130398124X</vt:lpstr>
      <vt:lpstr>A130398124X_Data</vt:lpstr>
      <vt:lpstr>A130398124X_Latest</vt:lpstr>
      <vt:lpstr>A130398131W</vt:lpstr>
      <vt:lpstr>A130398131W_Data</vt:lpstr>
      <vt:lpstr>A130398131W_Latest</vt:lpstr>
      <vt:lpstr>A130398138L</vt:lpstr>
      <vt:lpstr>A130398138L_Data</vt:lpstr>
      <vt:lpstr>A130398138L_Latest</vt:lpstr>
      <vt:lpstr>A130398145K</vt:lpstr>
      <vt:lpstr>A130398145K_Data</vt:lpstr>
      <vt:lpstr>A130398145K_Latest</vt:lpstr>
      <vt:lpstr>A130398152J</vt:lpstr>
      <vt:lpstr>A130398152J_Data</vt:lpstr>
      <vt:lpstr>A130398152J_Latest</vt:lpstr>
      <vt:lpstr>A130398159X</vt:lpstr>
      <vt:lpstr>A130398159X_Data</vt:lpstr>
      <vt:lpstr>A130398159X_Latest</vt:lpstr>
      <vt:lpstr>A130398166W</vt:lpstr>
      <vt:lpstr>A130398166W_Data</vt:lpstr>
      <vt:lpstr>A130398166W_Latest</vt:lpstr>
      <vt:lpstr>A130398173V</vt:lpstr>
      <vt:lpstr>A130398173V_Data</vt:lpstr>
      <vt:lpstr>A130398173V_Latest</vt:lpstr>
      <vt:lpstr>A130398180T</vt:lpstr>
      <vt:lpstr>A130398180T_Data</vt:lpstr>
      <vt:lpstr>A130398180T_Latest</vt:lpstr>
      <vt:lpstr>A130398187J</vt:lpstr>
      <vt:lpstr>A130398187J_Data</vt:lpstr>
      <vt:lpstr>A130398187J_Latest</vt:lpstr>
      <vt:lpstr>A130398194F</vt:lpstr>
      <vt:lpstr>A130398194F_Data</vt:lpstr>
      <vt:lpstr>A130398194F_Latest</vt:lpstr>
      <vt:lpstr>A130398201T</vt:lpstr>
      <vt:lpstr>A130398201T_Data</vt:lpstr>
      <vt:lpstr>A130398201T_Latest</vt:lpstr>
      <vt:lpstr>A130398208J</vt:lpstr>
      <vt:lpstr>A130398208J_Data</vt:lpstr>
      <vt:lpstr>A130398208J_Latest</vt:lpstr>
      <vt:lpstr>A130398215F</vt:lpstr>
      <vt:lpstr>A130398215F_Data</vt:lpstr>
      <vt:lpstr>A130398215F_Latest</vt:lpstr>
      <vt:lpstr>A130398222C</vt:lpstr>
      <vt:lpstr>A130398222C_Data</vt:lpstr>
      <vt:lpstr>A130398222C_Latest</vt:lpstr>
      <vt:lpstr>A130398229V</vt:lpstr>
      <vt:lpstr>A130398229V_Data</vt:lpstr>
      <vt:lpstr>A130398229V_Latest</vt:lpstr>
      <vt:lpstr>A130398236T</vt:lpstr>
      <vt:lpstr>A130398236T_Data</vt:lpstr>
      <vt:lpstr>A130398236T_Latest</vt:lpstr>
      <vt:lpstr>A130398243R</vt:lpstr>
      <vt:lpstr>A130398243R_Data</vt:lpstr>
      <vt:lpstr>A130398243R_Latest</vt:lpstr>
      <vt:lpstr>A130398250L</vt:lpstr>
      <vt:lpstr>A130398250L_Data</vt:lpstr>
      <vt:lpstr>A130398250L_Latest</vt:lpstr>
      <vt:lpstr>A130398257C</vt:lpstr>
      <vt:lpstr>A130398257C_Data</vt:lpstr>
      <vt:lpstr>A130398257C_Latest</vt:lpstr>
      <vt:lpstr>A130398264A</vt:lpstr>
      <vt:lpstr>A130398264A_Data</vt:lpstr>
      <vt:lpstr>A130398264A_Latest</vt:lpstr>
      <vt:lpstr>A130398271X</vt:lpstr>
      <vt:lpstr>A130398271X_Data</vt:lpstr>
      <vt:lpstr>A130398271X_Latest</vt:lpstr>
      <vt:lpstr>A130398278R</vt:lpstr>
      <vt:lpstr>A130398278R_Data</vt:lpstr>
      <vt:lpstr>A130398278R_Latest</vt:lpstr>
      <vt:lpstr>A130398285L</vt:lpstr>
      <vt:lpstr>A130398285L_Data</vt:lpstr>
      <vt:lpstr>A130398285L_Latest</vt:lpstr>
      <vt:lpstr>A130398299A</vt:lpstr>
      <vt:lpstr>A130398299A_Data</vt:lpstr>
      <vt:lpstr>A130398299A_Latest</vt:lpstr>
      <vt:lpstr>A130398306L</vt:lpstr>
      <vt:lpstr>A130398306L_Data</vt:lpstr>
      <vt:lpstr>A130398306L_Latest</vt:lpstr>
      <vt:lpstr>A130398313K</vt:lpstr>
      <vt:lpstr>A130398313K_Data</vt:lpstr>
      <vt:lpstr>A130398313K_Latest</vt:lpstr>
      <vt:lpstr>A130398327X</vt:lpstr>
      <vt:lpstr>A130398327X_Data</vt:lpstr>
      <vt:lpstr>A130398327X_Latest</vt:lpstr>
      <vt:lpstr>A130398334W</vt:lpstr>
      <vt:lpstr>A130398334W_Data</vt:lpstr>
      <vt:lpstr>A130398334W_Latest</vt:lpstr>
      <vt:lpstr>A130398341V</vt:lpstr>
      <vt:lpstr>A130398341V_Data</vt:lpstr>
      <vt:lpstr>A130398341V_Latest</vt:lpstr>
      <vt:lpstr>A130398348K</vt:lpstr>
      <vt:lpstr>A130398348K_Data</vt:lpstr>
      <vt:lpstr>A130398348K_Latest</vt:lpstr>
      <vt:lpstr>A130398355J</vt:lpstr>
      <vt:lpstr>A130398355J_Data</vt:lpstr>
      <vt:lpstr>A130398355J_Latest</vt:lpstr>
      <vt:lpstr>A130398369W</vt:lpstr>
      <vt:lpstr>A130398369W_Data</vt:lpstr>
      <vt:lpstr>A130398369W_Latest</vt:lpstr>
      <vt:lpstr>A130398376V</vt:lpstr>
      <vt:lpstr>A130398376V_Data</vt:lpstr>
      <vt:lpstr>A130398376V_Latest</vt:lpstr>
      <vt:lpstr>A130398383T</vt:lpstr>
      <vt:lpstr>A130398383T_Data</vt:lpstr>
      <vt:lpstr>A130398383T_Latest</vt:lpstr>
      <vt:lpstr>A130398390R</vt:lpstr>
      <vt:lpstr>A130398390R_Data</vt:lpstr>
      <vt:lpstr>A130398390R_Latest</vt:lpstr>
      <vt:lpstr>A130398397F</vt:lpstr>
      <vt:lpstr>A130398397F_Data</vt:lpstr>
      <vt:lpstr>A130398397F_Latest</vt:lpstr>
      <vt:lpstr>A130398404T</vt:lpstr>
      <vt:lpstr>A130398404T_Data</vt:lpstr>
      <vt:lpstr>A130398404T_Latest</vt:lpstr>
      <vt:lpstr>A130398411R</vt:lpstr>
      <vt:lpstr>A130398411R_Data</vt:lpstr>
      <vt:lpstr>A130398411R_Latest</vt:lpstr>
      <vt:lpstr>A130398418F</vt:lpstr>
      <vt:lpstr>A130398418F_Data</vt:lpstr>
      <vt:lpstr>A130398418F_Latest</vt:lpstr>
      <vt:lpstr>A130398425C</vt:lpstr>
      <vt:lpstr>A130398425C_Data</vt:lpstr>
      <vt:lpstr>A130398425C_Latest</vt:lpstr>
      <vt:lpstr>A130398432A</vt:lpstr>
      <vt:lpstr>A130398432A_Data</vt:lpstr>
      <vt:lpstr>A130398432A_Latest</vt:lpstr>
      <vt:lpstr>A130398439T</vt:lpstr>
      <vt:lpstr>A130398439T_Data</vt:lpstr>
      <vt:lpstr>A130398439T_Latest</vt:lpstr>
      <vt:lpstr>A130398446R</vt:lpstr>
      <vt:lpstr>A130398446R_Data</vt:lpstr>
      <vt:lpstr>A130398446R_Latest</vt:lpstr>
      <vt:lpstr>A130398453L</vt:lpstr>
      <vt:lpstr>A130398453L_Data</vt:lpstr>
      <vt:lpstr>A130398453L_Latest</vt:lpstr>
      <vt:lpstr>A130398460K</vt:lpstr>
      <vt:lpstr>A130398460K_Data</vt:lpstr>
      <vt:lpstr>A130398460K_Latest</vt:lpstr>
      <vt:lpstr>A130398474X</vt:lpstr>
      <vt:lpstr>A130398474X_Data</vt:lpstr>
      <vt:lpstr>A130398474X_Latest</vt:lpstr>
      <vt:lpstr>A130398481W</vt:lpstr>
      <vt:lpstr>A130398481W_Data</vt:lpstr>
      <vt:lpstr>A130398481W_Latest</vt:lpstr>
      <vt:lpstr>A130398488L</vt:lpstr>
      <vt:lpstr>A130398488L_Data</vt:lpstr>
      <vt:lpstr>A130398488L_Latest</vt:lpstr>
      <vt:lpstr>A130398495K</vt:lpstr>
      <vt:lpstr>A130398495K_Data</vt:lpstr>
      <vt:lpstr>A130398495K_Latest</vt:lpstr>
      <vt:lpstr>A130398502W</vt:lpstr>
      <vt:lpstr>A130398502W_Data</vt:lpstr>
      <vt:lpstr>A130398502W_Latest</vt:lpstr>
      <vt:lpstr>A130398509L</vt:lpstr>
      <vt:lpstr>A130398509L_Data</vt:lpstr>
      <vt:lpstr>A130398509L_Latest</vt:lpstr>
      <vt:lpstr>A130398523J</vt:lpstr>
      <vt:lpstr>A130398523J_Data</vt:lpstr>
      <vt:lpstr>A130398523J_Latest</vt:lpstr>
      <vt:lpstr>A130398530F</vt:lpstr>
      <vt:lpstr>A130398530F_Data</vt:lpstr>
      <vt:lpstr>A130398530F_Latest</vt:lpstr>
      <vt:lpstr>A130398537W</vt:lpstr>
      <vt:lpstr>A130398537W_Data</vt:lpstr>
      <vt:lpstr>A130398537W_Latest</vt:lpstr>
      <vt:lpstr>A130398544V</vt:lpstr>
      <vt:lpstr>A130398544V_Data</vt:lpstr>
      <vt:lpstr>A130398544V_Latest</vt:lpstr>
      <vt:lpstr>A130398551T</vt:lpstr>
      <vt:lpstr>A130398551T_Data</vt:lpstr>
      <vt:lpstr>A130398551T_Latest</vt:lpstr>
      <vt:lpstr>A130398558J</vt:lpstr>
      <vt:lpstr>A130398558J_Data</vt:lpstr>
      <vt:lpstr>A130398558J_Latest</vt:lpstr>
      <vt:lpstr>A130398565F</vt:lpstr>
      <vt:lpstr>A130398565F_Data</vt:lpstr>
      <vt:lpstr>A130398565F_Latest</vt:lpstr>
      <vt:lpstr>A130398572C</vt:lpstr>
      <vt:lpstr>A130398572C_Data</vt:lpstr>
      <vt:lpstr>A130398572C_Latest</vt:lpstr>
      <vt:lpstr>A130398579V</vt:lpstr>
      <vt:lpstr>A130398579V_Data</vt:lpstr>
      <vt:lpstr>A130398579V_Latest</vt:lpstr>
      <vt:lpstr>A130398586T</vt:lpstr>
      <vt:lpstr>A130398586T_Data</vt:lpstr>
      <vt:lpstr>A130398586T_Latest</vt:lpstr>
      <vt:lpstr>A130398593R</vt:lpstr>
      <vt:lpstr>A130398593R_Data</vt:lpstr>
      <vt:lpstr>A130398593R_Latest</vt:lpstr>
      <vt:lpstr>A130398600A</vt:lpstr>
      <vt:lpstr>A130398600A_Data</vt:lpstr>
      <vt:lpstr>A130398600A_Latest</vt:lpstr>
      <vt:lpstr>A130398607T</vt:lpstr>
      <vt:lpstr>A130398607T_Data</vt:lpstr>
      <vt:lpstr>A130398607T_Latest</vt:lpstr>
      <vt:lpstr>A130398614R</vt:lpstr>
      <vt:lpstr>A130398614R_Data</vt:lpstr>
      <vt:lpstr>A130398614R_Latest</vt:lpstr>
      <vt:lpstr>A130398621L</vt:lpstr>
      <vt:lpstr>A130398621L_Data</vt:lpstr>
      <vt:lpstr>A130398621L_Latest</vt:lpstr>
      <vt:lpstr>A130398628C</vt:lpstr>
      <vt:lpstr>A130398628C_Data</vt:lpstr>
      <vt:lpstr>A130398628C_Latest</vt:lpstr>
      <vt:lpstr>A130398687C</vt:lpstr>
      <vt:lpstr>A130398687C_Data</vt:lpstr>
      <vt:lpstr>A130398687C_Latest</vt:lpstr>
      <vt:lpstr>A130398694A</vt:lpstr>
      <vt:lpstr>A130398694A_Data</vt:lpstr>
      <vt:lpstr>A130398694A_Latest</vt:lpstr>
      <vt:lpstr>A130398701L</vt:lpstr>
      <vt:lpstr>A130398701L_Data</vt:lpstr>
      <vt:lpstr>A130398701L_Latest</vt:lpstr>
      <vt:lpstr>A130398708C</vt:lpstr>
      <vt:lpstr>A130398708C_Data</vt:lpstr>
      <vt:lpstr>A130398708C_Latest</vt:lpstr>
      <vt:lpstr>A130398715A</vt:lpstr>
      <vt:lpstr>A130398715A_Data</vt:lpstr>
      <vt:lpstr>A130398715A_Latest</vt:lpstr>
      <vt:lpstr>A130398722X</vt:lpstr>
      <vt:lpstr>A130398722X_Data</vt:lpstr>
      <vt:lpstr>A130398722X_Latest</vt:lpstr>
      <vt:lpstr>A130398729R</vt:lpstr>
      <vt:lpstr>A130398729R_Data</vt:lpstr>
      <vt:lpstr>A130398729R_Latest</vt:lpstr>
      <vt:lpstr>A130398736L</vt:lpstr>
      <vt:lpstr>A130398736L_Data</vt:lpstr>
      <vt:lpstr>A130398736L_Latest</vt:lpstr>
      <vt:lpstr>A130398743K</vt:lpstr>
      <vt:lpstr>A130398743K_Data</vt:lpstr>
      <vt:lpstr>A130398743K_Latest</vt:lpstr>
      <vt:lpstr>A130398750J</vt:lpstr>
      <vt:lpstr>A130398750J_Data</vt:lpstr>
      <vt:lpstr>A130398750J_Latest</vt:lpstr>
      <vt:lpstr>A130398764W</vt:lpstr>
      <vt:lpstr>A130398764W_Data</vt:lpstr>
      <vt:lpstr>A130398764W_Latest</vt:lpstr>
      <vt:lpstr>A130398771V</vt:lpstr>
      <vt:lpstr>A130398771V_Data</vt:lpstr>
      <vt:lpstr>A130398771V_Latest</vt:lpstr>
      <vt:lpstr>A130398778K</vt:lpstr>
      <vt:lpstr>A130398778K_Data</vt:lpstr>
      <vt:lpstr>A130398778K_Latest</vt:lpstr>
      <vt:lpstr>A130398785J</vt:lpstr>
      <vt:lpstr>A130398785J_Data</vt:lpstr>
      <vt:lpstr>A130398785J_Latest</vt:lpstr>
      <vt:lpstr>A130398792F</vt:lpstr>
      <vt:lpstr>A130398792F_Data</vt:lpstr>
      <vt:lpstr>A130398792F_Latest</vt:lpstr>
      <vt:lpstr>A130398799W</vt:lpstr>
      <vt:lpstr>A130398799W_Data</vt:lpstr>
      <vt:lpstr>A130398799W_Latest</vt:lpstr>
      <vt:lpstr>A130398806J</vt:lpstr>
      <vt:lpstr>A130398806J_Data</vt:lpstr>
      <vt:lpstr>A130398806J_Latest</vt:lpstr>
      <vt:lpstr>A130398813F</vt:lpstr>
      <vt:lpstr>A130398813F_Data</vt:lpstr>
      <vt:lpstr>A130398813F_Latest</vt:lpstr>
      <vt:lpstr>A130398820C</vt:lpstr>
      <vt:lpstr>A130398820C_Data</vt:lpstr>
      <vt:lpstr>A130398820C_Latest</vt:lpstr>
      <vt:lpstr>A130398827V</vt:lpstr>
      <vt:lpstr>A130398827V_Data</vt:lpstr>
      <vt:lpstr>A130398827V_Latest</vt:lpstr>
      <vt:lpstr>A130398834T</vt:lpstr>
      <vt:lpstr>A130398834T_Data</vt:lpstr>
      <vt:lpstr>A130398834T_Latest</vt:lpstr>
      <vt:lpstr>A130398841R</vt:lpstr>
      <vt:lpstr>A130398841R_Data</vt:lpstr>
      <vt:lpstr>A130398841R_Latest</vt:lpstr>
      <vt:lpstr>A130398932W</vt:lpstr>
      <vt:lpstr>A130398932W_Data</vt:lpstr>
      <vt:lpstr>A130398932W_Latest</vt:lpstr>
      <vt:lpstr>A130398946K</vt:lpstr>
      <vt:lpstr>A130398946K_Data</vt:lpstr>
      <vt:lpstr>A130398946K_Latest</vt:lpstr>
      <vt:lpstr>A130398953J</vt:lpstr>
      <vt:lpstr>A130398953J_Data</vt:lpstr>
      <vt:lpstr>A130398953J_Latest</vt:lpstr>
      <vt:lpstr>A130398960F</vt:lpstr>
      <vt:lpstr>A130398960F_Data</vt:lpstr>
      <vt:lpstr>A130398960F_Latest</vt:lpstr>
      <vt:lpstr>A130398967W</vt:lpstr>
      <vt:lpstr>A130398967W_Data</vt:lpstr>
      <vt:lpstr>A130398967W_Latest</vt:lpstr>
      <vt:lpstr>A130398974V</vt:lpstr>
      <vt:lpstr>A130398974V_Data</vt:lpstr>
      <vt:lpstr>A130398974V_Latest</vt:lpstr>
      <vt:lpstr>A130398981T</vt:lpstr>
      <vt:lpstr>A130398981T_Data</vt:lpstr>
      <vt:lpstr>A130398981T_Latest</vt:lpstr>
      <vt:lpstr>A130398988J</vt:lpstr>
      <vt:lpstr>A130398988J_Data</vt:lpstr>
      <vt:lpstr>A130398988J_Latest</vt:lpstr>
      <vt:lpstr>A130398995F</vt:lpstr>
      <vt:lpstr>A130398995F_Data</vt:lpstr>
      <vt:lpstr>A130398995F_Latest</vt:lpstr>
      <vt:lpstr>A130399002V</vt:lpstr>
      <vt:lpstr>A130399002V_Data</vt:lpstr>
      <vt:lpstr>A130399002V_Latest</vt:lpstr>
      <vt:lpstr>A130399009K</vt:lpstr>
      <vt:lpstr>A130399009K_Data</vt:lpstr>
      <vt:lpstr>A130399009K_Latest</vt:lpstr>
      <vt:lpstr>A130399016J</vt:lpstr>
      <vt:lpstr>A130399016J_Data</vt:lpstr>
      <vt:lpstr>A130399016J_Latest</vt:lpstr>
      <vt:lpstr>A130399023F</vt:lpstr>
      <vt:lpstr>A130399023F_Data</vt:lpstr>
      <vt:lpstr>A130399023F_Latest</vt:lpstr>
      <vt:lpstr>A130399030C</vt:lpstr>
      <vt:lpstr>A130399030C_Data</vt:lpstr>
      <vt:lpstr>A130399030C_Latest</vt:lpstr>
      <vt:lpstr>A130399037V</vt:lpstr>
      <vt:lpstr>A130399037V_Data</vt:lpstr>
      <vt:lpstr>A130399037V_Latest</vt:lpstr>
      <vt:lpstr>A130399044T</vt:lpstr>
      <vt:lpstr>A130399044T_Data</vt:lpstr>
      <vt:lpstr>A130399044T_Latest</vt:lpstr>
      <vt:lpstr>A130399051R</vt:lpstr>
      <vt:lpstr>A130399051R_Data</vt:lpstr>
      <vt:lpstr>A130399051R_Latest</vt:lpstr>
      <vt:lpstr>A130399058F</vt:lpstr>
      <vt:lpstr>A130399058F_Data</vt:lpstr>
      <vt:lpstr>A130399058F_Latest</vt:lpstr>
      <vt:lpstr>A130399065C</vt:lpstr>
      <vt:lpstr>A130399065C_Data</vt:lpstr>
      <vt:lpstr>A130399065C_Latest</vt:lpstr>
      <vt:lpstr>A130399072A</vt:lpstr>
      <vt:lpstr>A130399072A_Data</vt:lpstr>
      <vt:lpstr>A130399072A_Latest</vt:lpstr>
      <vt:lpstr>A130399086R</vt:lpstr>
      <vt:lpstr>A130399086R_Data</vt:lpstr>
      <vt:lpstr>A130399086R_Latest</vt:lpstr>
      <vt:lpstr>A130399093L</vt:lpstr>
      <vt:lpstr>A130399093L_Data</vt:lpstr>
      <vt:lpstr>A130399093L_Latest</vt:lpstr>
      <vt:lpstr>A130399107R</vt:lpstr>
      <vt:lpstr>A130399107R_Data</vt:lpstr>
      <vt:lpstr>A130399107R_Latest</vt:lpstr>
      <vt:lpstr>A130399121K</vt:lpstr>
      <vt:lpstr>A130399121K_Data</vt:lpstr>
      <vt:lpstr>A130399121K_Latest</vt:lpstr>
      <vt:lpstr>A130399128A</vt:lpstr>
      <vt:lpstr>A130399128A_Data</vt:lpstr>
      <vt:lpstr>A130399128A_Latest</vt:lpstr>
      <vt:lpstr>A130399170F</vt:lpstr>
      <vt:lpstr>A130399170F_Data</vt:lpstr>
      <vt:lpstr>A130399170F_Latest</vt:lpstr>
      <vt:lpstr>A130399177W</vt:lpstr>
      <vt:lpstr>A130399177W_Data</vt:lpstr>
      <vt:lpstr>A130399177W_Latest</vt:lpstr>
      <vt:lpstr>A130399191T</vt:lpstr>
      <vt:lpstr>A130399191T_Data</vt:lpstr>
      <vt:lpstr>A130399191T_Latest</vt:lpstr>
      <vt:lpstr>A130399205V</vt:lpstr>
      <vt:lpstr>A130399205V_Data</vt:lpstr>
      <vt:lpstr>A130399205V_Latest</vt:lpstr>
      <vt:lpstr>A130399212T</vt:lpstr>
      <vt:lpstr>A130399212T_Data</vt:lpstr>
      <vt:lpstr>A130399212T_Latest</vt:lpstr>
      <vt:lpstr>A130399219J</vt:lpstr>
      <vt:lpstr>A130399219J_Data</vt:lpstr>
      <vt:lpstr>A130399219J_Latest</vt:lpstr>
      <vt:lpstr>A130399226F</vt:lpstr>
      <vt:lpstr>A130399226F_Data</vt:lpstr>
      <vt:lpstr>A130399226F_Latest</vt:lpstr>
      <vt:lpstr>A130399233C</vt:lpstr>
      <vt:lpstr>A130399233C_Data</vt:lpstr>
      <vt:lpstr>A130399233C_Latest</vt:lpstr>
      <vt:lpstr>A130399240A</vt:lpstr>
      <vt:lpstr>A130399240A_Data</vt:lpstr>
      <vt:lpstr>A130399240A_Latest</vt:lpstr>
      <vt:lpstr>A130399247T</vt:lpstr>
      <vt:lpstr>A130399247T_Data</vt:lpstr>
      <vt:lpstr>A130399247T_Latest</vt:lpstr>
      <vt:lpstr>A130399254R</vt:lpstr>
      <vt:lpstr>A130399254R_Data</vt:lpstr>
      <vt:lpstr>A130399254R_Latest</vt:lpstr>
      <vt:lpstr>A130399261L</vt:lpstr>
      <vt:lpstr>A130399261L_Data</vt:lpstr>
      <vt:lpstr>A130399261L_Latest</vt:lpstr>
      <vt:lpstr>A130399268C</vt:lpstr>
      <vt:lpstr>A130399268C_Data</vt:lpstr>
      <vt:lpstr>A130399268C_Latest</vt:lpstr>
      <vt:lpstr>A130399275A</vt:lpstr>
      <vt:lpstr>A130399275A_Data</vt:lpstr>
      <vt:lpstr>A130399275A_Latest</vt:lpstr>
      <vt:lpstr>A130399282X</vt:lpstr>
      <vt:lpstr>A130399282X_Data</vt:lpstr>
      <vt:lpstr>A130399282X_Latest</vt:lpstr>
      <vt:lpstr>A130399289R</vt:lpstr>
      <vt:lpstr>A130399289R_Data</vt:lpstr>
      <vt:lpstr>A130399289R_Latest</vt:lpstr>
      <vt:lpstr>A130399296L</vt:lpstr>
      <vt:lpstr>A130399296L_Data</vt:lpstr>
      <vt:lpstr>A130399296L_Latest</vt:lpstr>
      <vt:lpstr>A130399303X</vt:lpstr>
      <vt:lpstr>A130399303X_Data</vt:lpstr>
      <vt:lpstr>A130399303X_Latest</vt:lpstr>
      <vt:lpstr>A130399310W</vt:lpstr>
      <vt:lpstr>A130399310W_Data</vt:lpstr>
      <vt:lpstr>A130399310W_Latest</vt:lpstr>
      <vt:lpstr>A130399317L</vt:lpstr>
      <vt:lpstr>A130399317L_Data</vt:lpstr>
      <vt:lpstr>A130399317L_Latest</vt:lpstr>
      <vt:lpstr>A130399331J</vt:lpstr>
      <vt:lpstr>A130399331J_Data</vt:lpstr>
      <vt:lpstr>A130399331J_Latest</vt:lpstr>
      <vt:lpstr>A130399338X</vt:lpstr>
      <vt:lpstr>A130399338X_Data</vt:lpstr>
      <vt:lpstr>A130399338X_Latest</vt:lpstr>
      <vt:lpstr>A130399345W</vt:lpstr>
      <vt:lpstr>A130399345W_Data</vt:lpstr>
      <vt:lpstr>A130399345W_Latest</vt:lpstr>
      <vt:lpstr>A130399352V</vt:lpstr>
      <vt:lpstr>A130399352V_Data</vt:lpstr>
      <vt:lpstr>A130399352V_Latest</vt:lpstr>
      <vt:lpstr>A130399359K</vt:lpstr>
      <vt:lpstr>A130399359K_Data</vt:lpstr>
      <vt:lpstr>A130399359K_Latest</vt:lpstr>
      <vt:lpstr>A130399366J</vt:lpstr>
      <vt:lpstr>A130399366J_Data</vt:lpstr>
      <vt:lpstr>A130399366J_Latest</vt:lpstr>
      <vt:lpstr>A130399380C</vt:lpstr>
      <vt:lpstr>A130399380C_Data</vt:lpstr>
      <vt:lpstr>A130399380C_Latest</vt:lpstr>
      <vt:lpstr>A130399387V</vt:lpstr>
      <vt:lpstr>A130399387V_Data</vt:lpstr>
      <vt:lpstr>A130399387V_Latest</vt:lpstr>
      <vt:lpstr>A130399394T</vt:lpstr>
      <vt:lpstr>A130399394T_Data</vt:lpstr>
      <vt:lpstr>A130399394T_Latest</vt:lpstr>
      <vt:lpstr>A130399401C</vt:lpstr>
      <vt:lpstr>A130399401C_Data</vt:lpstr>
      <vt:lpstr>A130399401C_Latest</vt:lpstr>
      <vt:lpstr>A130399408V</vt:lpstr>
      <vt:lpstr>A130399408V_Data</vt:lpstr>
      <vt:lpstr>A130399408V_Latest</vt:lpstr>
      <vt:lpstr>A130399415T</vt:lpstr>
      <vt:lpstr>A130399415T_Data</vt:lpstr>
      <vt:lpstr>A130399415T_Latest</vt:lpstr>
      <vt:lpstr>A130399422R</vt:lpstr>
      <vt:lpstr>A130399422R_Data</vt:lpstr>
      <vt:lpstr>A130399422R_Latest</vt:lpstr>
      <vt:lpstr>A130399429F</vt:lpstr>
      <vt:lpstr>A130399429F_Data</vt:lpstr>
      <vt:lpstr>A130399429F_Latest</vt:lpstr>
      <vt:lpstr>A130399436C</vt:lpstr>
      <vt:lpstr>A130399436C_Data</vt:lpstr>
      <vt:lpstr>A130399436C_Latest</vt:lpstr>
      <vt:lpstr>A130399443A</vt:lpstr>
      <vt:lpstr>A130399443A_Data</vt:lpstr>
      <vt:lpstr>A130399443A_Latest</vt:lpstr>
      <vt:lpstr>A130399450X</vt:lpstr>
      <vt:lpstr>A130399450X_Data</vt:lpstr>
      <vt:lpstr>A130399450X_Latest</vt:lpstr>
      <vt:lpstr>A130399457R</vt:lpstr>
      <vt:lpstr>A130399457R_Data</vt:lpstr>
      <vt:lpstr>A130399457R_Latest</vt:lpstr>
      <vt:lpstr>A130399464L</vt:lpstr>
      <vt:lpstr>A130399464L_Data</vt:lpstr>
      <vt:lpstr>A130399464L_Latest</vt:lpstr>
      <vt:lpstr>A130399471K</vt:lpstr>
      <vt:lpstr>A130399471K_Data</vt:lpstr>
      <vt:lpstr>A130399471K_Latest</vt:lpstr>
      <vt:lpstr>A130399485X</vt:lpstr>
      <vt:lpstr>A130399485X_Data</vt:lpstr>
      <vt:lpstr>A130399485X_Latest</vt:lpstr>
      <vt:lpstr>A130399492W</vt:lpstr>
      <vt:lpstr>A130399492W_Data</vt:lpstr>
      <vt:lpstr>A130399492W_Latest</vt:lpstr>
      <vt:lpstr>A130399499L</vt:lpstr>
      <vt:lpstr>A130399499L_Data</vt:lpstr>
      <vt:lpstr>A130399499L_Latest</vt:lpstr>
      <vt:lpstr>A130399513W</vt:lpstr>
      <vt:lpstr>A130399513W_Data</vt:lpstr>
      <vt:lpstr>A130399513W_Latest</vt:lpstr>
      <vt:lpstr>A130399527K</vt:lpstr>
      <vt:lpstr>A130399527K_Data</vt:lpstr>
      <vt:lpstr>A130399527K_Latest</vt:lpstr>
      <vt:lpstr>A130399534J</vt:lpstr>
      <vt:lpstr>A130399534J_Data</vt:lpstr>
      <vt:lpstr>A130399534J_Latest</vt:lpstr>
      <vt:lpstr>A130399541F</vt:lpstr>
      <vt:lpstr>A130399541F_Data</vt:lpstr>
      <vt:lpstr>A130399541F_Latest</vt:lpstr>
      <vt:lpstr>A130399555V</vt:lpstr>
      <vt:lpstr>A130399555V_Data</vt:lpstr>
      <vt:lpstr>A130399555V_Latest</vt:lpstr>
      <vt:lpstr>A130399562T</vt:lpstr>
      <vt:lpstr>A130399562T_Data</vt:lpstr>
      <vt:lpstr>A130399562T_Latest</vt:lpstr>
      <vt:lpstr>A130399569J</vt:lpstr>
      <vt:lpstr>A130399569J_Data</vt:lpstr>
      <vt:lpstr>A130399569J_Latest</vt:lpstr>
      <vt:lpstr>A130399576F</vt:lpstr>
      <vt:lpstr>A130399576F_Data</vt:lpstr>
      <vt:lpstr>A130399576F_Latest</vt:lpstr>
      <vt:lpstr>A130399583C</vt:lpstr>
      <vt:lpstr>A130399583C_Data</vt:lpstr>
      <vt:lpstr>A130399583C_Latest</vt:lpstr>
      <vt:lpstr>A130399590A</vt:lpstr>
      <vt:lpstr>A130399590A_Data</vt:lpstr>
      <vt:lpstr>A130399590A_Latest</vt:lpstr>
      <vt:lpstr>A130399597T</vt:lpstr>
      <vt:lpstr>A130399597T_Data</vt:lpstr>
      <vt:lpstr>A130399597T_Latest</vt:lpstr>
      <vt:lpstr>A130399604C</vt:lpstr>
      <vt:lpstr>A130399604C_Data</vt:lpstr>
      <vt:lpstr>A130399604C_Latest</vt:lpstr>
      <vt:lpstr>A130399611A</vt:lpstr>
      <vt:lpstr>A130399611A_Data</vt:lpstr>
      <vt:lpstr>A130399611A_Latest</vt:lpstr>
      <vt:lpstr>A130399618T</vt:lpstr>
      <vt:lpstr>A130399618T_Data</vt:lpstr>
      <vt:lpstr>A130399618T_Latest</vt:lpstr>
      <vt:lpstr>A130399625R</vt:lpstr>
      <vt:lpstr>A130399625R_Data</vt:lpstr>
      <vt:lpstr>A130399625R_Latest</vt:lpstr>
      <vt:lpstr>A130399632L</vt:lpstr>
      <vt:lpstr>A130399632L_Data</vt:lpstr>
      <vt:lpstr>A130399632L_Latest</vt:lpstr>
      <vt:lpstr>A130399639C</vt:lpstr>
      <vt:lpstr>A130399639C_Data</vt:lpstr>
      <vt:lpstr>A130399639C_Latest</vt:lpstr>
      <vt:lpstr>A130399646A</vt:lpstr>
      <vt:lpstr>A130399646A_Data</vt:lpstr>
      <vt:lpstr>A130399646A_Latest</vt:lpstr>
      <vt:lpstr>A130399653X</vt:lpstr>
      <vt:lpstr>A130399653X_Data</vt:lpstr>
      <vt:lpstr>A130399653X_Latest</vt:lpstr>
      <vt:lpstr>A130399660W</vt:lpstr>
      <vt:lpstr>A130399660W_Data</vt:lpstr>
      <vt:lpstr>A130399660W_Latest</vt:lpstr>
      <vt:lpstr>A130399667L</vt:lpstr>
      <vt:lpstr>A130399667L_Data</vt:lpstr>
      <vt:lpstr>A130399667L_Latest</vt:lpstr>
      <vt:lpstr>A130399674K</vt:lpstr>
      <vt:lpstr>A130399674K_Data</vt:lpstr>
      <vt:lpstr>A130399674K_Latest</vt:lpstr>
      <vt:lpstr>A130399681J</vt:lpstr>
      <vt:lpstr>A130399681J_Data</vt:lpstr>
      <vt:lpstr>A130399681J_Latest</vt:lpstr>
      <vt:lpstr>A130399688X</vt:lpstr>
      <vt:lpstr>A130399688X_Data</vt:lpstr>
      <vt:lpstr>A130399688X_Latest</vt:lpstr>
      <vt:lpstr>A130399695W</vt:lpstr>
      <vt:lpstr>A130399695W_Data</vt:lpstr>
      <vt:lpstr>A130399695W_Latest</vt:lpstr>
      <vt:lpstr>A130399702J</vt:lpstr>
      <vt:lpstr>A130399702J_Data</vt:lpstr>
      <vt:lpstr>A130399702J_Latest</vt:lpstr>
      <vt:lpstr>A130399716W</vt:lpstr>
      <vt:lpstr>A130399716W_Data</vt:lpstr>
      <vt:lpstr>A130399716W_Latest</vt:lpstr>
      <vt:lpstr>A130399723V</vt:lpstr>
      <vt:lpstr>A130399723V_Data</vt:lpstr>
      <vt:lpstr>A130399723V_Latest</vt:lpstr>
      <vt:lpstr>A130399730T</vt:lpstr>
      <vt:lpstr>A130399730T_Data</vt:lpstr>
      <vt:lpstr>A130399730T_Latest</vt:lpstr>
      <vt:lpstr>A130399737J</vt:lpstr>
      <vt:lpstr>A130399737J_Data</vt:lpstr>
      <vt:lpstr>A130399737J_Latest</vt:lpstr>
      <vt:lpstr>A130399744F</vt:lpstr>
      <vt:lpstr>A130399744F_Data</vt:lpstr>
      <vt:lpstr>A130399744F_Latest</vt:lpstr>
      <vt:lpstr>A130399751C</vt:lpstr>
      <vt:lpstr>A130399751C_Data</vt:lpstr>
      <vt:lpstr>A130399751C_Latest</vt:lpstr>
      <vt:lpstr>A130399758V</vt:lpstr>
      <vt:lpstr>A130399758V_Data</vt:lpstr>
      <vt:lpstr>A130399758V_Latest</vt:lpstr>
      <vt:lpstr>A130399765T</vt:lpstr>
      <vt:lpstr>A130399765T_Data</vt:lpstr>
      <vt:lpstr>A130399765T_Latest</vt:lpstr>
      <vt:lpstr>A130399786C</vt:lpstr>
      <vt:lpstr>A130399786C_Data</vt:lpstr>
      <vt:lpstr>A130399786C_Latest</vt:lpstr>
      <vt:lpstr>A130399793A</vt:lpstr>
      <vt:lpstr>A130399793A_Data</vt:lpstr>
      <vt:lpstr>A130399793A_Latest</vt:lpstr>
      <vt:lpstr>A130399800L</vt:lpstr>
      <vt:lpstr>A130399800L_Data</vt:lpstr>
      <vt:lpstr>A130399800L_Latest</vt:lpstr>
      <vt:lpstr>A130399807C</vt:lpstr>
      <vt:lpstr>A130399807C_Data</vt:lpstr>
      <vt:lpstr>A130399807C_Latest</vt:lpstr>
      <vt:lpstr>A130399814A</vt:lpstr>
      <vt:lpstr>A130399814A_Data</vt:lpstr>
      <vt:lpstr>A130399814A_Latest</vt:lpstr>
      <vt:lpstr>A130399828R</vt:lpstr>
      <vt:lpstr>A130399828R_Data</vt:lpstr>
      <vt:lpstr>A130399828R_Latest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2026-02-18T22:35:51Z</dcterms:created>
  <dcterms:modified xsi:type="dcterms:W3CDTF">2026-05-14T05:27:57Z</dcterms:modified>
</cp:coreProperties>
</file>