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8_{E8623E11-CA6A-44E4-A687-4432D3169590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Index" sheetId="3" r:id="rId1"/>
    <sheet name="Data1" sheetId="1" r:id="rId2"/>
    <sheet name="Energy Utilities" sheetId="4" r:id="rId3"/>
    <sheet name="Enquiries" sheetId="2" r:id="rId4"/>
  </sheets>
  <definedNames>
    <definedName name="A124792079W">Data1!$D$1:$D$10,Data1!$D$11:$D$165</definedName>
    <definedName name="A124792079W_Data">Data1!$D$11:$D$165</definedName>
    <definedName name="A124792079W_Latest">Data1!$D$165</definedName>
    <definedName name="A124792081J">Data1!$W$1:$W$10,Data1!$W$11:$W$165</definedName>
    <definedName name="A124792081J_Data">Data1!$W$11:$W$165</definedName>
    <definedName name="A124792081J_Latest">Data1!$W$165</definedName>
    <definedName name="A124792083L">Data1!$AP$1:$AP$10,Data1!$AP$11:$AP$165</definedName>
    <definedName name="A124792083L_Data">Data1!$AP$11:$AP$165</definedName>
    <definedName name="A124792083L_Latest">Data1!$AP$165</definedName>
    <definedName name="A124792377V">Data1!$B$1:$B$10,Data1!$B$11:$B$165</definedName>
    <definedName name="A124792377V_Data">Data1!$B$11:$B$165</definedName>
    <definedName name="A124792377V_Latest">Data1!$B$165</definedName>
    <definedName name="A124792395X">Data1!$U$1:$U$10,Data1!$U$11:$U$165</definedName>
    <definedName name="A124792395X_Data">Data1!$U$11:$U$165</definedName>
    <definedName name="A124792395X_Latest">Data1!$U$165</definedName>
    <definedName name="A124792413T">Data1!$AN$1:$AN$10,Data1!$AN$11:$AN$165</definedName>
    <definedName name="A124792413T_Data">Data1!$AN$11:$AN$165</definedName>
    <definedName name="A124792413T_Latest">Data1!$AN$165</definedName>
    <definedName name="A3517168V">Data1!$C$1:$C$10,Data1!$C$11:$C$165</definedName>
    <definedName name="A3517168V_Data">Data1!$C$11:$C$165</definedName>
    <definedName name="A3517168V_Latest">Data1!$C$165</definedName>
    <definedName name="A3517171J">Data1!$E$1:$E$10,Data1!$E$11:$E$165</definedName>
    <definedName name="A3517171J_Data">Data1!$E$11:$E$165</definedName>
    <definedName name="A3517171J_Latest">Data1!$E$165</definedName>
    <definedName name="A3517174R">Data1!$F$1:$F$10,Data1!$F$11:$F$165</definedName>
    <definedName name="A3517174R_Data">Data1!$F$11:$F$165</definedName>
    <definedName name="A3517174R_Latest">Data1!$F$165</definedName>
    <definedName name="A3517177W">Data1!$G$1:$G$10,Data1!$G$11:$G$165</definedName>
    <definedName name="A3517177W_Data">Data1!$G$11:$G$165</definedName>
    <definedName name="A3517177W_Latest">Data1!$G$165</definedName>
    <definedName name="A3517180K">Data1!$H$1:$H$10,Data1!$H$11:$H$165</definedName>
    <definedName name="A3517180K_Data">Data1!$H$11:$H$165</definedName>
    <definedName name="A3517180K_Latest">Data1!$H$165</definedName>
    <definedName name="A3517183T">Data1!$I$1:$I$10,Data1!$I$11:$I$165</definedName>
    <definedName name="A3517183T_Data">Data1!$I$11:$I$165</definedName>
    <definedName name="A3517183T_Latest">Data1!$I$165</definedName>
    <definedName name="A3517186X">Data1!$K$1:$K$10,Data1!$K$11:$K$165</definedName>
    <definedName name="A3517186X_Data">Data1!$K$11:$K$165</definedName>
    <definedName name="A3517186X_Latest">Data1!$K$165</definedName>
    <definedName name="A3517189F">Data1!$L$1:$L$10,Data1!$L$11:$L$165</definedName>
    <definedName name="A3517189F_Data">Data1!$L$11:$L$165</definedName>
    <definedName name="A3517189F_Latest">Data1!$L$165</definedName>
    <definedName name="A3517192V">Data1!$M$1:$M$10,Data1!$M$11:$M$165</definedName>
    <definedName name="A3517192V_Data">Data1!$M$11:$M$165</definedName>
    <definedName name="A3517192V_Latest">Data1!$M$165</definedName>
    <definedName name="A3517195A">Data1!$N$1:$N$10,Data1!$N$11:$N$165</definedName>
    <definedName name="A3517195A_Data">Data1!$N$11:$N$165</definedName>
    <definedName name="A3517195A_Latest">Data1!$N$165</definedName>
    <definedName name="A3517198J">Data1!$O$1:$O$10,Data1!$O$11:$O$165</definedName>
    <definedName name="A3517198J_Data">Data1!$O$11:$O$165</definedName>
    <definedName name="A3517198J_Latest">Data1!$O$165</definedName>
    <definedName name="A3517210L">Data1!$V$1:$V$10,Data1!$V$11:$V$165</definedName>
    <definedName name="A3517210L_Data">Data1!$V$11:$V$165</definedName>
    <definedName name="A3517210L_Latest">Data1!$V$165</definedName>
    <definedName name="A3517213V">Data1!$X$1:$X$10,Data1!$X$11:$X$165</definedName>
    <definedName name="A3517213V_Data">Data1!$X$11:$X$165</definedName>
    <definedName name="A3517213V_Latest">Data1!$X$165</definedName>
    <definedName name="A3517216A">Data1!$Y$1:$Y$10,Data1!$Y$11:$Y$165</definedName>
    <definedName name="A3517216A_Data">Data1!$Y$11:$Y$165</definedName>
    <definedName name="A3517216A_Latest">Data1!$Y$165</definedName>
    <definedName name="A3517219J">Data1!$Z$1:$Z$10,Data1!$Z$11:$Z$165</definedName>
    <definedName name="A3517219J_Data">Data1!$Z$11:$Z$165</definedName>
    <definedName name="A3517219J_Latest">Data1!$Z$165</definedName>
    <definedName name="A3517222W">Data1!$AA$1:$AA$10,Data1!$AA$11:$AA$165</definedName>
    <definedName name="A3517222W_Data">Data1!$AA$11:$AA$165</definedName>
    <definedName name="A3517222W_Latest">Data1!$AA$165</definedName>
    <definedName name="A3517225C">Data1!$AB$1:$AB$10,Data1!$AB$11:$AB$165</definedName>
    <definedName name="A3517225C_Data">Data1!$AB$11:$AB$165</definedName>
    <definedName name="A3517225C_Latest">Data1!$AB$165</definedName>
    <definedName name="A3517228K">Data1!$AD$1:$AD$10,Data1!$AD$11:$AD$165</definedName>
    <definedName name="A3517228K_Data">Data1!$AD$11:$AD$165</definedName>
    <definedName name="A3517228K_Latest">Data1!$AD$165</definedName>
    <definedName name="A3517231X">Data1!$AE$1:$AE$10,Data1!$AE$11:$AE$165</definedName>
    <definedName name="A3517231X_Data">Data1!$AE$11:$AE$165</definedName>
    <definedName name="A3517231X_Latest">Data1!$AE$165</definedName>
    <definedName name="A3517234F">Data1!$AF$1:$AF$10,Data1!$AF$11:$AF$165</definedName>
    <definedName name="A3517234F_Data">Data1!$AF$11:$AF$165</definedName>
    <definedName name="A3517234F_Latest">Data1!$AF$165</definedName>
    <definedName name="A3517237L">Data1!$AG$1:$AG$10,Data1!$AG$11:$AG$165</definedName>
    <definedName name="A3517237L_Data">Data1!$AG$11:$AG$165</definedName>
    <definedName name="A3517237L_Latest">Data1!$AG$165</definedName>
    <definedName name="A3517240A">Data1!$AH$1:$AH$10,Data1!$AH$11:$AH$165</definedName>
    <definedName name="A3517240A_Data">Data1!$AH$11:$AH$165</definedName>
    <definedName name="A3517240A_Latest">Data1!$AH$165</definedName>
    <definedName name="A3517252K">Data1!$AO$1:$AO$10,Data1!$AO$11:$AO$165</definedName>
    <definedName name="A3517252K_Data">Data1!$AO$11:$AO$165</definedName>
    <definedName name="A3517252K_Latest">Data1!$AO$165</definedName>
    <definedName name="A3517255T">Data1!$AQ$1:$AQ$10,Data1!$AQ$11:$AQ$165</definedName>
    <definedName name="A3517255T_Data">Data1!$AQ$11:$AQ$165</definedName>
    <definedName name="A3517255T_Latest">Data1!$AQ$165</definedName>
    <definedName name="A3517258X">Data1!$AR$1:$AR$10,Data1!$AR$11:$AR$165</definedName>
    <definedName name="A3517258X_Data">Data1!$AR$11:$AR$165</definedName>
    <definedName name="A3517258X_Latest">Data1!$AR$165</definedName>
    <definedName name="A3517261L">Data1!$AS$1:$AS$10,Data1!$AS$11:$AS$165</definedName>
    <definedName name="A3517261L_Data">Data1!$AS$11:$AS$165</definedName>
    <definedName name="A3517261L_Latest">Data1!$AS$165</definedName>
    <definedName name="A3517264V">Data1!$AT$1:$AT$10,Data1!$AT$11:$AT$165</definedName>
    <definedName name="A3517264V_Data">Data1!$AT$11:$AT$165</definedName>
    <definedName name="A3517264V_Latest">Data1!$AT$165</definedName>
    <definedName name="A3517267A">Data1!$AU$1:$AU$10,Data1!$AU$11:$AU$165</definedName>
    <definedName name="A3517267A_Data">Data1!$AU$11:$AU$165</definedName>
    <definedName name="A3517267A_Latest">Data1!$AU$165</definedName>
    <definedName name="A3517270R">Data1!$AW$1:$AW$10,Data1!$AW$11:$AW$165</definedName>
    <definedName name="A3517270R_Data">Data1!$AW$11:$AW$165</definedName>
    <definedName name="A3517270R_Latest">Data1!$AW$165</definedName>
    <definedName name="A3517273W">Data1!$AX$1:$AX$10,Data1!$AX$11:$AX$165</definedName>
    <definedName name="A3517273W_Data">Data1!$AX$11:$AX$165</definedName>
    <definedName name="A3517273W_Latest">Data1!$AX$165</definedName>
    <definedName name="A3517276C">Data1!$AY$1:$AY$10,Data1!$AY$11:$AY$165</definedName>
    <definedName name="A3517276C_Data">Data1!$AY$11:$AY$165</definedName>
    <definedName name="A3517276C_Latest">Data1!$AY$165</definedName>
    <definedName name="A3517279K">Data1!$AZ$1:$AZ$10,Data1!$AZ$11:$AZ$165</definedName>
    <definedName name="A3517279K_Data">Data1!$AZ$11:$AZ$165</definedName>
    <definedName name="A3517279K_Latest">Data1!$AZ$165</definedName>
    <definedName name="A3517282X">Data1!$BA$1:$BA$10,Data1!$BA$11:$BA$165</definedName>
    <definedName name="A3517282X_Data">Data1!$BA$11:$BA$165</definedName>
    <definedName name="A3517282X_Latest">Data1!$BA$165</definedName>
    <definedName name="A83728707W">Data1!$J$1:$J$10,Data1!$J$11:$J$165</definedName>
    <definedName name="A83728707W_Data">Data1!$J$11:$J$165</definedName>
    <definedName name="A83728707W_Latest">Data1!$J$165</definedName>
    <definedName name="A83728708X">Data1!$AC$1:$AC$10,Data1!$AC$11:$AC$165</definedName>
    <definedName name="A83728708X_Data">Data1!$AC$11:$AC$165</definedName>
    <definedName name="A83728708X_Latest">Data1!$AC$165</definedName>
    <definedName name="A83728709A">Data1!$AV$1:$AV$10,Data1!$AV$11:$AV$165</definedName>
    <definedName name="A83728709A_Data">Data1!$AV$11:$AV$165</definedName>
    <definedName name="A83728709A_Latest">Data1!$AV$165</definedName>
    <definedName name="A83728710K">Data1!$P$1:$P$10,Data1!$P$11:$P$165</definedName>
    <definedName name="A83728710K_Data">Data1!$P$11:$P$165</definedName>
    <definedName name="A83728710K_Latest">Data1!$P$165</definedName>
    <definedName name="A83728711L">Data1!$AI$1:$AI$10,Data1!$AI$11:$AI$165</definedName>
    <definedName name="A83728711L_Data">Data1!$AI$11:$AI$165</definedName>
    <definedName name="A83728711L_Latest">Data1!$AI$165</definedName>
    <definedName name="A83728712R">Data1!$BB$1:$BB$10,Data1!$BB$11:$BB$165</definedName>
    <definedName name="A83728712R_Data">Data1!$BB$11:$BB$165</definedName>
    <definedName name="A83728712R_Latest">Data1!$BB$165</definedName>
    <definedName name="A83728713T">Data1!$S$1:$S$10,Data1!$S$11:$S$165</definedName>
    <definedName name="A83728713T_Data">Data1!$S$11:$S$165</definedName>
    <definedName name="A83728713T_Latest">Data1!$S$165</definedName>
    <definedName name="A83728714V">Data1!$AL$1:$AL$10,Data1!$AL$11:$AL$165</definedName>
    <definedName name="A83728714V_Data">Data1!$AL$11:$AL$165</definedName>
    <definedName name="A83728714V_Latest">Data1!$AL$165</definedName>
    <definedName name="A83728715W">Data1!$BE$1:$BE$10,Data1!$BE$11:$BE$165</definedName>
    <definedName name="A83728715W_Data">Data1!$BE$11:$BE$165</definedName>
    <definedName name="A83728715W_Latest">Data1!$BE$165</definedName>
    <definedName name="A83728716X">Data1!$T$1:$T$10,Data1!$T$11:$T$165</definedName>
    <definedName name="A83728716X_Data">Data1!$T$11:$T$165</definedName>
    <definedName name="A83728716X_Latest">Data1!$T$165</definedName>
    <definedName name="A83728717A">Data1!$AM$1:$AM$10,Data1!$AM$11:$AM$165</definedName>
    <definedName name="A83728717A_Data">Data1!$AM$11:$AM$165</definedName>
    <definedName name="A83728717A_Latest">Data1!$AM$165</definedName>
    <definedName name="A83728718C">Data1!$BF$1:$BF$10,Data1!$BF$11:$BF$165</definedName>
    <definedName name="A83728718C_Data">Data1!$BF$11:$BF$165</definedName>
    <definedName name="A83728718C_Latest">Data1!$BF$165</definedName>
    <definedName name="A85301896V">Data1!$Q$1:$Q$10,Data1!$Q$132:$Q$165</definedName>
    <definedName name="A85301896V_Data">Data1!$Q$132:$Q$165</definedName>
    <definedName name="A85301896V_Latest">Data1!$Q$165</definedName>
    <definedName name="A85301904J">Data1!$BD$1:$BD$10,Data1!$BD$132:$BD$165</definedName>
    <definedName name="A85301904J_Data">Data1!$BD$132:$BD$165</definedName>
    <definedName name="A85301904J_Latest">Data1!$BD$165</definedName>
    <definedName name="A85301921K">Data1!$R$1:$R$10,Data1!$R$132:$R$165</definedName>
    <definedName name="A85301921K_Data">Data1!$R$132:$R$165</definedName>
    <definedName name="A85301921K_Latest">Data1!$R$165</definedName>
    <definedName name="A85301930L">Data1!$AK$1:$AK$10,Data1!$AK$132:$AK$165</definedName>
    <definedName name="A85301930L_Data">Data1!$AK$132:$AK$165</definedName>
    <definedName name="A85301930L_Latest">Data1!$AK$165</definedName>
    <definedName name="A85301942W">Data1!$AJ$1:$AJ$10,Data1!$AJ$132:$AJ$165</definedName>
    <definedName name="A85301942W_Data">Data1!$AJ$132:$AJ$165</definedName>
    <definedName name="A85301942W_Latest">Data1!$AJ$165</definedName>
    <definedName name="A85301951X">Data1!$BC$1:$BC$10,Data1!$BC$132:$BC$165</definedName>
    <definedName name="A85301951X_Data">Data1!$BC$132:$BC$165</definedName>
    <definedName name="A85301951X_Latest">Data1!$BC$165</definedName>
    <definedName name="Date_Range">Data1!$A$2:$A$10,Data1!$A$11:$A$165</definedName>
    <definedName name="Date_Range_Data">Data1!$A$11:$A$165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H14" i="4"/>
  <c r="I14" i="4"/>
  <c r="J14" i="4"/>
  <c r="K14" i="4"/>
  <c r="H15" i="4"/>
  <c r="I15" i="4"/>
  <c r="J15" i="4"/>
  <c r="K15" i="4"/>
  <c r="H16" i="4"/>
  <c r="I16" i="4"/>
  <c r="J16" i="4"/>
  <c r="K16" i="4"/>
  <c r="H17" i="4"/>
  <c r="I17" i="4"/>
  <c r="J17" i="4"/>
  <c r="K17" i="4"/>
  <c r="H18" i="4"/>
  <c r="I18" i="4"/>
  <c r="J18" i="4"/>
  <c r="K18" i="4"/>
  <c r="H19" i="4"/>
  <c r="I19" i="4"/>
  <c r="J19" i="4"/>
  <c r="K19" i="4"/>
  <c r="H20" i="4"/>
  <c r="I20" i="4"/>
  <c r="J20" i="4"/>
  <c r="K20" i="4"/>
  <c r="H21" i="4"/>
  <c r="I21" i="4"/>
  <c r="J21" i="4"/>
  <c r="K21" i="4"/>
  <c r="H22" i="4"/>
  <c r="I22" i="4"/>
  <c r="J22" i="4"/>
  <c r="K22" i="4"/>
  <c r="H23" i="4"/>
  <c r="I23" i="4"/>
  <c r="J23" i="4"/>
  <c r="K23" i="4"/>
  <c r="H24" i="4"/>
  <c r="I24" i="4"/>
  <c r="J24" i="4"/>
  <c r="K24" i="4"/>
  <c r="H25" i="4"/>
  <c r="I25" i="4"/>
  <c r="J25" i="4"/>
  <c r="K25" i="4"/>
  <c r="H26" i="4"/>
  <c r="I26" i="4"/>
  <c r="J26" i="4"/>
  <c r="K26" i="4"/>
  <c r="H27" i="4"/>
  <c r="I27" i="4"/>
  <c r="J27" i="4"/>
  <c r="K27" i="4"/>
  <c r="H28" i="4"/>
  <c r="I28" i="4"/>
  <c r="J28" i="4"/>
  <c r="K28" i="4"/>
  <c r="H29" i="4"/>
  <c r="I29" i="4"/>
  <c r="J29" i="4"/>
  <c r="K29" i="4"/>
  <c r="H30" i="4"/>
  <c r="I30" i="4"/>
  <c r="J30" i="4"/>
  <c r="K30" i="4"/>
  <c r="H31" i="4"/>
  <c r="I31" i="4"/>
  <c r="J31" i="4"/>
  <c r="K31" i="4"/>
  <c r="H32" i="4"/>
  <c r="I32" i="4"/>
  <c r="J32" i="4"/>
  <c r="K32" i="4"/>
  <c r="H33" i="4"/>
  <c r="I33" i="4"/>
  <c r="J33" i="4"/>
  <c r="K33" i="4"/>
  <c r="H34" i="4"/>
  <c r="I34" i="4"/>
  <c r="J34" i="4"/>
  <c r="K34" i="4"/>
  <c r="H35" i="4"/>
  <c r="I35" i="4"/>
  <c r="J35" i="4"/>
  <c r="K35" i="4"/>
  <c r="H36" i="4"/>
  <c r="I36" i="4"/>
  <c r="J36" i="4"/>
  <c r="K36" i="4"/>
  <c r="H37" i="4"/>
  <c r="I37" i="4"/>
  <c r="J37" i="4"/>
  <c r="K37" i="4"/>
  <c r="H38" i="4"/>
  <c r="I38" i="4"/>
  <c r="J38" i="4"/>
  <c r="K38" i="4"/>
  <c r="H39" i="4"/>
  <c r="I39" i="4"/>
  <c r="J39" i="4"/>
  <c r="K39" i="4"/>
  <c r="H40" i="4"/>
  <c r="I40" i="4"/>
  <c r="J40" i="4"/>
  <c r="K40" i="4"/>
  <c r="H41" i="4"/>
  <c r="I41" i="4"/>
  <c r="J41" i="4"/>
  <c r="K41" i="4"/>
  <c r="H42" i="4"/>
  <c r="I42" i="4"/>
  <c r="J42" i="4"/>
  <c r="K42" i="4"/>
  <c r="H43" i="4"/>
  <c r="I43" i="4"/>
  <c r="J43" i="4"/>
  <c r="K43" i="4"/>
  <c r="H44" i="4"/>
  <c r="I44" i="4"/>
  <c r="J44" i="4"/>
  <c r="K44" i="4"/>
  <c r="H45" i="4"/>
  <c r="I45" i="4"/>
  <c r="J45" i="4"/>
  <c r="K45" i="4"/>
  <c r="H46" i="4"/>
  <c r="I46" i="4"/>
  <c r="J46" i="4"/>
  <c r="K46" i="4"/>
  <c r="H47" i="4"/>
  <c r="I47" i="4"/>
  <c r="J47" i="4"/>
  <c r="K47" i="4"/>
  <c r="H48" i="4"/>
  <c r="I48" i="4"/>
  <c r="J48" i="4"/>
  <c r="K48" i="4"/>
  <c r="H49" i="4"/>
  <c r="I49" i="4"/>
  <c r="J49" i="4"/>
  <c r="K49" i="4"/>
  <c r="H50" i="4"/>
  <c r="I50" i="4"/>
  <c r="J50" i="4"/>
  <c r="K50" i="4"/>
  <c r="H51" i="4"/>
  <c r="I51" i="4"/>
  <c r="J51" i="4"/>
  <c r="K51" i="4"/>
  <c r="H52" i="4"/>
  <c r="I52" i="4"/>
  <c r="J52" i="4"/>
  <c r="K52" i="4"/>
  <c r="H53" i="4"/>
  <c r="I53" i="4"/>
  <c r="J53" i="4"/>
  <c r="K53" i="4"/>
  <c r="H54" i="4"/>
  <c r="I54" i="4"/>
  <c r="J54" i="4"/>
  <c r="K54" i="4"/>
  <c r="H55" i="4"/>
  <c r="I55" i="4"/>
  <c r="J55" i="4"/>
  <c r="K55" i="4"/>
  <c r="H56" i="4"/>
  <c r="I56" i="4"/>
  <c r="J56" i="4"/>
  <c r="K56" i="4"/>
  <c r="H57" i="4"/>
  <c r="I57" i="4"/>
  <c r="J57" i="4"/>
  <c r="K57" i="4"/>
  <c r="H58" i="4"/>
  <c r="I58" i="4"/>
  <c r="J58" i="4"/>
  <c r="K58" i="4"/>
  <c r="H59" i="4"/>
  <c r="I59" i="4"/>
  <c r="J59" i="4"/>
  <c r="K59" i="4"/>
  <c r="H60" i="4"/>
  <c r="I60" i="4"/>
  <c r="J60" i="4"/>
  <c r="K60" i="4"/>
  <c r="H61" i="4"/>
  <c r="I61" i="4"/>
  <c r="J61" i="4"/>
  <c r="K61" i="4"/>
  <c r="H62" i="4"/>
  <c r="I62" i="4"/>
  <c r="J62" i="4"/>
  <c r="K62" i="4"/>
  <c r="H63" i="4"/>
  <c r="I63" i="4"/>
  <c r="J63" i="4"/>
  <c r="K63" i="4"/>
  <c r="H64" i="4"/>
  <c r="I64" i="4"/>
  <c r="J64" i="4"/>
  <c r="K64" i="4"/>
  <c r="H65" i="4"/>
  <c r="I65" i="4"/>
  <c r="J65" i="4"/>
  <c r="K65" i="4"/>
  <c r="H66" i="4"/>
  <c r="I66" i="4"/>
  <c r="J66" i="4"/>
  <c r="K66" i="4"/>
  <c r="H67" i="4"/>
  <c r="I67" i="4"/>
  <c r="J67" i="4"/>
  <c r="K67" i="4"/>
  <c r="H68" i="4"/>
  <c r="I68" i="4"/>
  <c r="J68" i="4"/>
  <c r="K68" i="4"/>
  <c r="H69" i="4"/>
  <c r="I69" i="4"/>
  <c r="J69" i="4"/>
  <c r="K69" i="4"/>
  <c r="H70" i="4"/>
  <c r="I70" i="4"/>
  <c r="J70" i="4"/>
  <c r="K70" i="4"/>
  <c r="H71" i="4"/>
  <c r="I71" i="4"/>
  <c r="J71" i="4"/>
  <c r="K71" i="4"/>
  <c r="H72" i="4"/>
  <c r="I72" i="4"/>
  <c r="J72" i="4"/>
  <c r="K72" i="4"/>
  <c r="H73" i="4"/>
  <c r="I73" i="4"/>
  <c r="J73" i="4"/>
  <c r="K73" i="4"/>
  <c r="H74" i="4"/>
  <c r="I74" i="4"/>
  <c r="J74" i="4"/>
  <c r="K74" i="4"/>
  <c r="H75" i="4"/>
  <c r="I75" i="4"/>
  <c r="J75" i="4"/>
  <c r="K75" i="4"/>
  <c r="H76" i="4"/>
  <c r="I76" i="4"/>
  <c r="J76" i="4"/>
  <c r="K76" i="4"/>
  <c r="H77" i="4"/>
  <c r="I77" i="4"/>
  <c r="J77" i="4"/>
  <c r="K77" i="4"/>
  <c r="H78" i="4"/>
  <c r="I78" i="4"/>
  <c r="J78" i="4"/>
  <c r="K78" i="4"/>
  <c r="H79" i="4"/>
  <c r="I79" i="4"/>
  <c r="J79" i="4"/>
  <c r="K79" i="4"/>
  <c r="H80" i="4"/>
  <c r="I80" i="4"/>
  <c r="J80" i="4"/>
  <c r="K80" i="4"/>
  <c r="H81" i="4"/>
  <c r="I81" i="4"/>
  <c r="J81" i="4"/>
  <c r="K81" i="4"/>
  <c r="H82" i="4"/>
  <c r="I82" i="4"/>
  <c r="J82" i="4"/>
  <c r="K82" i="4"/>
  <c r="H83" i="4"/>
  <c r="I83" i="4"/>
  <c r="J83" i="4"/>
  <c r="K83" i="4"/>
  <c r="H84" i="4"/>
  <c r="I84" i="4"/>
  <c r="J84" i="4"/>
  <c r="K84" i="4"/>
  <c r="H85" i="4"/>
  <c r="I85" i="4"/>
  <c r="J85" i="4"/>
  <c r="K85" i="4"/>
  <c r="H86" i="4"/>
  <c r="I86" i="4"/>
  <c r="J86" i="4"/>
  <c r="K86" i="4"/>
  <c r="H87" i="4"/>
  <c r="I87" i="4"/>
  <c r="J87" i="4"/>
  <c r="K87" i="4"/>
  <c r="H88" i="4"/>
  <c r="I88" i="4"/>
  <c r="J88" i="4"/>
  <c r="K88" i="4"/>
  <c r="H89" i="4"/>
  <c r="I89" i="4"/>
  <c r="J89" i="4"/>
  <c r="K89" i="4"/>
  <c r="H90" i="4"/>
  <c r="I90" i="4"/>
  <c r="J90" i="4"/>
  <c r="K90" i="4"/>
  <c r="H91" i="4"/>
  <c r="I91" i="4"/>
  <c r="J91" i="4"/>
  <c r="K91" i="4"/>
  <c r="H92" i="4"/>
  <c r="I92" i="4"/>
  <c r="J92" i="4"/>
  <c r="K92" i="4"/>
  <c r="H93" i="4"/>
  <c r="I93" i="4"/>
  <c r="J93" i="4"/>
  <c r="K93" i="4"/>
  <c r="H94" i="4"/>
  <c r="I94" i="4"/>
  <c r="J94" i="4"/>
  <c r="K94" i="4"/>
  <c r="H95" i="4"/>
  <c r="I95" i="4"/>
  <c r="J95" i="4"/>
  <c r="K95" i="4"/>
  <c r="H96" i="4"/>
  <c r="I96" i="4"/>
  <c r="J96" i="4"/>
  <c r="K96" i="4"/>
  <c r="H97" i="4"/>
  <c r="I97" i="4"/>
  <c r="J97" i="4"/>
  <c r="K97" i="4"/>
  <c r="H98" i="4"/>
  <c r="I98" i="4"/>
  <c r="J98" i="4"/>
  <c r="K98" i="4"/>
  <c r="H99" i="4"/>
  <c r="I99" i="4"/>
  <c r="J99" i="4"/>
  <c r="K99" i="4"/>
  <c r="H100" i="4"/>
  <c r="I100" i="4"/>
  <c r="J100" i="4"/>
  <c r="K100" i="4"/>
  <c r="H101" i="4"/>
  <c r="I101" i="4"/>
  <c r="J101" i="4"/>
  <c r="K101" i="4"/>
  <c r="H102" i="4"/>
  <c r="I102" i="4"/>
  <c r="J102" i="4"/>
  <c r="K102" i="4"/>
  <c r="H103" i="4"/>
  <c r="I103" i="4"/>
  <c r="J103" i="4"/>
  <c r="K103" i="4"/>
  <c r="H104" i="4"/>
  <c r="I104" i="4"/>
  <c r="J104" i="4"/>
  <c r="K104" i="4"/>
  <c r="H105" i="4"/>
  <c r="I105" i="4"/>
  <c r="J105" i="4"/>
  <c r="K105" i="4"/>
  <c r="H106" i="4"/>
  <c r="I106" i="4"/>
  <c r="J106" i="4"/>
  <c r="K106" i="4"/>
  <c r="H107" i="4"/>
  <c r="I107" i="4"/>
  <c r="J107" i="4"/>
  <c r="K107" i="4"/>
  <c r="H108" i="4"/>
  <c r="I108" i="4"/>
  <c r="J108" i="4"/>
  <c r="K108" i="4"/>
  <c r="H109" i="4"/>
  <c r="I109" i="4"/>
  <c r="J109" i="4"/>
  <c r="K109" i="4"/>
  <c r="H110" i="4"/>
  <c r="I110" i="4"/>
  <c r="J110" i="4"/>
  <c r="K110" i="4"/>
  <c r="H111" i="4"/>
  <c r="I111" i="4"/>
  <c r="J111" i="4"/>
  <c r="K111" i="4"/>
  <c r="H112" i="4"/>
  <c r="I112" i="4"/>
  <c r="J112" i="4"/>
  <c r="K112" i="4"/>
  <c r="H113" i="4"/>
  <c r="I113" i="4"/>
  <c r="J113" i="4"/>
  <c r="K113" i="4"/>
  <c r="H114" i="4"/>
  <c r="I114" i="4"/>
  <c r="J114" i="4"/>
  <c r="K114" i="4"/>
  <c r="H115" i="4"/>
  <c r="I115" i="4"/>
  <c r="J115" i="4"/>
  <c r="K115" i="4"/>
  <c r="H116" i="4"/>
  <c r="I116" i="4"/>
  <c r="J116" i="4"/>
  <c r="K116" i="4"/>
  <c r="H117" i="4"/>
  <c r="I117" i="4"/>
  <c r="J117" i="4"/>
  <c r="K117" i="4"/>
  <c r="H118" i="4"/>
  <c r="I118" i="4"/>
  <c r="J118" i="4"/>
  <c r="K118" i="4"/>
  <c r="H119" i="4"/>
  <c r="I119" i="4"/>
  <c r="J119" i="4"/>
  <c r="K119" i="4"/>
  <c r="H120" i="4"/>
  <c r="I120" i="4"/>
  <c r="J120" i="4"/>
  <c r="K120" i="4"/>
  <c r="H121" i="4"/>
  <c r="I121" i="4"/>
  <c r="J121" i="4"/>
  <c r="K121" i="4"/>
  <c r="H122" i="4"/>
  <c r="I122" i="4"/>
  <c r="J122" i="4"/>
  <c r="K122" i="4"/>
  <c r="H123" i="4"/>
  <c r="I123" i="4"/>
  <c r="J123" i="4"/>
  <c r="K123" i="4"/>
  <c r="H124" i="4"/>
  <c r="I124" i="4"/>
  <c r="J124" i="4"/>
  <c r="K124" i="4"/>
  <c r="H125" i="4"/>
  <c r="I125" i="4"/>
  <c r="J125" i="4"/>
  <c r="K125" i="4"/>
  <c r="H126" i="4"/>
  <c r="I126" i="4"/>
  <c r="J126" i="4"/>
  <c r="K126" i="4"/>
  <c r="H127" i="4"/>
  <c r="I127" i="4"/>
  <c r="J127" i="4"/>
  <c r="K127" i="4"/>
  <c r="H128" i="4"/>
  <c r="I128" i="4"/>
  <c r="J128" i="4"/>
  <c r="K128" i="4"/>
  <c r="H129" i="4"/>
  <c r="I129" i="4"/>
  <c r="J129" i="4"/>
  <c r="K129" i="4"/>
  <c r="H130" i="4"/>
  <c r="I130" i="4"/>
  <c r="J130" i="4"/>
  <c r="K130" i="4"/>
  <c r="H131" i="4"/>
  <c r="I131" i="4"/>
  <c r="J131" i="4"/>
  <c r="K131" i="4"/>
  <c r="H132" i="4"/>
  <c r="I132" i="4"/>
  <c r="J132" i="4"/>
  <c r="K132" i="4"/>
  <c r="H133" i="4"/>
  <c r="I133" i="4"/>
  <c r="J133" i="4"/>
  <c r="K133" i="4"/>
  <c r="H134" i="4"/>
  <c r="I134" i="4"/>
  <c r="J134" i="4"/>
  <c r="K134" i="4"/>
  <c r="H135" i="4"/>
  <c r="I135" i="4"/>
  <c r="J135" i="4"/>
  <c r="K135" i="4"/>
  <c r="H136" i="4"/>
  <c r="I136" i="4"/>
  <c r="J136" i="4"/>
  <c r="K136" i="4"/>
  <c r="H137" i="4"/>
  <c r="I137" i="4"/>
  <c r="J137" i="4"/>
  <c r="K137" i="4"/>
  <c r="H138" i="4"/>
  <c r="I138" i="4"/>
  <c r="J138" i="4"/>
  <c r="K138" i="4"/>
  <c r="H139" i="4"/>
  <c r="I139" i="4"/>
  <c r="J139" i="4"/>
  <c r="K139" i="4"/>
  <c r="H140" i="4"/>
  <c r="I140" i="4"/>
  <c r="J140" i="4"/>
  <c r="K140" i="4"/>
  <c r="H141" i="4"/>
  <c r="I141" i="4"/>
  <c r="J141" i="4"/>
  <c r="K141" i="4"/>
  <c r="H142" i="4"/>
  <c r="I142" i="4"/>
  <c r="J142" i="4"/>
  <c r="K142" i="4"/>
  <c r="H143" i="4"/>
  <c r="I143" i="4"/>
  <c r="J143" i="4"/>
  <c r="K143" i="4"/>
  <c r="H144" i="4"/>
  <c r="I144" i="4"/>
  <c r="J144" i="4"/>
  <c r="K144" i="4"/>
  <c r="H145" i="4"/>
  <c r="I145" i="4"/>
  <c r="J145" i="4"/>
  <c r="K145" i="4"/>
  <c r="H146" i="4"/>
  <c r="I146" i="4"/>
  <c r="J146" i="4"/>
  <c r="K146" i="4"/>
  <c r="H147" i="4"/>
  <c r="I147" i="4"/>
  <c r="J147" i="4"/>
  <c r="K147" i="4"/>
  <c r="H148" i="4"/>
  <c r="I148" i="4"/>
  <c r="J148" i="4"/>
  <c r="K148" i="4"/>
  <c r="H149" i="4"/>
  <c r="I149" i="4"/>
  <c r="J149" i="4"/>
  <c r="K149" i="4"/>
  <c r="H150" i="4"/>
  <c r="I150" i="4"/>
  <c r="J150" i="4"/>
  <c r="K150" i="4"/>
  <c r="H151" i="4"/>
  <c r="I151" i="4"/>
  <c r="J151" i="4"/>
  <c r="K151" i="4"/>
  <c r="H152" i="4"/>
  <c r="I152" i="4"/>
  <c r="J152" i="4"/>
  <c r="K152" i="4"/>
  <c r="H153" i="4"/>
  <c r="I153" i="4"/>
  <c r="J153" i="4"/>
  <c r="K153" i="4"/>
  <c r="H154" i="4"/>
  <c r="I154" i="4"/>
  <c r="J154" i="4"/>
  <c r="K154" i="4"/>
  <c r="H155" i="4"/>
  <c r="I155" i="4"/>
  <c r="J155" i="4"/>
  <c r="K155" i="4"/>
  <c r="H156" i="4"/>
  <c r="I156" i="4"/>
  <c r="J156" i="4"/>
  <c r="K156" i="4"/>
  <c r="H157" i="4"/>
  <c r="I157" i="4"/>
  <c r="J157" i="4"/>
  <c r="K157" i="4"/>
  <c r="H158" i="4"/>
  <c r="I158" i="4"/>
  <c r="J158" i="4"/>
  <c r="K158" i="4"/>
  <c r="H159" i="4"/>
  <c r="I159" i="4"/>
  <c r="J159" i="4"/>
  <c r="K159" i="4"/>
  <c r="H160" i="4"/>
  <c r="I160" i="4"/>
  <c r="J160" i="4"/>
  <c r="K160" i="4"/>
  <c r="K6" i="4"/>
  <c r="J6" i="4"/>
  <c r="I6" i="4"/>
  <c r="H6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C42" i="4"/>
  <c r="D42" i="4"/>
  <c r="E42" i="4"/>
  <c r="C43" i="4"/>
  <c r="D43" i="4"/>
  <c r="E43" i="4"/>
  <c r="C44" i="4"/>
  <c r="D44" i="4"/>
  <c r="E44" i="4"/>
  <c r="C45" i="4"/>
  <c r="D45" i="4"/>
  <c r="E45" i="4"/>
  <c r="C46" i="4"/>
  <c r="D46" i="4"/>
  <c r="E46" i="4"/>
  <c r="C47" i="4"/>
  <c r="D47" i="4"/>
  <c r="E47" i="4"/>
  <c r="C48" i="4"/>
  <c r="D48" i="4"/>
  <c r="E48" i="4"/>
  <c r="C49" i="4"/>
  <c r="D49" i="4"/>
  <c r="E49" i="4"/>
  <c r="C50" i="4"/>
  <c r="D50" i="4"/>
  <c r="E50" i="4"/>
  <c r="C51" i="4"/>
  <c r="D51" i="4"/>
  <c r="E51" i="4"/>
  <c r="C52" i="4"/>
  <c r="D52" i="4"/>
  <c r="E52" i="4"/>
  <c r="C53" i="4"/>
  <c r="D53" i="4"/>
  <c r="E53" i="4"/>
  <c r="C54" i="4"/>
  <c r="D54" i="4"/>
  <c r="E54" i="4"/>
  <c r="C55" i="4"/>
  <c r="D55" i="4"/>
  <c r="E55" i="4"/>
  <c r="C56" i="4"/>
  <c r="D56" i="4"/>
  <c r="E56" i="4"/>
  <c r="C57" i="4"/>
  <c r="D57" i="4"/>
  <c r="E57" i="4"/>
  <c r="C58" i="4"/>
  <c r="D58" i="4"/>
  <c r="E58" i="4"/>
  <c r="C59" i="4"/>
  <c r="D59" i="4"/>
  <c r="E59" i="4"/>
  <c r="C60" i="4"/>
  <c r="D60" i="4"/>
  <c r="E60" i="4"/>
  <c r="E23" i="4"/>
  <c r="D23" i="4"/>
  <c r="C23" i="4"/>
  <c r="E19" i="4"/>
  <c r="D19" i="4"/>
  <c r="C19" i="4"/>
  <c r="E18" i="4" a="1"/>
  <c r="D18" i="4" a="1"/>
  <c r="C18" i="4" a="1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18" i="4" l="1"/>
  <c r="D18" i="4"/>
  <c r="C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J89" authorId="0" shapeId="0" xr:uid="{00000000-0006-0000-0100-00000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9" authorId="0" shapeId="0" xr:uid="{00000000-0006-0000-0100-00000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9" authorId="0" shapeId="0" xr:uid="{00000000-0006-0000-0100-00000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9" authorId="0" shapeId="0" xr:uid="{00000000-0006-0000-0100-00000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9" authorId="0" shapeId="0" xr:uid="{00000000-0006-0000-0100-00000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9" authorId="0" shapeId="0" xr:uid="{00000000-0006-0000-0100-00000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9" authorId="0" shapeId="0" xr:uid="{00000000-0006-0000-0100-00000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9" authorId="0" shapeId="0" xr:uid="{00000000-0006-0000-0100-00000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0" authorId="0" shapeId="0" xr:uid="{00000000-0006-0000-0100-00000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0" authorId="0" shapeId="0" xr:uid="{00000000-0006-0000-0100-00000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0" authorId="0" shapeId="0" xr:uid="{00000000-0006-0000-0100-00000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0" authorId="0" shapeId="0" xr:uid="{00000000-0006-0000-0100-00000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0" authorId="0" shapeId="0" xr:uid="{00000000-0006-0000-0100-00000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0" authorId="0" shapeId="0" xr:uid="{00000000-0006-0000-0100-00000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0" authorId="0" shapeId="0" xr:uid="{00000000-0006-0000-0100-00001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0" authorId="0" shapeId="0" xr:uid="{00000000-0006-0000-0100-00001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3" authorId="0" shapeId="0" xr:uid="{00000000-0006-0000-0100-00001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3" authorId="0" shapeId="0" xr:uid="{00000000-0006-0000-0100-00001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3" authorId="0" shapeId="0" xr:uid="{00000000-0006-0000-0100-00001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3" authorId="0" shapeId="0" xr:uid="{00000000-0006-0000-0100-00001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3" authorId="0" shapeId="0" xr:uid="{00000000-0006-0000-0100-00001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3" authorId="0" shapeId="0" xr:uid="{00000000-0006-0000-0100-00001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3" authorId="0" shapeId="0" xr:uid="{00000000-0006-0000-0100-00001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3" authorId="0" shapeId="0" xr:uid="{00000000-0006-0000-0100-00001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3" authorId="0" shapeId="0" xr:uid="{00000000-0006-0000-0100-00001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3" authorId="0" shapeId="0" xr:uid="{00000000-0006-0000-0100-00001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4" authorId="0" shapeId="0" xr:uid="{00000000-0006-0000-0100-00001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4" authorId="0" shapeId="0" xr:uid="{00000000-0006-0000-0100-00001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4" authorId="0" shapeId="0" xr:uid="{00000000-0006-0000-0100-00001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4" authorId="0" shapeId="0" xr:uid="{00000000-0006-0000-0100-00001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4" authorId="0" shapeId="0" xr:uid="{00000000-0006-0000-0100-00002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4" authorId="0" shapeId="0" xr:uid="{00000000-0006-0000-0100-00002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5" authorId="0" shapeId="0" xr:uid="{00000000-0006-0000-0100-00002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5" authorId="0" shapeId="0" xr:uid="{00000000-0006-0000-0100-00002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5" authorId="0" shapeId="0" xr:uid="{00000000-0006-0000-0100-00002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5" authorId="0" shapeId="0" xr:uid="{00000000-0006-0000-0100-00002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5" authorId="0" shapeId="0" xr:uid="{00000000-0006-0000-0100-00002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5" authorId="0" shapeId="0" xr:uid="{00000000-0006-0000-0100-00002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8" authorId="0" shapeId="0" xr:uid="{00000000-0006-0000-0100-00002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98" authorId="0" shapeId="0" xr:uid="{00000000-0006-0000-0100-00002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98" authorId="0" shapeId="0" xr:uid="{00000000-0006-0000-0100-00002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98" authorId="0" shapeId="0" xr:uid="{00000000-0006-0000-0100-00002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98" authorId="0" shapeId="0" xr:uid="{00000000-0006-0000-0100-00002C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98" authorId="0" shapeId="0" xr:uid="{00000000-0006-0000-0100-00002D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98" authorId="0" shapeId="0" xr:uid="{00000000-0006-0000-0100-00002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98" authorId="0" shapeId="0" xr:uid="{00000000-0006-0000-0100-00002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Y98" authorId="0" shapeId="0" xr:uid="{00000000-0006-0000-0100-00003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98" authorId="0" shapeId="0" xr:uid="{00000000-0006-0000-0100-000031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98" authorId="0" shapeId="0" xr:uid="{00000000-0006-0000-0100-00003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98" authorId="0" shapeId="0" xr:uid="{00000000-0006-0000-0100-00003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98" authorId="0" shapeId="0" xr:uid="{00000000-0006-0000-0100-00003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98" authorId="0" shapeId="0" xr:uid="{00000000-0006-0000-0100-00003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98" authorId="0" shapeId="0" xr:uid="{00000000-0006-0000-0100-00003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98" authorId="0" shapeId="0" xr:uid="{00000000-0006-0000-0100-000037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98" authorId="0" shapeId="0" xr:uid="{00000000-0006-0000-0100-00003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98" authorId="0" shapeId="0" xr:uid="{00000000-0006-0000-0100-00003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98" authorId="0" shapeId="0" xr:uid="{00000000-0006-0000-0100-00003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98" authorId="0" shapeId="0" xr:uid="{00000000-0006-0000-0100-00003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U98" authorId="0" shapeId="0" xr:uid="{00000000-0006-0000-0100-00003C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98" authorId="0" shapeId="0" xr:uid="{00000000-0006-0000-0100-00003D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98" authorId="0" shapeId="0" xr:uid="{00000000-0006-0000-0100-00003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98" authorId="0" shapeId="0" xr:uid="{00000000-0006-0000-0100-00003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98" authorId="0" shapeId="0" xr:uid="{00000000-0006-0000-0100-00004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98" authorId="0" shapeId="0" xr:uid="{00000000-0006-0000-0100-000041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99" authorId="0" shapeId="0" xr:uid="{00000000-0006-0000-0100-00004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J99" authorId="0" shapeId="0" xr:uid="{00000000-0006-0000-0100-00004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99" authorId="0" shapeId="0" xr:uid="{00000000-0006-0000-0100-00004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99" authorId="0" shapeId="0" xr:uid="{00000000-0006-0000-0100-00004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99" authorId="0" shapeId="0" xr:uid="{00000000-0006-0000-0100-00004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99" authorId="0" shapeId="0" xr:uid="{00000000-0006-0000-0100-00004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99" authorId="0" shapeId="0" xr:uid="{00000000-0006-0000-0100-00004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99" authorId="0" shapeId="0" xr:uid="{00000000-0006-0000-0100-00004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99" authorId="0" shapeId="0" xr:uid="{00000000-0006-0000-0100-00004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99" authorId="0" shapeId="0" xr:uid="{00000000-0006-0000-0100-00004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99" authorId="0" shapeId="0" xr:uid="{00000000-0006-0000-0100-00004C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99" authorId="0" shapeId="0" xr:uid="{00000000-0006-0000-0100-00004D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99" authorId="0" shapeId="0" xr:uid="{00000000-0006-0000-0100-00004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99" authorId="0" shapeId="0" xr:uid="{00000000-0006-0000-0100-00004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99" authorId="0" shapeId="0" xr:uid="{00000000-0006-0000-0100-00005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99" authorId="0" shapeId="0" xr:uid="{00000000-0006-0000-0100-000051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99" authorId="0" shapeId="0" xr:uid="{00000000-0006-0000-0100-00005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99" authorId="0" shapeId="0" xr:uid="{00000000-0006-0000-0100-00005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99" authorId="0" shapeId="0" xr:uid="{00000000-0006-0000-0100-00005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W99" authorId="0" shapeId="0" xr:uid="{00000000-0006-0000-0100-00005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99" authorId="0" shapeId="0" xr:uid="{00000000-0006-0000-0100-00005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99" authorId="0" shapeId="0" xr:uid="{00000000-0006-0000-0100-000057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99" authorId="0" shapeId="0" xr:uid="{00000000-0006-0000-0100-00005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99" authorId="0" shapeId="0" xr:uid="{00000000-0006-0000-0100-00005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1" authorId="0" shapeId="0" xr:uid="{00000000-0006-0000-0100-00005A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01" authorId="0" shapeId="0" xr:uid="{00000000-0006-0000-0100-00005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01" authorId="0" shapeId="0" xr:uid="{00000000-0006-0000-0100-00005C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01" authorId="0" shapeId="0" xr:uid="{00000000-0006-0000-0100-00005D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01" authorId="0" shapeId="0" xr:uid="{00000000-0006-0000-0100-00005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01" authorId="0" shapeId="0" xr:uid="{00000000-0006-0000-0100-00005F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01" authorId="0" shapeId="0" xr:uid="{00000000-0006-0000-0100-00006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01" authorId="0" shapeId="0" xr:uid="{00000000-0006-0000-0100-000061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01" authorId="0" shapeId="0" xr:uid="{00000000-0006-0000-0100-00006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01" authorId="0" shapeId="0" xr:uid="{00000000-0006-0000-0100-00006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H101" authorId="0" shapeId="0" xr:uid="{00000000-0006-0000-0100-00006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1" authorId="0" shapeId="0" xr:uid="{00000000-0006-0000-0100-00006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01" authorId="0" shapeId="0" xr:uid="{00000000-0006-0000-0100-00006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Y101" authorId="0" shapeId="0" xr:uid="{00000000-0006-0000-0100-000067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1" authorId="0" shapeId="0" xr:uid="{00000000-0006-0000-0100-00006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1" authorId="0" shapeId="0" xr:uid="{00000000-0006-0000-0100-00006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2" authorId="0" shapeId="0" xr:uid="{00000000-0006-0000-0100-00006A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02" authorId="0" shapeId="0" xr:uid="{00000000-0006-0000-0100-00006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J102" authorId="0" shapeId="0" xr:uid="{00000000-0006-0000-0100-00006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L102" authorId="0" shapeId="0" xr:uid="{00000000-0006-0000-0100-00006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2" authorId="0" shapeId="0" xr:uid="{00000000-0006-0000-0100-00006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2" authorId="0" shapeId="0" xr:uid="{00000000-0006-0000-0100-00006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02" authorId="0" shapeId="0" xr:uid="{00000000-0006-0000-0100-00007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02" authorId="0" shapeId="0" xr:uid="{00000000-0006-0000-0100-00007100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T102" authorId="0" shapeId="0" xr:uid="{00000000-0006-0000-0100-00007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02" authorId="0" shapeId="0" xr:uid="{00000000-0006-0000-0100-00007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02" authorId="0" shapeId="0" xr:uid="{00000000-0006-0000-0100-00007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02" authorId="0" shapeId="0" xr:uid="{00000000-0006-0000-0100-00007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2" authorId="0" shapeId="0" xr:uid="{00000000-0006-0000-0100-00007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02" authorId="0" shapeId="0" xr:uid="{00000000-0006-0000-0100-00007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2" authorId="0" shapeId="0" xr:uid="{00000000-0006-0000-0100-00007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2" authorId="0" shapeId="0" xr:uid="{00000000-0006-0000-0100-00007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H102" authorId="0" shapeId="0" xr:uid="{00000000-0006-0000-0100-00007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2" authorId="0" shapeId="0" xr:uid="{00000000-0006-0000-0100-00007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02" authorId="0" shapeId="0" xr:uid="{00000000-0006-0000-0100-00007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02" authorId="0" shapeId="0" xr:uid="{00000000-0006-0000-0100-00007D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2" authorId="0" shapeId="0" xr:uid="{00000000-0006-0000-0100-00007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02" authorId="0" shapeId="0" xr:uid="{00000000-0006-0000-0100-00007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U102" authorId="0" shapeId="0" xr:uid="{00000000-0006-0000-0100-00008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2" authorId="0" shapeId="0" xr:uid="{00000000-0006-0000-0100-000081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Y102" authorId="0" shapeId="0" xr:uid="{00000000-0006-0000-0100-00008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2" authorId="0" shapeId="0" xr:uid="{00000000-0006-0000-0100-00008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2" authorId="0" shapeId="0" xr:uid="{00000000-0006-0000-0100-00008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2" authorId="0" shapeId="0" xr:uid="{00000000-0006-0000-0100-00008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02" authorId="0" shapeId="0" xr:uid="{00000000-0006-0000-0100-00008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02" authorId="0" shapeId="0" xr:uid="{00000000-0006-0000-0100-000087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F103" authorId="0" shapeId="0" xr:uid="{00000000-0006-0000-0100-00008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3" authorId="0" shapeId="0" xr:uid="{00000000-0006-0000-0100-00008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03" authorId="0" shapeId="0" xr:uid="{00000000-0006-0000-0100-00008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03" authorId="0" shapeId="0" xr:uid="{00000000-0006-0000-0100-00008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03" authorId="0" shapeId="0" xr:uid="{00000000-0006-0000-0100-00008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L103" authorId="0" shapeId="0" xr:uid="{00000000-0006-0000-0100-00008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3" authorId="0" shapeId="0" xr:uid="{00000000-0006-0000-0100-00008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3" authorId="0" shapeId="0" xr:uid="{00000000-0006-0000-0100-00008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03" authorId="0" shapeId="0" xr:uid="{00000000-0006-0000-0100-00009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03" authorId="0" shapeId="0" xr:uid="{00000000-0006-0000-0100-00009100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T103" authorId="0" shapeId="0" xr:uid="{00000000-0006-0000-0100-00009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03" authorId="0" shapeId="0" xr:uid="{00000000-0006-0000-0100-00009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03" authorId="0" shapeId="0" xr:uid="{00000000-0006-0000-0100-00009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3" authorId="0" shapeId="0" xr:uid="{00000000-0006-0000-0100-00009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03" authorId="0" shapeId="0" xr:uid="{00000000-0006-0000-0100-00009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3" authorId="0" shapeId="0" xr:uid="{00000000-0006-0000-0100-00009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3" authorId="0" shapeId="0" xr:uid="{00000000-0006-0000-0100-00009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03" authorId="0" shapeId="0" xr:uid="{00000000-0006-0000-0100-00009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3" authorId="0" shapeId="0" xr:uid="{00000000-0006-0000-0100-00009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03" authorId="0" shapeId="0" xr:uid="{00000000-0006-0000-0100-00009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03" authorId="0" shapeId="0" xr:uid="{00000000-0006-0000-0100-00009C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3" authorId="0" shapeId="0" xr:uid="{00000000-0006-0000-0100-00009D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3" authorId="0" shapeId="0" xr:uid="{00000000-0006-0000-0100-00009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3" authorId="0" shapeId="0" xr:uid="{00000000-0006-0000-0100-00009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3" authorId="0" shapeId="0" xr:uid="{00000000-0006-0000-0100-0000A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3" authorId="0" shapeId="0" xr:uid="{00000000-0006-0000-0100-0000A1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03" authorId="0" shapeId="0" xr:uid="{00000000-0006-0000-0100-0000A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03" authorId="0" shapeId="0" xr:uid="{00000000-0006-0000-0100-0000A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F104" authorId="0" shapeId="0" xr:uid="{00000000-0006-0000-0100-0000A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4" authorId="0" shapeId="0" xr:uid="{00000000-0006-0000-0100-0000A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04" authorId="0" shapeId="0" xr:uid="{00000000-0006-0000-0100-0000A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04" authorId="0" shapeId="0" xr:uid="{00000000-0006-0000-0100-0000A7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04" authorId="0" shapeId="0" xr:uid="{00000000-0006-0000-0100-0000A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L104" authorId="0" shapeId="0" xr:uid="{00000000-0006-0000-0100-0000A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4" authorId="0" shapeId="0" xr:uid="{00000000-0006-0000-0100-0000A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4" authorId="0" shapeId="0" xr:uid="{00000000-0006-0000-0100-0000A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04" authorId="0" shapeId="0" xr:uid="{00000000-0006-0000-0100-0000A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04" authorId="0" shapeId="0" xr:uid="{00000000-0006-0000-0100-0000AD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04" authorId="0" shapeId="0" xr:uid="{00000000-0006-0000-0100-0000AE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04" authorId="0" shapeId="0" xr:uid="{00000000-0006-0000-0100-0000A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4" authorId="0" shapeId="0" xr:uid="{00000000-0006-0000-0100-0000B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04" authorId="0" shapeId="0" xr:uid="{00000000-0006-0000-0100-0000B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4" authorId="0" shapeId="0" xr:uid="{00000000-0006-0000-0100-0000B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4" authorId="0" shapeId="0" xr:uid="{00000000-0006-0000-0100-0000B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H104" authorId="0" shapeId="0" xr:uid="{00000000-0006-0000-0100-0000B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4" authorId="0" shapeId="0" xr:uid="{00000000-0006-0000-0100-0000B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04" authorId="0" shapeId="0" xr:uid="{00000000-0006-0000-0100-0000B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04" authorId="0" shapeId="0" xr:uid="{00000000-0006-0000-0100-0000B7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4" authorId="0" shapeId="0" xr:uid="{00000000-0006-0000-0100-0000B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4" authorId="0" shapeId="0" xr:uid="{00000000-0006-0000-0100-0000B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4" authorId="0" shapeId="0" xr:uid="{00000000-0006-0000-0100-0000B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4" authorId="0" shapeId="0" xr:uid="{00000000-0006-0000-0100-0000B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4" authorId="0" shapeId="0" xr:uid="{00000000-0006-0000-0100-0000B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BF104" authorId="0" shapeId="0" xr:uid="{00000000-0006-0000-0100-0000BD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F105" authorId="0" shapeId="0" xr:uid="{00000000-0006-0000-0100-0000B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5" authorId="0" shapeId="0" xr:uid="{00000000-0006-0000-0100-0000BF00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H105" authorId="0" shapeId="0" xr:uid="{00000000-0006-0000-0100-0000C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05" authorId="0" shapeId="0" xr:uid="{00000000-0006-0000-0100-0000C1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05" authorId="0" shapeId="0" xr:uid="{00000000-0006-0000-0100-0000C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L105" authorId="0" shapeId="0" xr:uid="{00000000-0006-0000-0100-0000C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5" authorId="0" shapeId="0" xr:uid="{00000000-0006-0000-0100-0000C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5" authorId="0" shapeId="0" xr:uid="{00000000-0006-0000-0100-0000C5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05" authorId="0" shapeId="0" xr:uid="{00000000-0006-0000-0100-0000C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05" authorId="0" shapeId="0" xr:uid="{00000000-0006-0000-0100-0000C7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05" authorId="0" shapeId="0" xr:uid="{00000000-0006-0000-0100-0000C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05" authorId="0" shapeId="0" xr:uid="{00000000-0006-0000-0100-0000C9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05" authorId="0" shapeId="0" xr:uid="{00000000-0006-0000-0100-0000C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5" authorId="0" shapeId="0" xr:uid="{00000000-0006-0000-0100-0000CB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D105" authorId="0" shapeId="0" xr:uid="{00000000-0006-0000-0100-0000CC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05" authorId="0" shapeId="0" xr:uid="{00000000-0006-0000-0100-0000C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5" authorId="0" shapeId="0" xr:uid="{00000000-0006-0000-0100-0000C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5" authorId="0" shapeId="0" xr:uid="{00000000-0006-0000-0100-0000C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05" authorId="0" shapeId="0" xr:uid="{00000000-0006-0000-0100-0000D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5" authorId="0" shapeId="0" xr:uid="{00000000-0006-0000-0100-0000D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05" authorId="0" shapeId="0" xr:uid="{00000000-0006-0000-0100-0000D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R105" authorId="0" shapeId="0" xr:uid="{00000000-0006-0000-0100-0000D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5" authorId="0" shapeId="0" xr:uid="{00000000-0006-0000-0100-0000D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5" authorId="0" shapeId="0" xr:uid="{00000000-0006-0000-0100-0000D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5" authorId="0" shapeId="0" xr:uid="{00000000-0006-0000-0100-0000D6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5" authorId="0" shapeId="0" xr:uid="{00000000-0006-0000-0100-0000D7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5" authorId="0" shapeId="0" xr:uid="{00000000-0006-0000-0100-0000D8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BF105" authorId="0" shapeId="0" xr:uid="{00000000-0006-0000-0100-0000D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6" authorId="0" shapeId="0" xr:uid="{00000000-0006-0000-0100-0000DA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06" authorId="0" shapeId="0" xr:uid="{00000000-0006-0000-0100-0000D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06" authorId="0" shapeId="0" xr:uid="{00000000-0006-0000-0100-0000D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L106" authorId="0" shapeId="0" xr:uid="{00000000-0006-0000-0100-0000D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6" authorId="0" shapeId="0" xr:uid="{00000000-0006-0000-0100-0000D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6" authorId="0" shapeId="0" xr:uid="{00000000-0006-0000-0100-0000DF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06" authorId="0" shapeId="0" xr:uid="{00000000-0006-0000-0100-0000E0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06" authorId="0" shapeId="0" xr:uid="{00000000-0006-0000-0100-0000E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06" authorId="0" shapeId="0" xr:uid="{00000000-0006-0000-0100-0000E2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06" authorId="0" shapeId="0" xr:uid="{00000000-0006-0000-0100-0000E3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06" authorId="0" shapeId="0" xr:uid="{00000000-0006-0000-0100-0000E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6" authorId="0" shapeId="0" xr:uid="{00000000-0006-0000-0100-0000E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06" authorId="0" shapeId="0" xr:uid="{00000000-0006-0000-0100-0000E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6" authorId="0" shapeId="0" xr:uid="{00000000-0006-0000-0100-0000E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6" authorId="0" shapeId="0" xr:uid="{00000000-0006-0000-0100-0000E8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06" authorId="0" shapeId="0" xr:uid="{00000000-0006-0000-0100-0000E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6" authorId="0" shapeId="0" xr:uid="{00000000-0006-0000-0100-0000EA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06" authorId="0" shapeId="0" xr:uid="{00000000-0006-0000-0100-0000EB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06" authorId="0" shapeId="0" xr:uid="{00000000-0006-0000-0100-0000EC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6" authorId="0" shapeId="0" xr:uid="{00000000-0006-0000-0100-0000ED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6" authorId="0" shapeId="0" xr:uid="{00000000-0006-0000-0100-0000E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6" authorId="0" shapeId="0" xr:uid="{00000000-0006-0000-0100-0000E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6" authorId="0" shapeId="0" xr:uid="{00000000-0006-0000-0100-0000F0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6" authorId="0" shapeId="0" xr:uid="{00000000-0006-0000-0100-0000F1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BE106" authorId="0" shapeId="0" xr:uid="{00000000-0006-0000-0100-0000F2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06" authorId="0" shapeId="0" xr:uid="{00000000-0006-0000-0100-0000F3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7" authorId="0" shapeId="0" xr:uid="{00000000-0006-0000-0100-0000F4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07" authorId="0" shapeId="0" xr:uid="{00000000-0006-0000-0100-0000F5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07" authorId="0" shapeId="0" xr:uid="{00000000-0006-0000-0100-0000F6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L107" authorId="0" shapeId="0" xr:uid="{00000000-0006-0000-0100-0000F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7" authorId="0" shapeId="0" xr:uid="{00000000-0006-0000-0100-0000F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7" authorId="0" shapeId="0" xr:uid="{00000000-0006-0000-0100-0000F9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07" authorId="0" shapeId="0" xr:uid="{00000000-0006-0000-0100-0000FA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07" authorId="0" shapeId="0" xr:uid="{00000000-0006-0000-0100-0000FB00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S107" authorId="0" shapeId="0" xr:uid="{00000000-0006-0000-0100-0000FC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07" authorId="0" shapeId="0" xr:uid="{00000000-0006-0000-0100-0000FD00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V107" authorId="0" shapeId="0" xr:uid="{00000000-0006-0000-0100-0000FE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07" authorId="0" shapeId="0" xr:uid="{00000000-0006-0000-0100-0000FF00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7" authorId="0" shapeId="0" xr:uid="{00000000-0006-0000-0100-00000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07" authorId="0" shapeId="0" xr:uid="{00000000-0006-0000-0100-00000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7" authorId="0" shapeId="0" xr:uid="{00000000-0006-0000-0100-00000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07" authorId="0" shapeId="0" xr:uid="{00000000-0006-0000-0100-00000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7" authorId="0" shapeId="0" xr:uid="{00000000-0006-0000-0100-000004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07" authorId="0" shapeId="0" xr:uid="{00000000-0006-0000-0100-00000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7" authorId="0" shapeId="0" xr:uid="{00000000-0006-0000-0100-00000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7" authorId="0" shapeId="0" xr:uid="{00000000-0006-0000-0100-00000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Y107" authorId="0" shapeId="0" xr:uid="{00000000-0006-0000-0100-00000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7" authorId="0" shapeId="0" xr:uid="{00000000-0006-0000-0100-00000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7" authorId="0" shapeId="0" xr:uid="{00000000-0006-0000-0100-00000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7" authorId="0" shapeId="0" xr:uid="{00000000-0006-0000-0100-00000B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BE107" authorId="0" shapeId="0" xr:uid="{00000000-0006-0000-0100-00000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07" authorId="0" shapeId="0" xr:uid="{00000000-0006-0000-0100-00000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8" authorId="0" shapeId="0" xr:uid="{00000000-0006-0000-0100-00000E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08" authorId="0" shapeId="0" xr:uid="{00000000-0006-0000-0100-00000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08" authorId="0" shapeId="0" xr:uid="{00000000-0006-0000-0100-000010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N108" authorId="0" shapeId="0" xr:uid="{00000000-0006-0000-0100-00001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08" authorId="0" shapeId="0" xr:uid="{00000000-0006-0000-0100-000012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08" authorId="0" shapeId="0" xr:uid="{00000000-0006-0000-0100-00001301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S108" authorId="0" shapeId="0" xr:uid="{00000000-0006-0000-0100-00001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08" authorId="0" shapeId="0" xr:uid="{00000000-0006-0000-0100-00001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08" authorId="0" shapeId="0" xr:uid="{00000000-0006-0000-0100-00001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8" authorId="0" shapeId="0" xr:uid="{00000000-0006-0000-0100-00001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08" authorId="0" shapeId="0" xr:uid="{00000000-0006-0000-0100-00001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8" authorId="0" shapeId="0" xr:uid="{00000000-0006-0000-0100-000019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08" authorId="0" shapeId="0" xr:uid="{00000000-0006-0000-0100-00001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08" authorId="0" shapeId="0" xr:uid="{00000000-0006-0000-0100-00001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8" authorId="0" shapeId="0" xr:uid="{00000000-0006-0000-0100-00001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8" authorId="0" shapeId="0" xr:uid="{00000000-0006-0000-0100-00001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08" authorId="0" shapeId="0" xr:uid="{00000000-0006-0000-0100-00001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8" authorId="0" shapeId="0" xr:uid="{00000000-0006-0000-0100-00001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8" authorId="0" shapeId="0" xr:uid="{00000000-0006-0000-0100-000020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BE108" authorId="0" shapeId="0" xr:uid="{00000000-0006-0000-0100-00002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08" authorId="0" shapeId="0" xr:uid="{00000000-0006-0000-0100-00002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09" authorId="0" shapeId="0" xr:uid="{00000000-0006-0000-0100-00002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09" authorId="0" shapeId="0" xr:uid="{00000000-0006-0000-0100-00002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09" authorId="0" shapeId="0" xr:uid="{00000000-0006-0000-0100-00002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L109" authorId="0" shapeId="0" xr:uid="{00000000-0006-0000-0100-00002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9" authorId="0" shapeId="0" xr:uid="{00000000-0006-0000-0100-00002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9" authorId="0" shapeId="0" xr:uid="{00000000-0006-0000-0100-00002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09" authorId="0" shapeId="0" xr:uid="{00000000-0006-0000-0100-00002901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P109" authorId="0" shapeId="0" xr:uid="{00000000-0006-0000-0100-00002A01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T109" authorId="0" shapeId="0" xr:uid="{00000000-0006-0000-0100-00002B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09" authorId="0" shapeId="0" xr:uid="{00000000-0006-0000-0100-00002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09" authorId="0" shapeId="0" xr:uid="{00000000-0006-0000-0100-00002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09" authorId="0" shapeId="0" xr:uid="{00000000-0006-0000-0100-00002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9" authorId="0" shapeId="0" xr:uid="{00000000-0006-0000-0100-00002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09" authorId="0" shapeId="0" xr:uid="{00000000-0006-0000-0100-00003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09" authorId="0" shapeId="0" xr:uid="{00000000-0006-0000-0100-00003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09" authorId="0" shapeId="0" xr:uid="{00000000-0006-0000-0100-00003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09" authorId="0" shapeId="0" xr:uid="{00000000-0006-0000-0100-00003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09" authorId="0" shapeId="0" xr:uid="{00000000-0006-0000-0100-00003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09" authorId="0" shapeId="0" xr:uid="{00000000-0006-0000-0100-00003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09" authorId="0" shapeId="0" xr:uid="{00000000-0006-0000-0100-00003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09" authorId="0" shapeId="0" xr:uid="{00000000-0006-0000-0100-00003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09" authorId="0" shapeId="0" xr:uid="{00000000-0006-0000-0100-00003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0" authorId="0" shapeId="0" xr:uid="{00000000-0006-0000-0100-000039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10" authorId="0" shapeId="0" xr:uid="{00000000-0006-0000-0100-00003A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J110" authorId="0" shapeId="0" xr:uid="{00000000-0006-0000-0100-00003B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N110" authorId="0" shapeId="0" xr:uid="{00000000-0006-0000-0100-00003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0" authorId="0" shapeId="0" xr:uid="{00000000-0006-0000-0100-00003D01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P110" authorId="0" shapeId="0" xr:uid="{00000000-0006-0000-0100-00003E01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T110" authorId="0" shapeId="0" xr:uid="{00000000-0006-0000-0100-00003F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0" authorId="0" shapeId="0" xr:uid="{00000000-0006-0000-0100-00004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0" authorId="0" shapeId="0" xr:uid="{00000000-0006-0000-0100-00004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0" authorId="0" shapeId="0" xr:uid="{00000000-0006-0000-0100-00004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0" authorId="0" shapeId="0" xr:uid="{00000000-0006-0000-0100-00004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0" authorId="0" shapeId="0" xr:uid="{00000000-0006-0000-0100-000044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10" authorId="0" shapeId="0" xr:uid="{00000000-0006-0000-0100-000045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10" authorId="0" shapeId="0" xr:uid="{00000000-0006-0000-0100-00004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0" authorId="0" shapeId="0" xr:uid="{00000000-0006-0000-0100-00004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10" authorId="0" shapeId="0" xr:uid="{00000000-0006-0000-0100-00004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0" authorId="0" shapeId="0" xr:uid="{00000000-0006-0000-0100-00004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0" authorId="0" shapeId="0" xr:uid="{00000000-0006-0000-0100-00004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0" authorId="0" shapeId="0" xr:uid="{00000000-0006-0000-0100-00004B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BE110" authorId="0" shapeId="0" xr:uid="{00000000-0006-0000-0100-00004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0" authorId="0" shapeId="0" xr:uid="{00000000-0006-0000-0100-00004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1" authorId="0" shapeId="0" xr:uid="{00000000-0006-0000-0100-00004E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11" authorId="0" shapeId="0" xr:uid="{00000000-0006-0000-0100-00004F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J111" authorId="0" shapeId="0" xr:uid="{00000000-0006-0000-0100-00005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11" authorId="0" shapeId="0" xr:uid="{00000000-0006-0000-0100-00005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11" authorId="0" shapeId="0" xr:uid="{00000000-0006-0000-0100-00005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1" authorId="0" shapeId="0" xr:uid="{00000000-0006-0000-0100-00005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11" authorId="0" shapeId="0" xr:uid="{00000000-0006-0000-0100-00005401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T111" authorId="0" shapeId="0" xr:uid="{00000000-0006-0000-0100-000055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1" authorId="0" shapeId="0" xr:uid="{00000000-0006-0000-0100-00005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1" authorId="0" shapeId="0" xr:uid="{00000000-0006-0000-0100-00005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1" authorId="0" shapeId="0" xr:uid="{00000000-0006-0000-0100-00005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1" authorId="0" shapeId="0" xr:uid="{00000000-0006-0000-0100-00005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1" authorId="0" shapeId="0" xr:uid="{00000000-0006-0000-0100-00005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1" authorId="0" shapeId="0" xr:uid="{00000000-0006-0000-0100-00005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11" authorId="0" shapeId="0" xr:uid="{00000000-0006-0000-0100-00005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1" authorId="0" shapeId="0" xr:uid="{00000000-0006-0000-0100-00005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1" authorId="0" shapeId="0" xr:uid="{00000000-0006-0000-0100-00005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2" authorId="0" shapeId="0" xr:uid="{00000000-0006-0000-0100-00005F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12" authorId="0" shapeId="0" xr:uid="{00000000-0006-0000-0100-00006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12" authorId="0" shapeId="0" xr:uid="{00000000-0006-0000-0100-00006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12" authorId="0" shapeId="0" xr:uid="{00000000-0006-0000-0100-000062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N112" authorId="0" shapeId="0" xr:uid="{00000000-0006-0000-0100-00006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2" authorId="0" shapeId="0" xr:uid="{00000000-0006-0000-0100-000064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12" authorId="0" shapeId="0" xr:uid="{00000000-0006-0000-0100-00006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12" authorId="0" shapeId="0" xr:uid="{00000000-0006-0000-0100-00006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2" authorId="0" shapeId="0" xr:uid="{00000000-0006-0000-0100-000067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2" authorId="0" shapeId="0" xr:uid="{00000000-0006-0000-0100-00006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2" authorId="0" shapeId="0" xr:uid="{00000000-0006-0000-0100-00006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2" authorId="0" shapeId="0" xr:uid="{00000000-0006-0000-0100-00006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2" authorId="0" shapeId="0" xr:uid="{00000000-0006-0000-0100-00006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2" authorId="0" shapeId="0" xr:uid="{00000000-0006-0000-0100-00006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12" authorId="0" shapeId="0" xr:uid="{00000000-0006-0000-0100-00006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2" authorId="0" shapeId="0" xr:uid="{00000000-0006-0000-0100-00006E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12" authorId="0" shapeId="0" xr:uid="{00000000-0006-0000-0100-00006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2" authorId="0" shapeId="0" xr:uid="{00000000-0006-0000-0100-00007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12" authorId="0" shapeId="0" xr:uid="{00000000-0006-0000-0100-00007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2" authorId="0" shapeId="0" xr:uid="{00000000-0006-0000-0100-00007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2" authorId="0" shapeId="0" xr:uid="{00000000-0006-0000-0100-00007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2" authorId="0" shapeId="0" xr:uid="{00000000-0006-0000-0100-00007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3" authorId="0" shapeId="0" xr:uid="{00000000-0006-0000-0100-00007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13" authorId="0" shapeId="0" xr:uid="{00000000-0006-0000-0100-00007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13" authorId="0" shapeId="0" xr:uid="{00000000-0006-0000-0100-00007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13" authorId="0" shapeId="0" xr:uid="{00000000-0006-0000-0100-00007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3" authorId="0" shapeId="0" xr:uid="{00000000-0006-0000-0100-000079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13" authorId="0" shapeId="0" xr:uid="{00000000-0006-0000-0100-00007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13" authorId="0" shapeId="0" xr:uid="{00000000-0006-0000-0100-00007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3" authorId="0" shapeId="0" xr:uid="{00000000-0006-0000-0100-00007C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3" authorId="0" shapeId="0" xr:uid="{00000000-0006-0000-0100-00007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3" authorId="0" shapeId="0" xr:uid="{00000000-0006-0000-0100-00007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3" authorId="0" shapeId="0" xr:uid="{00000000-0006-0000-0100-00007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3" authorId="0" shapeId="0" xr:uid="{00000000-0006-0000-0100-000080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13" authorId="0" shapeId="0" xr:uid="{00000000-0006-0000-0100-00008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3" authorId="0" shapeId="0" xr:uid="{00000000-0006-0000-0100-00008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3" authorId="0" shapeId="0" xr:uid="{00000000-0006-0000-0100-00008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13" authorId="0" shapeId="0" xr:uid="{00000000-0006-0000-0100-00008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3" authorId="0" shapeId="0" xr:uid="{00000000-0006-0000-0100-00008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3" authorId="0" shapeId="0" xr:uid="{00000000-0006-0000-0100-00008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13" authorId="0" shapeId="0" xr:uid="{00000000-0006-0000-0100-00008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3" authorId="0" shapeId="0" xr:uid="{00000000-0006-0000-0100-00008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4" authorId="0" shapeId="0" xr:uid="{00000000-0006-0000-0100-00008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14" authorId="0" shapeId="0" xr:uid="{00000000-0006-0000-0100-00008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14" authorId="0" shapeId="0" xr:uid="{00000000-0006-0000-0100-00008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14" authorId="0" shapeId="0" xr:uid="{00000000-0006-0000-0100-00008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L114" authorId="0" shapeId="0" xr:uid="{00000000-0006-0000-0100-00008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14" authorId="0" shapeId="0" xr:uid="{00000000-0006-0000-0100-00008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4" authorId="0" shapeId="0" xr:uid="{00000000-0006-0000-0100-00008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114" authorId="0" shapeId="0" xr:uid="{00000000-0006-0000-0100-00009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4" authorId="0" shapeId="0" xr:uid="{00000000-0006-0000-0100-000091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4" authorId="0" shapeId="0" xr:uid="{00000000-0006-0000-0100-00009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14" authorId="0" shapeId="0" xr:uid="{00000000-0006-0000-0100-00009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4" authorId="0" shapeId="0" xr:uid="{00000000-0006-0000-0100-00009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14" authorId="0" shapeId="0" xr:uid="{00000000-0006-0000-0100-00009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14" authorId="0" shapeId="0" xr:uid="{00000000-0006-0000-0100-000096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H114" authorId="0" shapeId="0" xr:uid="{00000000-0006-0000-0100-00009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14" authorId="0" shapeId="0" xr:uid="{00000000-0006-0000-0100-000098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14" authorId="0" shapeId="0" xr:uid="{00000000-0006-0000-0100-00009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4" authorId="0" shapeId="0" xr:uid="{00000000-0006-0000-0100-00009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4" authorId="0" shapeId="0" xr:uid="{00000000-0006-0000-0100-00009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14" authorId="0" shapeId="0" xr:uid="{00000000-0006-0000-0100-00009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4" authorId="0" shapeId="0" xr:uid="{00000000-0006-0000-0100-00009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14" authorId="0" shapeId="0" xr:uid="{00000000-0006-0000-0100-00009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4" authorId="0" shapeId="0" xr:uid="{00000000-0006-0000-0100-00009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5" authorId="0" shapeId="0" xr:uid="{00000000-0006-0000-0100-0000A0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15" authorId="0" shapeId="0" xr:uid="{00000000-0006-0000-0100-0000A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15" authorId="0" shapeId="0" xr:uid="{00000000-0006-0000-0100-0000A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15" authorId="0" shapeId="0" xr:uid="{00000000-0006-0000-0100-0000A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15" authorId="0" shapeId="0" xr:uid="{00000000-0006-0000-0100-0000A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5" authorId="0" shapeId="0" xr:uid="{00000000-0006-0000-0100-0000A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15" authorId="0" shapeId="0" xr:uid="{00000000-0006-0000-0100-0000A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5" authorId="0" shapeId="0" xr:uid="{00000000-0006-0000-0100-0000A7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5" authorId="0" shapeId="0" xr:uid="{00000000-0006-0000-0100-0000A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15" authorId="0" shapeId="0" xr:uid="{00000000-0006-0000-0100-0000A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5" authorId="0" shapeId="0" xr:uid="{00000000-0006-0000-0100-0000A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5" authorId="0" shapeId="0" xr:uid="{00000000-0006-0000-0100-0000A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5" authorId="0" shapeId="0" xr:uid="{00000000-0006-0000-0100-0000A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5" authorId="0" shapeId="0" xr:uid="{00000000-0006-0000-0100-0000A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15" authorId="0" shapeId="0" xr:uid="{00000000-0006-0000-0100-0000A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5" authorId="0" shapeId="0" xr:uid="{00000000-0006-0000-0100-0000A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5" authorId="0" shapeId="0" xr:uid="{00000000-0006-0000-0100-0000B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15" authorId="0" shapeId="0" xr:uid="{00000000-0006-0000-0100-0000B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5" authorId="0" shapeId="0" xr:uid="{00000000-0006-0000-0100-0000B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15" authorId="0" shapeId="0" xr:uid="{00000000-0006-0000-0100-0000B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5" authorId="0" shapeId="0" xr:uid="{00000000-0006-0000-0100-0000B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5" authorId="0" shapeId="0" xr:uid="{00000000-0006-0000-0100-0000B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15" authorId="0" shapeId="0" xr:uid="{00000000-0006-0000-0100-0000B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5" authorId="0" shapeId="0" xr:uid="{00000000-0006-0000-0100-0000B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6" authorId="0" shapeId="0" xr:uid="{00000000-0006-0000-0100-0000B8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16" authorId="0" shapeId="0" xr:uid="{00000000-0006-0000-0100-0000B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16" authorId="0" shapeId="0" xr:uid="{00000000-0006-0000-0100-0000B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16" authorId="0" shapeId="0" xr:uid="{00000000-0006-0000-0100-0000B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16" authorId="0" shapeId="0" xr:uid="{00000000-0006-0000-0100-0000B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6" authorId="0" shapeId="0" xr:uid="{00000000-0006-0000-0100-0000BD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16" authorId="0" shapeId="0" xr:uid="{00000000-0006-0000-0100-0000BE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16" authorId="0" shapeId="0" xr:uid="{00000000-0006-0000-0100-0000B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6" authorId="0" shapeId="0" xr:uid="{00000000-0006-0000-0100-0000C0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6" authorId="0" shapeId="0" xr:uid="{00000000-0006-0000-0100-0000C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16" authorId="0" shapeId="0" xr:uid="{00000000-0006-0000-0100-0000C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6" authorId="0" shapeId="0" xr:uid="{00000000-0006-0000-0100-0000C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6" authorId="0" shapeId="0" xr:uid="{00000000-0006-0000-0100-0000C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6" authorId="0" shapeId="0" xr:uid="{00000000-0006-0000-0100-0000C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6" authorId="0" shapeId="0" xr:uid="{00000000-0006-0000-0100-0000C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16" authorId="0" shapeId="0" xr:uid="{00000000-0006-0000-0100-0000C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6" authorId="0" shapeId="0" xr:uid="{00000000-0006-0000-0100-0000C8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16" authorId="0" shapeId="0" xr:uid="{00000000-0006-0000-0100-0000C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16" authorId="0" shapeId="0" xr:uid="{00000000-0006-0000-0100-0000C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6" authorId="0" shapeId="0" xr:uid="{00000000-0006-0000-0100-0000C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6" authorId="0" shapeId="0" xr:uid="{00000000-0006-0000-0100-0000C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6" authorId="0" shapeId="0" xr:uid="{00000000-0006-0000-0100-0000C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16" authorId="0" shapeId="0" xr:uid="{00000000-0006-0000-0100-0000C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6" authorId="0" shapeId="0" xr:uid="{00000000-0006-0000-0100-0000C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7" authorId="0" shapeId="0" xr:uid="{00000000-0006-0000-0100-0000D0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17" authorId="0" shapeId="0" xr:uid="{00000000-0006-0000-0100-0000D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17" authorId="0" shapeId="0" xr:uid="{00000000-0006-0000-0100-0000D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17" authorId="0" shapeId="0" xr:uid="{00000000-0006-0000-0100-0000D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17" authorId="0" shapeId="0" xr:uid="{00000000-0006-0000-0100-0000D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7" authorId="0" shapeId="0" xr:uid="{00000000-0006-0000-0100-0000D5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7" authorId="0" shapeId="0" xr:uid="{00000000-0006-0000-0100-0000D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17" authorId="0" shapeId="0" xr:uid="{00000000-0006-0000-0100-0000D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7" authorId="0" shapeId="0" xr:uid="{00000000-0006-0000-0100-0000D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7" authorId="0" shapeId="0" xr:uid="{00000000-0006-0000-0100-0000D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7" authorId="0" shapeId="0" xr:uid="{00000000-0006-0000-0100-0000D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7" authorId="0" shapeId="0" xr:uid="{00000000-0006-0000-0100-0000D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17" authorId="0" shapeId="0" xr:uid="{00000000-0006-0000-0100-0000D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7" authorId="0" shapeId="0" xr:uid="{00000000-0006-0000-0100-0000D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7" authorId="0" shapeId="0" xr:uid="{00000000-0006-0000-0100-0000D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Z117" authorId="0" shapeId="0" xr:uid="{00000000-0006-0000-0100-0000D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7" authorId="0" shapeId="0" xr:uid="{00000000-0006-0000-0100-0000E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7" authorId="0" shapeId="0" xr:uid="{00000000-0006-0000-0100-0000E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17" authorId="0" shapeId="0" xr:uid="{00000000-0006-0000-0100-0000E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7" authorId="0" shapeId="0" xr:uid="{00000000-0006-0000-0100-0000E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8" authorId="0" shapeId="0" xr:uid="{00000000-0006-0000-0100-0000E4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18" authorId="0" shapeId="0" xr:uid="{00000000-0006-0000-0100-0000E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18" authorId="0" shapeId="0" xr:uid="{00000000-0006-0000-0100-0000E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18" authorId="0" shapeId="0" xr:uid="{00000000-0006-0000-0100-0000E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8" authorId="0" shapeId="0" xr:uid="{00000000-0006-0000-0100-0000E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18" authorId="0" shapeId="0" xr:uid="{00000000-0006-0000-0100-0000E9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18" authorId="0" shapeId="0" xr:uid="{00000000-0006-0000-0100-0000E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8" authorId="0" shapeId="0" xr:uid="{00000000-0006-0000-0100-0000EB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18" authorId="0" shapeId="0" xr:uid="{00000000-0006-0000-0100-0000E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18" authorId="0" shapeId="0" xr:uid="{00000000-0006-0000-0100-0000ED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8" authorId="0" shapeId="0" xr:uid="{00000000-0006-0000-0100-0000E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8" authorId="0" shapeId="0" xr:uid="{00000000-0006-0000-0100-0000E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8" authorId="0" shapeId="0" xr:uid="{00000000-0006-0000-0100-0000F0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8" authorId="0" shapeId="0" xr:uid="{00000000-0006-0000-0100-0000F1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18" authorId="0" shapeId="0" xr:uid="{00000000-0006-0000-0100-0000F2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8" authorId="0" shapeId="0" xr:uid="{00000000-0006-0000-0100-0000F3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8" authorId="0" shapeId="0" xr:uid="{00000000-0006-0000-0100-0000F4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8" authorId="0" shapeId="0" xr:uid="{00000000-0006-0000-0100-0000F5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8" authorId="0" shapeId="0" xr:uid="{00000000-0006-0000-0100-0000F6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8" authorId="0" shapeId="0" xr:uid="{00000000-0006-0000-0100-0000F7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18" authorId="0" shapeId="0" xr:uid="{00000000-0006-0000-0100-0000F8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8" authorId="0" shapeId="0" xr:uid="{00000000-0006-0000-0100-0000F9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19" authorId="0" shapeId="0" xr:uid="{00000000-0006-0000-0100-0000FA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19" authorId="0" shapeId="0" xr:uid="{00000000-0006-0000-0100-0000FB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19" authorId="0" shapeId="0" xr:uid="{00000000-0006-0000-0100-0000FC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19" authorId="0" shapeId="0" xr:uid="{00000000-0006-0000-0100-0000FD01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119" authorId="0" shapeId="0" xr:uid="{00000000-0006-0000-0100-0000FE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19" authorId="0" shapeId="0" xr:uid="{00000000-0006-0000-0100-0000FF01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19" authorId="0" shapeId="0" xr:uid="{00000000-0006-0000-0100-00000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19" authorId="0" shapeId="0" xr:uid="{00000000-0006-0000-0100-00000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19" authorId="0" shapeId="0" xr:uid="{00000000-0006-0000-0100-00000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19" authorId="0" shapeId="0" xr:uid="{00000000-0006-0000-0100-00000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19" authorId="0" shapeId="0" xr:uid="{00000000-0006-0000-0100-00000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19" authorId="0" shapeId="0" xr:uid="{00000000-0006-0000-0100-00000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19" authorId="0" shapeId="0" xr:uid="{00000000-0006-0000-0100-00000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19" authorId="0" shapeId="0" xr:uid="{00000000-0006-0000-0100-00000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19" authorId="0" shapeId="0" xr:uid="{00000000-0006-0000-0100-00000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19" authorId="0" shapeId="0" xr:uid="{00000000-0006-0000-0100-00000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19" authorId="0" shapeId="0" xr:uid="{00000000-0006-0000-0100-00000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19" authorId="0" shapeId="0" xr:uid="{00000000-0006-0000-0100-00000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19" authorId="0" shapeId="0" xr:uid="{00000000-0006-0000-0100-00000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19" authorId="0" shapeId="0" xr:uid="{00000000-0006-0000-0100-00000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19" authorId="0" shapeId="0" xr:uid="{00000000-0006-0000-0100-00000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19" authorId="0" shapeId="0" xr:uid="{00000000-0006-0000-0100-00000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19" authorId="0" shapeId="0" xr:uid="{00000000-0006-0000-0100-00001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19" authorId="0" shapeId="0" xr:uid="{00000000-0006-0000-0100-00001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0" authorId="0" shapeId="0" xr:uid="{00000000-0006-0000-0100-00001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20" authorId="0" shapeId="0" xr:uid="{00000000-0006-0000-0100-00001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0" authorId="0" shapeId="0" xr:uid="{00000000-0006-0000-0100-000014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120" authorId="0" shapeId="0" xr:uid="{00000000-0006-0000-0100-00001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20" authorId="0" shapeId="0" xr:uid="{00000000-0006-0000-0100-00001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0" authorId="0" shapeId="0" xr:uid="{00000000-0006-0000-0100-00001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20" authorId="0" shapeId="0" xr:uid="{00000000-0006-0000-0100-000018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20" authorId="0" shapeId="0" xr:uid="{00000000-0006-0000-0100-00001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20" authorId="0" shapeId="0" xr:uid="{00000000-0006-0000-0100-00001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0" authorId="0" shapeId="0" xr:uid="{00000000-0006-0000-0100-00001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0" authorId="0" shapeId="0" xr:uid="{00000000-0006-0000-0100-00001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0" authorId="0" shapeId="0" xr:uid="{00000000-0006-0000-0100-00001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0" authorId="0" shapeId="0" xr:uid="{00000000-0006-0000-0100-00001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20" authorId="0" shapeId="0" xr:uid="{00000000-0006-0000-0100-00001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0" authorId="0" shapeId="0" xr:uid="{00000000-0006-0000-0100-00002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0" authorId="0" shapeId="0" xr:uid="{00000000-0006-0000-0100-00002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0" authorId="0" shapeId="0" xr:uid="{00000000-0006-0000-0100-00002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0" authorId="0" shapeId="0" xr:uid="{00000000-0006-0000-0100-00002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0" authorId="0" shapeId="0" xr:uid="{00000000-0006-0000-0100-00002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20" authorId="0" shapeId="0" xr:uid="{00000000-0006-0000-0100-00002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0" authorId="0" shapeId="0" xr:uid="{00000000-0006-0000-0100-00002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1" authorId="0" shapeId="0" xr:uid="{00000000-0006-0000-0100-000027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21" authorId="0" shapeId="0" xr:uid="{00000000-0006-0000-0100-000028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21" authorId="0" shapeId="0" xr:uid="{00000000-0006-0000-0100-00002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1" authorId="0" shapeId="0" xr:uid="{00000000-0006-0000-0100-00002A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121" authorId="0" shapeId="0" xr:uid="{00000000-0006-0000-0100-00002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1" authorId="0" shapeId="0" xr:uid="{00000000-0006-0000-0100-00002C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21" authorId="0" shapeId="0" xr:uid="{00000000-0006-0000-0100-00002D02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T121" authorId="0" shapeId="0" xr:uid="{00000000-0006-0000-0100-00002E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21" authorId="0" shapeId="0" xr:uid="{00000000-0006-0000-0100-00002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1" authorId="0" shapeId="0" xr:uid="{00000000-0006-0000-0100-00003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1" authorId="0" shapeId="0" xr:uid="{00000000-0006-0000-0100-00003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1" authorId="0" shapeId="0" xr:uid="{00000000-0006-0000-0100-00003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1" authorId="0" shapeId="0" xr:uid="{00000000-0006-0000-0100-000033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21" authorId="0" shapeId="0" xr:uid="{00000000-0006-0000-0100-00003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1" authorId="0" shapeId="0" xr:uid="{00000000-0006-0000-0100-00003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1" authorId="0" shapeId="0" xr:uid="{00000000-0006-0000-0100-00003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1" authorId="0" shapeId="0" xr:uid="{00000000-0006-0000-0100-00003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1" authorId="0" shapeId="0" xr:uid="{00000000-0006-0000-0100-00003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1" authorId="0" shapeId="0" xr:uid="{00000000-0006-0000-0100-000039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BF121" authorId="0" shapeId="0" xr:uid="{00000000-0006-0000-0100-00003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2" authorId="0" shapeId="0" xr:uid="{00000000-0006-0000-0100-00003B02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H122" authorId="0" shapeId="0" xr:uid="{00000000-0006-0000-0100-00003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22" authorId="0" shapeId="0" xr:uid="{00000000-0006-0000-0100-00003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2" authorId="0" shapeId="0" xr:uid="{00000000-0006-0000-0100-00003E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122" authorId="0" shapeId="0" xr:uid="{00000000-0006-0000-0100-00003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2" authorId="0" shapeId="0" xr:uid="{00000000-0006-0000-0100-00004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22" authorId="0" shapeId="0" xr:uid="{00000000-0006-0000-0100-000041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22" authorId="0" shapeId="0" xr:uid="{00000000-0006-0000-0100-000042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Y122" authorId="0" shapeId="0" xr:uid="{00000000-0006-0000-0100-00004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22" authorId="0" shapeId="0" xr:uid="{00000000-0006-0000-0100-00004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2" authorId="0" shapeId="0" xr:uid="{00000000-0006-0000-0100-00004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2" authorId="0" shapeId="0" xr:uid="{00000000-0006-0000-0100-00004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2" authorId="0" shapeId="0" xr:uid="{00000000-0006-0000-0100-00004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2" authorId="0" shapeId="0" xr:uid="{00000000-0006-0000-0100-00004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22" authorId="0" shapeId="0" xr:uid="{00000000-0006-0000-0100-000049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22" authorId="0" shapeId="0" xr:uid="{00000000-0006-0000-0100-00004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2" authorId="0" shapeId="0" xr:uid="{00000000-0006-0000-0100-00004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2" authorId="0" shapeId="0" xr:uid="{00000000-0006-0000-0100-00004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2" authorId="0" shapeId="0" xr:uid="{00000000-0006-0000-0100-00004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2" authorId="0" shapeId="0" xr:uid="{00000000-0006-0000-0100-00004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22" authorId="0" shapeId="0" xr:uid="{00000000-0006-0000-0100-00004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2" authorId="0" shapeId="0" xr:uid="{00000000-0006-0000-0100-00005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E123" authorId="0" shapeId="0" xr:uid="{00000000-0006-0000-0100-00005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3" authorId="0" shapeId="0" xr:uid="{00000000-0006-0000-0100-000052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23" authorId="0" shapeId="0" xr:uid="{00000000-0006-0000-0100-00005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3" authorId="0" shapeId="0" xr:uid="{00000000-0006-0000-0100-00005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K123" authorId="0" shapeId="0" xr:uid="{00000000-0006-0000-0100-00005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23" authorId="0" shapeId="0" xr:uid="{00000000-0006-0000-0100-00005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23" authorId="0" shapeId="0" xr:uid="{00000000-0006-0000-0100-00005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3" authorId="0" shapeId="0" xr:uid="{00000000-0006-0000-0100-000058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23" authorId="0" shapeId="0" xr:uid="{00000000-0006-0000-0100-000059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23" authorId="0" shapeId="0" xr:uid="{00000000-0006-0000-0100-00005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23" authorId="0" shapeId="0" xr:uid="{00000000-0006-0000-0100-00005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23" authorId="0" shapeId="0" xr:uid="{00000000-0006-0000-0100-00005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3" authorId="0" shapeId="0" xr:uid="{00000000-0006-0000-0100-00005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3" authorId="0" shapeId="0" xr:uid="{00000000-0006-0000-0100-00005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3" authorId="0" shapeId="0" xr:uid="{00000000-0006-0000-0100-00005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3" authorId="0" shapeId="0" xr:uid="{00000000-0006-0000-0100-00006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23" authorId="0" shapeId="0" xr:uid="{00000000-0006-0000-0100-00006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3" authorId="0" shapeId="0" xr:uid="{00000000-0006-0000-0100-00006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3" authorId="0" shapeId="0" xr:uid="{00000000-0006-0000-0100-00006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3" authorId="0" shapeId="0" xr:uid="{00000000-0006-0000-0100-00006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3" authorId="0" shapeId="0" xr:uid="{00000000-0006-0000-0100-00006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3" authorId="0" shapeId="0" xr:uid="{00000000-0006-0000-0100-00006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3" authorId="0" shapeId="0" xr:uid="{00000000-0006-0000-0100-00006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4" authorId="0" shapeId="0" xr:uid="{00000000-0006-0000-0100-00006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24" authorId="0" shapeId="0" xr:uid="{00000000-0006-0000-0100-000069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24" authorId="0" shapeId="0" xr:uid="{00000000-0006-0000-0100-00006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4" authorId="0" shapeId="0" xr:uid="{00000000-0006-0000-0100-00006B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124" authorId="0" shapeId="0" xr:uid="{00000000-0006-0000-0100-00006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24" authorId="0" shapeId="0" xr:uid="{00000000-0006-0000-0100-00006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4" authorId="0" shapeId="0" xr:uid="{00000000-0006-0000-0100-00006E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24" authorId="0" shapeId="0" xr:uid="{00000000-0006-0000-0100-00006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24" authorId="0" shapeId="0" xr:uid="{00000000-0006-0000-0100-000070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24" authorId="0" shapeId="0" xr:uid="{00000000-0006-0000-0100-00007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4" authorId="0" shapeId="0" xr:uid="{00000000-0006-0000-0100-00007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24" authorId="0" shapeId="0" xr:uid="{00000000-0006-0000-0100-00007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4" authorId="0" shapeId="0" xr:uid="{00000000-0006-0000-0100-00007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4" authorId="0" shapeId="0" xr:uid="{00000000-0006-0000-0100-00007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4" authorId="0" shapeId="0" xr:uid="{00000000-0006-0000-0100-000076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L124" authorId="0" shapeId="0" xr:uid="{00000000-0006-0000-0100-00007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4" authorId="0" shapeId="0" xr:uid="{00000000-0006-0000-0100-000078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24" authorId="0" shapeId="0" xr:uid="{00000000-0006-0000-0100-00007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4" authorId="0" shapeId="0" xr:uid="{00000000-0006-0000-0100-00007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4" authorId="0" shapeId="0" xr:uid="{00000000-0006-0000-0100-00007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4" authorId="0" shapeId="0" xr:uid="{00000000-0006-0000-0100-00007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4" authorId="0" shapeId="0" xr:uid="{00000000-0006-0000-0100-00007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5" authorId="0" shapeId="0" xr:uid="{00000000-0006-0000-0100-00007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25" authorId="0" shapeId="0" xr:uid="{00000000-0006-0000-0100-00007F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J125" authorId="0" shapeId="0" xr:uid="{00000000-0006-0000-0100-00008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K125" authorId="0" shapeId="0" xr:uid="{00000000-0006-0000-0100-00008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5" authorId="0" shapeId="0" xr:uid="{00000000-0006-0000-0100-00008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25" authorId="0" shapeId="0" xr:uid="{00000000-0006-0000-0100-00008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25" authorId="0" shapeId="0" xr:uid="{00000000-0006-0000-0100-00008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25" authorId="0" shapeId="0" xr:uid="{00000000-0006-0000-0100-00008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5" authorId="0" shapeId="0" xr:uid="{00000000-0006-0000-0100-00008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25" authorId="0" shapeId="0" xr:uid="{00000000-0006-0000-0100-00008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5" authorId="0" shapeId="0" xr:uid="{00000000-0006-0000-0100-00008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5" authorId="0" shapeId="0" xr:uid="{00000000-0006-0000-0100-00008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5" authorId="0" shapeId="0" xr:uid="{00000000-0006-0000-0100-00008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25" authorId="0" shapeId="0" xr:uid="{00000000-0006-0000-0100-00008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5" authorId="0" shapeId="0" xr:uid="{00000000-0006-0000-0100-00008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5" authorId="0" shapeId="0" xr:uid="{00000000-0006-0000-0100-00008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25" authorId="0" shapeId="0" xr:uid="{00000000-0006-0000-0100-00008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5" authorId="0" shapeId="0" xr:uid="{00000000-0006-0000-0100-00008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5" authorId="0" shapeId="0" xr:uid="{00000000-0006-0000-0100-00009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5" authorId="0" shapeId="0" xr:uid="{00000000-0006-0000-0100-00009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5" authorId="0" shapeId="0" xr:uid="{00000000-0006-0000-0100-00009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6" authorId="0" shapeId="0" xr:uid="{00000000-0006-0000-0100-00009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26" authorId="0" shapeId="0" xr:uid="{00000000-0006-0000-0100-000094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26" authorId="0" shapeId="0" xr:uid="{00000000-0006-0000-0100-00009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6" authorId="0" shapeId="0" xr:uid="{00000000-0006-0000-0100-000096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K126" authorId="0" shapeId="0" xr:uid="{00000000-0006-0000-0100-00009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L126" authorId="0" shapeId="0" xr:uid="{00000000-0006-0000-0100-00009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26" authorId="0" shapeId="0" xr:uid="{00000000-0006-0000-0100-00009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126" authorId="0" shapeId="0" xr:uid="{00000000-0006-0000-0100-00009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26" authorId="0" shapeId="0" xr:uid="{00000000-0006-0000-0100-00009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26" authorId="0" shapeId="0" xr:uid="{00000000-0006-0000-0100-00009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26" authorId="0" shapeId="0" xr:uid="{00000000-0006-0000-0100-00009D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26" authorId="0" shapeId="0" xr:uid="{00000000-0006-0000-0100-00009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6" authorId="0" shapeId="0" xr:uid="{00000000-0006-0000-0100-00009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26" authorId="0" shapeId="0" xr:uid="{00000000-0006-0000-0100-0000A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26" authorId="0" shapeId="0" xr:uid="{00000000-0006-0000-0100-0000A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26" authorId="0" shapeId="0" xr:uid="{00000000-0006-0000-0100-0000A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6" authorId="0" shapeId="0" xr:uid="{00000000-0006-0000-0100-0000A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6" authorId="0" shapeId="0" xr:uid="{00000000-0006-0000-0100-0000A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26" authorId="0" shapeId="0" xr:uid="{00000000-0006-0000-0100-0000A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6" authorId="0" shapeId="0" xr:uid="{00000000-0006-0000-0100-0000A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6" authorId="0" shapeId="0" xr:uid="{00000000-0006-0000-0100-0000A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26" authorId="0" shapeId="0" xr:uid="{00000000-0006-0000-0100-0000A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6" authorId="0" shapeId="0" xr:uid="{00000000-0006-0000-0100-0000A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6" authorId="0" shapeId="0" xr:uid="{00000000-0006-0000-0100-0000A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6" authorId="0" shapeId="0" xr:uid="{00000000-0006-0000-0100-0000A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26" authorId="0" shapeId="0" xr:uid="{00000000-0006-0000-0100-0000A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6" authorId="0" shapeId="0" xr:uid="{00000000-0006-0000-0100-0000A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7" authorId="0" shapeId="0" xr:uid="{00000000-0006-0000-0100-0000A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27" authorId="0" shapeId="0" xr:uid="{00000000-0006-0000-0100-0000AF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27" authorId="0" shapeId="0" xr:uid="{00000000-0006-0000-0100-0000B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7" authorId="0" shapeId="0" xr:uid="{00000000-0006-0000-0100-0000B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7" authorId="0" shapeId="0" xr:uid="{00000000-0006-0000-0100-0000B2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27" authorId="0" shapeId="0" xr:uid="{00000000-0006-0000-0100-0000B3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27" authorId="0" shapeId="0" xr:uid="{00000000-0006-0000-0100-0000B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27" authorId="0" shapeId="0" xr:uid="{00000000-0006-0000-0100-0000B5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27" authorId="0" shapeId="0" xr:uid="{00000000-0006-0000-0100-0000B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27" authorId="0" shapeId="0" xr:uid="{00000000-0006-0000-0100-0000B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7" authorId="0" shapeId="0" xr:uid="{00000000-0006-0000-0100-0000B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27" authorId="0" shapeId="0" xr:uid="{00000000-0006-0000-0100-0000B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7" authorId="0" shapeId="0" xr:uid="{00000000-0006-0000-0100-0000B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7" authorId="0" shapeId="0" xr:uid="{00000000-0006-0000-0100-0000B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7" authorId="0" shapeId="0" xr:uid="{00000000-0006-0000-0100-0000B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27" authorId="0" shapeId="0" xr:uid="{00000000-0006-0000-0100-0000B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7" authorId="0" shapeId="0" xr:uid="{00000000-0006-0000-0100-0000B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7" authorId="0" shapeId="0" xr:uid="{00000000-0006-0000-0100-0000B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27" authorId="0" shapeId="0" xr:uid="{00000000-0006-0000-0100-0000C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7" authorId="0" shapeId="0" xr:uid="{00000000-0006-0000-0100-0000C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7" authorId="0" shapeId="0" xr:uid="{00000000-0006-0000-0100-0000C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7" authorId="0" shapeId="0" xr:uid="{00000000-0006-0000-0100-0000C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27" authorId="0" shapeId="0" xr:uid="{00000000-0006-0000-0100-0000C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7" authorId="0" shapeId="0" xr:uid="{00000000-0006-0000-0100-0000C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8" authorId="0" shapeId="0" xr:uid="{00000000-0006-0000-0100-0000C6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28" authorId="0" shapeId="0" xr:uid="{00000000-0006-0000-0100-0000C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28" authorId="0" shapeId="0" xr:uid="{00000000-0006-0000-0100-0000C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8" authorId="0" shapeId="0" xr:uid="{00000000-0006-0000-0100-0000C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28" authorId="0" shapeId="0" xr:uid="{00000000-0006-0000-0100-0000C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8" authorId="0" shapeId="0" xr:uid="{00000000-0006-0000-0100-0000CB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28" authorId="0" shapeId="0" xr:uid="{00000000-0006-0000-0100-0000C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28" authorId="0" shapeId="0" xr:uid="{00000000-0006-0000-0100-0000C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28" authorId="0" shapeId="0" xr:uid="{00000000-0006-0000-0100-0000CE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28" authorId="0" shapeId="0" xr:uid="{00000000-0006-0000-0100-0000C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28" authorId="0" shapeId="0" xr:uid="{00000000-0006-0000-0100-0000D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28" authorId="0" shapeId="0" xr:uid="{00000000-0006-0000-0100-0000D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8" authorId="0" shapeId="0" xr:uid="{00000000-0006-0000-0100-0000D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8" authorId="0" shapeId="0" xr:uid="{00000000-0006-0000-0100-0000D3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8" authorId="0" shapeId="0" xr:uid="{00000000-0006-0000-0100-0000D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28" authorId="0" shapeId="0" xr:uid="{00000000-0006-0000-0100-0000D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8" authorId="0" shapeId="0" xr:uid="{00000000-0006-0000-0100-0000D6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28" authorId="0" shapeId="0" xr:uid="{00000000-0006-0000-0100-0000D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28" authorId="0" shapeId="0" xr:uid="{00000000-0006-0000-0100-0000D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28" authorId="0" shapeId="0" xr:uid="{00000000-0006-0000-0100-0000D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8" authorId="0" shapeId="0" xr:uid="{00000000-0006-0000-0100-0000D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28" authorId="0" shapeId="0" xr:uid="{00000000-0006-0000-0100-0000D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8" authorId="0" shapeId="0" xr:uid="{00000000-0006-0000-0100-0000D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29" authorId="0" shapeId="0" xr:uid="{00000000-0006-0000-0100-0000D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29" authorId="0" shapeId="0" xr:uid="{00000000-0006-0000-0100-0000D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29" authorId="0" shapeId="0" xr:uid="{00000000-0006-0000-0100-0000D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29" authorId="0" shapeId="0" xr:uid="{00000000-0006-0000-0100-0000E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29" authorId="0" shapeId="0" xr:uid="{00000000-0006-0000-0100-0000E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29" authorId="0" shapeId="0" xr:uid="{00000000-0006-0000-0100-0000E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29" authorId="0" shapeId="0" xr:uid="{00000000-0006-0000-0100-0000E3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29" authorId="0" shapeId="0" xr:uid="{00000000-0006-0000-0100-0000E4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29" authorId="0" shapeId="0" xr:uid="{00000000-0006-0000-0100-0000E5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29" authorId="0" shapeId="0" xr:uid="{00000000-0006-0000-0100-0000E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29" authorId="0" shapeId="0" xr:uid="{00000000-0006-0000-0100-0000E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29" authorId="0" shapeId="0" xr:uid="{00000000-0006-0000-0100-0000E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29" authorId="0" shapeId="0" xr:uid="{00000000-0006-0000-0100-0000E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29" authorId="0" shapeId="0" xr:uid="{00000000-0006-0000-0100-0000E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29" authorId="0" shapeId="0" xr:uid="{00000000-0006-0000-0100-0000E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29" authorId="0" shapeId="0" xr:uid="{00000000-0006-0000-0100-0000E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29" authorId="0" shapeId="0" xr:uid="{00000000-0006-0000-0100-0000E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29" authorId="0" shapeId="0" xr:uid="{00000000-0006-0000-0100-0000E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0" authorId="0" shapeId="0" xr:uid="{00000000-0006-0000-0100-0000E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30" authorId="0" shapeId="0" xr:uid="{00000000-0006-0000-0100-0000F0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0" authorId="0" shapeId="0" xr:uid="{00000000-0006-0000-0100-0000F1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0" authorId="0" shapeId="0" xr:uid="{00000000-0006-0000-0100-0000F2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30" authorId="0" shapeId="0" xr:uid="{00000000-0006-0000-0100-0000F3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30" authorId="0" shapeId="0" xr:uid="{00000000-0006-0000-0100-0000F4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0" authorId="0" shapeId="0" xr:uid="{00000000-0006-0000-0100-0000F502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30" authorId="0" shapeId="0" xr:uid="{00000000-0006-0000-0100-0000F6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30" authorId="0" shapeId="0" xr:uid="{00000000-0006-0000-0100-0000F7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30" authorId="0" shapeId="0" xr:uid="{00000000-0006-0000-0100-0000F8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0" authorId="0" shapeId="0" xr:uid="{00000000-0006-0000-0100-0000F9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30" authorId="0" shapeId="0" xr:uid="{00000000-0006-0000-0100-0000FA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0" authorId="0" shapeId="0" xr:uid="{00000000-0006-0000-0100-0000FB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0" authorId="0" shapeId="0" xr:uid="{00000000-0006-0000-0100-0000FC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0" authorId="0" shapeId="0" xr:uid="{00000000-0006-0000-0100-0000FD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0" authorId="0" shapeId="0" xr:uid="{00000000-0006-0000-0100-0000FE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30" authorId="0" shapeId="0" xr:uid="{00000000-0006-0000-0100-0000FF02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0" authorId="0" shapeId="0" xr:uid="{00000000-0006-0000-0100-00000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30" authorId="0" shapeId="0" xr:uid="{00000000-0006-0000-0100-00000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0" authorId="0" shapeId="0" xr:uid="{00000000-0006-0000-0100-00000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0" authorId="0" shapeId="0" xr:uid="{00000000-0006-0000-0100-00000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0" authorId="0" shapeId="0" xr:uid="{00000000-0006-0000-0100-00000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1" authorId="0" shapeId="0" xr:uid="{00000000-0006-0000-0100-00000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31" authorId="0" shapeId="0" xr:uid="{00000000-0006-0000-0100-00000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31" authorId="0" shapeId="0" xr:uid="{00000000-0006-0000-0100-00000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1" authorId="0" shapeId="0" xr:uid="{00000000-0006-0000-0100-00000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1" authorId="0" shapeId="0" xr:uid="{00000000-0006-0000-0100-00000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31" authorId="0" shapeId="0" xr:uid="{00000000-0006-0000-0100-00000A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31" authorId="0" shapeId="0" xr:uid="{00000000-0006-0000-0100-00000B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31" authorId="0" shapeId="0" xr:uid="{00000000-0006-0000-0100-00000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31" authorId="0" shapeId="0" xr:uid="{00000000-0006-0000-0100-00000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31" authorId="0" shapeId="0" xr:uid="{00000000-0006-0000-0100-00000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1" authorId="0" shapeId="0" xr:uid="{00000000-0006-0000-0100-00000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1" authorId="0" shapeId="0" xr:uid="{00000000-0006-0000-0100-00001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1" authorId="0" shapeId="0" xr:uid="{00000000-0006-0000-0100-00001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1" authorId="0" shapeId="0" xr:uid="{00000000-0006-0000-0100-00001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31" authorId="0" shapeId="0" xr:uid="{00000000-0006-0000-0100-00001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1" authorId="0" shapeId="0" xr:uid="{00000000-0006-0000-0100-00001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1" authorId="0" shapeId="0" xr:uid="{00000000-0006-0000-0100-00001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1" authorId="0" shapeId="0" xr:uid="{00000000-0006-0000-0100-00001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1" authorId="0" shapeId="0" xr:uid="{00000000-0006-0000-0100-00001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2" authorId="0" shapeId="0" xr:uid="{00000000-0006-0000-0100-00001803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I132" authorId="0" shapeId="0" xr:uid="{00000000-0006-0000-0100-00001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2" authorId="0" shapeId="0" xr:uid="{00000000-0006-0000-0100-00001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32" authorId="0" shapeId="0" xr:uid="{00000000-0006-0000-0100-00001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2" authorId="0" shapeId="0" xr:uid="{00000000-0006-0000-0100-00001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32" authorId="0" shapeId="0" xr:uid="{00000000-0006-0000-0100-00001D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32" authorId="0" shapeId="0" xr:uid="{00000000-0006-0000-0100-00001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32" authorId="0" shapeId="0" xr:uid="{00000000-0006-0000-0100-00001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32" authorId="0" shapeId="0" xr:uid="{00000000-0006-0000-0100-00002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2" authorId="0" shapeId="0" xr:uid="{00000000-0006-0000-0100-00002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32" authorId="0" shapeId="0" xr:uid="{00000000-0006-0000-0100-00002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2" authorId="0" shapeId="0" xr:uid="{00000000-0006-0000-0100-00002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2" authorId="0" shapeId="0" xr:uid="{00000000-0006-0000-0100-00002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32" authorId="0" shapeId="0" xr:uid="{00000000-0006-0000-0100-00002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2" authorId="0" shapeId="0" xr:uid="{00000000-0006-0000-0100-00002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2" authorId="0" shapeId="0" xr:uid="{00000000-0006-0000-0100-00002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32" authorId="0" shapeId="0" xr:uid="{00000000-0006-0000-0100-00002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2" authorId="0" shapeId="0" xr:uid="{00000000-0006-0000-0100-00002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2" authorId="0" shapeId="0" xr:uid="{00000000-0006-0000-0100-00002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2" authorId="0" shapeId="0" xr:uid="{00000000-0006-0000-0100-00002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3" authorId="0" shapeId="0" xr:uid="{00000000-0006-0000-0100-00002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33" authorId="0" shapeId="0" xr:uid="{00000000-0006-0000-0100-00002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3" authorId="0" shapeId="0" xr:uid="{00000000-0006-0000-0100-00002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33" authorId="0" shapeId="0" xr:uid="{00000000-0006-0000-0100-00002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3" authorId="0" shapeId="0" xr:uid="{00000000-0006-0000-0100-000030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33" authorId="0" shapeId="0" xr:uid="{00000000-0006-0000-0100-000031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33" authorId="0" shapeId="0" xr:uid="{00000000-0006-0000-0100-00003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3" authorId="0" shapeId="0" xr:uid="{00000000-0006-0000-0100-000033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33" authorId="0" shapeId="0" xr:uid="{00000000-0006-0000-0100-00003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33" authorId="0" shapeId="0" xr:uid="{00000000-0006-0000-0100-00003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3" authorId="0" shapeId="0" xr:uid="{00000000-0006-0000-0100-00003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3" authorId="0" shapeId="0" xr:uid="{00000000-0006-0000-0100-00003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3" authorId="0" shapeId="0" xr:uid="{00000000-0006-0000-0100-00003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33" authorId="0" shapeId="0" xr:uid="{00000000-0006-0000-0100-00003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33" authorId="0" shapeId="0" xr:uid="{00000000-0006-0000-0100-00003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3" authorId="0" shapeId="0" xr:uid="{00000000-0006-0000-0100-00003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3" authorId="0" shapeId="0" xr:uid="{00000000-0006-0000-0100-00003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3" authorId="0" shapeId="0" xr:uid="{00000000-0006-0000-0100-00003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33" authorId="0" shapeId="0" xr:uid="{00000000-0006-0000-0100-00003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3" authorId="0" shapeId="0" xr:uid="{00000000-0006-0000-0100-00003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3" authorId="0" shapeId="0" xr:uid="{00000000-0006-0000-0100-00004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3" authorId="0" shapeId="0" xr:uid="{00000000-0006-0000-0100-00004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4" authorId="0" shapeId="0" xr:uid="{00000000-0006-0000-0100-000042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J134" authorId="0" shapeId="0" xr:uid="{00000000-0006-0000-0100-00004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34" authorId="0" shapeId="0" xr:uid="{00000000-0006-0000-0100-00004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4" authorId="0" shapeId="0" xr:uid="{00000000-0006-0000-0100-00004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34" authorId="0" shapeId="0" xr:uid="{00000000-0006-0000-0100-00004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34" authorId="0" shapeId="0" xr:uid="{00000000-0006-0000-0100-00004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4" authorId="0" shapeId="0" xr:uid="{00000000-0006-0000-0100-000048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34" authorId="0" shapeId="0" xr:uid="{00000000-0006-0000-0100-00004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4" authorId="0" shapeId="0" xr:uid="{00000000-0006-0000-0100-00004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34" authorId="0" shapeId="0" xr:uid="{00000000-0006-0000-0100-00004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4" authorId="0" shapeId="0" xr:uid="{00000000-0006-0000-0100-00004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4" authorId="0" shapeId="0" xr:uid="{00000000-0006-0000-0100-00004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4" authorId="0" shapeId="0" xr:uid="{00000000-0006-0000-0100-00004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4" authorId="0" shapeId="0" xr:uid="{00000000-0006-0000-0100-00004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34" authorId="0" shapeId="0" xr:uid="{00000000-0006-0000-0100-00005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4" authorId="0" shapeId="0" xr:uid="{00000000-0006-0000-0100-00005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4" authorId="0" shapeId="0" xr:uid="{00000000-0006-0000-0100-00005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4" authorId="0" shapeId="0" xr:uid="{00000000-0006-0000-0100-00005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4" authorId="0" shapeId="0" xr:uid="{00000000-0006-0000-0100-00005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5" authorId="0" shapeId="0" xr:uid="{00000000-0006-0000-0100-000055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35" authorId="0" shapeId="0" xr:uid="{00000000-0006-0000-0100-00005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5" authorId="0" shapeId="0" xr:uid="{00000000-0006-0000-0100-00005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35" authorId="0" shapeId="0" xr:uid="{00000000-0006-0000-0100-00005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5" authorId="0" shapeId="0" xr:uid="{00000000-0006-0000-0100-00005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35" authorId="0" shapeId="0" xr:uid="{00000000-0006-0000-0100-00005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35" authorId="0" shapeId="0" xr:uid="{00000000-0006-0000-0100-00005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5" authorId="0" shapeId="0" xr:uid="{00000000-0006-0000-0100-00005C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Y135" authorId="0" shapeId="0" xr:uid="{00000000-0006-0000-0100-00005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35" authorId="0" shapeId="0" xr:uid="{00000000-0006-0000-0100-00005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5" authorId="0" shapeId="0" xr:uid="{00000000-0006-0000-0100-00005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5" authorId="0" shapeId="0" xr:uid="{00000000-0006-0000-0100-00006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5" authorId="0" shapeId="0" xr:uid="{00000000-0006-0000-0100-00006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35" authorId="0" shapeId="0" xr:uid="{00000000-0006-0000-0100-00006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5" authorId="0" shapeId="0" xr:uid="{00000000-0006-0000-0100-000063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35" authorId="0" shapeId="0" xr:uid="{00000000-0006-0000-0100-00006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35" authorId="0" shapeId="0" xr:uid="{00000000-0006-0000-0100-00006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5" authorId="0" shapeId="0" xr:uid="{00000000-0006-0000-0100-00006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5" authorId="0" shapeId="0" xr:uid="{00000000-0006-0000-0100-00006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5" authorId="0" shapeId="0" xr:uid="{00000000-0006-0000-0100-00006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5" authorId="0" shapeId="0" xr:uid="{00000000-0006-0000-0100-00006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6" authorId="0" shapeId="0" xr:uid="{00000000-0006-0000-0100-00006A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36" authorId="0" shapeId="0" xr:uid="{00000000-0006-0000-0100-00006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6" authorId="0" shapeId="0" xr:uid="{00000000-0006-0000-0100-00006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6" authorId="0" shapeId="0" xr:uid="{00000000-0006-0000-0100-00006D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36" authorId="0" shapeId="0" xr:uid="{00000000-0006-0000-0100-00006E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36" authorId="0" shapeId="0" xr:uid="{00000000-0006-0000-0100-00006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6" authorId="0" shapeId="0" xr:uid="{00000000-0006-0000-0100-00007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Y136" authorId="0" shapeId="0" xr:uid="{00000000-0006-0000-0100-00007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36" authorId="0" shapeId="0" xr:uid="{00000000-0006-0000-0100-00007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6" authorId="0" shapeId="0" xr:uid="{00000000-0006-0000-0100-00007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36" authorId="0" shapeId="0" xr:uid="{00000000-0006-0000-0100-00007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6" authorId="0" shapeId="0" xr:uid="{00000000-0006-0000-0100-00007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6" authorId="0" shapeId="0" xr:uid="{00000000-0006-0000-0100-00007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36" authorId="0" shapeId="0" xr:uid="{00000000-0006-0000-0100-00007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6" authorId="0" shapeId="0" xr:uid="{00000000-0006-0000-0100-00007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6" authorId="0" shapeId="0" xr:uid="{00000000-0006-0000-0100-000079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36" authorId="0" shapeId="0" xr:uid="{00000000-0006-0000-0100-00007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6" authorId="0" shapeId="0" xr:uid="{00000000-0006-0000-0100-00007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36" authorId="0" shapeId="0" xr:uid="{00000000-0006-0000-0100-00007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6" authorId="0" shapeId="0" xr:uid="{00000000-0006-0000-0100-00007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6" authorId="0" shapeId="0" xr:uid="{00000000-0006-0000-0100-00007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6" authorId="0" shapeId="0" xr:uid="{00000000-0006-0000-0100-00007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7" authorId="0" shapeId="0" xr:uid="{00000000-0006-0000-0100-00008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37" authorId="0" shapeId="0" xr:uid="{00000000-0006-0000-0100-00008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7" authorId="0" shapeId="0" xr:uid="{00000000-0006-0000-0100-00008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L137" authorId="0" shapeId="0" xr:uid="{00000000-0006-0000-0100-00008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37" authorId="0" shapeId="0" xr:uid="{00000000-0006-0000-0100-00008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7" authorId="0" shapeId="0" xr:uid="{00000000-0006-0000-0100-00008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7" authorId="0" shapeId="0" xr:uid="{00000000-0006-0000-0100-000086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37" authorId="0" shapeId="0" xr:uid="{00000000-0006-0000-0100-00008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7" authorId="0" shapeId="0" xr:uid="{00000000-0006-0000-0100-00008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37" authorId="0" shapeId="0" xr:uid="{00000000-0006-0000-0100-00008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37" authorId="0" shapeId="0" xr:uid="{00000000-0006-0000-0100-00008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7" authorId="0" shapeId="0" xr:uid="{00000000-0006-0000-0100-00008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37" authorId="0" shapeId="0" xr:uid="{00000000-0006-0000-0100-00008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7" authorId="0" shapeId="0" xr:uid="{00000000-0006-0000-0100-00008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7" authorId="0" shapeId="0" xr:uid="{00000000-0006-0000-0100-00008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7" authorId="0" shapeId="0" xr:uid="{00000000-0006-0000-0100-00008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X137" authorId="0" shapeId="0" xr:uid="{00000000-0006-0000-0100-00009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7" authorId="0" shapeId="0" xr:uid="{00000000-0006-0000-0100-00009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7" authorId="0" shapeId="0" xr:uid="{00000000-0006-0000-0100-00009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7" authorId="0" shapeId="0" xr:uid="{00000000-0006-0000-0100-00009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8" authorId="0" shapeId="0" xr:uid="{00000000-0006-0000-0100-000094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38" authorId="0" shapeId="0" xr:uid="{00000000-0006-0000-0100-00009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38" authorId="0" shapeId="0" xr:uid="{00000000-0006-0000-0100-00009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8" authorId="0" shapeId="0" xr:uid="{00000000-0006-0000-0100-00009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38" authorId="0" shapeId="0" xr:uid="{00000000-0006-0000-0100-00009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38" authorId="0" shapeId="0" xr:uid="{00000000-0006-0000-0100-00009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8" authorId="0" shapeId="0" xr:uid="{00000000-0006-0000-0100-00009A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38" authorId="0" shapeId="0" xr:uid="{00000000-0006-0000-0100-00009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8" authorId="0" shapeId="0" xr:uid="{00000000-0006-0000-0100-00009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8" authorId="0" shapeId="0" xr:uid="{00000000-0006-0000-0100-00009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8" authorId="0" shapeId="0" xr:uid="{00000000-0006-0000-0100-00009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38" authorId="0" shapeId="0" xr:uid="{00000000-0006-0000-0100-00009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8" authorId="0" shapeId="0" xr:uid="{00000000-0006-0000-0100-0000A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8" authorId="0" shapeId="0" xr:uid="{00000000-0006-0000-0100-0000A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38" authorId="0" shapeId="0" xr:uid="{00000000-0006-0000-0100-0000A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8" authorId="0" shapeId="0" xr:uid="{00000000-0006-0000-0100-0000A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38" authorId="0" shapeId="0" xr:uid="{00000000-0006-0000-0100-0000A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8" authorId="0" shapeId="0" xr:uid="{00000000-0006-0000-0100-0000A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8" authorId="0" shapeId="0" xr:uid="{00000000-0006-0000-0100-0000A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39" authorId="0" shapeId="0" xr:uid="{00000000-0006-0000-0100-0000A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39" authorId="0" shapeId="0" xr:uid="{00000000-0006-0000-0100-0000A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39" authorId="0" shapeId="0" xr:uid="{00000000-0006-0000-0100-0000A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39" authorId="0" shapeId="0" xr:uid="{00000000-0006-0000-0100-0000A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39" authorId="0" shapeId="0" xr:uid="{00000000-0006-0000-0100-0000AB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Q139" authorId="0" shapeId="0" xr:uid="{00000000-0006-0000-0100-0000A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39" authorId="0" shapeId="0" xr:uid="{00000000-0006-0000-0100-0000A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39" authorId="0" shapeId="0" xr:uid="{00000000-0006-0000-0100-0000A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39" authorId="0" shapeId="0" xr:uid="{00000000-0006-0000-0100-0000A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39" authorId="0" shapeId="0" xr:uid="{00000000-0006-0000-0100-0000B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39" authorId="0" shapeId="0" xr:uid="{00000000-0006-0000-0100-0000B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39" authorId="0" shapeId="0" xr:uid="{00000000-0006-0000-0100-0000B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39" authorId="0" shapeId="0" xr:uid="{00000000-0006-0000-0100-0000B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39" authorId="0" shapeId="0" xr:uid="{00000000-0006-0000-0100-0000B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39" authorId="0" shapeId="0" xr:uid="{00000000-0006-0000-0100-0000B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39" authorId="0" shapeId="0" xr:uid="{00000000-0006-0000-0100-0000B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39" authorId="0" shapeId="0" xr:uid="{00000000-0006-0000-0100-0000B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39" authorId="0" shapeId="0" xr:uid="{00000000-0006-0000-0100-0000B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39" authorId="0" shapeId="0" xr:uid="{00000000-0006-0000-0100-0000B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39" authorId="0" shapeId="0" xr:uid="{00000000-0006-0000-0100-0000B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39" authorId="0" shapeId="0" xr:uid="{00000000-0006-0000-0100-0000B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39" authorId="0" shapeId="0" xr:uid="{00000000-0006-0000-0100-0000B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39" authorId="0" shapeId="0" xr:uid="{00000000-0006-0000-0100-0000B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0" authorId="0" shapeId="0" xr:uid="{00000000-0006-0000-0100-0000B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40" authorId="0" shapeId="0" xr:uid="{00000000-0006-0000-0100-0000B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0" authorId="0" shapeId="0" xr:uid="{00000000-0006-0000-0100-0000C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40" authorId="0" shapeId="0" xr:uid="{00000000-0006-0000-0100-0000C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40" authorId="0" shapeId="0" xr:uid="{00000000-0006-0000-0100-0000C2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40" authorId="0" shapeId="0" xr:uid="{00000000-0006-0000-0100-0000C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40" authorId="0" shapeId="0" xr:uid="{00000000-0006-0000-0100-0000C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0" authorId="0" shapeId="0" xr:uid="{00000000-0006-0000-0100-0000C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40" authorId="0" shapeId="0" xr:uid="{00000000-0006-0000-0100-0000C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0" authorId="0" shapeId="0" xr:uid="{00000000-0006-0000-0100-0000C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0" authorId="0" shapeId="0" xr:uid="{00000000-0006-0000-0100-0000C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0" authorId="0" shapeId="0" xr:uid="{00000000-0006-0000-0100-0000C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0" authorId="0" shapeId="0" xr:uid="{00000000-0006-0000-0100-0000C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40" authorId="0" shapeId="0" xr:uid="{00000000-0006-0000-0100-0000C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0" authorId="0" shapeId="0" xr:uid="{00000000-0006-0000-0100-0000C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U140" authorId="0" shapeId="0" xr:uid="{00000000-0006-0000-0100-0000C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0" authorId="0" shapeId="0" xr:uid="{00000000-0006-0000-0100-0000C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0" authorId="0" shapeId="0" xr:uid="{00000000-0006-0000-0100-0000C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40" authorId="0" shapeId="0" xr:uid="{00000000-0006-0000-0100-0000D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0" authorId="0" shapeId="0" xr:uid="{00000000-0006-0000-0100-0000D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1" authorId="0" shapeId="0" xr:uid="{00000000-0006-0000-0100-0000D2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1" authorId="0" shapeId="0" xr:uid="{00000000-0006-0000-0100-0000D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41" authorId="0" shapeId="0" xr:uid="{00000000-0006-0000-0100-0000D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1" authorId="0" shapeId="0" xr:uid="{00000000-0006-0000-0100-0000D5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41" authorId="0" shapeId="0" xr:uid="{00000000-0006-0000-0100-0000D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41" authorId="0" shapeId="0" xr:uid="{00000000-0006-0000-0100-0000D7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41" authorId="0" shapeId="0" xr:uid="{00000000-0006-0000-0100-0000D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1" authorId="0" shapeId="0" xr:uid="{00000000-0006-0000-0100-0000D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41" authorId="0" shapeId="0" xr:uid="{00000000-0006-0000-0100-0000D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1" authorId="0" shapeId="0" xr:uid="{00000000-0006-0000-0100-0000D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1" authorId="0" shapeId="0" xr:uid="{00000000-0006-0000-0100-0000D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1" authorId="0" shapeId="0" xr:uid="{00000000-0006-0000-0100-0000DD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41" authorId="0" shapeId="0" xr:uid="{00000000-0006-0000-0100-0000D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1" authorId="0" shapeId="0" xr:uid="{00000000-0006-0000-0100-0000D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1" authorId="0" shapeId="0" xr:uid="{00000000-0006-0000-0100-0000E0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1" authorId="0" shapeId="0" xr:uid="{00000000-0006-0000-0100-0000E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41" authorId="0" shapeId="0" xr:uid="{00000000-0006-0000-0100-0000E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1" authorId="0" shapeId="0" xr:uid="{00000000-0006-0000-0100-0000E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E142" authorId="0" shapeId="0" xr:uid="{00000000-0006-0000-0100-0000E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2" authorId="0" shapeId="0" xr:uid="{00000000-0006-0000-0100-0000E5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2" authorId="0" shapeId="0" xr:uid="{00000000-0006-0000-0100-0000E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2" authorId="0" shapeId="0" xr:uid="{00000000-0006-0000-0100-0000E7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42" authorId="0" shapeId="0" xr:uid="{00000000-0006-0000-0100-0000E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42" authorId="0" shapeId="0" xr:uid="{00000000-0006-0000-0100-0000E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42" authorId="0" shapeId="0" xr:uid="{00000000-0006-0000-0100-0000EA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42" authorId="0" shapeId="0" xr:uid="{00000000-0006-0000-0100-0000E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2" authorId="0" shapeId="0" xr:uid="{00000000-0006-0000-0100-0000E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42" authorId="0" shapeId="0" xr:uid="{00000000-0006-0000-0100-0000E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2" authorId="0" shapeId="0" xr:uid="{00000000-0006-0000-0100-0000EE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2" authorId="0" shapeId="0" xr:uid="{00000000-0006-0000-0100-0000E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2" authorId="0" shapeId="0" xr:uid="{00000000-0006-0000-0100-0000F0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42" authorId="0" shapeId="0" xr:uid="{00000000-0006-0000-0100-0000F1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2" authorId="0" shapeId="0" xr:uid="{00000000-0006-0000-0100-0000F2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2" authorId="0" shapeId="0" xr:uid="{00000000-0006-0000-0100-0000F3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2" authorId="0" shapeId="0" xr:uid="{00000000-0006-0000-0100-0000F4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42" authorId="0" shapeId="0" xr:uid="{00000000-0006-0000-0100-0000F5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2" authorId="0" shapeId="0" xr:uid="{00000000-0006-0000-0100-0000F6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3" authorId="0" shapeId="0" xr:uid="{00000000-0006-0000-0100-0000F7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3" authorId="0" shapeId="0" xr:uid="{00000000-0006-0000-0100-0000F8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43" authorId="0" shapeId="0" xr:uid="{00000000-0006-0000-0100-0000F9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3" authorId="0" shapeId="0" xr:uid="{00000000-0006-0000-0100-0000FA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43" authorId="0" shapeId="0" xr:uid="{00000000-0006-0000-0100-0000FB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43" authorId="0" shapeId="0" xr:uid="{00000000-0006-0000-0100-0000FC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Q143" authorId="0" shapeId="0" xr:uid="{00000000-0006-0000-0100-0000FD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43" authorId="0" shapeId="0" xr:uid="{00000000-0006-0000-0100-0000FE03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43" authorId="0" shapeId="0" xr:uid="{00000000-0006-0000-0100-0000FF03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43" authorId="0" shapeId="0" xr:uid="{00000000-0006-0000-0100-00000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3" authorId="0" shapeId="0" xr:uid="{00000000-0006-0000-0100-00000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3" authorId="0" shapeId="0" xr:uid="{00000000-0006-0000-0100-00000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3" authorId="0" shapeId="0" xr:uid="{00000000-0006-0000-0100-00000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3" authorId="0" shapeId="0" xr:uid="{00000000-0006-0000-0100-00000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43" authorId="0" shapeId="0" xr:uid="{00000000-0006-0000-0100-00000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43" authorId="0" shapeId="0" xr:uid="{00000000-0006-0000-0100-00000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3" authorId="0" shapeId="0" xr:uid="{00000000-0006-0000-0100-00000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43" authorId="0" shapeId="0" xr:uid="{00000000-0006-0000-0100-00000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3" authorId="0" shapeId="0" xr:uid="{00000000-0006-0000-0100-00000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3" authorId="0" shapeId="0" xr:uid="{00000000-0006-0000-0100-00000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3" authorId="0" shapeId="0" xr:uid="{00000000-0006-0000-0100-00000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E144" authorId="0" shapeId="0" xr:uid="{00000000-0006-0000-0100-00000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4" authorId="0" shapeId="0" xr:uid="{00000000-0006-0000-0100-00000D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4" authorId="0" shapeId="0" xr:uid="{00000000-0006-0000-0100-00000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44" authorId="0" shapeId="0" xr:uid="{00000000-0006-0000-0100-00000F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J144" authorId="0" shapeId="0" xr:uid="{00000000-0006-0000-0100-00001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44" authorId="0" shapeId="0" xr:uid="{00000000-0006-0000-0100-000011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44" authorId="0" shapeId="0" xr:uid="{00000000-0006-0000-0100-00001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44" authorId="0" shapeId="0" xr:uid="{00000000-0006-0000-0100-00001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44" authorId="0" shapeId="0" xr:uid="{00000000-0006-0000-0100-000014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44" authorId="0" shapeId="0" xr:uid="{00000000-0006-0000-0100-00001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4" authorId="0" shapeId="0" xr:uid="{00000000-0006-0000-0100-00001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44" authorId="0" shapeId="0" xr:uid="{00000000-0006-0000-0100-00001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44" authorId="0" shapeId="0" xr:uid="{00000000-0006-0000-0100-00001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4" authorId="0" shapeId="0" xr:uid="{00000000-0006-0000-0100-00001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44" authorId="0" shapeId="0" xr:uid="{00000000-0006-0000-0100-00001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4" authorId="0" shapeId="0" xr:uid="{00000000-0006-0000-0100-00001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4" authorId="0" shapeId="0" xr:uid="{00000000-0006-0000-0100-00001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4" authorId="0" shapeId="0" xr:uid="{00000000-0006-0000-0100-00001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44" authorId="0" shapeId="0" xr:uid="{00000000-0006-0000-0100-00001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4" authorId="0" shapeId="0" xr:uid="{00000000-0006-0000-0100-00001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4" authorId="0" shapeId="0" xr:uid="{00000000-0006-0000-0100-00002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44" authorId="0" shapeId="0" xr:uid="{00000000-0006-0000-0100-00002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4" authorId="0" shapeId="0" xr:uid="{00000000-0006-0000-0100-00002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4" authorId="0" shapeId="0" xr:uid="{00000000-0006-0000-0100-00002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5" authorId="0" shapeId="0" xr:uid="{00000000-0006-0000-0100-00002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45" authorId="0" shapeId="0" xr:uid="{00000000-0006-0000-0100-00002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45" authorId="0" shapeId="0" xr:uid="{00000000-0006-0000-0100-00002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5" authorId="0" shapeId="0" xr:uid="{00000000-0006-0000-0100-00002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45" authorId="0" shapeId="0" xr:uid="{00000000-0006-0000-0100-00002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45" authorId="0" shapeId="0" xr:uid="{00000000-0006-0000-0100-00002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45" authorId="0" shapeId="0" xr:uid="{00000000-0006-0000-0100-00002A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45" authorId="0" shapeId="0" xr:uid="{00000000-0006-0000-0100-00002B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45" authorId="0" shapeId="0" xr:uid="{00000000-0006-0000-0100-00002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5" authorId="0" shapeId="0" xr:uid="{00000000-0006-0000-0100-00002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45" authorId="0" shapeId="0" xr:uid="{00000000-0006-0000-0100-00002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45" authorId="0" shapeId="0" xr:uid="{00000000-0006-0000-0100-00002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5" authorId="0" shapeId="0" xr:uid="{00000000-0006-0000-0100-00003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5" authorId="0" shapeId="0" xr:uid="{00000000-0006-0000-0100-00003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45" authorId="0" shapeId="0" xr:uid="{00000000-0006-0000-0100-00003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5" authorId="0" shapeId="0" xr:uid="{00000000-0006-0000-0100-00003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45" authorId="0" shapeId="0" xr:uid="{00000000-0006-0000-0100-00003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5" authorId="0" shapeId="0" xr:uid="{00000000-0006-0000-0100-00003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5" authorId="0" shapeId="0" xr:uid="{00000000-0006-0000-0100-00003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5" authorId="0" shapeId="0" xr:uid="{00000000-0006-0000-0100-00003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5" authorId="0" shapeId="0" xr:uid="{00000000-0006-0000-0100-00003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E146" authorId="0" shapeId="0" xr:uid="{00000000-0006-0000-0100-00003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6" authorId="0" shapeId="0" xr:uid="{00000000-0006-0000-0100-00003A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6" authorId="0" shapeId="0" xr:uid="{00000000-0006-0000-0100-00003B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46" authorId="0" shapeId="0" xr:uid="{00000000-0006-0000-0100-00003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6" authorId="0" shapeId="0" xr:uid="{00000000-0006-0000-0100-00003D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M146" authorId="0" shapeId="0" xr:uid="{00000000-0006-0000-0100-00003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46" authorId="0" shapeId="0" xr:uid="{00000000-0006-0000-0100-00003F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46" authorId="0" shapeId="0" xr:uid="{00000000-0006-0000-0100-00004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46" authorId="0" shapeId="0" xr:uid="{00000000-0006-0000-0100-000041040000}">
      <text>
        <r>
          <rPr>
            <sz val="8"/>
            <color indexed="81"/>
            <rFont val="Tahoma"/>
            <family val="2"/>
          </rPr>
          <t>estimate has a relative standard error greater than 50% and is considered too unreliable for general use</t>
        </r>
      </text>
    </comment>
    <comment ref="Y146" authorId="0" shapeId="0" xr:uid="{00000000-0006-0000-0100-00004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46" authorId="0" shapeId="0" xr:uid="{00000000-0006-0000-0100-00004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46" authorId="0" shapeId="0" xr:uid="{00000000-0006-0000-0100-00004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6" authorId="0" shapeId="0" xr:uid="{00000000-0006-0000-0100-00004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46" authorId="0" shapeId="0" xr:uid="{00000000-0006-0000-0100-00004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6" authorId="0" shapeId="0" xr:uid="{00000000-0006-0000-0100-00004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46" authorId="0" shapeId="0" xr:uid="{00000000-0006-0000-0100-00004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6" authorId="0" shapeId="0" xr:uid="{00000000-0006-0000-0100-00004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6" authorId="0" shapeId="0" xr:uid="{00000000-0006-0000-0100-00004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46" authorId="0" shapeId="0" xr:uid="{00000000-0006-0000-0100-00004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6" authorId="0" shapeId="0" xr:uid="{00000000-0006-0000-0100-00004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46" authorId="0" shapeId="0" xr:uid="{00000000-0006-0000-0100-00004D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46" authorId="0" shapeId="0" xr:uid="{00000000-0006-0000-0100-00004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6" authorId="0" shapeId="0" xr:uid="{00000000-0006-0000-0100-00004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46" authorId="0" shapeId="0" xr:uid="{00000000-0006-0000-0100-00005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6" authorId="0" shapeId="0" xr:uid="{00000000-0006-0000-0100-00005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6" authorId="0" shapeId="0" xr:uid="{00000000-0006-0000-0100-000052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E147" authorId="0" shapeId="0" xr:uid="{00000000-0006-0000-0100-00005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7" authorId="0" shapeId="0" xr:uid="{00000000-0006-0000-0100-000054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7" authorId="0" shapeId="0" xr:uid="{00000000-0006-0000-0100-00005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47" authorId="0" shapeId="0" xr:uid="{00000000-0006-0000-0100-00005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7" authorId="0" shapeId="0" xr:uid="{00000000-0006-0000-0100-00005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47" authorId="0" shapeId="0" xr:uid="{00000000-0006-0000-0100-00005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47" authorId="0" shapeId="0" xr:uid="{00000000-0006-0000-0100-00005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47" authorId="0" shapeId="0" xr:uid="{00000000-0006-0000-0100-00005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47" authorId="0" shapeId="0" xr:uid="{00000000-0006-0000-0100-00005B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Y147" authorId="0" shapeId="0" xr:uid="{00000000-0006-0000-0100-00005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47" authorId="0" shapeId="0" xr:uid="{00000000-0006-0000-0100-00005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47" authorId="0" shapeId="0" xr:uid="{00000000-0006-0000-0100-00005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7" authorId="0" shapeId="0" xr:uid="{00000000-0006-0000-0100-00005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E147" authorId="0" shapeId="0" xr:uid="{00000000-0006-0000-0100-00006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7" authorId="0" shapeId="0" xr:uid="{00000000-0006-0000-0100-00006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47" authorId="0" shapeId="0" xr:uid="{00000000-0006-0000-0100-00006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7" authorId="0" shapeId="0" xr:uid="{00000000-0006-0000-0100-00006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7" authorId="0" shapeId="0" xr:uid="{00000000-0006-0000-0100-00006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47" authorId="0" shapeId="0" xr:uid="{00000000-0006-0000-0100-00006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7" authorId="0" shapeId="0" xr:uid="{00000000-0006-0000-0100-000066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47" authorId="0" shapeId="0" xr:uid="{00000000-0006-0000-0100-00006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7" authorId="0" shapeId="0" xr:uid="{00000000-0006-0000-0100-00006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7" authorId="0" shapeId="0" xr:uid="{00000000-0006-0000-0100-00006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47" authorId="0" shapeId="0" xr:uid="{00000000-0006-0000-0100-00006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7" authorId="0" shapeId="0" xr:uid="{00000000-0006-0000-0100-00006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8" authorId="0" shapeId="0" xr:uid="{00000000-0006-0000-0100-00006C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8" authorId="0" shapeId="0" xr:uid="{00000000-0006-0000-0100-00006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48" authorId="0" shapeId="0" xr:uid="{00000000-0006-0000-0100-00006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8" authorId="0" shapeId="0" xr:uid="{00000000-0006-0000-0100-00006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48" authorId="0" shapeId="0" xr:uid="{00000000-0006-0000-0100-000070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48" authorId="0" shapeId="0" xr:uid="{00000000-0006-0000-0100-00007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R148" authorId="0" shapeId="0" xr:uid="{00000000-0006-0000-0100-00007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48" authorId="0" shapeId="0" xr:uid="{00000000-0006-0000-0100-000073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Y148" authorId="0" shapeId="0" xr:uid="{00000000-0006-0000-0100-00007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48" authorId="0" shapeId="0" xr:uid="{00000000-0006-0000-0100-00007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48" authorId="0" shapeId="0" xr:uid="{00000000-0006-0000-0100-00007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48" authorId="0" shapeId="0" xr:uid="{00000000-0006-0000-0100-00007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8" authorId="0" shapeId="0" xr:uid="{00000000-0006-0000-0100-00007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8" authorId="0" shapeId="0" xr:uid="{00000000-0006-0000-0100-00007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48" authorId="0" shapeId="0" xr:uid="{00000000-0006-0000-0100-00007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8" authorId="0" shapeId="0" xr:uid="{00000000-0006-0000-0100-00007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8" authorId="0" shapeId="0" xr:uid="{00000000-0006-0000-0100-00007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48" authorId="0" shapeId="0" xr:uid="{00000000-0006-0000-0100-00007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8" authorId="0" shapeId="0" xr:uid="{00000000-0006-0000-0100-00007E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48" authorId="0" shapeId="0" xr:uid="{00000000-0006-0000-0100-00007F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48" authorId="0" shapeId="0" xr:uid="{00000000-0006-0000-0100-00008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T148" authorId="0" shapeId="0" xr:uid="{00000000-0006-0000-0100-00008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U148" authorId="0" shapeId="0" xr:uid="{00000000-0006-0000-0100-00008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8" authorId="0" shapeId="0" xr:uid="{00000000-0006-0000-0100-00008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Y148" authorId="0" shapeId="0" xr:uid="{00000000-0006-0000-0100-00008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48" authorId="0" shapeId="0" xr:uid="{00000000-0006-0000-0100-00008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8" authorId="0" shapeId="0" xr:uid="{00000000-0006-0000-0100-00008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48" authorId="0" shapeId="0" xr:uid="{00000000-0006-0000-0100-00008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8" authorId="0" shapeId="0" xr:uid="{00000000-0006-0000-0100-00008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49" authorId="0" shapeId="0" xr:uid="{00000000-0006-0000-0100-000089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49" authorId="0" shapeId="0" xr:uid="{00000000-0006-0000-0100-00008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49" authorId="0" shapeId="0" xr:uid="{00000000-0006-0000-0100-00008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49" authorId="0" shapeId="0" xr:uid="{00000000-0006-0000-0100-00008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49" authorId="0" shapeId="0" xr:uid="{00000000-0006-0000-0100-00008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49" authorId="0" shapeId="0" xr:uid="{00000000-0006-0000-0100-00008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49" authorId="0" shapeId="0" xr:uid="{00000000-0006-0000-0100-00008F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49" authorId="0" shapeId="0" xr:uid="{00000000-0006-0000-0100-00009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49" authorId="0" shapeId="0" xr:uid="{00000000-0006-0000-0100-00009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49" authorId="0" shapeId="0" xr:uid="{00000000-0006-0000-0100-00009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49" authorId="0" shapeId="0" xr:uid="{00000000-0006-0000-0100-00009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49" authorId="0" shapeId="0" xr:uid="{00000000-0006-0000-0100-00009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49" authorId="0" shapeId="0" xr:uid="{00000000-0006-0000-0100-00009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49" authorId="0" shapeId="0" xr:uid="{00000000-0006-0000-0100-00009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49" authorId="0" shapeId="0" xr:uid="{00000000-0006-0000-0100-00009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49" authorId="0" shapeId="0" xr:uid="{00000000-0006-0000-0100-000098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49" authorId="0" shapeId="0" xr:uid="{00000000-0006-0000-0100-00009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49" authorId="0" shapeId="0" xr:uid="{00000000-0006-0000-0100-00009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49" authorId="0" shapeId="0" xr:uid="{00000000-0006-0000-0100-00009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49" authorId="0" shapeId="0" xr:uid="{00000000-0006-0000-0100-00009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49" authorId="0" shapeId="0" xr:uid="{00000000-0006-0000-0100-00009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49" authorId="0" shapeId="0" xr:uid="{00000000-0006-0000-0100-00009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0" authorId="0" shapeId="0" xr:uid="{00000000-0006-0000-0100-00009F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50" authorId="0" shapeId="0" xr:uid="{00000000-0006-0000-0100-0000A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0" authorId="0" shapeId="0" xr:uid="{00000000-0006-0000-0100-0000A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0" authorId="0" shapeId="0" xr:uid="{00000000-0006-0000-0100-0000A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50" authorId="0" shapeId="0" xr:uid="{00000000-0006-0000-0100-0000A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50" authorId="0" shapeId="0" xr:uid="{00000000-0006-0000-0100-0000A4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50" authorId="0" shapeId="0" xr:uid="{00000000-0006-0000-0100-0000A5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50" authorId="0" shapeId="0" xr:uid="{00000000-0006-0000-0100-0000A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50" authorId="0" shapeId="0" xr:uid="{00000000-0006-0000-0100-0000A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A150" authorId="0" shapeId="0" xr:uid="{00000000-0006-0000-0100-0000A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0" authorId="0" shapeId="0" xr:uid="{00000000-0006-0000-0100-0000A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50" authorId="0" shapeId="0" xr:uid="{00000000-0006-0000-0100-0000A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50" authorId="0" shapeId="0" xr:uid="{00000000-0006-0000-0100-0000A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0" authorId="0" shapeId="0" xr:uid="{00000000-0006-0000-0100-0000A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0" authorId="0" shapeId="0" xr:uid="{00000000-0006-0000-0100-0000A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50" authorId="0" shapeId="0" xr:uid="{00000000-0006-0000-0100-0000A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0" authorId="0" shapeId="0" xr:uid="{00000000-0006-0000-0100-0000AF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50" authorId="0" shapeId="0" xr:uid="{00000000-0006-0000-0100-0000B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50" authorId="0" shapeId="0" xr:uid="{00000000-0006-0000-0100-0000B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0" authorId="0" shapeId="0" xr:uid="{00000000-0006-0000-0100-0000B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0" authorId="0" shapeId="0" xr:uid="{00000000-0006-0000-0100-0000B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0" authorId="0" shapeId="0" xr:uid="{00000000-0006-0000-0100-0000B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0" authorId="0" shapeId="0" xr:uid="{00000000-0006-0000-0100-0000B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0" authorId="0" shapeId="0" xr:uid="{00000000-0006-0000-0100-0000B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1" authorId="0" shapeId="0" xr:uid="{00000000-0006-0000-0100-0000B7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51" authorId="0" shapeId="0" xr:uid="{00000000-0006-0000-0100-0000B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1" authorId="0" shapeId="0" xr:uid="{00000000-0006-0000-0100-0000B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1" authorId="0" shapeId="0" xr:uid="{00000000-0006-0000-0100-0000B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51" authorId="0" shapeId="0" xr:uid="{00000000-0006-0000-0100-0000B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51" authorId="0" shapeId="0" xr:uid="{00000000-0006-0000-0100-0000B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51" authorId="0" shapeId="0" xr:uid="{00000000-0006-0000-0100-0000BD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51" authorId="0" shapeId="0" xr:uid="{00000000-0006-0000-0100-0000B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1" authorId="0" shapeId="0" xr:uid="{00000000-0006-0000-0100-0000B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51" authorId="0" shapeId="0" xr:uid="{00000000-0006-0000-0100-0000C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B151" authorId="0" shapeId="0" xr:uid="{00000000-0006-0000-0100-0000C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1" authorId="0" shapeId="0" xr:uid="{00000000-0006-0000-0100-0000C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51" authorId="0" shapeId="0" xr:uid="{00000000-0006-0000-0100-0000C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51" authorId="0" shapeId="0" xr:uid="{00000000-0006-0000-0100-0000C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1" authorId="0" shapeId="0" xr:uid="{00000000-0006-0000-0100-0000C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1" authorId="0" shapeId="0" xr:uid="{00000000-0006-0000-0100-0000C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51" authorId="0" shapeId="0" xr:uid="{00000000-0006-0000-0100-0000C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1" authorId="0" shapeId="0" xr:uid="{00000000-0006-0000-0100-0000C8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51" authorId="0" shapeId="0" xr:uid="{00000000-0006-0000-0100-0000C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51" authorId="0" shapeId="0" xr:uid="{00000000-0006-0000-0100-0000C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U151" authorId="0" shapeId="0" xr:uid="{00000000-0006-0000-0100-0000C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1" authorId="0" shapeId="0" xr:uid="{00000000-0006-0000-0100-0000C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1" authorId="0" shapeId="0" xr:uid="{00000000-0006-0000-0100-0000C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1" authorId="0" shapeId="0" xr:uid="{00000000-0006-0000-0100-0000C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1" authorId="0" shapeId="0" xr:uid="{00000000-0006-0000-0100-0000C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1" authorId="0" shapeId="0" xr:uid="{00000000-0006-0000-0100-0000D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2" authorId="0" shapeId="0" xr:uid="{00000000-0006-0000-0100-0000D1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52" authorId="0" shapeId="0" xr:uid="{00000000-0006-0000-0100-0000D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2" authorId="0" shapeId="0" xr:uid="{00000000-0006-0000-0100-0000D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2" authorId="0" shapeId="0" xr:uid="{00000000-0006-0000-0100-0000D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52" authorId="0" shapeId="0" xr:uid="{00000000-0006-0000-0100-0000D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52" authorId="0" shapeId="0" xr:uid="{00000000-0006-0000-0100-0000D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2" authorId="0" shapeId="0" xr:uid="{00000000-0006-0000-0100-0000D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52" authorId="0" shapeId="0" xr:uid="{00000000-0006-0000-0100-0000D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2" authorId="0" shapeId="0" xr:uid="{00000000-0006-0000-0100-0000D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52" authorId="0" shapeId="0" xr:uid="{00000000-0006-0000-0100-0000D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52" authorId="0" shapeId="0" xr:uid="{00000000-0006-0000-0100-0000D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52" authorId="0" shapeId="0" xr:uid="{00000000-0006-0000-0100-0000D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2" authorId="0" shapeId="0" xr:uid="{00000000-0006-0000-0100-0000D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2" authorId="0" shapeId="0" xr:uid="{00000000-0006-0000-0100-0000D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52" authorId="0" shapeId="0" xr:uid="{00000000-0006-0000-0100-0000D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2" authorId="0" shapeId="0" xr:uid="{00000000-0006-0000-0100-0000E0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52" authorId="0" shapeId="0" xr:uid="{00000000-0006-0000-0100-0000E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52" authorId="0" shapeId="0" xr:uid="{00000000-0006-0000-0100-0000E2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2" authorId="0" shapeId="0" xr:uid="{00000000-0006-0000-0100-0000E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Y152" authorId="0" shapeId="0" xr:uid="{00000000-0006-0000-0100-0000E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2" authorId="0" shapeId="0" xr:uid="{00000000-0006-0000-0100-0000E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2" authorId="0" shapeId="0" xr:uid="{00000000-0006-0000-0100-0000E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2" authorId="0" shapeId="0" xr:uid="{00000000-0006-0000-0100-0000E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3" authorId="0" shapeId="0" xr:uid="{00000000-0006-0000-0100-0000E8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53" authorId="0" shapeId="0" xr:uid="{00000000-0006-0000-0100-0000E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3" authorId="0" shapeId="0" xr:uid="{00000000-0006-0000-0100-0000EA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3" authorId="0" shapeId="0" xr:uid="{00000000-0006-0000-0100-0000EB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53" authorId="0" shapeId="0" xr:uid="{00000000-0006-0000-0100-0000E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3" authorId="0" shapeId="0" xr:uid="{00000000-0006-0000-0100-0000E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3" authorId="0" shapeId="0" xr:uid="{00000000-0006-0000-0100-0000E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3" authorId="0" shapeId="0" xr:uid="{00000000-0006-0000-0100-0000E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53" authorId="0" shapeId="0" xr:uid="{00000000-0006-0000-0100-0000F0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53" authorId="0" shapeId="0" xr:uid="{00000000-0006-0000-0100-0000F1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3" authorId="0" shapeId="0" xr:uid="{00000000-0006-0000-0100-0000F2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53" authorId="0" shapeId="0" xr:uid="{00000000-0006-0000-0100-0000F3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53" authorId="0" shapeId="0" xr:uid="{00000000-0006-0000-0100-0000F4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3" authorId="0" shapeId="0" xr:uid="{00000000-0006-0000-0100-0000F5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3" authorId="0" shapeId="0" xr:uid="{00000000-0006-0000-0100-0000F6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3" authorId="0" shapeId="0" xr:uid="{00000000-0006-0000-0100-0000F7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3" authorId="0" shapeId="0" xr:uid="{00000000-0006-0000-0100-0000F8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3" authorId="0" shapeId="0" xr:uid="{00000000-0006-0000-0100-0000F9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4" authorId="0" shapeId="0" xr:uid="{00000000-0006-0000-0100-0000FA04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54" authorId="0" shapeId="0" xr:uid="{00000000-0006-0000-0100-0000FB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4" authorId="0" shapeId="0" xr:uid="{00000000-0006-0000-0100-0000FC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4" authorId="0" shapeId="0" xr:uid="{00000000-0006-0000-0100-0000FD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54" authorId="0" shapeId="0" xr:uid="{00000000-0006-0000-0100-0000FE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4" authorId="0" shapeId="0" xr:uid="{00000000-0006-0000-0100-0000FF04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Y154" authorId="0" shapeId="0" xr:uid="{00000000-0006-0000-0100-00000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54" authorId="0" shapeId="0" xr:uid="{00000000-0006-0000-0100-00000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4" authorId="0" shapeId="0" xr:uid="{00000000-0006-0000-0100-00000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4" authorId="0" shapeId="0" xr:uid="{00000000-0006-0000-0100-00000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4" authorId="0" shapeId="0" xr:uid="{00000000-0006-0000-0100-00000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54" authorId="0" shapeId="0" xr:uid="{00000000-0006-0000-0100-00000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54" authorId="0" shapeId="0" xr:uid="{00000000-0006-0000-0100-00000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4" authorId="0" shapeId="0" xr:uid="{00000000-0006-0000-0100-00000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54" authorId="0" shapeId="0" xr:uid="{00000000-0006-0000-0100-000008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54" authorId="0" shapeId="0" xr:uid="{00000000-0006-0000-0100-00000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4" authorId="0" shapeId="0" xr:uid="{00000000-0006-0000-0100-00000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4" authorId="0" shapeId="0" xr:uid="{00000000-0006-0000-0100-00000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4" authorId="0" shapeId="0" xr:uid="{00000000-0006-0000-0100-00000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4" authorId="0" shapeId="0" xr:uid="{00000000-0006-0000-0100-00000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4" authorId="0" shapeId="0" xr:uid="{00000000-0006-0000-0100-00000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5" authorId="0" shapeId="0" xr:uid="{00000000-0006-0000-0100-00000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55" authorId="0" shapeId="0" xr:uid="{00000000-0006-0000-0100-00001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5" authorId="0" shapeId="0" xr:uid="{00000000-0006-0000-0100-00001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5" authorId="0" shapeId="0" xr:uid="{00000000-0006-0000-0100-00001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55" authorId="0" shapeId="0" xr:uid="{00000000-0006-0000-0100-000013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55" authorId="0" shapeId="0" xr:uid="{00000000-0006-0000-0100-00001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55" authorId="0" shapeId="0" xr:uid="{00000000-0006-0000-0100-00001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55" authorId="0" shapeId="0" xr:uid="{00000000-0006-0000-0100-00001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5" authorId="0" shapeId="0" xr:uid="{00000000-0006-0000-0100-00001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5" authorId="0" shapeId="0" xr:uid="{00000000-0006-0000-0100-00001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55" authorId="0" shapeId="0" xr:uid="{00000000-0006-0000-0100-00001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55" authorId="0" shapeId="0" xr:uid="{00000000-0006-0000-0100-00001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5" authorId="0" shapeId="0" xr:uid="{00000000-0006-0000-0100-00001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5" authorId="0" shapeId="0" xr:uid="{00000000-0006-0000-0100-00001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55" authorId="0" shapeId="0" xr:uid="{00000000-0006-0000-0100-00001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55" authorId="0" shapeId="0" xr:uid="{00000000-0006-0000-0100-00001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5" authorId="0" shapeId="0" xr:uid="{00000000-0006-0000-0100-00001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55" authorId="0" shapeId="0" xr:uid="{00000000-0006-0000-0100-000020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V155" authorId="0" shapeId="0" xr:uid="{00000000-0006-0000-0100-00002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Y155" authorId="0" shapeId="0" xr:uid="{00000000-0006-0000-0100-00002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5" authorId="0" shapeId="0" xr:uid="{00000000-0006-0000-0100-00002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5" authorId="0" shapeId="0" xr:uid="{00000000-0006-0000-0100-00002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5" authorId="0" shapeId="0" xr:uid="{00000000-0006-0000-0100-00002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6" authorId="0" shapeId="0" xr:uid="{00000000-0006-0000-0100-000026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56" authorId="0" shapeId="0" xr:uid="{00000000-0006-0000-0100-00002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6" authorId="0" shapeId="0" xr:uid="{00000000-0006-0000-0100-00002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6" authorId="0" shapeId="0" xr:uid="{00000000-0006-0000-0100-00002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K156" authorId="0" shapeId="0" xr:uid="{00000000-0006-0000-0100-00002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56" authorId="0" shapeId="0" xr:uid="{00000000-0006-0000-0100-00002B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56" authorId="0" shapeId="0" xr:uid="{00000000-0006-0000-0100-00002C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56" authorId="0" shapeId="0" xr:uid="{00000000-0006-0000-0100-00002D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56" authorId="0" shapeId="0" xr:uid="{00000000-0006-0000-0100-00002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6" authorId="0" shapeId="0" xr:uid="{00000000-0006-0000-0100-00002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Y156" authorId="0" shapeId="0" xr:uid="{00000000-0006-0000-0100-00003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56" authorId="0" shapeId="0" xr:uid="{00000000-0006-0000-0100-00003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6" authorId="0" shapeId="0" xr:uid="{00000000-0006-0000-0100-00003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6" authorId="0" shapeId="0" xr:uid="{00000000-0006-0000-0100-00003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6" authorId="0" shapeId="0" xr:uid="{00000000-0006-0000-0100-00003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56" authorId="0" shapeId="0" xr:uid="{00000000-0006-0000-0100-00003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56" authorId="0" shapeId="0" xr:uid="{00000000-0006-0000-0100-00003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56" authorId="0" shapeId="0" xr:uid="{00000000-0006-0000-0100-00003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6" authorId="0" shapeId="0" xr:uid="{00000000-0006-0000-0100-00003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Y156" authorId="0" shapeId="0" xr:uid="{00000000-0006-0000-0100-00003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6" authorId="0" shapeId="0" xr:uid="{00000000-0006-0000-0100-00003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6" authorId="0" shapeId="0" xr:uid="{00000000-0006-0000-0100-00003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6" authorId="0" shapeId="0" xr:uid="{00000000-0006-0000-0100-00003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7" authorId="0" shapeId="0" xr:uid="{00000000-0006-0000-0100-00003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57" authorId="0" shapeId="0" xr:uid="{00000000-0006-0000-0100-00003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7" authorId="0" shapeId="0" xr:uid="{00000000-0006-0000-0100-00003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7" authorId="0" shapeId="0" xr:uid="{00000000-0006-0000-0100-00004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57" authorId="0" shapeId="0" xr:uid="{00000000-0006-0000-0100-00004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57" authorId="0" shapeId="0" xr:uid="{00000000-0006-0000-0100-00004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57" authorId="0" shapeId="0" xr:uid="{00000000-0006-0000-0100-000043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57" authorId="0" shapeId="0" xr:uid="{00000000-0006-0000-0100-00004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7" authorId="0" shapeId="0" xr:uid="{00000000-0006-0000-0100-000045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57" authorId="0" shapeId="0" xr:uid="{00000000-0006-0000-0100-00004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7" authorId="0" shapeId="0" xr:uid="{00000000-0006-0000-0100-00004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D157" authorId="0" shapeId="0" xr:uid="{00000000-0006-0000-0100-00004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7" authorId="0" shapeId="0" xr:uid="{00000000-0006-0000-0100-00004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7" authorId="0" shapeId="0" xr:uid="{00000000-0006-0000-0100-00004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57" authorId="0" shapeId="0" xr:uid="{00000000-0006-0000-0100-00004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57" authorId="0" shapeId="0" xr:uid="{00000000-0006-0000-0100-00004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7" authorId="0" shapeId="0" xr:uid="{00000000-0006-0000-0100-00004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57" authorId="0" shapeId="0" xr:uid="{00000000-0006-0000-0100-00004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57" authorId="0" shapeId="0" xr:uid="{00000000-0006-0000-0100-00004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7" authorId="0" shapeId="0" xr:uid="{00000000-0006-0000-0100-00005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7" authorId="0" shapeId="0" xr:uid="{00000000-0006-0000-0100-00005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7" authorId="0" shapeId="0" xr:uid="{00000000-0006-0000-0100-00005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7" authorId="0" shapeId="0" xr:uid="{00000000-0006-0000-0100-00005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8" authorId="0" shapeId="0" xr:uid="{00000000-0006-0000-0100-00005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H158" authorId="0" shapeId="0" xr:uid="{00000000-0006-0000-0100-00005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8" authorId="0" shapeId="0" xr:uid="{00000000-0006-0000-0100-00005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8" authorId="0" shapeId="0" xr:uid="{00000000-0006-0000-0100-00005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58" authorId="0" shapeId="0" xr:uid="{00000000-0006-0000-0100-00005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58" authorId="0" shapeId="0" xr:uid="{00000000-0006-0000-0100-00005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R158" authorId="0" shapeId="0" xr:uid="{00000000-0006-0000-0100-00005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58" authorId="0" shapeId="0" xr:uid="{00000000-0006-0000-0100-00005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8" authorId="0" shapeId="0" xr:uid="{00000000-0006-0000-0100-00005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Y158" authorId="0" shapeId="0" xr:uid="{00000000-0006-0000-0100-00005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58" authorId="0" shapeId="0" xr:uid="{00000000-0006-0000-0100-00005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8" authorId="0" shapeId="0" xr:uid="{00000000-0006-0000-0100-00005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8" authorId="0" shapeId="0" xr:uid="{00000000-0006-0000-0100-00006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8" authorId="0" shapeId="0" xr:uid="{00000000-0006-0000-0100-00006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58" authorId="0" shapeId="0" xr:uid="{00000000-0006-0000-0100-00006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58" authorId="0" shapeId="0" xr:uid="{00000000-0006-0000-0100-00006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8" authorId="0" shapeId="0" xr:uid="{00000000-0006-0000-0100-00006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8" authorId="0" shapeId="0" xr:uid="{00000000-0006-0000-0100-00006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8" authorId="0" shapeId="0" xr:uid="{00000000-0006-0000-0100-00006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8" authorId="0" shapeId="0" xr:uid="{00000000-0006-0000-0100-00006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8" authorId="0" shapeId="0" xr:uid="{00000000-0006-0000-0100-00006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59" authorId="0" shapeId="0" xr:uid="{00000000-0006-0000-0100-00006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59" authorId="0" shapeId="0" xr:uid="{00000000-0006-0000-0100-00006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59" authorId="0" shapeId="0" xr:uid="{00000000-0006-0000-0100-00006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59" authorId="0" shapeId="0" xr:uid="{00000000-0006-0000-0100-00006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59" authorId="0" shapeId="0" xr:uid="{00000000-0006-0000-0100-00006D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59" authorId="0" shapeId="0" xr:uid="{00000000-0006-0000-0100-00006E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59" authorId="0" shapeId="0" xr:uid="{00000000-0006-0000-0100-00006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59" authorId="0" shapeId="0" xr:uid="{00000000-0006-0000-0100-000070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59" authorId="0" shapeId="0" xr:uid="{00000000-0006-0000-0100-00007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59" authorId="0" shapeId="0" xr:uid="{00000000-0006-0000-0100-00007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59" authorId="0" shapeId="0" xr:uid="{00000000-0006-0000-0100-00007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59" authorId="0" shapeId="0" xr:uid="{00000000-0006-0000-0100-00007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59" authorId="0" shapeId="0" xr:uid="{00000000-0006-0000-0100-00007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59" authorId="0" shapeId="0" xr:uid="{00000000-0006-0000-0100-00007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59" authorId="0" shapeId="0" xr:uid="{00000000-0006-0000-0100-000077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59" authorId="0" shapeId="0" xr:uid="{00000000-0006-0000-0100-00007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59" authorId="0" shapeId="0" xr:uid="{00000000-0006-0000-0100-00007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59" authorId="0" shapeId="0" xr:uid="{00000000-0006-0000-0100-00007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59" authorId="0" shapeId="0" xr:uid="{00000000-0006-0000-0100-00007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59" authorId="0" shapeId="0" xr:uid="{00000000-0006-0000-0100-00007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59" authorId="0" shapeId="0" xr:uid="{00000000-0006-0000-0100-00007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60" authorId="0" shapeId="0" xr:uid="{00000000-0006-0000-0100-00007E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I160" authorId="0" shapeId="0" xr:uid="{00000000-0006-0000-0100-00007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60" authorId="0" shapeId="0" xr:uid="{00000000-0006-0000-0100-00008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60" authorId="0" shapeId="0" xr:uid="{00000000-0006-0000-0100-00008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60" authorId="0" shapeId="0" xr:uid="{00000000-0006-0000-0100-000082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P160" authorId="0" shapeId="0" xr:uid="{00000000-0006-0000-0100-000083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60" authorId="0" shapeId="0" xr:uid="{00000000-0006-0000-0100-000084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60" authorId="0" shapeId="0" xr:uid="{00000000-0006-0000-0100-000085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Y160" authorId="0" shapeId="0" xr:uid="{00000000-0006-0000-0100-00008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60" authorId="0" shapeId="0" xr:uid="{00000000-0006-0000-0100-00008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60" authorId="0" shapeId="0" xr:uid="{00000000-0006-0000-0100-00008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60" authorId="0" shapeId="0" xr:uid="{00000000-0006-0000-0100-00008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60" authorId="0" shapeId="0" xr:uid="{00000000-0006-0000-0100-00008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60" authorId="0" shapeId="0" xr:uid="{00000000-0006-0000-0100-00008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60" authorId="0" shapeId="0" xr:uid="{00000000-0006-0000-0100-00008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60" authorId="0" shapeId="0" xr:uid="{00000000-0006-0000-0100-00008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60" authorId="0" shapeId="0" xr:uid="{00000000-0006-0000-0100-00008E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60" authorId="0" shapeId="0" xr:uid="{00000000-0006-0000-0100-00008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60" authorId="0" shapeId="0" xr:uid="{00000000-0006-0000-0100-00009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60" authorId="0" shapeId="0" xr:uid="{00000000-0006-0000-0100-00009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60" authorId="0" shapeId="0" xr:uid="{00000000-0006-0000-0100-00009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60" authorId="0" shapeId="0" xr:uid="{00000000-0006-0000-0100-00009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60" authorId="0" shapeId="0" xr:uid="{00000000-0006-0000-0100-00009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61" authorId="0" shapeId="0" xr:uid="{00000000-0006-0000-0100-000095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61" authorId="0" shapeId="0" xr:uid="{00000000-0006-0000-0100-00009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61" authorId="0" shapeId="0" xr:uid="{00000000-0006-0000-0100-00009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61" authorId="0" shapeId="0" xr:uid="{00000000-0006-0000-0100-00009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61" authorId="0" shapeId="0" xr:uid="{00000000-0006-0000-0100-000099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61" authorId="0" shapeId="0" xr:uid="{00000000-0006-0000-0100-00009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61" authorId="0" shapeId="0" xr:uid="{00000000-0006-0000-0100-00009B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Y161" authorId="0" shapeId="0" xr:uid="{00000000-0006-0000-0100-00009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61" authorId="0" shapeId="0" xr:uid="{00000000-0006-0000-0100-00009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61" authorId="0" shapeId="0" xr:uid="{00000000-0006-0000-0100-00009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61" authorId="0" shapeId="0" xr:uid="{00000000-0006-0000-0100-00009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61" authorId="0" shapeId="0" xr:uid="{00000000-0006-0000-0100-0000A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61" authorId="0" shapeId="0" xr:uid="{00000000-0006-0000-0100-0000A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61" authorId="0" shapeId="0" xr:uid="{00000000-0006-0000-0100-0000A2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S161" authorId="0" shapeId="0" xr:uid="{00000000-0006-0000-0100-0000A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61" authorId="0" shapeId="0" xr:uid="{00000000-0006-0000-0100-0000A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61" authorId="0" shapeId="0" xr:uid="{00000000-0006-0000-0100-0000A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61" authorId="0" shapeId="0" xr:uid="{00000000-0006-0000-0100-0000A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61" authorId="0" shapeId="0" xr:uid="{00000000-0006-0000-0100-0000A7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G162" authorId="0" shapeId="0" xr:uid="{00000000-0006-0000-0100-0000A8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62" authorId="0" shapeId="0" xr:uid="{00000000-0006-0000-0100-0000A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62" authorId="0" shapeId="0" xr:uid="{00000000-0006-0000-0100-0000A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N162" authorId="0" shapeId="0" xr:uid="{00000000-0006-0000-0100-0000A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62" authorId="0" shapeId="0" xr:uid="{00000000-0006-0000-0100-0000A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62" authorId="0" shapeId="0" xr:uid="{00000000-0006-0000-0100-0000A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62" authorId="0" shapeId="0" xr:uid="{00000000-0006-0000-0100-0000A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T162" authorId="0" shapeId="0" xr:uid="{00000000-0006-0000-0100-0000AF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62" authorId="0" shapeId="0" xr:uid="{00000000-0006-0000-0100-0000B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62" authorId="0" shapeId="0" xr:uid="{00000000-0006-0000-0100-0000B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62" authorId="0" shapeId="0" xr:uid="{00000000-0006-0000-0100-0000B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62" authorId="0" shapeId="0" xr:uid="{00000000-0006-0000-0100-0000B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62" authorId="0" shapeId="0" xr:uid="{00000000-0006-0000-0100-0000B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62" authorId="0" shapeId="0" xr:uid="{00000000-0006-0000-0100-0000B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62" authorId="0" shapeId="0" xr:uid="{00000000-0006-0000-0100-0000B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62" authorId="0" shapeId="0" xr:uid="{00000000-0006-0000-0100-0000B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62" authorId="0" shapeId="0" xr:uid="{00000000-0006-0000-0100-0000B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62" authorId="0" shapeId="0" xr:uid="{00000000-0006-0000-0100-0000B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62" authorId="0" shapeId="0" xr:uid="{00000000-0006-0000-0100-0000B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62" authorId="0" shapeId="0" xr:uid="{00000000-0006-0000-0100-0000B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62" authorId="0" shapeId="0" xr:uid="{00000000-0006-0000-0100-0000B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63" authorId="0" shapeId="0" xr:uid="{00000000-0006-0000-0100-0000BD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63" authorId="0" shapeId="0" xr:uid="{00000000-0006-0000-0100-0000B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63" authorId="0" shapeId="0" xr:uid="{00000000-0006-0000-0100-0000B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63" authorId="0" shapeId="0" xr:uid="{00000000-0006-0000-0100-0000C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63" authorId="0" shapeId="0" xr:uid="{00000000-0006-0000-0100-0000C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63" authorId="0" shapeId="0" xr:uid="{00000000-0006-0000-0100-0000C2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S163" authorId="0" shapeId="0" xr:uid="{00000000-0006-0000-0100-0000C3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63" authorId="0" shapeId="0" xr:uid="{00000000-0006-0000-0100-0000C4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63" authorId="0" shapeId="0" xr:uid="{00000000-0006-0000-0100-0000C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63" authorId="0" shapeId="0" xr:uid="{00000000-0006-0000-0100-0000C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F163" authorId="0" shapeId="0" xr:uid="{00000000-0006-0000-0100-0000C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63" authorId="0" shapeId="0" xr:uid="{00000000-0006-0000-0100-0000C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63" authorId="0" shapeId="0" xr:uid="{00000000-0006-0000-0100-0000C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63" authorId="0" shapeId="0" xr:uid="{00000000-0006-0000-0100-0000C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63" authorId="0" shapeId="0" xr:uid="{00000000-0006-0000-0100-0000CB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63" authorId="0" shapeId="0" xr:uid="{00000000-0006-0000-0100-0000C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63" authorId="0" shapeId="0" xr:uid="{00000000-0006-0000-0100-0000C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63" authorId="0" shapeId="0" xr:uid="{00000000-0006-0000-0100-0000C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63" authorId="0" shapeId="0" xr:uid="{00000000-0006-0000-0100-0000C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63" authorId="0" shapeId="0" xr:uid="{00000000-0006-0000-0100-0000D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63" authorId="0" shapeId="0" xr:uid="{00000000-0006-0000-0100-0000D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63" authorId="0" shapeId="0" xr:uid="{00000000-0006-0000-0100-0000D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64" authorId="0" shapeId="0" xr:uid="{00000000-0006-0000-0100-0000D3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64" authorId="0" shapeId="0" xr:uid="{00000000-0006-0000-0100-0000D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64" authorId="0" shapeId="0" xr:uid="{00000000-0006-0000-0100-0000D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64" authorId="0" shapeId="0" xr:uid="{00000000-0006-0000-0100-0000D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O164" authorId="0" shapeId="0" xr:uid="{00000000-0006-0000-0100-0000D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64" authorId="0" shapeId="0" xr:uid="{00000000-0006-0000-0100-0000D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64" authorId="0" shapeId="0" xr:uid="{00000000-0006-0000-0100-0000D9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64" authorId="0" shapeId="0" xr:uid="{00000000-0006-0000-0100-0000DA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Y164" authorId="0" shapeId="0" xr:uid="{00000000-0006-0000-0100-0000D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Z164" authorId="0" shapeId="0" xr:uid="{00000000-0006-0000-0100-0000D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64" authorId="0" shapeId="0" xr:uid="{00000000-0006-0000-0100-0000D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H164" authorId="0" shapeId="0" xr:uid="{00000000-0006-0000-0100-0000D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64" authorId="0" shapeId="0" xr:uid="{00000000-0006-0000-0100-0000D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J164" authorId="0" shapeId="0" xr:uid="{00000000-0006-0000-0100-0000E0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64" authorId="0" shapeId="0" xr:uid="{00000000-0006-0000-0100-0000E1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64" authorId="0" shapeId="0" xr:uid="{00000000-0006-0000-0100-0000E2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AM164" authorId="0" shapeId="0" xr:uid="{00000000-0006-0000-0100-0000E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64" authorId="0" shapeId="0" xr:uid="{00000000-0006-0000-0100-0000E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A164" authorId="0" shapeId="0" xr:uid="{00000000-0006-0000-0100-0000E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64" authorId="0" shapeId="0" xr:uid="{00000000-0006-0000-0100-0000E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64" authorId="0" shapeId="0" xr:uid="{00000000-0006-0000-0100-0000E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64" authorId="0" shapeId="0" xr:uid="{00000000-0006-0000-0100-0000E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G165" authorId="0" shapeId="0" xr:uid="{00000000-0006-0000-0100-0000E9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H165" authorId="0" shapeId="0" xr:uid="{00000000-0006-0000-0100-0000E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I165" authorId="0" shapeId="0" xr:uid="{00000000-0006-0000-0100-0000E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J165" authorId="0" shapeId="0" xr:uid="{00000000-0006-0000-0100-0000E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M165" authorId="0" shapeId="0" xr:uid="{00000000-0006-0000-0100-0000ED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O165" authorId="0" shapeId="0" xr:uid="{00000000-0006-0000-0100-0000EE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P165" authorId="0" shapeId="0" xr:uid="{00000000-0006-0000-0100-0000EF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S165" authorId="0" shapeId="0" xr:uid="{00000000-0006-0000-0100-0000F0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T165" authorId="0" shapeId="0" xr:uid="{00000000-0006-0000-0100-0000F1050000}">
      <text>
        <r>
          <rPr>
            <sz val="8"/>
            <color indexed="81"/>
            <rFont val="Tahoma"/>
            <family val="2"/>
          </rPr>
          <t>estimate has a relative standard error between 25% and 50% and should be used with caution</t>
        </r>
      </text>
    </comment>
    <comment ref="Z165" authorId="0" shapeId="0" xr:uid="{00000000-0006-0000-0100-0000F2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C165" authorId="0" shapeId="0" xr:uid="{00000000-0006-0000-0100-0000F3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G165" authorId="0" shapeId="0" xr:uid="{00000000-0006-0000-0100-0000F4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I165" authorId="0" shapeId="0" xr:uid="{00000000-0006-0000-0100-0000F5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K165" authorId="0" shapeId="0" xr:uid="{00000000-0006-0000-0100-0000F6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L165" authorId="0" shapeId="0" xr:uid="{00000000-0006-0000-0100-0000F7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M165" authorId="0" shapeId="0" xr:uid="{00000000-0006-0000-0100-0000F8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S165" authorId="0" shapeId="0" xr:uid="{00000000-0006-0000-0100-0000F9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AV165" authorId="0" shapeId="0" xr:uid="{00000000-0006-0000-0100-0000FA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B165" authorId="0" shapeId="0" xr:uid="{00000000-0006-0000-0100-0000FB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E165" authorId="0" shapeId="0" xr:uid="{00000000-0006-0000-0100-0000FC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  <comment ref="BF165" authorId="0" shapeId="0" xr:uid="{00000000-0006-0000-0100-0000FD050000}">
      <text>
        <r>
          <rPr>
            <sz val="8"/>
            <color indexed="81"/>
            <rFont val="Tahoma"/>
            <family val="2"/>
          </rPr>
          <t>estimate has a relative standard error of 10% to less than 25% and should be used with caution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<sst xmlns="http://schemas.openxmlformats.org/spreadsheetml/2006/main" count="744" uniqueCount="160">
  <si>
    <t>Actual Expenditure ;  Total (State) ;  Buildings and Structures ;  Current Price ;  Total, including Education and Health ;</t>
  </si>
  <si>
    <t>Actual Expenditure ;  Total (State) ;  Buildings and Structures ;  Current Price ;  Mining ;</t>
  </si>
  <si>
    <t>Actual Expenditure ;  Total (State) ;  Buildings and Structures ;  Current Price ;  Non-Mining, including Education and Health ;</t>
  </si>
  <si>
    <t>Actual Expenditure ;  Total (State) ;  Buildings and Structures ;  Current Price ;  Manufacturing ;</t>
  </si>
  <si>
    <t>Actual Expenditure ;  Total (State) ;  Buildings and Structures ;  Current Price ;  Electricity, Gas, Water and Waste Services ;</t>
  </si>
  <si>
    <t>Actual Expenditure ;  Total (State) ;  Buildings and Structures ;  Current Price ;  Construction ;</t>
  </si>
  <si>
    <t>Actual Expenditure ;  Total (State) ;  Buildings and Structures ;  Current Price ;  Wholesale Trade ;</t>
  </si>
  <si>
    <t>Actual Expenditure ;  Total (State) ;  Buildings and Structures ;  Current Price ;  Retail Trade ;</t>
  </si>
  <si>
    <t>Actual Expenditure ;  Total (State) ;  Buildings and Structures ;  Current Price ;  Accommodation and Food Services ;</t>
  </si>
  <si>
    <t>Actual Expenditure ;  Total (State) ;  Buildings and Structures ;  Current Price ;  Transport, Postal and Warehousing ;</t>
  </si>
  <si>
    <t>Actual Expenditure ;  Total (State) ;  Buildings and Structures ;  Current Price ;  Information Media and Telecommunications ;</t>
  </si>
  <si>
    <t>Actual Expenditure ;  Total (State) ;  Buildings and Structures ;  Current Price ;  Financial and Insurance Services ;</t>
  </si>
  <si>
    <t>Actual Expenditure ;  Total (State) ;  Buildings and Structures ;  Current Price ;  Rental, Hiring and Real Estate Services ;</t>
  </si>
  <si>
    <t>Actual Expenditure ;  Total (State) ;  Buildings and Structures ;  Current Price ;  Professional, Scientific and Technical Services ;</t>
  </si>
  <si>
    <t>Actual Expenditure ;  Total (State) ;  Buildings and Structures ;  Current Price ;  Administrative and Support Services ;</t>
  </si>
  <si>
    <t>Actual Expenditure ;  Total (State) ;  Buildings and Structures ;  Current Price ;  Education and Training ;</t>
  </si>
  <si>
    <t>Actual Expenditure ;  Total (State) ;  Buildings and Structures ;  Current Price ;  Health Care and Social Assistance ;</t>
  </si>
  <si>
    <t>Actual Expenditure ;  Total (State) ;  Buildings and Structures ;  Current Price ;  Arts and Recreation Services ;</t>
  </si>
  <si>
    <t>Actual Expenditure ;  Total (State) ;  Buildings and Structures ;  Current Price ;  Other Services ;</t>
  </si>
  <si>
    <t>Actual Expenditure ;  Total (State) ;  Equipment, Plant and Machinery ;  Current Price ;  Total, including Education and Health ;</t>
  </si>
  <si>
    <t>Actual Expenditure ;  Total (State) ;  Equipment, Plant and Machinery ;  Current Price ;  Mining ;</t>
  </si>
  <si>
    <t>Actual Expenditure ;  Total (State) ;  Equipment, Plant and Machinery ;  Current Price ;  Non-Mining, including Education and Health ;</t>
  </si>
  <si>
    <t>Actual Expenditure ;  Total (State) ;  Equipment, Plant and Machinery ;  Current Price ;  Manufacturing ;</t>
  </si>
  <si>
    <t>Actual Expenditure ;  Total (State) ;  Equipment, Plant and Machinery ;  Current Price ;  Electricity, Gas, Water and Waste Services ;</t>
  </si>
  <si>
    <t>Actual Expenditure ;  Total (State) ;  Equipment, Plant and Machinery ;  Current Price ;  Construction ;</t>
  </si>
  <si>
    <t>Actual Expenditure ;  Total (State) ;  Equipment, Plant and Machinery ;  Current Price ;  Wholesale Trade ;</t>
  </si>
  <si>
    <t>Actual Expenditure ;  Total (State) ;  Equipment, Plant and Machinery ;  Current Price ;  Retail Trade ;</t>
  </si>
  <si>
    <t>Actual Expenditure ;  Total (State) ;  Equipment, Plant and Machinery ;  Current Price ;  Accommodation and Food Services ;</t>
  </si>
  <si>
    <t>Actual Expenditure ;  Total (State) ;  Equipment, Plant and Machinery ;  Current Price ;  Transport, Postal and Warehousing ;</t>
  </si>
  <si>
    <t>Actual Expenditure ;  Total (State) ;  Equipment, Plant and Machinery ;  Current Price ;  Information Media and Telecommunications ;</t>
  </si>
  <si>
    <t>Actual Expenditure ;  Total (State) ;  Equipment, Plant and Machinery ;  Current Price ;  Financial and Insurance Services ;</t>
  </si>
  <si>
    <t>Actual Expenditure ;  Total (State) ;  Equipment, Plant and Machinery ;  Current Price ;  Rental, Hiring and Real Estate Services ;</t>
  </si>
  <si>
    <t>Actual Expenditure ;  Total (State) ;  Equipment, Plant and Machinery ;  Current Price ;  Professional, Scientific and Technical Services ;</t>
  </si>
  <si>
    <t>Actual Expenditure ;  Total (State) ;  Equipment, Plant and Machinery ;  Current Price ;  Administrative and Support Services ;</t>
  </si>
  <si>
    <t>Actual Expenditure ;  Total (State) ;  Equipment, Plant and Machinery ;  Current Price ;  Education and Training ;</t>
  </si>
  <si>
    <t>Actual Expenditure ;  Total (State) ;  Equipment, Plant and Machinery ;  Current Price ;  Health Care and Social Assistance ;</t>
  </si>
  <si>
    <t>Actual Expenditure ;  Total (State) ;  Equipment, Plant and Machinery ;  Current Price ;  Arts and Recreation Services ;</t>
  </si>
  <si>
    <t>Actual Expenditure ;  Total (State) ;  Equipment, Plant and Machinery ;  Current Price ;  Other Services ;</t>
  </si>
  <si>
    <t>Actual Expenditure ;  Total (State) ;  Total (Type of Asset - Detailed Level) ;  Current Price ;  Total, including Education and Health ;</t>
  </si>
  <si>
    <t>Actual Expenditure ;  Total (State) ;  Total (Type of Asset - Detailed Level) ;  Current Price ;  Mining ;</t>
  </si>
  <si>
    <t>Actual Expenditure ;  Total (State) ;  Total (Type of Asset - Detailed Level) ;  Current Price ;  Non-Mining, including Education and Health ;</t>
  </si>
  <si>
    <t>Actual Expenditure ;  Total (State) ;  Total (Type of Asset - Detailed Level) ;  Current Price ;  Manufacturing ;</t>
  </si>
  <si>
    <t>Actual Expenditure ;  Total (State) ;  Total (Type of Asset - Detailed Level) ;  Current Price ;  Electricity, Gas, Water and Waste Services ;</t>
  </si>
  <si>
    <t>Actual Expenditure ;  Total (State) ;  Total (Type of Asset - Detailed Level) ;  Current Price ;  Construction ;</t>
  </si>
  <si>
    <t>Actual Expenditure ;  Total (State) ;  Total (Type of Asset - Detailed Level) ;  Current Price ;  Wholesale Trade ;</t>
  </si>
  <si>
    <t>Actual Expenditure ;  Total (State) ;  Total (Type of Asset - Detailed Level) ;  Current Price ;  Retail Trade ;</t>
  </si>
  <si>
    <t>Actual Expenditure ;  Total (State) ;  Total (Type of Asset - Detailed Level) ;  Current Price ;  Accommodation and Food Services ;</t>
  </si>
  <si>
    <t>Actual Expenditure ;  Total (State) ;  Total (Type of Asset - Detailed Level) ;  Current Price ;  Transport, Postal and Warehousing ;</t>
  </si>
  <si>
    <t>Actual Expenditure ;  Total (State) ;  Total (Type of Asset - Detailed Level) ;  Current Price ;  Information Media and Telecommunications ;</t>
  </si>
  <si>
    <t>Actual Expenditure ;  Total (State) ;  Total (Type of Asset - Detailed Level) ;  Current Price ;  Financial and Insurance Services ;</t>
  </si>
  <si>
    <t>Actual Expenditure ;  Total (State) ;  Total (Type of Asset - Detailed Level) ;  Current Price ;  Rental, Hiring and Real Estate Services ;</t>
  </si>
  <si>
    <t>Actual Expenditure ;  Total (State) ;  Total (Type of Asset - Detailed Level) ;  Current Price ;  Professional, Scientific and Technical Services ;</t>
  </si>
  <si>
    <t>Actual Expenditure ;  Total (State) ;  Total (Type of Asset - Detailed Level) ;  Current Price ;  Administrative and Support Services ;</t>
  </si>
  <si>
    <t>Actual Expenditure ;  Total (State) ;  Total (Type of Asset - Detailed Level) ;  Current Price ;  Education and Training ;</t>
  </si>
  <si>
    <t>Actual Expenditure ;  Total (State) ;  Total (Type of Asset - Detailed Level) ;  Current Price ;  Health Care and Social Assistance ;</t>
  </si>
  <si>
    <t>Actual Expenditure ;  Total (State) ;  Total (Type of Asset - Detailed Level) ;  Current Price ;  Arts and Recreation Services ;</t>
  </si>
  <si>
    <t>Actual Expenditure ;  Total (State) ;  Total (Type of Asset - Detailed Level) ;  Current Price ;  Other Services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</si>
  <si>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</si>
  <si>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</si>
  <si>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</si>
  <si>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</si>
  <si>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</si>
  <si>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</si>
  <si>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</si>
  <si>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</si>
  <si>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</si>
  <si>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</si>
  <si>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Original</t>
  </si>
  <si>
    <t>FLOW</t>
  </si>
  <si>
    <t>Quarter</t>
  </si>
  <si>
    <t>A124792377V</t>
  </si>
  <si>
    <t>A3517168V</t>
  </si>
  <si>
    <t>A124792079W</t>
  </si>
  <si>
    <t>A3517171J</t>
  </si>
  <si>
    <t>A3517174R</t>
  </si>
  <si>
    <t>A3517177W</t>
  </si>
  <si>
    <t>A3517180K</t>
  </si>
  <si>
    <t>A3517183T</t>
  </si>
  <si>
    <t>A83728707W</t>
  </si>
  <si>
    <t>A3517186X</t>
  </si>
  <si>
    <t>A3517189F</t>
  </si>
  <si>
    <t>A3517192V</t>
  </si>
  <si>
    <t>A3517195A</t>
  </si>
  <si>
    <t>A3517198J</t>
  </si>
  <si>
    <t>A83728710K</t>
  </si>
  <si>
    <t>A85301896V</t>
  </si>
  <si>
    <t>A85301921K</t>
  </si>
  <si>
    <t>A83728713T</t>
  </si>
  <si>
    <t>A83728716X</t>
  </si>
  <si>
    <t>A124792395X</t>
  </si>
  <si>
    <t>A3517210L</t>
  </si>
  <si>
    <t>A124792081J</t>
  </si>
  <si>
    <t>A3517213V</t>
  </si>
  <si>
    <t>A3517216A</t>
  </si>
  <si>
    <t>A3517219J</t>
  </si>
  <si>
    <t>A3517222W</t>
  </si>
  <si>
    <t>A3517225C</t>
  </si>
  <si>
    <t>A83728708X</t>
  </si>
  <si>
    <t>A3517228K</t>
  </si>
  <si>
    <t>A3517231X</t>
  </si>
  <si>
    <t>A3517234F</t>
  </si>
  <si>
    <t>A3517237L</t>
  </si>
  <si>
    <t>A3517240A</t>
  </si>
  <si>
    <t>A83728711L</t>
  </si>
  <si>
    <t>A85301942W</t>
  </si>
  <si>
    <t>A85301930L</t>
  </si>
  <si>
    <t>A83728714V</t>
  </si>
  <si>
    <t>A83728717A</t>
  </si>
  <si>
    <t>A124792413T</t>
  </si>
  <si>
    <t>A3517252K</t>
  </si>
  <si>
    <t>A124792083L</t>
  </si>
  <si>
    <t>A3517255T</t>
  </si>
  <si>
    <t>A3517258X</t>
  </si>
  <si>
    <t>A3517261L</t>
  </si>
  <si>
    <t>A3517264V</t>
  </si>
  <si>
    <t>A3517267A</t>
  </si>
  <si>
    <t>A83728709A</t>
  </si>
  <si>
    <t>A3517270R</t>
  </si>
  <si>
    <t>A3517273W</t>
  </si>
  <si>
    <t>A3517276C</t>
  </si>
  <si>
    <t>A3517279K</t>
  </si>
  <si>
    <t>A3517282X</t>
  </si>
  <si>
    <t>A83728712R</t>
  </si>
  <si>
    <t>A85301951X</t>
  </si>
  <si>
    <t>A85301904J</t>
  </si>
  <si>
    <t>A83728715W</t>
  </si>
  <si>
    <t>A83728718C</t>
  </si>
  <si>
    <t>Time Series Workbook</t>
  </si>
  <si>
    <t>5625.0 Private New Capital Expenditure and Expected Expenditure, Australia</t>
  </si>
  <si>
    <t>Table 1. Actual Expenditure, by Type of Asset and Industry, Original - Current Prices $m</t>
  </si>
  <si>
    <t>E N Q U I R I E S</t>
  </si>
  <si>
    <t>For further information about this and related statistics visit www.abs.gov.au/about/contact-us. The</t>
  </si>
  <si>
    <t>ABS Privacy Policy outlines how the ABS will handle any personal information that you provide to us.</t>
  </si>
  <si>
    <t>Enquiries</t>
  </si>
  <si>
    <t>Data Item Description</t>
  </si>
  <si>
    <t>No. Obs.</t>
  </si>
  <si>
    <t>Freq.</t>
  </si>
  <si>
    <t>© Commonwealth of Australia  2026</t>
  </si>
  <si>
    <t>Energy Utilities — Private New Capital Expenditure</t>
  </si>
  <si>
    <t>ANZSIC division: Electricity, Gas, Water and Waste Services. Source: ABS 5625.0, Table 1 (Original, Current Prices, $m).</t>
  </si>
  <si>
    <t>Summary statistics ($m, quarterly observations)</t>
  </si>
  <si>
    <t>Metric</t>
  </si>
  <si>
    <t>Buildings &amp; Structures</t>
  </si>
  <si>
    <t>Equipment, Plant &amp; Machinery</t>
  </si>
  <si>
    <t>Total Capex</t>
  </si>
  <si>
    <t>Observations</t>
  </si>
  <si>
    <t>Start</t>
  </si>
  <si>
    <t>End</t>
  </si>
  <si>
    <t>Mean</t>
  </si>
  <si>
    <t>Median</t>
  </si>
  <si>
    <t>Std. Deviation</t>
  </si>
  <si>
    <t>Min</t>
  </si>
  <si>
    <t>Max</t>
  </si>
  <si>
    <t>25th percentile</t>
  </si>
  <si>
    <t>75th percentile</t>
  </si>
  <si>
    <t>Latest quarter</t>
  </si>
  <si>
    <t>Sum (total period)</t>
  </si>
  <si>
    <t>Annual totals by calendar year ($m)</t>
  </si>
  <si>
    <t>Year</t>
  </si>
  <si>
    <t>partial year (3 quarters)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</si>
</sst>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;\-0;0;@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0" fillId="3" borderId="0" xfId="0" applyFont="1" applyFill="1"/>
    <xf numFmtId="0" fontId="11" fillId="0" borderId="0" xfId="0" applyFont="1"/>
    <xf numFmtId="0" fontId="12" fillId="0" borderId="0" xfId="0" applyFont="1"/>
    <xf numFmtId="0" fontId="13" fillId="3" borderId="0" xfId="0" applyFont="1" applyFill="1"/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right"/>
    </xf>
    <xf numFmtId="164" fontId="0" fillId="0" borderId="0" xfId="0" applyNumberFormat="1"/>
    <xf numFmtId="166" fontId="0" fillId="0" borderId="0" xfId="0" applyNumberFormat="1"/>
    <xf numFmtId="3" fontId="0" fillId="0" borderId="0" xfId="0" applyNumberForma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Utilities Capex — Quarterly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Utilities'!$I$5</c:f>
              <c:strCache>
                <c:ptCount val="1"/>
                <c:pt idx="0">
                  <c:v>Buildings &amp; Structures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Utilities'!$H$6:$H$160</c:f>
              <c:numCache>
                <c:formatCode>mmm\-yyyy</c:formatCode>
                <c:ptCount val="155"/>
                <c:pt idx="0">
                  <c:v>31929</c:v>
                </c:pt>
                <c:pt idx="1">
                  <c:v>32021</c:v>
                </c:pt>
                <c:pt idx="2">
                  <c:v>32112</c:v>
                </c:pt>
                <c:pt idx="3">
                  <c:v>32203</c:v>
                </c:pt>
                <c:pt idx="4">
                  <c:v>32295</c:v>
                </c:pt>
                <c:pt idx="5">
                  <c:v>32387</c:v>
                </c:pt>
                <c:pt idx="6">
                  <c:v>32478</c:v>
                </c:pt>
                <c:pt idx="7">
                  <c:v>32568</c:v>
                </c:pt>
                <c:pt idx="8">
                  <c:v>32660</c:v>
                </c:pt>
                <c:pt idx="9">
                  <c:v>32752</c:v>
                </c:pt>
                <c:pt idx="10">
                  <c:v>32843</c:v>
                </c:pt>
                <c:pt idx="11">
                  <c:v>32933</c:v>
                </c:pt>
                <c:pt idx="12">
                  <c:v>33025</c:v>
                </c:pt>
                <c:pt idx="13">
                  <c:v>33117</c:v>
                </c:pt>
                <c:pt idx="14">
                  <c:v>33208</c:v>
                </c:pt>
                <c:pt idx="15">
                  <c:v>33298</c:v>
                </c:pt>
                <c:pt idx="16">
                  <c:v>33390</c:v>
                </c:pt>
                <c:pt idx="17">
                  <c:v>33482</c:v>
                </c:pt>
                <c:pt idx="18">
                  <c:v>33573</c:v>
                </c:pt>
                <c:pt idx="19">
                  <c:v>33664</c:v>
                </c:pt>
                <c:pt idx="20">
                  <c:v>33756</c:v>
                </c:pt>
                <c:pt idx="21">
                  <c:v>33848</c:v>
                </c:pt>
                <c:pt idx="22">
                  <c:v>33939</c:v>
                </c:pt>
                <c:pt idx="23">
                  <c:v>34029</c:v>
                </c:pt>
                <c:pt idx="24">
                  <c:v>34121</c:v>
                </c:pt>
                <c:pt idx="25">
                  <c:v>34213</c:v>
                </c:pt>
                <c:pt idx="26">
                  <c:v>34304</c:v>
                </c:pt>
                <c:pt idx="27">
                  <c:v>34394</c:v>
                </c:pt>
                <c:pt idx="28">
                  <c:v>34486</c:v>
                </c:pt>
                <c:pt idx="29">
                  <c:v>34578</c:v>
                </c:pt>
                <c:pt idx="30">
                  <c:v>34669</c:v>
                </c:pt>
                <c:pt idx="31">
                  <c:v>34759</c:v>
                </c:pt>
                <c:pt idx="32">
                  <c:v>34851</c:v>
                </c:pt>
                <c:pt idx="33">
                  <c:v>34943</c:v>
                </c:pt>
                <c:pt idx="34">
                  <c:v>35034</c:v>
                </c:pt>
                <c:pt idx="35">
                  <c:v>35125</c:v>
                </c:pt>
                <c:pt idx="36">
                  <c:v>35217</c:v>
                </c:pt>
                <c:pt idx="37">
                  <c:v>35309</c:v>
                </c:pt>
                <c:pt idx="38">
                  <c:v>35400</c:v>
                </c:pt>
                <c:pt idx="39">
                  <c:v>35490</c:v>
                </c:pt>
                <c:pt idx="40">
                  <c:v>35582</c:v>
                </c:pt>
                <c:pt idx="41">
                  <c:v>35674</c:v>
                </c:pt>
                <c:pt idx="42">
                  <c:v>35765</c:v>
                </c:pt>
                <c:pt idx="43">
                  <c:v>35855</c:v>
                </c:pt>
                <c:pt idx="44">
                  <c:v>35947</c:v>
                </c:pt>
                <c:pt idx="45">
                  <c:v>36039</c:v>
                </c:pt>
                <c:pt idx="46">
                  <c:v>36130</c:v>
                </c:pt>
                <c:pt idx="47">
                  <c:v>36220</c:v>
                </c:pt>
                <c:pt idx="48">
                  <c:v>36312</c:v>
                </c:pt>
                <c:pt idx="49">
                  <c:v>36404</c:v>
                </c:pt>
                <c:pt idx="50">
                  <c:v>36495</c:v>
                </c:pt>
                <c:pt idx="51">
                  <c:v>36586</c:v>
                </c:pt>
                <c:pt idx="52">
                  <c:v>36678</c:v>
                </c:pt>
                <c:pt idx="53">
                  <c:v>36770</c:v>
                </c:pt>
                <c:pt idx="54">
                  <c:v>36861</c:v>
                </c:pt>
                <c:pt idx="55">
                  <c:v>36951</c:v>
                </c:pt>
                <c:pt idx="56">
                  <c:v>37043</c:v>
                </c:pt>
                <c:pt idx="57">
                  <c:v>37135</c:v>
                </c:pt>
                <c:pt idx="58">
                  <c:v>37226</c:v>
                </c:pt>
                <c:pt idx="59">
                  <c:v>37316</c:v>
                </c:pt>
                <c:pt idx="60">
                  <c:v>37408</c:v>
                </c:pt>
                <c:pt idx="61">
                  <c:v>37500</c:v>
                </c:pt>
                <c:pt idx="62">
                  <c:v>37591</c:v>
                </c:pt>
                <c:pt idx="63">
                  <c:v>37681</c:v>
                </c:pt>
                <c:pt idx="64">
                  <c:v>37773</c:v>
                </c:pt>
                <c:pt idx="65">
                  <c:v>37865</c:v>
                </c:pt>
                <c:pt idx="66">
                  <c:v>37956</c:v>
                </c:pt>
                <c:pt idx="67">
                  <c:v>38047</c:v>
                </c:pt>
                <c:pt idx="68">
                  <c:v>38139</c:v>
                </c:pt>
                <c:pt idx="69">
                  <c:v>38231</c:v>
                </c:pt>
                <c:pt idx="70">
                  <c:v>38322</c:v>
                </c:pt>
                <c:pt idx="71">
                  <c:v>38412</c:v>
                </c:pt>
                <c:pt idx="72">
                  <c:v>38504</c:v>
                </c:pt>
                <c:pt idx="73">
                  <c:v>38596</c:v>
                </c:pt>
                <c:pt idx="74">
                  <c:v>38687</c:v>
                </c:pt>
                <c:pt idx="75">
                  <c:v>38777</c:v>
                </c:pt>
                <c:pt idx="76">
                  <c:v>38869</c:v>
                </c:pt>
                <c:pt idx="77">
                  <c:v>38961</c:v>
                </c:pt>
                <c:pt idx="78">
                  <c:v>39052</c:v>
                </c:pt>
                <c:pt idx="79">
                  <c:v>39142</c:v>
                </c:pt>
                <c:pt idx="80">
                  <c:v>39234</c:v>
                </c:pt>
                <c:pt idx="81">
                  <c:v>39326</c:v>
                </c:pt>
                <c:pt idx="82">
                  <c:v>39417</c:v>
                </c:pt>
                <c:pt idx="83">
                  <c:v>39508</c:v>
                </c:pt>
                <c:pt idx="84">
                  <c:v>39600</c:v>
                </c:pt>
                <c:pt idx="85">
                  <c:v>39692</c:v>
                </c:pt>
                <c:pt idx="86">
                  <c:v>39783</c:v>
                </c:pt>
                <c:pt idx="87">
                  <c:v>39873</c:v>
                </c:pt>
                <c:pt idx="88">
                  <c:v>39965</c:v>
                </c:pt>
                <c:pt idx="89">
                  <c:v>40057</c:v>
                </c:pt>
                <c:pt idx="90">
                  <c:v>40148</c:v>
                </c:pt>
                <c:pt idx="91">
                  <c:v>40238</c:v>
                </c:pt>
                <c:pt idx="92">
                  <c:v>40330</c:v>
                </c:pt>
                <c:pt idx="93">
                  <c:v>40422</c:v>
                </c:pt>
                <c:pt idx="94">
                  <c:v>40513</c:v>
                </c:pt>
                <c:pt idx="95">
                  <c:v>40603</c:v>
                </c:pt>
                <c:pt idx="96">
                  <c:v>40695</c:v>
                </c:pt>
                <c:pt idx="97">
                  <c:v>40787</c:v>
                </c:pt>
                <c:pt idx="98">
                  <c:v>40878</c:v>
                </c:pt>
                <c:pt idx="99">
                  <c:v>40969</c:v>
                </c:pt>
                <c:pt idx="100">
                  <c:v>41061</c:v>
                </c:pt>
                <c:pt idx="101">
                  <c:v>41153</c:v>
                </c:pt>
                <c:pt idx="102">
                  <c:v>41244</c:v>
                </c:pt>
                <c:pt idx="103">
                  <c:v>41334</c:v>
                </c:pt>
                <c:pt idx="104">
                  <c:v>41426</c:v>
                </c:pt>
                <c:pt idx="105">
                  <c:v>41518</c:v>
                </c:pt>
                <c:pt idx="106">
                  <c:v>41609</c:v>
                </c:pt>
                <c:pt idx="107">
                  <c:v>41699</c:v>
                </c:pt>
                <c:pt idx="108">
                  <c:v>41791</c:v>
                </c:pt>
                <c:pt idx="109">
                  <c:v>41883</c:v>
                </c:pt>
                <c:pt idx="110">
                  <c:v>41974</c:v>
                </c:pt>
                <c:pt idx="111">
                  <c:v>42064</c:v>
                </c:pt>
                <c:pt idx="112">
                  <c:v>42156</c:v>
                </c:pt>
                <c:pt idx="113">
                  <c:v>42248</c:v>
                </c:pt>
                <c:pt idx="114">
                  <c:v>42339</c:v>
                </c:pt>
                <c:pt idx="115">
                  <c:v>42430</c:v>
                </c:pt>
                <c:pt idx="116">
                  <c:v>42522</c:v>
                </c:pt>
                <c:pt idx="117">
                  <c:v>42614</c:v>
                </c:pt>
                <c:pt idx="118">
                  <c:v>42705</c:v>
                </c:pt>
                <c:pt idx="119">
                  <c:v>42795</c:v>
                </c:pt>
                <c:pt idx="120">
                  <c:v>42887</c:v>
                </c:pt>
                <c:pt idx="121">
                  <c:v>42979</c:v>
                </c:pt>
                <c:pt idx="122">
                  <c:v>43070</c:v>
                </c:pt>
                <c:pt idx="123">
                  <c:v>43160</c:v>
                </c:pt>
                <c:pt idx="124">
                  <c:v>43252</c:v>
                </c:pt>
                <c:pt idx="125">
                  <c:v>43344</c:v>
                </c:pt>
                <c:pt idx="126">
                  <c:v>43435</c:v>
                </c:pt>
                <c:pt idx="127">
                  <c:v>43525</c:v>
                </c:pt>
                <c:pt idx="128">
                  <c:v>43617</c:v>
                </c:pt>
                <c:pt idx="129">
                  <c:v>43709</c:v>
                </c:pt>
                <c:pt idx="130">
                  <c:v>43800</c:v>
                </c:pt>
                <c:pt idx="131">
                  <c:v>43891</c:v>
                </c:pt>
                <c:pt idx="132">
                  <c:v>43983</c:v>
                </c:pt>
                <c:pt idx="133">
                  <c:v>44075</c:v>
                </c:pt>
                <c:pt idx="134">
                  <c:v>44166</c:v>
                </c:pt>
                <c:pt idx="135">
                  <c:v>44256</c:v>
                </c:pt>
                <c:pt idx="136">
                  <c:v>44348</c:v>
                </c:pt>
                <c:pt idx="137">
                  <c:v>44440</c:v>
                </c:pt>
                <c:pt idx="138">
                  <c:v>44531</c:v>
                </c:pt>
                <c:pt idx="139">
                  <c:v>44621</c:v>
                </c:pt>
                <c:pt idx="140">
                  <c:v>44713</c:v>
                </c:pt>
                <c:pt idx="141">
                  <c:v>44805</c:v>
                </c:pt>
                <c:pt idx="142">
                  <c:v>44896</c:v>
                </c:pt>
                <c:pt idx="143">
                  <c:v>44986</c:v>
                </c:pt>
                <c:pt idx="144">
                  <c:v>45078</c:v>
                </c:pt>
                <c:pt idx="145">
                  <c:v>45170</c:v>
                </c:pt>
                <c:pt idx="146">
                  <c:v>45261</c:v>
                </c:pt>
                <c:pt idx="147">
                  <c:v>45352</c:v>
                </c:pt>
                <c:pt idx="148">
                  <c:v>45444</c:v>
                </c:pt>
                <c:pt idx="149">
                  <c:v>45536</c:v>
                </c:pt>
                <c:pt idx="150">
                  <c:v>45627</c:v>
                </c:pt>
                <c:pt idx="151">
                  <c:v>45717</c:v>
                </c:pt>
                <c:pt idx="152">
                  <c:v>45809</c:v>
                </c:pt>
                <c:pt idx="153">
                  <c:v>45901</c:v>
                </c:pt>
                <c:pt idx="154">
                  <c:v>45992</c:v>
                </c:pt>
              </c:numCache>
            </c:numRef>
          </c:cat>
          <c:val>
            <c:numRef>
              <c:f>'Energy Utilities'!$I$6:$I$160</c:f>
              <c:numCache>
                <c:formatCode>#,##0</c:formatCode>
                <c:ptCount val="155"/>
                <c:pt idx="0">
                  <c:v>16</c:v>
                </c:pt>
                <c:pt idx="1">
                  <c:v>12</c:v>
                </c:pt>
                <c:pt idx="2">
                  <c:v>15</c:v>
                </c:pt>
                <c:pt idx="3">
                  <c:v>13</c:v>
                </c:pt>
                <c:pt idx="4">
                  <c:v>15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14</c:v>
                </c:pt>
                <c:pt idx="12">
                  <c:v>23</c:v>
                </c:pt>
                <c:pt idx="13">
                  <c:v>9</c:v>
                </c:pt>
                <c:pt idx="14">
                  <c:v>8</c:v>
                </c:pt>
                <c:pt idx="15">
                  <c:v>11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15</c:v>
                </c:pt>
                <c:pt idx="23">
                  <c:v>13</c:v>
                </c:pt>
                <c:pt idx="24">
                  <c:v>6</c:v>
                </c:pt>
                <c:pt idx="25">
                  <c:v>13</c:v>
                </c:pt>
                <c:pt idx="26">
                  <c:v>10</c:v>
                </c:pt>
                <c:pt idx="27">
                  <c:v>8</c:v>
                </c:pt>
                <c:pt idx="28">
                  <c:v>12</c:v>
                </c:pt>
                <c:pt idx="29">
                  <c:v>24</c:v>
                </c:pt>
                <c:pt idx="30">
                  <c:v>23</c:v>
                </c:pt>
                <c:pt idx="31">
                  <c:v>22</c:v>
                </c:pt>
                <c:pt idx="32">
                  <c:v>18</c:v>
                </c:pt>
                <c:pt idx="33">
                  <c:v>35</c:v>
                </c:pt>
                <c:pt idx="34">
                  <c:v>48</c:v>
                </c:pt>
                <c:pt idx="35">
                  <c:v>42</c:v>
                </c:pt>
                <c:pt idx="36">
                  <c:v>78</c:v>
                </c:pt>
                <c:pt idx="37">
                  <c:v>65</c:v>
                </c:pt>
                <c:pt idx="38">
                  <c:v>55</c:v>
                </c:pt>
                <c:pt idx="39">
                  <c:v>51</c:v>
                </c:pt>
                <c:pt idx="40">
                  <c:v>63</c:v>
                </c:pt>
                <c:pt idx="41">
                  <c:v>45</c:v>
                </c:pt>
                <c:pt idx="42">
                  <c:v>67</c:v>
                </c:pt>
                <c:pt idx="43">
                  <c:v>53</c:v>
                </c:pt>
                <c:pt idx="44">
                  <c:v>55</c:v>
                </c:pt>
                <c:pt idx="45">
                  <c:v>55</c:v>
                </c:pt>
                <c:pt idx="46">
                  <c:v>76</c:v>
                </c:pt>
                <c:pt idx="47">
                  <c:v>77</c:v>
                </c:pt>
                <c:pt idx="48">
                  <c:v>151</c:v>
                </c:pt>
                <c:pt idx="49">
                  <c:v>104</c:v>
                </c:pt>
                <c:pt idx="50">
                  <c:v>100</c:v>
                </c:pt>
                <c:pt idx="51">
                  <c:v>89</c:v>
                </c:pt>
                <c:pt idx="52">
                  <c:v>103</c:v>
                </c:pt>
                <c:pt idx="53">
                  <c:v>92</c:v>
                </c:pt>
                <c:pt idx="54">
                  <c:v>115</c:v>
                </c:pt>
                <c:pt idx="55">
                  <c:v>95</c:v>
                </c:pt>
                <c:pt idx="56">
                  <c:v>99</c:v>
                </c:pt>
                <c:pt idx="57">
                  <c:v>143</c:v>
                </c:pt>
                <c:pt idx="58">
                  <c:v>206</c:v>
                </c:pt>
                <c:pt idx="59">
                  <c:v>228</c:v>
                </c:pt>
                <c:pt idx="60">
                  <c:v>270</c:v>
                </c:pt>
                <c:pt idx="61">
                  <c:v>190</c:v>
                </c:pt>
                <c:pt idx="62">
                  <c:v>166</c:v>
                </c:pt>
                <c:pt idx="63">
                  <c:v>140</c:v>
                </c:pt>
                <c:pt idx="64">
                  <c:v>178</c:v>
                </c:pt>
                <c:pt idx="65">
                  <c:v>194</c:v>
                </c:pt>
                <c:pt idx="66">
                  <c:v>226</c:v>
                </c:pt>
                <c:pt idx="67">
                  <c:v>284</c:v>
                </c:pt>
                <c:pt idx="68">
                  <c:v>362</c:v>
                </c:pt>
                <c:pt idx="69">
                  <c:v>293</c:v>
                </c:pt>
                <c:pt idx="70">
                  <c:v>322</c:v>
                </c:pt>
                <c:pt idx="71">
                  <c:v>350</c:v>
                </c:pt>
                <c:pt idx="72">
                  <c:v>308</c:v>
                </c:pt>
                <c:pt idx="73">
                  <c:v>324</c:v>
                </c:pt>
                <c:pt idx="74">
                  <c:v>382</c:v>
                </c:pt>
                <c:pt idx="75">
                  <c:v>271</c:v>
                </c:pt>
                <c:pt idx="76">
                  <c:v>386</c:v>
                </c:pt>
                <c:pt idx="77">
                  <c:v>445</c:v>
                </c:pt>
                <c:pt idx="78">
                  <c:v>536</c:v>
                </c:pt>
                <c:pt idx="79">
                  <c:v>438</c:v>
                </c:pt>
                <c:pt idx="80">
                  <c:v>691</c:v>
                </c:pt>
                <c:pt idx="81">
                  <c:v>582</c:v>
                </c:pt>
                <c:pt idx="82">
                  <c:v>752</c:v>
                </c:pt>
                <c:pt idx="83">
                  <c:v>710</c:v>
                </c:pt>
                <c:pt idx="84">
                  <c:v>568</c:v>
                </c:pt>
                <c:pt idx="85">
                  <c:v>735</c:v>
                </c:pt>
                <c:pt idx="86">
                  <c:v>1223</c:v>
                </c:pt>
                <c:pt idx="87">
                  <c:v>955</c:v>
                </c:pt>
                <c:pt idx="88">
                  <c:v>1377</c:v>
                </c:pt>
                <c:pt idx="89">
                  <c:v>932</c:v>
                </c:pt>
                <c:pt idx="90">
                  <c:v>1184</c:v>
                </c:pt>
                <c:pt idx="91">
                  <c:v>928</c:v>
                </c:pt>
                <c:pt idx="92">
                  <c:v>1405</c:v>
                </c:pt>
                <c:pt idx="93">
                  <c:v>1308</c:v>
                </c:pt>
                <c:pt idx="94">
                  <c:v>1221</c:v>
                </c:pt>
                <c:pt idx="95">
                  <c:v>958</c:v>
                </c:pt>
                <c:pt idx="96">
                  <c:v>1039</c:v>
                </c:pt>
                <c:pt idx="97">
                  <c:v>750</c:v>
                </c:pt>
                <c:pt idx="98">
                  <c:v>771</c:v>
                </c:pt>
                <c:pt idx="99">
                  <c:v>818</c:v>
                </c:pt>
                <c:pt idx="100">
                  <c:v>844</c:v>
                </c:pt>
                <c:pt idx="101">
                  <c:v>747</c:v>
                </c:pt>
                <c:pt idx="102">
                  <c:v>815</c:v>
                </c:pt>
                <c:pt idx="103">
                  <c:v>739</c:v>
                </c:pt>
                <c:pt idx="104">
                  <c:v>774</c:v>
                </c:pt>
                <c:pt idx="105">
                  <c:v>879</c:v>
                </c:pt>
                <c:pt idx="106">
                  <c:v>966</c:v>
                </c:pt>
                <c:pt idx="107">
                  <c:v>743</c:v>
                </c:pt>
                <c:pt idx="108">
                  <c:v>1025</c:v>
                </c:pt>
                <c:pt idx="109">
                  <c:v>852</c:v>
                </c:pt>
                <c:pt idx="110">
                  <c:v>886</c:v>
                </c:pt>
                <c:pt idx="111">
                  <c:v>672</c:v>
                </c:pt>
                <c:pt idx="112">
                  <c:v>842</c:v>
                </c:pt>
                <c:pt idx="113">
                  <c:v>881</c:v>
                </c:pt>
                <c:pt idx="114">
                  <c:v>957</c:v>
                </c:pt>
                <c:pt idx="115">
                  <c:v>709</c:v>
                </c:pt>
                <c:pt idx="116">
                  <c:v>929</c:v>
                </c:pt>
                <c:pt idx="117">
                  <c:v>791</c:v>
                </c:pt>
                <c:pt idx="118">
                  <c:v>1009</c:v>
                </c:pt>
                <c:pt idx="119">
                  <c:v>958</c:v>
                </c:pt>
                <c:pt idx="120">
                  <c:v>1124</c:v>
                </c:pt>
                <c:pt idx="121">
                  <c:v>1414</c:v>
                </c:pt>
                <c:pt idx="122">
                  <c:v>1788</c:v>
                </c:pt>
                <c:pt idx="123">
                  <c:v>1685</c:v>
                </c:pt>
                <c:pt idx="124">
                  <c:v>2282</c:v>
                </c:pt>
                <c:pt idx="125">
                  <c:v>1955</c:v>
                </c:pt>
                <c:pt idx="126">
                  <c:v>2317</c:v>
                </c:pt>
                <c:pt idx="127">
                  <c:v>1958</c:v>
                </c:pt>
                <c:pt idx="128">
                  <c:v>2385</c:v>
                </c:pt>
                <c:pt idx="129">
                  <c:v>2118</c:v>
                </c:pt>
                <c:pt idx="130">
                  <c:v>2435</c:v>
                </c:pt>
                <c:pt idx="131">
                  <c:v>1906</c:v>
                </c:pt>
                <c:pt idx="132">
                  <c:v>1952</c:v>
                </c:pt>
                <c:pt idx="133">
                  <c:v>1845</c:v>
                </c:pt>
                <c:pt idx="134">
                  <c:v>2023</c:v>
                </c:pt>
                <c:pt idx="135">
                  <c:v>1738</c:v>
                </c:pt>
                <c:pt idx="136">
                  <c:v>2347</c:v>
                </c:pt>
                <c:pt idx="137">
                  <c:v>2090</c:v>
                </c:pt>
                <c:pt idx="138">
                  <c:v>2170</c:v>
                </c:pt>
                <c:pt idx="139">
                  <c:v>2075</c:v>
                </c:pt>
                <c:pt idx="140">
                  <c:v>2413</c:v>
                </c:pt>
                <c:pt idx="141">
                  <c:v>2478</c:v>
                </c:pt>
                <c:pt idx="142">
                  <c:v>2863</c:v>
                </c:pt>
                <c:pt idx="143">
                  <c:v>2541</c:v>
                </c:pt>
                <c:pt idx="144">
                  <c:v>2943</c:v>
                </c:pt>
                <c:pt idx="145">
                  <c:v>2569</c:v>
                </c:pt>
                <c:pt idx="146">
                  <c:v>3408</c:v>
                </c:pt>
                <c:pt idx="147">
                  <c:v>2868</c:v>
                </c:pt>
                <c:pt idx="148">
                  <c:v>3537</c:v>
                </c:pt>
                <c:pt idx="149">
                  <c:v>3367</c:v>
                </c:pt>
                <c:pt idx="150">
                  <c:v>4265</c:v>
                </c:pt>
                <c:pt idx="151">
                  <c:v>3516</c:v>
                </c:pt>
                <c:pt idx="152">
                  <c:v>3945</c:v>
                </c:pt>
                <c:pt idx="153">
                  <c:v>3584</c:v>
                </c:pt>
                <c:pt idx="154">
                  <c:v>4739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5-4556-BB58-4AE1E63365E2}"/>
            </c:ext>
          </c:extLst>
        </c:ser>
        <c:ser>
          <c:idx val="1"/>
          <c:order val="1"/>
          <c:tx>
            <c:strRef>
              <c:f>'Energy Utilities'!$J$5</c:f>
              <c:strCache>
                <c:ptCount val="1"/>
                <c:pt idx="0">
                  <c:v>Equipment, Plant &amp; Machinery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Utilities'!$H$6:$H$160</c:f>
              <c:numCache>
                <c:formatCode>mmm\-yyyy</c:formatCode>
                <c:ptCount val="155"/>
                <c:pt idx="0">
                  <c:v>31929</c:v>
                </c:pt>
                <c:pt idx="1">
                  <c:v>32021</c:v>
                </c:pt>
                <c:pt idx="2">
                  <c:v>32112</c:v>
                </c:pt>
                <c:pt idx="3">
                  <c:v>32203</c:v>
                </c:pt>
                <c:pt idx="4">
                  <c:v>32295</c:v>
                </c:pt>
                <c:pt idx="5">
                  <c:v>32387</c:v>
                </c:pt>
                <c:pt idx="6">
                  <c:v>32478</c:v>
                </c:pt>
                <c:pt idx="7">
                  <c:v>32568</c:v>
                </c:pt>
                <c:pt idx="8">
                  <c:v>32660</c:v>
                </c:pt>
                <c:pt idx="9">
                  <c:v>32752</c:v>
                </c:pt>
                <c:pt idx="10">
                  <c:v>32843</c:v>
                </c:pt>
                <c:pt idx="11">
                  <c:v>32933</c:v>
                </c:pt>
                <c:pt idx="12">
                  <c:v>33025</c:v>
                </c:pt>
                <c:pt idx="13">
                  <c:v>33117</c:v>
                </c:pt>
                <c:pt idx="14">
                  <c:v>33208</c:v>
                </c:pt>
                <c:pt idx="15">
                  <c:v>33298</c:v>
                </c:pt>
                <c:pt idx="16">
                  <c:v>33390</c:v>
                </c:pt>
                <c:pt idx="17">
                  <c:v>33482</c:v>
                </c:pt>
                <c:pt idx="18">
                  <c:v>33573</c:v>
                </c:pt>
                <c:pt idx="19">
                  <c:v>33664</c:v>
                </c:pt>
                <c:pt idx="20">
                  <c:v>33756</c:v>
                </c:pt>
                <c:pt idx="21">
                  <c:v>33848</c:v>
                </c:pt>
                <c:pt idx="22">
                  <c:v>33939</c:v>
                </c:pt>
                <c:pt idx="23">
                  <c:v>34029</c:v>
                </c:pt>
                <c:pt idx="24">
                  <c:v>34121</c:v>
                </c:pt>
                <c:pt idx="25">
                  <c:v>34213</c:v>
                </c:pt>
                <c:pt idx="26">
                  <c:v>34304</c:v>
                </c:pt>
                <c:pt idx="27">
                  <c:v>34394</c:v>
                </c:pt>
                <c:pt idx="28">
                  <c:v>34486</c:v>
                </c:pt>
                <c:pt idx="29">
                  <c:v>34578</c:v>
                </c:pt>
                <c:pt idx="30">
                  <c:v>34669</c:v>
                </c:pt>
                <c:pt idx="31">
                  <c:v>34759</c:v>
                </c:pt>
                <c:pt idx="32">
                  <c:v>34851</c:v>
                </c:pt>
                <c:pt idx="33">
                  <c:v>34943</c:v>
                </c:pt>
                <c:pt idx="34">
                  <c:v>35034</c:v>
                </c:pt>
                <c:pt idx="35">
                  <c:v>35125</c:v>
                </c:pt>
                <c:pt idx="36">
                  <c:v>35217</c:v>
                </c:pt>
                <c:pt idx="37">
                  <c:v>35309</c:v>
                </c:pt>
                <c:pt idx="38">
                  <c:v>35400</c:v>
                </c:pt>
                <c:pt idx="39">
                  <c:v>35490</c:v>
                </c:pt>
                <c:pt idx="40">
                  <c:v>35582</c:v>
                </c:pt>
                <c:pt idx="41">
                  <c:v>35674</c:v>
                </c:pt>
                <c:pt idx="42">
                  <c:v>35765</c:v>
                </c:pt>
                <c:pt idx="43">
                  <c:v>35855</c:v>
                </c:pt>
                <c:pt idx="44">
                  <c:v>35947</c:v>
                </c:pt>
                <c:pt idx="45">
                  <c:v>36039</c:v>
                </c:pt>
                <c:pt idx="46">
                  <c:v>36130</c:v>
                </c:pt>
                <c:pt idx="47">
                  <c:v>36220</c:v>
                </c:pt>
                <c:pt idx="48">
                  <c:v>36312</c:v>
                </c:pt>
                <c:pt idx="49">
                  <c:v>36404</c:v>
                </c:pt>
                <c:pt idx="50">
                  <c:v>36495</c:v>
                </c:pt>
                <c:pt idx="51">
                  <c:v>36586</c:v>
                </c:pt>
                <c:pt idx="52">
                  <c:v>36678</c:v>
                </c:pt>
                <c:pt idx="53">
                  <c:v>36770</c:v>
                </c:pt>
                <c:pt idx="54">
                  <c:v>36861</c:v>
                </c:pt>
                <c:pt idx="55">
                  <c:v>36951</c:v>
                </c:pt>
                <c:pt idx="56">
                  <c:v>37043</c:v>
                </c:pt>
                <c:pt idx="57">
                  <c:v>37135</c:v>
                </c:pt>
                <c:pt idx="58">
                  <c:v>37226</c:v>
                </c:pt>
                <c:pt idx="59">
                  <c:v>37316</c:v>
                </c:pt>
                <c:pt idx="60">
                  <c:v>37408</c:v>
                </c:pt>
                <c:pt idx="61">
                  <c:v>37500</c:v>
                </c:pt>
                <c:pt idx="62">
                  <c:v>37591</c:v>
                </c:pt>
                <c:pt idx="63">
                  <c:v>37681</c:v>
                </c:pt>
                <c:pt idx="64">
                  <c:v>37773</c:v>
                </c:pt>
                <c:pt idx="65">
                  <c:v>37865</c:v>
                </c:pt>
                <c:pt idx="66">
                  <c:v>37956</c:v>
                </c:pt>
                <c:pt idx="67">
                  <c:v>38047</c:v>
                </c:pt>
                <c:pt idx="68">
                  <c:v>38139</c:v>
                </c:pt>
                <c:pt idx="69">
                  <c:v>38231</c:v>
                </c:pt>
                <c:pt idx="70">
                  <c:v>38322</c:v>
                </c:pt>
                <c:pt idx="71">
                  <c:v>38412</c:v>
                </c:pt>
                <c:pt idx="72">
                  <c:v>38504</c:v>
                </c:pt>
                <c:pt idx="73">
                  <c:v>38596</c:v>
                </c:pt>
                <c:pt idx="74">
                  <c:v>38687</c:v>
                </c:pt>
                <c:pt idx="75">
                  <c:v>38777</c:v>
                </c:pt>
                <c:pt idx="76">
                  <c:v>38869</c:v>
                </c:pt>
                <c:pt idx="77">
                  <c:v>38961</c:v>
                </c:pt>
                <c:pt idx="78">
                  <c:v>39052</c:v>
                </c:pt>
                <c:pt idx="79">
                  <c:v>39142</c:v>
                </c:pt>
                <c:pt idx="80">
                  <c:v>39234</c:v>
                </c:pt>
                <c:pt idx="81">
                  <c:v>39326</c:v>
                </c:pt>
                <c:pt idx="82">
                  <c:v>39417</c:v>
                </c:pt>
                <c:pt idx="83">
                  <c:v>39508</c:v>
                </c:pt>
                <c:pt idx="84">
                  <c:v>39600</c:v>
                </c:pt>
                <c:pt idx="85">
                  <c:v>39692</c:v>
                </c:pt>
                <c:pt idx="86">
                  <c:v>39783</c:v>
                </c:pt>
                <c:pt idx="87">
                  <c:v>39873</c:v>
                </c:pt>
                <c:pt idx="88">
                  <c:v>39965</c:v>
                </c:pt>
                <c:pt idx="89">
                  <c:v>40057</c:v>
                </c:pt>
                <c:pt idx="90">
                  <c:v>40148</c:v>
                </c:pt>
                <c:pt idx="91">
                  <c:v>40238</c:v>
                </c:pt>
                <c:pt idx="92">
                  <c:v>40330</c:v>
                </c:pt>
                <c:pt idx="93">
                  <c:v>40422</c:v>
                </c:pt>
                <c:pt idx="94">
                  <c:v>40513</c:v>
                </c:pt>
                <c:pt idx="95">
                  <c:v>40603</c:v>
                </c:pt>
                <c:pt idx="96">
                  <c:v>40695</c:v>
                </c:pt>
                <c:pt idx="97">
                  <c:v>40787</c:v>
                </c:pt>
                <c:pt idx="98">
                  <c:v>40878</c:v>
                </c:pt>
                <c:pt idx="99">
                  <c:v>40969</c:v>
                </c:pt>
                <c:pt idx="100">
                  <c:v>41061</c:v>
                </c:pt>
                <c:pt idx="101">
                  <c:v>41153</c:v>
                </c:pt>
                <c:pt idx="102">
                  <c:v>41244</c:v>
                </c:pt>
                <c:pt idx="103">
                  <c:v>41334</c:v>
                </c:pt>
                <c:pt idx="104">
                  <c:v>41426</c:v>
                </c:pt>
                <c:pt idx="105">
                  <c:v>41518</c:v>
                </c:pt>
                <c:pt idx="106">
                  <c:v>41609</c:v>
                </c:pt>
                <c:pt idx="107">
                  <c:v>41699</c:v>
                </c:pt>
                <c:pt idx="108">
                  <c:v>41791</c:v>
                </c:pt>
                <c:pt idx="109">
                  <c:v>41883</c:v>
                </c:pt>
                <c:pt idx="110">
                  <c:v>41974</c:v>
                </c:pt>
                <c:pt idx="111">
                  <c:v>42064</c:v>
                </c:pt>
                <c:pt idx="112">
                  <c:v>42156</c:v>
                </c:pt>
                <c:pt idx="113">
                  <c:v>42248</c:v>
                </c:pt>
                <c:pt idx="114">
                  <c:v>42339</c:v>
                </c:pt>
                <c:pt idx="115">
                  <c:v>42430</c:v>
                </c:pt>
                <c:pt idx="116">
                  <c:v>42522</c:v>
                </c:pt>
                <c:pt idx="117">
                  <c:v>42614</c:v>
                </c:pt>
                <c:pt idx="118">
                  <c:v>42705</c:v>
                </c:pt>
                <c:pt idx="119">
                  <c:v>42795</c:v>
                </c:pt>
                <c:pt idx="120">
                  <c:v>42887</c:v>
                </c:pt>
                <c:pt idx="121">
                  <c:v>42979</c:v>
                </c:pt>
                <c:pt idx="122">
                  <c:v>43070</c:v>
                </c:pt>
                <c:pt idx="123">
                  <c:v>43160</c:v>
                </c:pt>
                <c:pt idx="124">
                  <c:v>43252</c:v>
                </c:pt>
                <c:pt idx="125">
                  <c:v>43344</c:v>
                </c:pt>
                <c:pt idx="126">
                  <c:v>43435</c:v>
                </c:pt>
                <c:pt idx="127">
                  <c:v>43525</c:v>
                </c:pt>
                <c:pt idx="128">
                  <c:v>43617</c:v>
                </c:pt>
                <c:pt idx="129">
                  <c:v>43709</c:v>
                </c:pt>
                <c:pt idx="130">
                  <c:v>43800</c:v>
                </c:pt>
                <c:pt idx="131">
                  <c:v>43891</c:v>
                </c:pt>
                <c:pt idx="132">
                  <c:v>43983</c:v>
                </c:pt>
                <c:pt idx="133">
                  <c:v>44075</c:v>
                </c:pt>
                <c:pt idx="134">
                  <c:v>44166</c:v>
                </c:pt>
                <c:pt idx="135">
                  <c:v>44256</c:v>
                </c:pt>
                <c:pt idx="136">
                  <c:v>44348</c:v>
                </c:pt>
                <c:pt idx="137">
                  <c:v>44440</c:v>
                </c:pt>
                <c:pt idx="138">
                  <c:v>44531</c:v>
                </c:pt>
                <c:pt idx="139">
                  <c:v>44621</c:v>
                </c:pt>
                <c:pt idx="140">
                  <c:v>44713</c:v>
                </c:pt>
                <c:pt idx="141">
                  <c:v>44805</c:v>
                </c:pt>
                <c:pt idx="142">
                  <c:v>44896</c:v>
                </c:pt>
                <c:pt idx="143">
                  <c:v>44986</c:v>
                </c:pt>
                <c:pt idx="144">
                  <c:v>45078</c:v>
                </c:pt>
                <c:pt idx="145">
                  <c:v>45170</c:v>
                </c:pt>
                <c:pt idx="146">
                  <c:v>45261</c:v>
                </c:pt>
                <c:pt idx="147">
                  <c:v>45352</c:v>
                </c:pt>
                <c:pt idx="148">
                  <c:v>45444</c:v>
                </c:pt>
                <c:pt idx="149">
                  <c:v>45536</c:v>
                </c:pt>
                <c:pt idx="150">
                  <c:v>45627</c:v>
                </c:pt>
                <c:pt idx="151">
                  <c:v>45717</c:v>
                </c:pt>
                <c:pt idx="152">
                  <c:v>45809</c:v>
                </c:pt>
                <c:pt idx="153">
                  <c:v>45901</c:v>
                </c:pt>
                <c:pt idx="154">
                  <c:v>45992</c:v>
                </c:pt>
              </c:numCache>
            </c:numRef>
          </c:cat>
          <c:val>
            <c:numRef>
              <c:f>'Energy Utilities'!$J$6:$J$160</c:f>
              <c:numCache>
                <c:formatCode>#,##0</c:formatCode>
                <c:ptCount val="155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3</c:v>
                </c:pt>
                <c:pt idx="9">
                  <c:v>26</c:v>
                </c:pt>
                <c:pt idx="10">
                  <c:v>27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5</c:v>
                </c:pt>
                <c:pt idx="15">
                  <c:v>3</c:v>
                </c:pt>
                <c:pt idx="16">
                  <c:v>11</c:v>
                </c:pt>
                <c:pt idx="17">
                  <c:v>8</c:v>
                </c:pt>
                <c:pt idx="18">
                  <c:v>12</c:v>
                </c:pt>
                <c:pt idx="19">
                  <c:v>10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  <c:pt idx="24">
                  <c:v>7</c:v>
                </c:pt>
                <c:pt idx="25">
                  <c:v>6</c:v>
                </c:pt>
                <c:pt idx="26">
                  <c:v>10</c:v>
                </c:pt>
                <c:pt idx="27">
                  <c:v>7</c:v>
                </c:pt>
                <c:pt idx="28">
                  <c:v>13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42</c:v>
                </c:pt>
                <c:pt idx="33">
                  <c:v>17</c:v>
                </c:pt>
                <c:pt idx="34">
                  <c:v>33</c:v>
                </c:pt>
                <c:pt idx="35">
                  <c:v>117</c:v>
                </c:pt>
                <c:pt idx="36">
                  <c:v>88</c:v>
                </c:pt>
                <c:pt idx="37">
                  <c:v>128</c:v>
                </c:pt>
                <c:pt idx="38">
                  <c:v>177</c:v>
                </c:pt>
                <c:pt idx="39">
                  <c:v>93</c:v>
                </c:pt>
                <c:pt idx="40">
                  <c:v>127</c:v>
                </c:pt>
                <c:pt idx="41">
                  <c:v>138</c:v>
                </c:pt>
                <c:pt idx="42">
                  <c:v>207</c:v>
                </c:pt>
                <c:pt idx="43">
                  <c:v>131</c:v>
                </c:pt>
                <c:pt idx="44">
                  <c:v>158</c:v>
                </c:pt>
                <c:pt idx="45">
                  <c:v>149</c:v>
                </c:pt>
                <c:pt idx="46">
                  <c:v>185</c:v>
                </c:pt>
                <c:pt idx="47">
                  <c:v>242</c:v>
                </c:pt>
                <c:pt idx="48">
                  <c:v>207</c:v>
                </c:pt>
                <c:pt idx="49">
                  <c:v>386</c:v>
                </c:pt>
                <c:pt idx="50">
                  <c:v>222</c:v>
                </c:pt>
                <c:pt idx="51">
                  <c:v>130</c:v>
                </c:pt>
                <c:pt idx="52">
                  <c:v>250</c:v>
                </c:pt>
                <c:pt idx="53">
                  <c:v>310</c:v>
                </c:pt>
                <c:pt idx="54">
                  <c:v>227</c:v>
                </c:pt>
                <c:pt idx="55">
                  <c:v>261</c:v>
                </c:pt>
                <c:pt idx="56">
                  <c:v>310</c:v>
                </c:pt>
                <c:pt idx="57">
                  <c:v>344</c:v>
                </c:pt>
                <c:pt idx="58">
                  <c:v>529</c:v>
                </c:pt>
                <c:pt idx="59">
                  <c:v>300</c:v>
                </c:pt>
                <c:pt idx="60">
                  <c:v>343</c:v>
                </c:pt>
                <c:pt idx="61">
                  <c:v>273</c:v>
                </c:pt>
                <c:pt idx="62">
                  <c:v>371</c:v>
                </c:pt>
                <c:pt idx="63">
                  <c:v>280</c:v>
                </c:pt>
                <c:pt idx="64">
                  <c:v>288</c:v>
                </c:pt>
                <c:pt idx="65">
                  <c:v>306</c:v>
                </c:pt>
                <c:pt idx="66">
                  <c:v>398</c:v>
                </c:pt>
                <c:pt idx="67">
                  <c:v>198</c:v>
                </c:pt>
                <c:pt idx="68">
                  <c:v>219</c:v>
                </c:pt>
                <c:pt idx="69">
                  <c:v>201</c:v>
                </c:pt>
                <c:pt idx="70">
                  <c:v>310</c:v>
                </c:pt>
                <c:pt idx="71">
                  <c:v>184</c:v>
                </c:pt>
                <c:pt idx="72">
                  <c:v>226</c:v>
                </c:pt>
                <c:pt idx="73">
                  <c:v>220</c:v>
                </c:pt>
                <c:pt idx="74">
                  <c:v>218</c:v>
                </c:pt>
                <c:pt idx="75">
                  <c:v>217</c:v>
                </c:pt>
                <c:pt idx="76">
                  <c:v>245</c:v>
                </c:pt>
                <c:pt idx="77">
                  <c:v>253</c:v>
                </c:pt>
                <c:pt idx="78">
                  <c:v>305</c:v>
                </c:pt>
                <c:pt idx="79">
                  <c:v>264</c:v>
                </c:pt>
                <c:pt idx="80">
                  <c:v>196</c:v>
                </c:pt>
                <c:pt idx="81">
                  <c:v>196</c:v>
                </c:pt>
                <c:pt idx="82">
                  <c:v>290</c:v>
                </c:pt>
                <c:pt idx="83">
                  <c:v>268</c:v>
                </c:pt>
                <c:pt idx="84">
                  <c:v>458</c:v>
                </c:pt>
                <c:pt idx="85">
                  <c:v>232</c:v>
                </c:pt>
                <c:pt idx="86">
                  <c:v>439</c:v>
                </c:pt>
                <c:pt idx="87">
                  <c:v>263</c:v>
                </c:pt>
                <c:pt idx="88">
                  <c:v>332</c:v>
                </c:pt>
                <c:pt idx="89">
                  <c:v>311</c:v>
                </c:pt>
                <c:pt idx="90">
                  <c:v>365</c:v>
                </c:pt>
                <c:pt idx="91">
                  <c:v>255</c:v>
                </c:pt>
                <c:pt idx="92">
                  <c:v>347</c:v>
                </c:pt>
                <c:pt idx="93">
                  <c:v>269</c:v>
                </c:pt>
                <c:pt idx="94">
                  <c:v>510</c:v>
                </c:pt>
                <c:pt idx="95">
                  <c:v>433</c:v>
                </c:pt>
                <c:pt idx="96">
                  <c:v>456</c:v>
                </c:pt>
                <c:pt idx="97">
                  <c:v>464</c:v>
                </c:pt>
                <c:pt idx="98">
                  <c:v>653</c:v>
                </c:pt>
                <c:pt idx="99">
                  <c:v>462</c:v>
                </c:pt>
                <c:pt idx="100">
                  <c:v>651</c:v>
                </c:pt>
                <c:pt idx="101">
                  <c:v>633</c:v>
                </c:pt>
                <c:pt idx="102">
                  <c:v>664</c:v>
                </c:pt>
                <c:pt idx="103">
                  <c:v>489</c:v>
                </c:pt>
                <c:pt idx="104">
                  <c:v>621</c:v>
                </c:pt>
                <c:pt idx="105">
                  <c:v>595</c:v>
                </c:pt>
                <c:pt idx="106">
                  <c:v>613</c:v>
                </c:pt>
                <c:pt idx="107">
                  <c:v>468</c:v>
                </c:pt>
                <c:pt idx="108">
                  <c:v>527</c:v>
                </c:pt>
                <c:pt idx="109">
                  <c:v>467</c:v>
                </c:pt>
                <c:pt idx="110">
                  <c:v>529</c:v>
                </c:pt>
                <c:pt idx="111">
                  <c:v>379</c:v>
                </c:pt>
                <c:pt idx="112">
                  <c:v>471</c:v>
                </c:pt>
                <c:pt idx="113">
                  <c:v>469</c:v>
                </c:pt>
                <c:pt idx="114">
                  <c:v>587</c:v>
                </c:pt>
                <c:pt idx="115">
                  <c:v>425</c:v>
                </c:pt>
                <c:pt idx="116">
                  <c:v>449</c:v>
                </c:pt>
                <c:pt idx="117">
                  <c:v>416</c:v>
                </c:pt>
                <c:pt idx="118">
                  <c:v>401</c:v>
                </c:pt>
                <c:pt idx="119">
                  <c:v>290</c:v>
                </c:pt>
                <c:pt idx="120">
                  <c:v>416</c:v>
                </c:pt>
                <c:pt idx="121">
                  <c:v>391</c:v>
                </c:pt>
                <c:pt idx="122">
                  <c:v>393</c:v>
                </c:pt>
                <c:pt idx="123">
                  <c:v>272</c:v>
                </c:pt>
                <c:pt idx="124">
                  <c:v>375</c:v>
                </c:pt>
                <c:pt idx="125">
                  <c:v>377</c:v>
                </c:pt>
                <c:pt idx="126">
                  <c:v>334</c:v>
                </c:pt>
                <c:pt idx="127">
                  <c:v>249</c:v>
                </c:pt>
                <c:pt idx="128">
                  <c:v>315</c:v>
                </c:pt>
                <c:pt idx="129">
                  <c:v>310</c:v>
                </c:pt>
                <c:pt idx="130">
                  <c:v>347</c:v>
                </c:pt>
                <c:pt idx="131">
                  <c:v>265</c:v>
                </c:pt>
                <c:pt idx="132">
                  <c:v>318</c:v>
                </c:pt>
                <c:pt idx="133">
                  <c:v>350</c:v>
                </c:pt>
                <c:pt idx="134">
                  <c:v>277</c:v>
                </c:pt>
                <c:pt idx="135">
                  <c:v>268</c:v>
                </c:pt>
                <c:pt idx="136">
                  <c:v>347</c:v>
                </c:pt>
                <c:pt idx="137">
                  <c:v>340</c:v>
                </c:pt>
                <c:pt idx="138">
                  <c:v>346</c:v>
                </c:pt>
                <c:pt idx="139">
                  <c:v>246</c:v>
                </c:pt>
                <c:pt idx="140">
                  <c:v>369</c:v>
                </c:pt>
                <c:pt idx="141">
                  <c:v>380</c:v>
                </c:pt>
                <c:pt idx="142">
                  <c:v>373</c:v>
                </c:pt>
                <c:pt idx="143">
                  <c:v>383</c:v>
                </c:pt>
                <c:pt idx="144">
                  <c:v>467</c:v>
                </c:pt>
                <c:pt idx="145">
                  <c:v>477</c:v>
                </c:pt>
                <c:pt idx="146">
                  <c:v>432</c:v>
                </c:pt>
                <c:pt idx="147">
                  <c:v>372</c:v>
                </c:pt>
                <c:pt idx="148">
                  <c:v>483</c:v>
                </c:pt>
                <c:pt idx="149">
                  <c:v>495</c:v>
                </c:pt>
                <c:pt idx="150">
                  <c:v>506</c:v>
                </c:pt>
                <c:pt idx="151">
                  <c:v>372</c:v>
                </c:pt>
                <c:pt idx="152">
                  <c:v>468</c:v>
                </c:pt>
                <c:pt idx="153">
                  <c:v>486</c:v>
                </c:pt>
                <c:pt idx="154">
                  <c:v>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5-4556-BB58-4AE1E63365E2}"/>
            </c:ext>
          </c:extLst>
        </c:ser>
        <c:ser>
          <c:idx val="2"/>
          <c:order val="2"/>
          <c:tx>
            <c:strRef>
              <c:f>'Energy Utilities'!$K$5</c:f>
              <c:strCache>
                <c:ptCount val="1"/>
                <c:pt idx="0">
                  <c:v>Total Capex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Utilities'!$H$6:$H$160</c:f>
              <c:numCache>
                <c:formatCode>mmm\-yyyy</c:formatCode>
                <c:ptCount val="155"/>
                <c:pt idx="0">
                  <c:v>31929</c:v>
                </c:pt>
                <c:pt idx="1">
                  <c:v>32021</c:v>
                </c:pt>
                <c:pt idx="2">
                  <c:v>32112</c:v>
                </c:pt>
                <c:pt idx="3">
                  <c:v>32203</c:v>
                </c:pt>
                <c:pt idx="4">
                  <c:v>32295</c:v>
                </c:pt>
                <c:pt idx="5">
                  <c:v>32387</c:v>
                </c:pt>
                <c:pt idx="6">
                  <c:v>32478</c:v>
                </c:pt>
                <c:pt idx="7">
                  <c:v>32568</c:v>
                </c:pt>
                <c:pt idx="8">
                  <c:v>32660</c:v>
                </c:pt>
                <c:pt idx="9">
                  <c:v>32752</c:v>
                </c:pt>
                <c:pt idx="10">
                  <c:v>32843</c:v>
                </c:pt>
                <c:pt idx="11">
                  <c:v>32933</c:v>
                </c:pt>
                <c:pt idx="12">
                  <c:v>33025</c:v>
                </c:pt>
                <c:pt idx="13">
                  <c:v>33117</c:v>
                </c:pt>
                <c:pt idx="14">
                  <c:v>33208</c:v>
                </c:pt>
                <c:pt idx="15">
                  <c:v>33298</c:v>
                </c:pt>
                <c:pt idx="16">
                  <c:v>33390</c:v>
                </c:pt>
                <c:pt idx="17">
                  <c:v>33482</c:v>
                </c:pt>
                <c:pt idx="18">
                  <c:v>33573</c:v>
                </c:pt>
                <c:pt idx="19">
                  <c:v>33664</c:v>
                </c:pt>
                <c:pt idx="20">
                  <c:v>33756</c:v>
                </c:pt>
                <c:pt idx="21">
                  <c:v>33848</c:v>
                </c:pt>
                <c:pt idx="22">
                  <c:v>33939</c:v>
                </c:pt>
                <c:pt idx="23">
                  <c:v>34029</c:v>
                </c:pt>
                <c:pt idx="24">
                  <c:v>34121</c:v>
                </c:pt>
                <c:pt idx="25">
                  <c:v>34213</c:v>
                </c:pt>
                <c:pt idx="26">
                  <c:v>34304</c:v>
                </c:pt>
                <c:pt idx="27">
                  <c:v>34394</c:v>
                </c:pt>
                <c:pt idx="28">
                  <c:v>34486</c:v>
                </c:pt>
                <c:pt idx="29">
                  <c:v>34578</c:v>
                </c:pt>
                <c:pt idx="30">
                  <c:v>34669</c:v>
                </c:pt>
                <c:pt idx="31">
                  <c:v>34759</c:v>
                </c:pt>
                <c:pt idx="32">
                  <c:v>34851</c:v>
                </c:pt>
                <c:pt idx="33">
                  <c:v>34943</c:v>
                </c:pt>
                <c:pt idx="34">
                  <c:v>35034</c:v>
                </c:pt>
                <c:pt idx="35">
                  <c:v>35125</c:v>
                </c:pt>
                <c:pt idx="36">
                  <c:v>35217</c:v>
                </c:pt>
                <c:pt idx="37">
                  <c:v>35309</c:v>
                </c:pt>
                <c:pt idx="38">
                  <c:v>35400</c:v>
                </c:pt>
                <c:pt idx="39">
                  <c:v>35490</c:v>
                </c:pt>
                <c:pt idx="40">
                  <c:v>35582</c:v>
                </c:pt>
                <c:pt idx="41">
                  <c:v>35674</c:v>
                </c:pt>
                <c:pt idx="42">
                  <c:v>35765</c:v>
                </c:pt>
                <c:pt idx="43">
                  <c:v>35855</c:v>
                </c:pt>
                <c:pt idx="44">
                  <c:v>35947</c:v>
                </c:pt>
                <c:pt idx="45">
                  <c:v>36039</c:v>
                </c:pt>
                <c:pt idx="46">
                  <c:v>36130</c:v>
                </c:pt>
                <c:pt idx="47">
                  <c:v>36220</c:v>
                </c:pt>
                <c:pt idx="48">
                  <c:v>36312</c:v>
                </c:pt>
                <c:pt idx="49">
                  <c:v>36404</c:v>
                </c:pt>
                <c:pt idx="50">
                  <c:v>36495</c:v>
                </c:pt>
                <c:pt idx="51">
                  <c:v>36586</c:v>
                </c:pt>
                <c:pt idx="52">
                  <c:v>36678</c:v>
                </c:pt>
                <c:pt idx="53">
                  <c:v>36770</c:v>
                </c:pt>
                <c:pt idx="54">
                  <c:v>36861</c:v>
                </c:pt>
                <c:pt idx="55">
                  <c:v>36951</c:v>
                </c:pt>
                <c:pt idx="56">
                  <c:v>37043</c:v>
                </c:pt>
                <c:pt idx="57">
                  <c:v>37135</c:v>
                </c:pt>
                <c:pt idx="58">
                  <c:v>37226</c:v>
                </c:pt>
                <c:pt idx="59">
                  <c:v>37316</c:v>
                </c:pt>
                <c:pt idx="60">
                  <c:v>37408</c:v>
                </c:pt>
                <c:pt idx="61">
                  <c:v>37500</c:v>
                </c:pt>
                <c:pt idx="62">
                  <c:v>37591</c:v>
                </c:pt>
                <c:pt idx="63">
                  <c:v>37681</c:v>
                </c:pt>
                <c:pt idx="64">
                  <c:v>37773</c:v>
                </c:pt>
                <c:pt idx="65">
                  <c:v>37865</c:v>
                </c:pt>
                <c:pt idx="66">
                  <c:v>37956</c:v>
                </c:pt>
                <c:pt idx="67">
                  <c:v>38047</c:v>
                </c:pt>
                <c:pt idx="68">
                  <c:v>38139</c:v>
                </c:pt>
                <c:pt idx="69">
                  <c:v>38231</c:v>
                </c:pt>
                <c:pt idx="70">
                  <c:v>38322</c:v>
                </c:pt>
                <c:pt idx="71">
                  <c:v>38412</c:v>
                </c:pt>
                <c:pt idx="72">
                  <c:v>38504</c:v>
                </c:pt>
                <c:pt idx="73">
                  <c:v>38596</c:v>
                </c:pt>
                <c:pt idx="74">
                  <c:v>38687</c:v>
                </c:pt>
                <c:pt idx="75">
                  <c:v>38777</c:v>
                </c:pt>
                <c:pt idx="76">
                  <c:v>38869</c:v>
                </c:pt>
                <c:pt idx="77">
                  <c:v>38961</c:v>
                </c:pt>
                <c:pt idx="78">
                  <c:v>39052</c:v>
                </c:pt>
                <c:pt idx="79">
                  <c:v>39142</c:v>
                </c:pt>
                <c:pt idx="80">
                  <c:v>39234</c:v>
                </c:pt>
                <c:pt idx="81">
                  <c:v>39326</c:v>
                </c:pt>
                <c:pt idx="82">
                  <c:v>39417</c:v>
                </c:pt>
                <c:pt idx="83">
                  <c:v>39508</c:v>
                </c:pt>
                <c:pt idx="84">
                  <c:v>39600</c:v>
                </c:pt>
                <c:pt idx="85">
                  <c:v>39692</c:v>
                </c:pt>
                <c:pt idx="86">
                  <c:v>39783</c:v>
                </c:pt>
                <c:pt idx="87">
                  <c:v>39873</c:v>
                </c:pt>
                <c:pt idx="88">
                  <c:v>39965</c:v>
                </c:pt>
                <c:pt idx="89">
                  <c:v>40057</c:v>
                </c:pt>
                <c:pt idx="90">
                  <c:v>40148</c:v>
                </c:pt>
                <c:pt idx="91">
                  <c:v>40238</c:v>
                </c:pt>
                <c:pt idx="92">
                  <c:v>40330</c:v>
                </c:pt>
                <c:pt idx="93">
                  <c:v>40422</c:v>
                </c:pt>
                <c:pt idx="94">
                  <c:v>40513</c:v>
                </c:pt>
                <c:pt idx="95">
                  <c:v>40603</c:v>
                </c:pt>
                <c:pt idx="96">
                  <c:v>40695</c:v>
                </c:pt>
                <c:pt idx="97">
                  <c:v>40787</c:v>
                </c:pt>
                <c:pt idx="98">
                  <c:v>40878</c:v>
                </c:pt>
                <c:pt idx="99">
                  <c:v>40969</c:v>
                </c:pt>
                <c:pt idx="100">
                  <c:v>41061</c:v>
                </c:pt>
                <c:pt idx="101">
                  <c:v>41153</c:v>
                </c:pt>
                <c:pt idx="102">
                  <c:v>41244</c:v>
                </c:pt>
                <c:pt idx="103">
                  <c:v>41334</c:v>
                </c:pt>
                <c:pt idx="104">
                  <c:v>41426</c:v>
                </c:pt>
                <c:pt idx="105">
                  <c:v>41518</c:v>
                </c:pt>
                <c:pt idx="106">
                  <c:v>41609</c:v>
                </c:pt>
                <c:pt idx="107">
                  <c:v>41699</c:v>
                </c:pt>
                <c:pt idx="108">
                  <c:v>41791</c:v>
                </c:pt>
                <c:pt idx="109">
                  <c:v>41883</c:v>
                </c:pt>
                <c:pt idx="110">
                  <c:v>41974</c:v>
                </c:pt>
                <c:pt idx="111">
                  <c:v>42064</c:v>
                </c:pt>
                <c:pt idx="112">
                  <c:v>42156</c:v>
                </c:pt>
                <c:pt idx="113">
                  <c:v>42248</c:v>
                </c:pt>
                <c:pt idx="114">
                  <c:v>42339</c:v>
                </c:pt>
                <c:pt idx="115">
                  <c:v>42430</c:v>
                </c:pt>
                <c:pt idx="116">
                  <c:v>42522</c:v>
                </c:pt>
                <c:pt idx="117">
                  <c:v>42614</c:v>
                </c:pt>
                <c:pt idx="118">
                  <c:v>42705</c:v>
                </c:pt>
                <c:pt idx="119">
                  <c:v>42795</c:v>
                </c:pt>
                <c:pt idx="120">
                  <c:v>42887</c:v>
                </c:pt>
                <c:pt idx="121">
                  <c:v>42979</c:v>
                </c:pt>
                <c:pt idx="122">
                  <c:v>43070</c:v>
                </c:pt>
                <c:pt idx="123">
                  <c:v>43160</c:v>
                </c:pt>
                <c:pt idx="124">
                  <c:v>43252</c:v>
                </c:pt>
                <c:pt idx="125">
                  <c:v>43344</c:v>
                </c:pt>
                <c:pt idx="126">
                  <c:v>43435</c:v>
                </c:pt>
                <c:pt idx="127">
                  <c:v>43525</c:v>
                </c:pt>
                <c:pt idx="128">
                  <c:v>43617</c:v>
                </c:pt>
                <c:pt idx="129">
                  <c:v>43709</c:v>
                </c:pt>
                <c:pt idx="130">
                  <c:v>43800</c:v>
                </c:pt>
                <c:pt idx="131">
                  <c:v>43891</c:v>
                </c:pt>
                <c:pt idx="132">
                  <c:v>43983</c:v>
                </c:pt>
                <c:pt idx="133">
                  <c:v>44075</c:v>
                </c:pt>
                <c:pt idx="134">
                  <c:v>44166</c:v>
                </c:pt>
                <c:pt idx="135">
                  <c:v>44256</c:v>
                </c:pt>
                <c:pt idx="136">
                  <c:v>44348</c:v>
                </c:pt>
                <c:pt idx="137">
                  <c:v>44440</c:v>
                </c:pt>
                <c:pt idx="138">
                  <c:v>44531</c:v>
                </c:pt>
                <c:pt idx="139">
                  <c:v>44621</c:v>
                </c:pt>
                <c:pt idx="140">
                  <c:v>44713</c:v>
                </c:pt>
                <c:pt idx="141">
                  <c:v>44805</c:v>
                </c:pt>
                <c:pt idx="142">
                  <c:v>44896</c:v>
                </c:pt>
                <c:pt idx="143">
                  <c:v>44986</c:v>
                </c:pt>
                <c:pt idx="144">
                  <c:v>45078</c:v>
                </c:pt>
                <c:pt idx="145">
                  <c:v>45170</c:v>
                </c:pt>
                <c:pt idx="146">
                  <c:v>45261</c:v>
                </c:pt>
                <c:pt idx="147">
                  <c:v>45352</c:v>
                </c:pt>
                <c:pt idx="148">
                  <c:v>45444</c:v>
                </c:pt>
                <c:pt idx="149">
                  <c:v>45536</c:v>
                </c:pt>
                <c:pt idx="150">
                  <c:v>45627</c:v>
                </c:pt>
                <c:pt idx="151">
                  <c:v>45717</c:v>
                </c:pt>
                <c:pt idx="152">
                  <c:v>45809</c:v>
                </c:pt>
                <c:pt idx="153">
                  <c:v>45901</c:v>
                </c:pt>
                <c:pt idx="154">
                  <c:v>45992</c:v>
                </c:pt>
              </c:numCache>
            </c:numRef>
          </c:cat>
          <c:val>
            <c:numRef>
              <c:f>'Energy Utilities'!$K$6:$K$160</c:f>
              <c:numCache>
                <c:formatCode>#,##0</c:formatCode>
                <c:ptCount val="155"/>
                <c:pt idx="0">
                  <c:v>21</c:v>
                </c:pt>
                <c:pt idx="1">
                  <c:v>17</c:v>
                </c:pt>
                <c:pt idx="2">
                  <c:v>21</c:v>
                </c:pt>
                <c:pt idx="3">
                  <c:v>17</c:v>
                </c:pt>
                <c:pt idx="4">
                  <c:v>24</c:v>
                </c:pt>
                <c:pt idx="5">
                  <c:v>20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34</c:v>
                </c:pt>
                <c:pt idx="10">
                  <c:v>35</c:v>
                </c:pt>
                <c:pt idx="11">
                  <c:v>22</c:v>
                </c:pt>
                <c:pt idx="12">
                  <c:v>31</c:v>
                </c:pt>
                <c:pt idx="13">
                  <c:v>17</c:v>
                </c:pt>
                <c:pt idx="14">
                  <c:v>14</c:v>
                </c:pt>
                <c:pt idx="15">
                  <c:v>14</c:v>
                </c:pt>
                <c:pt idx="16">
                  <c:v>18</c:v>
                </c:pt>
                <c:pt idx="17">
                  <c:v>15</c:v>
                </c:pt>
                <c:pt idx="18">
                  <c:v>19</c:v>
                </c:pt>
                <c:pt idx="19">
                  <c:v>15</c:v>
                </c:pt>
                <c:pt idx="20">
                  <c:v>16</c:v>
                </c:pt>
                <c:pt idx="21">
                  <c:v>15</c:v>
                </c:pt>
                <c:pt idx="22">
                  <c:v>21</c:v>
                </c:pt>
                <c:pt idx="23">
                  <c:v>18</c:v>
                </c:pt>
                <c:pt idx="24">
                  <c:v>13</c:v>
                </c:pt>
                <c:pt idx="25">
                  <c:v>19</c:v>
                </c:pt>
                <c:pt idx="26">
                  <c:v>20</c:v>
                </c:pt>
                <c:pt idx="27">
                  <c:v>15</c:v>
                </c:pt>
                <c:pt idx="28">
                  <c:v>25</c:v>
                </c:pt>
                <c:pt idx="29">
                  <c:v>26</c:v>
                </c:pt>
                <c:pt idx="30">
                  <c:v>26</c:v>
                </c:pt>
                <c:pt idx="31">
                  <c:v>23</c:v>
                </c:pt>
                <c:pt idx="32">
                  <c:v>60</c:v>
                </c:pt>
                <c:pt idx="33">
                  <c:v>53</c:v>
                </c:pt>
                <c:pt idx="34">
                  <c:v>81</c:v>
                </c:pt>
                <c:pt idx="35">
                  <c:v>159</c:v>
                </c:pt>
                <c:pt idx="36">
                  <c:v>167</c:v>
                </c:pt>
                <c:pt idx="37">
                  <c:v>193</c:v>
                </c:pt>
                <c:pt idx="38">
                  <c:v>232</c:v>
                </c:pt>
                <c:pt idx="39">
                  <c:v>144</c:v>
                </c:pt>
                <c:pt idx="40">
                  <c:v>189</c:v>
                </c:pt>
                <c:pt idx="41">
                  <c:v>183</c:v>
                </c:pt>
                <c:pt idx="42">
                  <c:v>274</c:v>
                </c:pt>
                <c:pt idx="43">
                  <c:v>184</c:v>
                </c:pt>
                <c:pt idx="44">
                  <c:v>213</c:v>
                </c:pt>
                <c:pt idx="45">
                  <c:v>205</c:v>
                </c:pt>
                <c:pt idx="46">
                  <c:v>261</c:v>
                </c:pt>
                <c:pt idx="47">
                  <c:v>319</c:v>
                </c:pt>
                <c:pt idx="48">
                  <c:v>358</c:v>
                </c:pt>
                <c:pt idx="49">
                  <c:v>491</c:v>
                </c:pt>
                <c:pt idx="50">
                  <c:v>322</c:v>
                </c:pt>
                <c:pt idx="51">
                  <c:v>218</c:v>
                </c:pt>
                <c:pt idx="52">
                  <c:v>353</c:v>
                </c:pt>
                <c:pt idx="53">
                  <c:v>402</c:v>
                </c:pt>
                <c:pt idx="54">
                  <c:v>343</c:v>
                </c:pt>
                <c:pt idx="55">
                  <c:v>356</c:v>
                </c:pt>
                <c:pt idx="56">
                  <c:v>409</c:v>
                </c:pt>
                <c:pt idx="57">
                  <c:v>488</c:v>
                </c:pt>
                <c:pt idx="58">
                  <c:v>735</c:v>
                </c:pt>
                <c:pt idx="59">
                  <c:v>528</c:v>
                </c:pt>
                <c:pt idx="60">
                  <c:v>613</c:v>
                </c:pt>
                <c:pt idx="61">
                  <c:v>463</c:v>
                </c:pt>
                <c:pt idx="62">
                  <c:v>536</c:v>
                </c:pt>
                <c:pt idx="63">
                  <c:v>420</c:v>
                </c:pt>
                <c:pt idx="64">
                  <c:v>466</c:v>
                </c:pt>
                <c:pt idx="65">
                  <c:v>500</c:v>
                </c:pt>
                <c:pt idx="66">
                  <c:v>624</c:v>
                </c:pt>
                <c:pt idx="67">
                  <c:v>482</c:v>
                </c:pt>
                <c:pt idx="68">
                  <c:v>581</c:v>
                </c:pt>
                <c:pt idx="69">
                  <c:v>494</c:v>
                </c:pt>
                <c:pt idx="70">
                  <c:v>632</c:v>
                </c:pt>
                <c:pt idx="71">
                  <c:v>534</c:v>
                </c:pt>
                <c:pt idx="72">
                  <c:v>534</c:v>
                </c:pt>
                <c:pt idx="73">
                  <c:v>544</c:v>
                </c:pt>
                <c:pt idx="74">
                  <c:v>600</c:v>
                </c:pt>
                <c:pt idx="75">
                  <c:v>488</c:v>
                </c:pt>
                <c:pt idx="76">
                  <c:v>631</c:v>
                </c:pt>
                <c:pt idx="77">
                  <c:v>698</c:v>
                </c:pt>
                <c:pt idx="78">
                  <c:v>842</c:v>
                </c:pt>
                <c:pt idx="79">
                  <c:v>703</c:v>
                </c:pt>
                <c:pt idx="80">
                  <c:v>887</c:v>
                </c:pt>
                <c:pt idx="81">
                  <c:v>778</c:v>
                </c:pt>
                <c:pt idx="82">
                  <c:v>1042</c:v>
                </c:pt>
                <c:pt idx="83">
                  <c:v>978</c:v>
                </c:pt>
                <c:pt idx="84">
                  <c:v>1026</c:v>
                </c:pt>
                <c:pt idx="85">
                  <c:v>967</c:v>
                </c:pt>
                <c:pt idx="86">
                  <c:v>1662</c:v>
                </c:pt>
                <c:pt idx="87">
                  <c:v>1218</c:v>
                </c:pt>
                <c:pt idx="88">
                  <c:v>1710</c:v>
                </c:pt>
                <c:pt idx="89">
                  <c:v>1243</c:v>
                </c:pt>
                <c:pt idx="90">
                  <c:v>1549</c:v>
                </c:pt>
                <c:pt idx="91">
                  <c:v>1183</c:v>
                </c:pt>
                <c:pt idx="92">
                  <c:v>1752</c:v>
                </c:pt>
                <c:pt idx="93">
                  <c:v>1577</c:v>
                </c:pt>
                <c:pt idx="94">
                  <c:v>1730</c:v>
                </c:pt>
                <c:pt idx="95">
                  <c:v>1391</c:v>
                </c:pt>
                <c:pt idx="96">
                  <c:v>1495</c:v>
                </c:pt>
                <c:pt idx="97">
                  <c:v>1214</c:v>
                </c:pt>
                <c:pt idx="98">
                  <c:v>1424</c:v>
                </c:pt>
                <c:pt idx="99">
                  <c:v>1280</c:v>
                </c:pt>
                <c:pt idx="100">
                  <c:v>1495</c:v>
                </c:pt>
                <c:pt idx="101">
                  <c:v>1380</c:v>
                </c:pt>
                <c:pt idx="102">
                  <c:v>1479</c:v>
                </c:pt>
                <c:pt idx="103">
                  <c:v>1228</c:v>
                </c:pt>
                <c:pt idx="104">
                  <c:v>1395</c:v>
                </c:pt>
                <c:pt idx="105">
                  <c:v>1474</c:v>
                </c:pt>
                <c:pt idx="106">
                  <c:v>1579</c:v>
                </c:pt>
                <c:pt idx="107">
                  <c:v>1210</c:v>
                </c:pt>
                <c:pt idx="108">
                  <c:v>1552</c:v>
                </c:pt>
                <c:pt idx="109">
                  <c:v>1319</c:v>
                </c:pt>
                <c:pt idx="110">
                  <c:v>1415</c:v>
                </c:pt>
                <c:pt idx="111">
                  <c:v>1051</c:v>
                </c:pt>
                <c:pt idx="112">
                  <c:v>1312</c:v>
                </c:pt>
                <c:pt idx="113">
                  <c:v>1350</c:v>
                </c:pt>
                <c:pt idx="114">
                  <c:v>1543</c:v>
                </c:pt>
                <c:pt idx="115">
                  <c:v>1134</c:v>
                </c:pt>
                <c:pt idx="116">
                  <c:v>1378</c:v>
                </c:pt>
                <c:pt idx="117">
                  <c:v>1207</c:v>
                </c:pt>
                <c:pt idx="118">
                  <c:v>1410</c:v>
                </c:pt>
                <c:pt idx="119">
                  <c:v>1248</c:v>
                </c:pt>
                <c:pt idx="120">
                  <c:v>1540</c:v>
                </c:pt>
                <c:pt idx="121">
                  <c:v>1804</c:v>
                </c:pt>
                <c:pt idx="122">
                  <c:v>2181</c:v>
                </c:pt>
                <c:pt idx="123">
                  <c:v>1957</c:v>
                </c:pt>
                <c:pt idx="124">
                  <c:v>2657</c:v>
                </c:pt>
                <c:pt idx="125">
                  <c:v>2332</c:v>
                </c:pt>
                <c:pt idx="126">
                  <c:v>2651</c:v>
                </c:pt>
                <c:pt idx="127">
                  <c:v>2206</c:v>
                </c:pt>
                <c:pt idx="128">
                  <c:v>2700</c:v>
                </c:pt>
                <c:pt idx="129">
                  <c:v>2428</c:v>
                </c:pt>
                <c:pt idx="130">
                  <c:v>2783</c:v>
                </c:pt>
                <c:pt idx="131">
                  <c:v>2171</c:v>
                </c:pt>
                <c:pt idx="132">
                  <c:v>2270</c:v>
                </c:pt>
                <c:pt idx="133">
                  <c:v>2196</c:v>
                </c:pt>
                <c:pt idx="134">
                  <c:v>2300</c:v>
                </c:pt>
                <c:pt idx="135">
                  <c:v>2006</c:v>
                </c:pt>
                <c:pt idx="136">
                  <c:v>2694</c:v>
                </c:pt>
                <c:pt idx="137">
                  <c:v>2430</c:v>
                </c:pt>
                <c:pt idx="138">
                  <c:v>2515</c:v>
                </c:pt>
                <c:pt idx="139">
                  <c:v>2322</c:v>
                </c:pt>
                <c:pt idx="140">
                  <c:v>2782</c:v>
                </c:pt>
                <c:pt idx="141">
                  <c:v>2857</c:v>
                </c:pt>
                <c:pt idx="142">
                  <c:v>3236</c:v>
                </c:pt>
                <c:pt idx="143">
                  <c:v>2924</c:v>
                </c:pt>
                <c:pt idx="144">
                  <c:v>3411</c:v>
                </c:pt>
                <c:pt idx="145">
                  <c:v>3046</c:v>
                </c:pt>
                <c:pt idx="146">
                  <c:v>3840</c:v>
                </c:pt>
                <c:pt idx="147">
                  <c:v>3240</c:v>
                </c:pt>
                <c:pt idx="148">
                  <c:v>4020</c:v>
                </c:pt>
                <c:pt idx="149">
                  <c:v>3862</c:v>
                </c:pt>
                <c:pt idx="150">
                  <c:v>4771</c:v>
                </c:pt>
                <c:pt idx="151">
                  <c:v>3888</c:v>
                </c:pt>
                <c:pt idx="152">
                  <c:v>4414</c:v>
                </c:pt>
                <c:pt idx="153">
                  <c:v>4070</c:v>
                </c:pt>
                <c:pt idx="154">
                  <c:v>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5-4556-BB58-4AE1E633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070304"/>
        <c:axId val="46955967"/>
      </c:lineChart>
      <c:dateAx>
        <c:axId val="1778070304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5967"/>
        <c:crosses val="autoZero"/>
        <c:auto val="1"/>
        <c:lblOffset val="100"/>
        <c:baseTimeUnit val="months"/>
      </c:dateAx>
      <c:valAx>
        <c:axId val="469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7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Utilities Capex — Annual by Asset Type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'Energy Utilities'!$C$22</c:f>
              <c:strCache>
                <c:ptCount val="1"/>
                <c:pt idx="0">
                  <c:v>Buildings &amp; Structures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Utilities'!$B$23:$B$60</c:f>
              <c:numCache>
                <c:formatCode>General</c:formatCode>
                <c:ptCount val="38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  <c:pt idx="34">
                  <c:v>2022</c:v>
                </c:pt>
                <c:pt idx="35">
                  <c:v>2023</c:v>
                </c:pt>
                <c:pt idx="36">
                  <c:v>2024</c:v>
                </c:pt>
                <c:pt idx="37">
                  <c:v>2025</c:v>
                </c:pt>
              </c:numCache>
            </c:numRef>
          </c:cat>
          <c:val>
            <c:numRef>
              <c:f>'Energy Utilities'!$C$23:$C$60</c:f>
              <c:numCache>
                <c:formatCode>#,##0</c:formatCode>
                <c:ptCount val="38"/>
                <c:pt idx="0">
                  <c:v>50</c:v>
                </c:pt>
                <c:pt idx="1">
                  <c:v>41</c:v>
                </c:pt>
                <c:pt idx="2">
                  <c:v>54</c:v>
                </c:pt>
                <c:pt idx="3">
                  <c:v>33</c:v>
                </c:pt>
                <c:pt idx="4">
                  <c:v>40</c:v>
                </c:pt>
                <c:pt idx="5">
                  <c:v>42</c:v>
                </c:pt>
                <c:pt idx="6">
                  <c:v>67</c:v>
                </c:pt>
                <c:pt idx="7">
                  <c:v>123</c:v>
                </c:pt>
                <c:pt idx="8">
                  <c:v>240</c:v>
                </c:pt>
                <c:pt idx="9">
                  <c:v>226</c:v>
                </c:pt>
                <c:pt idx="10">
                  <c:v>239</c:v>
                </c:pt>
                <c:pt idx="11">
                  <c:v>432</c:v>
                </c:pt>
                <c:pt idx="12">
                  <c:v>399</c:v>
                </c:pt>
                <c:pt idx="13">
                  <c:v>543</c:v>
                </c:pt>
                <c:pt idx="14">
                  <c:v>854</c:v>
                </c:pt>
                <c:pt idx="15">
                  <c:v>738</c:v>
                </c:pt>
                <c:pt idx="16">
                  <c:v>1261</c:v>
                </c:pt>
                <c:pt idx="17">
                  <c:v>1364</c:v>
                </c:pt>
                <c:pt idx="18">
                  <c:v>1638</c:v>
                </c:pt>
                <c:pt idx="19">
                  <c:v>2463</c:v>
                </c:pt>
                <c:pt idx="20">
                  <c:v>3236</c:v>
                </c:pt>
                <c:pt idx="21">
                  <c:v>4448</c:v>
                </c:pt>
                <c:pt idx="22">
                  <c:v>4862</c:v>
                </c:pt>
                <c:pt idx="23">
                  <c:v>3518</c:v>
                </c:pt>
                <c:pt idx="24">
                  <c:v>3224</c:v>
                </c:pt>
                <c:pt idx="25">
                  <c:v>3358</c:v>
                </c:pt>
                <c:pt idx="26">
                  <c:v>3506</c:v>
                </c:pt>
                <c:pt idx="27">
                  <c:v>3352</c:v>
                </c:pt>
                <c:pt idx="28">
                  <c:v>3438</c:v>
                </c:pt>
                <c:pt idx="29">
                  <c:v>5284</c:v>
                </c:pt>
                <c:pt idx="30">
                  <c:v>8239</c:v>
                </c:pt>
                <c:pt idx="31">
                  <c:v>8896</c:v>
                </c:pt>
                <c:pt idx="32">
                  <c:v>7726</c:v>
                </c:pt>
                <c:pt idx="33">
                  <c:v>8345</c:v>
                </c:pt>
                <c:pt idx="34">
                  <c:v>9829</c:v>
                </c:pt>
                <c:pt idx="35">
                  <c:v>11461</c:v>
                </c:pt>
                <c:pt idx="36">
                  <c:v>14037</c:v>
                </c:pt>
                <c:pt idx="37">
                  <c:v>15784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3-4C5C-90DC-AA923BA02929}"/>
            </c:ext>
          </c:extLst>
        </c:ser>
        <c:ser>
          <c:idx val="2"/>
          <c:order val="1"/>
          <c:tx>
            <c:strRef>
              <c:f>'Energy Utilities'!$D$22</c:f>
              <c:strCache>
                <c:ptCount val="1"/>
                <c:pt idx="0">
                  <c:v>Equipment, Plant &amp; Machinery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'Energy Utilities'!$B$23:$B$60</c:f>
              <c:numCache>
                <c:formatCode>General</c:formatCode>
                <c:ptCount val="38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  <c:pt idx="34">
                  <c:v>2022</c:v>
                </c:pt>
                <c:pt idx="35">
                  <c:v>2023</c:v>
                </c:pt>
                <c:pt idx="36">
                  <c:v>2024</c:v>
                </c:pt>
                <c:pt idx="37">
                  <c:v>2025</c:v>
                </c:pt>
              </c:numCache>
            </c:numRef>
          </c:cat>
          <c:val>
            <c:numRef>
              <c:f>'Energy Utilities'!$D$23:$D$60</c:f>
              <c:numCache>
                <c:formatCode>#,##0</c:formatCode>
                <c:ptCount val="38"/>
                <c:pt idx="0">
                  <c:v>29</c:v>
                </c:pt>
                <c:pt idx="1">
                  <c:v>62</c:v>
                </c:pt>
                <c:pt idx="2">
                  <c:v>27</c:v>
                </c:pt>
                <c:pt idx="3">
                  <c:v>34</c:v>
                </c:pt>
                <c:pt idx="4">
                  <c:v>27</c:v>
                </c:pt>
                <c:pt idx="5">
                  <c:v>28</c:v>
                </c:pt>
                <c:pt idx="6">
                  <c:v>25</c:v>
                </c:pt>
                <c:pt idx="7">
                  <c:v>93</c:v>
                </c:pt>
                <c:pt idx="8">
                  <c:v>510</c:v>
                </c:pt>
                <c:pt idx="9">
                  <c:v>565</c:v>
                </c:pt>
                <c:pt idx="10">
                  <c:v>623</c:v>
                </c:pt>
                <c:pt idx="11">
                  <c:v>1057</c:v>
                </c:pt>
                <c:pt idx="12">
                  <c:v>917</c:v>
                </c:pt>
                <c:pt idx="13">
                  <c:v>1444</c:v>
                </c:pt>
                <c:pt idx="14">
                  <c:v>1287</c:v>
                </c:pt>
                <c:pt idx="15">
                  <c:v>1272</c:v>
                </c:pt>
                <c:pt idx="16">
                  <c:v>928</c:v>
                </c:pt>
                <c:pt idx="17">
                  <c:v>848</c:v>
                </c:pt>
                <c:pt idx="18">
                  <c:v>1020</c:v>
                </c:pt>
                <c:pt idx="19">
                  <c:v>946</c:v>
                </c:pt>
                <c:pt idx="20">
                  <c:v>1397</c:v>
                </c:pt>
                <c:pt idx="21">
                  <c:v>1271</c:v>
                </c:pt>
                <c:pt idx="22">
                  <c:v>1381</c:v>
                </c:pt>
                <c:pt idx="23">
                  <c:v>2006</c:v>
                </c:pt>
                <c:pt idx="24">
                  <c:v>2410</c:v>
                </c:pt>
                <c:pt idx="25">
                  <c:v>2318</c:v>
                </c:pt>
                <c:pt idx="26">
                  <c:v>1991</c:v>
                </c:pt>
                <c:pt idx="27">
                  <c:v>1906</c:v>
                </c:pt>
                <c:pt idx="28">
                  <c:v>1691</c:v>
                </c:pt>
                <c:pt idx="29">
                  <c:v>1490</c:v>
                </c:pt>
                <c:pt idx="30">
                  <c:v>1358</c:v>
                </c:pt>
                <c:pt idx="31">
                  <c:v>1221</c:v>
                </c:pt>
                <c:pt idx="32">
                  <c:v>1210</c:v>
                </c:pt>
                <c:pt idx="33">
                  <c:v>1301</c:v>
                </c:pt>
                <c:pt idx="34">
                  <c:v>1368</c:v>
                </c:pt>
                <c:pt idx="35">
                  <c:v>1759</c:v>
                </c:pt>
                <c:pt idx="36">
                  <c:v>1856</c:v>
                </c:pt>
                <c:pt idx="37">
                  <c:v>1870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63-4C5C-90DC-AA923BA0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03295"/>
        <c:axId val="46950687"/>
      </c:barChart>
      <c:catAx>
        <c:axId val="5850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0687"/>
        <c:crosses val="autoZero"/>
        <c:auto val="1"/>
        <c:lblAlgn val="ctr"/>
        <c:lblOffset val="100"/>
        <c:noMultiLvlLbl val="0"/>
      </c:catAx>
      <c:valAx>
        <c:axId val="4695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EB46A-DA5B-6D3B-79BA-B66F99D8D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8DAC0-9DD6-3DBE-BB0F-23A26987D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3489C9-E686-4784-9901-2DE035C592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0d86c80-a162-430f-a86d-2e2bca2c0d1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0"/>
  <sheetViews>
    <sheetView showGridLines="0" workbookViewId="0">
      <pane ySplit="11" topLeftCell="A42" activePane="bottomLeft" state="frozen"/>
      <selection pane="bottomLeft" activeCell="A16" sqref="A16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11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127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128</v>
      </c>
    </row>
    <row r="6" spans="1:13" ht="15.75" customHeight="1" x14ac:dyDescent="0.2">
      <c r="B6" s="19" t="s">
        <v>129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133</v>
      </c>
    </row>
    <row r="9" spans="1:13" s="16" customFormat="1" x14ac:dyDescent="0.2"/>
    <row r="10" spans="1:13" ht="22.5" customHeight="1" x14ac:dyDescent="0.2">
      <c r="A10" s="17" t="s">
        <v>134</v>
      </c>
      <c r="B10" s="17"/>
      <c r="C10" s="17"/>
      <c r="D10" s="17" t="s">
        <v>58</v>
      </c>
      <c r="E10" s="17" t="s">
        <v>65</v>
      </c>
      <c r="F10" s="17" t="s">
        <v>62</v>
      </c>
      <c r="G10" s="17" t="s">
        <v>63</v>
      </c>
      <c r="H10" s="17" t="s">
        <v>135</v>
      </c>
      <c r="I10" s="17" t="s">
        <v>57</v>
      </c>
      <c r="J10" s="17" t="s">
        <v>59</v>
      </c>
      <c r="K10" s="17" t="s">
        <v>136</v>
      </c>
      <c r="L10" s="17" t="s">
        <v>61</v>
      </c>
    </row>
    <row r="12" spans="1:13" x14ac:dyDescent="0.2">
      <c r="A12" s="10" t="s">
        <v>0</v>
      </c>
      <c r="D12" s="10" t="s">
        <v>67</v>
      </c>
      <c r="E12" s="18" t="s">
        <v>70</v>
      </c>
      <c r="F12" s="9">
        <v>31929</v>
      </c>
      <c r="G12" s="9">
        <v>45992</v>
      </c>
      <c r="H12" s="10">
        <v>155</v>
      </c>
      <c r="I12" s="10" t="s">
        <v>66</v>
      </c>
      <c r="J12" s="10" t="s">
        <v>68</v>
      </c>
      <c r="K12" s="10" t="s">
        <v>69</v>
      </c>
      <c r="L12" s="10">
        <v>3</v>
      </c>
    </row>
    <row r="13" spans="1:13" x14ac:dyDescent="0.2">
      <c r="A13" s="10" t="s">
        <v>1</v>
      </c>
      <c r="D13" s="10" t="s">
        <v>67</v>
      </c>
      <c r="E13" s="18" t="s">
        <v>71</v>
      </c>
      <c r="F13" s="9">
        <v>31929</v>
      </c>
      <c r="G13" s="9">
        <v>45992</v>
      </c>
      <c r="H13" s="10">
        <v>155</v>
      </c>
      <c r="I13" s="10" t="s">
        <v>66</v>
      </c>
      <c r="J13" s="10" t="s">
        <v>68</v>
      </c>
      <c r="K13" s="10" t="s">
        <v>69</v>
      </c>
      <c r="L13" s="10">
        <v>3</v>
      </c>
    </row>
    <row r="14" spans="1:13" x14ac:dyDescent="0.2">
      <c r="A14" s="10" t="s">
        <v>2</v>
      </c>
      <c r="D14" s="10" t="s">
        <v>67</v>
      </c>
      <c r="E14" s="18" t="s">
        <v>72</v>
      </c>
      <c r="F14" s="9">
        <v>31929</v>
      </c>
      <c r="G14" s="9">
        <v>45992</v>
      </c>
      <c r="H14" s="10">
        <v>155</v>
      </c>
      <c r="I14" s="10" t="s">
        <v>66</v>
      </c>
      <c r="J14" s="10" t="s">
        <v>68</v>
      </c>
      <c r="K14" s="10" t="s">
        <v>69</v>
      </c>
      <c r="L14" s="10">
        <v>3</v>
      </c>
    </row>
    <row r="15" spans="1:13" x14ac:dyDescent="0.2">
      <c r="A15" s="10" t="s">
        <v>3</v>
      </c>
      <c r="D15" s="10" t="s">
        <v>67</v>
      </c>
      <c r="E15" s="18" t="s">
        <v>73</v>
      </c>
      <c r="F15" s="9">
        <v>31929</v>
      </c>
      <c r="G15" s="9">
        <v>45992</v>
      </c>
      <c r="H15" s="10">
        <v>155</v>
      </c>
      <c r="I15" s="10" t="s">
        <v>66</v>
      </c>
      <c r="J15" s="10" t="s">
        <v>68</v>
      </c>
      <c r="K15" s="10" t="s">
        <v>69</v>
      </c>
      <c r="L15" s="10">
        <v>3</v>
      </c>
    </row>
    <row r="16" spans="1:13" x14ac:dyDescent="0.2">
      <c r="A16" s="10" t="s">
        <v>4</v>
      </c>
      <c r="D16" s="10" t="s">
        <v>67</v>
      </c>
      <c r="E16" s="18" t="s">
        <v>74</v>
      </c>
      <c r="F16" s="9">
        <v>31929</v>
      </c>
      <c r="G16" s="9">
        <v>45992</v>
      </c>
      <c r="H16" s="10">
        <v>155</v>
      </c>
      <c r="I16" s="10" t="s">
        <v>66</v>
      </c>
      <c r="J16" s="10" t="s">
        <v>68</v>
      </c>
      <c r="K16" s="10" t="s">
        <v>69</v>
      </c>
      <c r="L16" s="10">
        <v>3</v>
      </c>
    </row>
    <row r="17" spans="1:12" x14ac:dyDescent="0.2">
      <c r="A17" s="10" t="s">
        <v>5</v>
      </c>
      <c r="D17" s="10" t="s">
        <v>67</v>
      </c>
      <c r="E17" s="18" t="s">
        <v>75</v>
      </c>
      <c r="F17" s="9">
        <v>31929</v>
      </c>
      <c r="G17" s="9">
        <v>45992</v>
      </c>
      <c r="H17" s="10">
        <v>155</v>
      </c>
      <c r="I17" s="10" t="s">
        <v>66</v>
      </c>
      <c r="J17" s="10" t="s">
        <v>68</v>
      </c>
      <c r="K17" s="10" t="s">
        <v>69</v>
      </c>
      <c r="L17" s="10">
        <v>3</v>
      </c>
    </row>
    <row r="18" spans="1:12" x14ac:dyDescent="0.2">
      <c r="A18" s="10" t="s">
        <v>6</v>
      </c>
      <c r="D18" s="10" t="s">
        <v>67</v>
      </c>
      <c r="E18" s="18" t="s">
        <v>76</v>
      </c>
      <c r="F18" s="9">
        <v>31929</v>
      </c>
      <c r="G18" s="9">
        <v>45992</v>
      </c>
      <c r="H18" s="10">
        <v>155</v>
      </c>
      <c r="I18" s="10" t="s">
        <v>66</v>
      </c>
      <c r="J18" s="10" t="s">
        <v>68</v>
      </c>
      <c r="K18" s="10" t="s">
        <v>69</v>
      </c>
      <c r="L18" s="10">
        <v>3</v>
      </c>
    </row>
    <row r="19" spans="1:12" x14ac:dyDescent="0.2">
      <c r="A19" s="10" t="s">
        <v>7</v>
      </c>
      <c r="D19" s="10" t="s">
        <v>67</v>
      </c>
      <c r="E19" s="18" t="s">
        <v>77</v>
      </c>
      <c r="F19" s="9">
        <v>31929</v>
      </c>
      <c r="G19" s="9">
        <v>45992</v>
      </c>
      <c r="H19" s="10">
        <v>155</v>
      </c>
      <c r="I19" s="10" t="s">
        <v>66</v>
      </c>
      <c r="J19" s="10" t="s">
        <v>68</v>
      </c>
      <c r="K19" s="10" t="s">
        <v>69</v>
      </c>
      <c r="L19" s="10">
        <v>3</v>
      </c>
    </row>
    <row r="20" spans="1:12" x14ac:dyDescent="0.2">
      <c r="A20" s="10" t="s">
        <v>8</v>
      </c>
      <c r="D20" s="10" t="s">
        <v>67</v>
      </c>
      <c r="E20" s="18" t="s">
        <v>78</v>
      </c>
      <c r="F20" s="9">
        <v>31929</v>
      </c>
      <c r="G20" s="9">
        <v>45992</v>
      </c>
      <c r="H20" s="10">
        <v>155</v>
      </c>
      <c r="I20" s="10" t="s">
        <v>66</v>
      </c>
      <c r="J20" s="10" t="s">
        <v>68</v>
      </c>
      <c r="K20" s="10" t="s">
        <v>69</v>
      </c>
      <c r="L20" s="10">
        <v>3</v>
      </c>
    </row>
    <row r="21" spans="1:12" x14ac:dyDescent="0.2">
      <c r="A21" s="10" t="s">
        <v>9</v>
      </c>
      <c r="D21" s="10" t="s">
        <v>67</v>
      </c>
      <c r="E21" s="18" t="s">
        <v>79</v>
      </c>
      <c r="F21" s="9">
        <v>31929</v>
      </c>
      <c r="G21" s="9">
        <v>45992</v>
      </c>
      <c r="H21" s="10">
        <v>155</v>
      </c>
      <c r="I21" s="10" t="s">
        <v>66</v>
      </c>
      <c r="J21" s="10" t="s">
        <v>68</v>
      </c>
      <c r="K21" s="10" t="s">
        <v>69</v>
      </c>
      <c r="L21" s="10">
        <v>3</v>
      </c>
    </row>
    <row r="22" spans="1:12" x14ac:dyDescent="0.2">
      <c r="A22" s="10" t="s">
        <v>10</v>
      </c>
      <c r="D22" s="10" t="s">
        <v>67</v>
      </c>
      <c r="E22" s="18" t="s">
        <v>80</v>
      </c>
      <c r="F22" s="9">
        <v>31929</v>
      </c>
      <c r="G22" s="9">
        <v>45992</v>
      </c>
      <c r="H22" s="10">
        <v>155</v>
      </c>
      <c r="I22" s="10" t="s">
        <v>66</v>
      </c>
      <c r="J22" s="10" t="s">
        <v>68</v>
      </c>
      <c r="K22" s="10" t="s">
        <v>69</v>
      </c>
      <c r="L22" s="10">
        <v>3</v>
      </c>
    </row>
    <row r="23" spans="1:12" x14ac:dyDescent="0.2">
      <c r="A23" s="10" t="s">
        <v>11</v>
      </c>
      <c r="D23" s="10" t="s">
        <v>67</v>
      </c>
      <c r="E23" s="18" t="s">
        <v>81</v>
      </c>
      <c r="F23" s="9">
        <v>31929</v>
      </c>
      <c r="G23" s="9">
        <v>45992</v>
      </c>
      <c r="H23" s="10">
        <v>155</v>
      </c>
      <c r="I23" s="10" t="s">
        <v>66</v>
      </c>
      <c r="J23" s="10" t="s">
        <v>68</v>
      </c>
      <c r="K23" s="10" t="s">
        <v>69</v>
      </c>
      <c r="L23" s="10">
        <v>3</v>
      </c>
    </row>
    <row r="24" spans="1:12" x14ac:dyDescent="0.2">
      <c r="A24" s="10" t="s">
        <v>12</v>
      </c>
      <c r="D24" s="10" t="s">
        <v>67</v>
      </c>
      <c r="E24" s="18" t="s">
        <v>82</v>
      </c>
      <c r="F24" s="9">
        <v>31929</v>
      </c>
      <c r="G24" s="9">
        <v>45992</v>
      </c>
      <c r="H24" s="10">
        <v>155</v>
      </c>
      <c r="I24" s="10" t="s">
        <v>66</v>
      </c>
      <c r="J24" s="10" t="s">
        <v>68</v>
      </c>
      <c r="K24" s="10" t="s">
        <v>69</v>
      </c>
      <c r="L24" s="10">
        <v>3</v>
      </c>
    </row>
    <row r="25" spans="1:12" x14ac:dyDescent="0.2">
      <c r="A25" s="10" t="s">
        <v>13</v>
      </c>
      <c r="D25" s="10" t="s">
        <v>67</v>
      </c>
      <c r="E25" s="18" t="s">
        <v>83</v>
      </c>
      <c r="F25" s="9">
        <v>31929</v>
      </c>
      <c r="G25" s="9">
        <v>45992</v>
      </c>
      <c r="H25" s="10">
        <v>155</v>
      </c>
      <c r="I25" s="10" t="s">
        <v>66</v>
      </c>
      <c r="J25" s="10" t="s">
        <v>68</v>
      </c>
      <c r="K25" s="10" t="s">
        <v>69</v>
      </c>
      <c r="L25" s="10">
        <v>3</v>
      </c>
    </row>
    <row r="26" spans="1:12" x14ac:dyDescent="0.2">
      <c r="A26" s="10" t="s">
        <v>14</v>
      </c>
      <c r="D26" s="10" t="s">
        <v>67</v>
      </c>
      <c r="E26" s="18" t="s">
        <v>84</v>
      </c>
      <c r="F26" s="9">
        <v>31929</v>
      </c>
      <c r="G26" s="9">
        <v>45992</v>
      </c>
      <c r="H26" s="10">
        <v>155</v>
      </c>
      <c r="I26" s="10" t="s">
        <v>66</v>
      </c>
      <c r="J26" s="10" t="s">
        <v>68</v>
      </c>
      <c r="K26" s="10" t="s">
        <v>69</v>
      </c>
      <c r="L26" s="10">
        <v>3</v>
      </c>
    </row>
    <row r="27" spans="1:12" x14ac:dyDescent="0.2">
      <c r="A27" s="10" t="s">
        <v>15</v>
      </c>
      <c r="D27" s="10" t="s">
        <v>67</v>
      </c>
      <c r="E27" s="18" t="s">
        <v>85</v>
      </c>
      <c r="F27" s="9">
        <v>42979</v>
      </c>
      <c r="G27" s="9">
        <v>45992</v>
      </c>
      <c r="H27" s="10">
        <v>34</v>
      </c>
      <c r="I27" s="10" t="s">
        <v>66</v>
      </c>
      <c r="J27" s="10" t="s">
        <v>68</v>
      </c>
      <c r="K27" s="10" t="s">
        <v>69</v>
      </c>
      <c r="L27" s="10">
        <v>3</v>
      </c>
    </row>
    <row r="28" spans="1:12" x14ac:dyDescent="0.2">
      <c r="A28" s="10" t="s">
        <v>16</v>
      </c>
      <c r="D28" s="10" t="s">
        <v>67</v>
      </c>
      <c r="E28" s="18" t="s">
        <v>86</v>
      </c>
      <c r="F28" s="9">
        <v>42979</v>
      </c>
      <c r="G28" s="9">
        <v>45992</v>
      </c>
      <c r="H28" s="10">
        <v>34</v>
      </c>
      <c r="I28" s="10" t="s">
        <v>66</v>
      </c>
      <c r="J28" s="10" t="s">
        <v>68</v>
      </c>
      <c r="K28" s="10" t="s">
        <v>69</v>
      </c>
      <c r="L28" s="10">
        <v>3</v>
      </c>
    </row>
    <row r="29" spans="1:12" x14ac:dyDescent="0.2">
      <c r="A29" s="10" t="s">
        <v>17</v>
      </c>
      <c r="D29" s="10" t="s">
        <v>67</v>
      </c>
      <c r="E29" s="18" t="s">
        <v>87</v>
      </c>
      <c r="F29" s="9">
        <v>31929</v>
      </c>
      <c r="G29" s="9">
        <v>45992</v>
      </c>
      <c r="H29" s="10">
        <v>155</v>
      </c>
      <c r="I29" s="10" t="s">
        <v>66</v>
      </c>
      <c r="J29" s="10" t="s">
        <v>68</v>
      </c>
      <c r="K29" s="10" t="s">
        <v>69</v>
      </c>
      <c r="L29" s="10">
        <v>3</v>
      </c>
    </row>
    <row r="30" spans="1:12" x14ac:dyDescent="0.2">
      <c r="A30" s="10" t="s">
        <v>18</v>
      </c>
      <c r="D30" s="10" t="s">
        <v>67</v>
      </c>
      <c r="E30" s="18" t="s">
        <v>88</v>
      </c>
      <c r="F30" s="9">
        <v>31929</v>
      </c>
      <c r="G30" s="9">
        <v>45992</v>
      </c>
      <c r="H30" s="10">
        <v>155</v>
      </c>
      <c r="I30" s="10" t="s">
        <v>66</v>
      </c>
      <c r="J30" s="10" t="s">
        <v>68</v>
      </c>
      <c r="K30" s="10" t="s">
        <v>69</v>
      </c>
      <c r="L30" s="10">
        <v>3</v>
      </c>
    </row>
    <row r="31" spans="1:12" x14ac:dyDescent="0.2">
      <c r="A31" s="10" t="s">
        <v>19</v>
      </c>
      <c r="D31" s="10" t="s">
        <v>67</v>
      </c>
      <c r="E31" s="18" t="s">
        <v>89</v>
      </c>
      <c r="F31" s="9">
        <v>31929</v>
      </c>
      <c r="G31" s="9">
        <v>45992</v>
      </c>
      <c r="H31" s="10">
        <v>155</v>
      </c>
      <c r="I31" s="10" t="s">
        <v>66</v>
      </c>
      <c r="J31" s="10" t="s">
        <v>68</v>
      </c>
      <c r="K31" s="10" t="s">
        <v>69</v>
      </c>
      <c r="L31" s="10">
        <v>3</v>
      </c>
    </row>
    <row r="32" spans="1:12" x14ac:dyDescent="0.2">
      <c r="A32" s="10" t="s">
        <v>20</v>
      </c>
      <c r="D32" s="10" t="s">
        <v>67</v>
      </c>
      <c r="E32" s="18" t="s">
        <v>90</v>
      </c>
      <c r="F32" s="9">
        <v>31929</v>
      </c>
      <c r="G32" s="9">
        <v>45992</v>
      </c>
      <c r="H32" s="10">
        <v>155</v>
      </c>
      <c r="I32" s="10" t="s">
        <v>66</v>
      </c>
      <c r="J32" s="10" t="s">
        <v>68</v>
      </c>
      <c r="K32" s="10" t="s">
        <v>69</v>
      </c>
      <c r="L32" s="10">
        <v>3</v>
      </c>
    </row>
    <row r="33" spans="1:12" x14ac:dyDescent="0.2">
      <c r="A33" s="10" t="s">
        <v>21</v>
      </c>
      <c r="D33" s="10" t="s">
        <v>67</v>
      </c>
      <c r="E33" s="18" t="s">
        <v>91</v>
      </c>
      <c r="F33" s="9">
        <v>31929</v>
      </c>
      <c r="G33" s="9">
        <v>45992</v>
      </c>
      <c r="H33" s="10">
        <v>155</v>
      </c>
      <c r="I33" s="10" t="s">
        <v>66</v>
      </c>
      <c r="J33" s="10" t="s">
        <v>68</v>
      </c>
      <c r="K33" s="10" t="s">
        <v>69</v>
      </c>
      <c r="L33" s="10">
        <v>3</v>
      </c>
    </row>
    <row r="34" spans="1:12" x14ac:dyDescent="0.2">
      <c r="A34" s="10" t="s">
        <v>22</v>
      </c>
      <c r="D34" s="10" t="s">
        <v>67</v>
      </c>
      <c r="E34" s="18" t="s">
        <v>92</v>
      </c>
      <c r="F34" s="9">
        <v>31929</v>
      </c>
      <c r="G34" s="9">
        <v>45992</v>
      </c>
      <c r="H34" s="10">
        <v>155</v>
      </c>
      <c r="I34" s="10" t="s">
        <v>66</v>
      </c>
      <c r="J34" s="10" t="s">
        <v>68</v>
      </c>
      <c r="K34" s="10" t="s">
        <v>69</v>
      </c>
      <c r="L34" s="10">
        <v>3</v>
      </c>
    </row>
    <row r="35" spans="1:12" x14ac:dyDescent="0.2">
      <c r="A35" s="10" t="s">
        <v>23</v>
      </c>
      <c r="D35" s="10" t="s">
        <v>67</v>
      </c>
      <c r="E35" s="18" t="s">
        <v>93</v>
      </c>
      <c r="F35" s="9">
        <v>31929</v>
      </c>
      <c r="G35" s="9">
        <v>45992</v>
      </c>
      <c r="H35" s="10">
        <v>155</v>
      </c>
      <c r="I35" s="10" t="s">
        <v>66</v>
      </c>
      <c r="J35" s="10" t="s">
        <v>68</v>
      </c>
      <c r="K35" s="10" t="s">
        <v>69</v>
      </c>
      <c r="L35" s="10">
        <v>3</v>
      </c>
    </row>
    <row r="36" spans="1:12" x14ac:dyDescent="0.2">
      <c r="A36" s="10" t="s">
        <v>24</v>
      </c>
      <c r="D36" s="10" t="s">
        <v>67</v>
      </c>
      <c r="E36" s="18" t="s">
        <v>94</v>
      </c>
      <c r="F36" s="9">
        <v>31929</v>
      </c>
      <c r="G36" s="9">
        <v>45992</v>
      </c>
      <c r="H36" s="10">
        <v>155</v>
      </c>
      <c r="I36" s="10" t="s">
        <v>66</v>
      </c>
      <c r="J36" s="10" t="s">
        <v>68</v>
      </c>
      <c r="K36" s="10" t="s">
        <v>69</v>
      </c>
      <c r="L36" s="10">
        <v>3</v>
      </c>
    </row>
    <row r="37" spans="1:12" x14ac:dyDescent="0.2">
      <c r="A37" s="10" t="s">
        <v>25</v>
      </c>
      <c r="D37" s="10" t="s">
        <v>67</v>
      </c>
      <c r="E37" s="18" t="s">
        <v>95</v>
      </c>
      <c r="F37" s="9">
        <v>31929</v>
      </c>
      <c r="G37" s="9">
        <v>45992</v>
      </c>
      <c r="H37" s="10">
        <v>155</v>
      </c>
      <c r="I37" s="10" t="s">
        <v>66</v>
      </c>
      <c r="J37" s="10" t="s">
        <v>68</v>
      </c>
      <c r="K37" s="10" t="s">
        <v>69</v>
      </c>
      <c r="L37" s="10">
        <v>3</v>
      </c>
    </row>
    <row r="38" spans="1:12" x14ac:dyDescent="0.2">
      <c r="A38" s="10" t="s">
        <v>26</v>
      </c>
      <c r="D38" s="10" t="s">
        <v>67</v>
      </c>
      <c r="E38" s="18" t="s">
        <v>96</v>
      </c>
      <c r="F38" s="9">
        <v>31929</v>
      </c>
      <c r="G38" s="9">
        <v>45992</v>
      </c>
      <c r="H38" s="10">
        <v>155</v>
      </c>
      <c r="I38" s="10" t="s">
        <v>66</v>
      </c>
      <c r="J38" s="10" t="s">
        <v>68</v>
      </c>
      <c r="K38" s="10" t="s">
        <v>69</v>
      </c>
      <c r="L38" s="10">
        <v>3</v>
      </c>
    </row>
    <row r="39" spans="1:12" x14ac:dyDescent="0.2">
      <c r="A39" s="10" t="s">
        <v>27</v>
      </c>
      <c r="D39" s="10" t="s">
        <v>67</v>
      </c>
      <c r="E39" s="18" t="s">
        <v>97</v>
      </c>
      <c r="F39" s="9">
        <v>31929</v>
      </c>
      <c r="G39" s="9">
        <v>45992</v>
      </c>
      <c r="H39" s="10">
        <v>155</v>
      </c>
      <c r="I39" s="10" t="s">
        <v>66</v>
      </c>
      <c r="J39" s="10" t="s">
        <v>68</v>
      </c>
      <c r="K39" s="10" t="s">
        <v>69</v>
      </c>
      <c r="L39" s="10">
        <v>3</v>
      </c>
    </row>
    <row r="40" spans="1:12" x14ac:dyDescent="0.2">
      <c r="A40" s="10" t="s">
        <v>28</v>
      </c>
      <c r="D40" s="10" t="s">
        <v>67</v>
      </c>
      <c r="E40" s="18" t="s">
        <v>98</v>
      </c>
      <c r="F40" s="9">
        <v>31929</v>
      </c>
      <c r="G40" s="9">
        <v>45992</v>
      </c>
      <c r="H40" s="10">
        <v>155</v>
      </c>
      <c r="I40" s="10" t="s">
        <v>66</v>
      </c>
      <c r="J40" s="10" t="s">
        <v>68</v>
      </c>
      <c r="K40" s="10" t="s">
        <v>69</v>
      </c>
      <c r="L40" s="10">
        <v>3</v>
      </c>
    </row>
    <row r="41" spans="1:12" x14ac:dyDescent="0.2">
      <c r="A41" s="10" t="s">
        <v>29</v>
      </c>
      <c r="D41" s="10" t="s">
        <v>67</v>
      </c>
      <c r="E41" s="18" t="s">
        <v>99</v>
      </c>
      <c r="F41" s="9">
        <v>31929</v>
      </c>
      <c r="G41" s="9">
        <v>45992</v>
      </c>
      <c r="H41" s="10">
        <v>155</v>
      </c>
      <c r="I41" s="10" t="s">
        <v>66</v>
      </c>
      <c r="J41" s="10" t="s">
        <v>68</v>
      </c>
      <c r="K41" s="10" t="s">
        <v>69</v>
      </c>
      <c r="L41" s="10">
        <v>3</v>
      </c>
    </row>
    <row r="42" spans="1:12" x14ac:dyDescent="0.2">
      <c r="A42" s="10" t="s">
        <v>30</v>
      </c>
      <c r="D42" s="10" t="s">
        <v>67</v>
      </c>
      <c r="E42" s="18" t="s">
        <v>100</v>
      </c>
      <c r="F42" s="9">
        <v>31929</v>
      </c>
      <c r="G42" s="9">
        <v>45992</v>
      </c>
      <c r="H42" s="10">
        <v>155</v>
      </c>
      <c r="I42" s="10" t="s">
        <v>66</v>
      </c>
      <c r="J42" s="10" t="s">
        <v>68</v>
      </c>
      <c r="K42" s="10" t="s">
        <v>69</v>
      </c>
      <c r="L42" s="10">
        <v>3</v>
      </c>
    </row>
    <row r="43" spans="1:12" x14ac:dyDescent="0.2">
      <c r="A43" s="10" t="s">
        <v>31</v>
      </c>
      <c r="D43" s="10" t="s">
        <v>67</v>
      </c>
      <c r="E43" s="18" t="s">
        <v>101</v>
      </c>
      <c r="F43" s="9">
        <v>31929</v>
      </c>
      <c r="G43" s="9">
        <v>45992</v>
      </c>
      <c r="H43" s="10">
        <v>155</v>
      </c>
      <c r="I43" s="10" t="s">
        <v>66</v>
      </c>
      <c r="J43" s="10" t="s">
        <v>68</v>
      </c>
      <c r="K43" s="10" t="s">
        <v>69</v>
      </c>
      <c r="L43" s="10">
        <v>3</v>
      </c>
    </row>
    <row r="44" spans="1:12" x14ac:dyDescent="0.2">
      <c r="A44" s="10" t="s">
        <v>32</v>
      </c>
      <c r="D44" s="10" t="s">
        <v>67</v>
      </c>
      <c r="E44" s="18" t="s">
        <v>102</v>
      </c>
      <c r="F44" s="9">
        <v>31929</v>
      </c>
      <c r="G44" s="9">
        <v>45992</v>
      </c>
      <c r="H44" s="10">
        <v>155</v>
      </c>
      <c r="I44" s="10" t="s">
        <v>66</v>
      </c>
      <c r="J44" s="10" t="s">
        <v>68</v>
      </c>
      <c r="K44" s="10" t="s">
        <v>69</v>
      </c>
      <c r="L44" s="10">
        <v>3</v>
      </c>
    </row>
    <row r="45" spans="1:12" x14ac:dyDescent="0.2">
      <c r="A45" s="10" t="s">
        <v>33</v>
      </c>
      <c r="D45" s="10" t="s">
        <v>67</v>
      </c>
      <c r="E45" s="18" t="s">
        <v>103</v>
      </c>
      <c r="F45" s="9">
        <v>31929</v>
      </c>
      <c r="G45" s="9">
        <v>45992</v>
      </c>
      <c r="H45" s="10">
        <v>155</v>
      </c>
      <c r="I45" s="10" t="s">
        <v>66</v>
      </c>
      <c r="J45" s="10" t="s">
        <v>68</v>
      </c>
      <c r="K45" s="10" t="s">
        <v>69</v>
      </c>
      <c r="L45" s="10">
        <v>3</v>
      </c>
    </row>
    <row r="46" spans="1:12" x14ac:dyDescent="0.2">
      <c r="A46" s="10" t="s">
        <v>34</v>
      </c>
      <c r="D46" s="10" t="s">
        <v>67</v>
      </c>
      <c r="E46" s="18" t="s">
        <v>104</v>
      </c>
      <c r="F46" s="9">
        <v>42979</v>
      </c>
      <c r="G46" s="9">
        <v>45992</v>
      </c>
      <c r="H46" s="10">
        <v>34</v>
      </c>
      <c r="I46" s="10" t="s">
        <v>66</v>
      </c>
      <c r="J46" s="10" t="s">
        <v>68</v>
      </c>
      <c r="K46" s="10" t="s">
        <v>69</v>
      </c>
      <c r="L46" s="10">
        <v>3</v>
      </c>
    </row>
    <row r="47" spans="1:12" x14ac:dyDescent="0.2">
      <c r="A47" s="10" t="s">
        <v>35</v>
      </c>
      <c r="D47" s="10" t="s">
        <v>67</v>
      </c>
      <c r="E47" s="18" t="s">
        <v>105</v>
      </c>
      <c r="F47" s="9">
        <v>42979</v>
      </c>
      <c r="G47" s="9">
        <v>45992</v>
      </c>
      <c r="H47" s="10">
        <v>34</v>
      </c>
      <c r="I47" s="10" t="s">
        <v>66</v>
      </c>
      <c r="J47" s="10" t="s">
        <v>68</v>
      </c>
      <c r="K47" s="10" t="s">
        <v>69</v>
      </c>
      <c r="L47" s="10">
        <v>3</v>
      </c>
    </row>
    <row r="48" spans="1:12" x14ac:dyDescent="0.2">
      <c r="A48" s="10" t="s">
        <v>36</v>
      </c>
      <c r="D48" s="10" t="s">
        <v>67</v>
      </c>
      <c r="E48" s="18" t="s">
        <v>106</v>
      </c>
      <c r="F48" s="9">
        <v>31929</v>
      </c>
      <c r="G48" s="9">
        <v>45992</v>
      </c>
      <c r="H48" s="10">
        <v>155</v>
      </c>
      <c r="I48" s="10" t="s">
        <v>66</v>
      </c>
      <c r="J48" s="10" t="s">
        <v>68</v>
      </c>
      <c r="K48" s="10" t="s">
        <v>69</v>
      </c>
      <c r="L48" s="10">
        <v>3</v>
      </c>
    </row>
    <row r="49" spans="1:12" x14ac:dyDescent="0.2">
      <c r="A49" s="10" t="s">
        <v>37</v>
      </c>
      <c r="D49" s="10" t="s">
        <v>67</v>
      </c>
      <c r="E49" s="18" t="s">
        <v>107</v>
      </c>
      <c r="F49" s="9">
        <v>31929</v>
      </c>
      <c r="G49" s="9">
        <v>45992</v>
      </c>
      <c r="H49" s="10">
        <v>155</v>
      </c>
      <c r="I49" s="10" t="s">
        <v>66</v>
      </c>
      <c r="J49" s="10" t="s">
        <v>68</v>
      </c>
      <c r="K49" s="10" t="s">
        <v>69</v>
      </c>
      <c r="L49" s="10">
        <v>3</v>
      </c>
    </row>
    <row r="50" spans="1:12" x14ac:dyDescent="0.2">
      <c r="A50" s="10" t="s">
        <v>38</v>
      </c>
      <c r="D50" s="10" t="s">
        <v>67</v>
      </c>
      <c r="E50" s="18" t="s">
        <v>108</v>
      </c>
      <c r="F50" s="9">
        <v>31929</v>
      </c>
      <c r="G50" s="9">
        <v>45992</v>
      </c>
      <c r="H50" s="10">
        <v>155</v>
      </c>
      <c r="I50" s="10" t="s">
        <v>66</v>
      </c>
      <c r="J50" s="10" t="s">
        <v>68</v>
      </c>
      <c r="K50" s="10" t="s">
        <v>69</v>
      </c>
      <c r="L50" s="10">
        <v>3</v>
      </c>
    </row>
    <row r="51" spans="1:12" x14ac:dyDescent="0.2">
      <c r="A51" s="10" t="s">
        <v>39</v>
      </c>
      <c r="D51" s="10" t="s">
        <v>67</v>
      </c>
      <c r="E51" s="18" t="s">
        <v>109</v>
      </c>
      <c r="F51" s="9">
        <v>31929</v>
      </c>
      <c r="G51" s="9">
        <v>45992</v>
      </c>
      <c r="H51" s="10">
        <v>155</v>
      </c>
      <c r="I51" s="10" t="s">
        <v>66</v>
      </c>
      <c r="J51" s="10" t="s">
        <v>68</v>
      </c>
      <c r="K51" s="10" t="s">
        <v>69</v>
      </c>
      <c r="L51" s="10">
        <v>3</v>
      </c>
    </row>
    <row r="52" spans="1:12" x14ac:dyDescent="0.2">
      <c r="A52" s="10" t="s">
        <v>40</v>
      </c>
      <c r="D52" s="10" t="s">
        <v>67</v>
      </c>
      <c r="E52" s="18" t="s">
        <v>110</v>
      </c>
      <c r="F52" s="9">
        <v>31929</v>
      </c>
      <c r="G52" s="9">
        <v>45992</v>
      </c>
      <c r="H52" s="10">
        <v>155</v>
      </c>
      <c r="I52" s="10" t="s">
        <v>66</v>
      </c>
      <c r="J52" s="10" t="s">
        <v>68</v>
      </c>
      <c r="K52" s="10" t="s">
        <v>69</v>
      </c>
      <c r="L52" s="10">
        <v>3</v>
      </c>
    </row>
    <row r="53" spans="1:12" x14ac:dyDescent="0.2">
      <c r="A53" s="10" t="s">
        <v>41</v>
      </c>
      <c r="D53" s="10" t="s">
        <v>67</v>
      </c>
      <c r="E53" s="18" t="s">
        <v>111</v>
      </c>
      <c r="F53" s="9">
        <v>31929</v>
      </c>
      <c r="G53" s="9">
        <v>45992</v>
      </c>
      <c r="H53" s="10">
        <v>155</v>
      </c>
      <c r="I53" s="10" t="s">
        <v>66</v>
      </c>
      <c r="J53" s="10" t="s">
        <v>68</v>
      </c>
      <c r="K53" s="10" t="s">
        <v>69</v>
      </c>
      <c r="L53" s="10">
        <v>3</v>
      </c>
    </row>
    <row r="54" spans="1:12" x14ac:dyDescent="0.2">
      <c r="A54" s="10" t="s">
        <v>42</v>
      </c>
      <c r="D54" s="10" t="s">
        <v>67</v>
      </c>
      <c r="E54" s="18" t="s">
        <v>112</v>
      </c>
      <c r="F54" s="9">
        <v>31929</v>
      </c>
      <c r="G54" s="9">
        <v>45992</v>
      </c>
      <c r="H54" s="10">
        <v>155</v>
      </c>
      <c r="I54" s="10" t="s">
        <v>66</v>
      </c>
      <c r="J54" s="10" t="s">
        <v>68</v>
      </c>
      <c r="K54" s="10" t="s">
        <v>69</v>
      </c>
      <c r="L54" s="10">
        <v>3</v>
      </c>
    </row>
    <row r="55" spans="1:12" x14ac:dyDescent="0.2">
      <c r="A55" s="10" t="s">
        <v>43</v>
      </c>
      <c r="D55" s="10" t="s">
        <v>67</v>
      </c>
      <c r="E55" s="18" t="s">
        <v>113</v>
      </c>
      <c r="F55" s="9">
        <v>31929</v>
      </c>
      <c r="G55" s="9">
        <v>45992</v>
      </c>
      <c r="H55" s="10">
        <v>155</v>
      </c>
      <c r="I55" s="10" t="s">
        <v>66</v>
      </c>
      <c r="J55" s="10" t="s">
        <v>68</v>
      </c>
      <c r="K55" s="10" t="s">
        <v>69</v>
      </c>
      <c r="L55" s="10">
        <v>3</v>
      </c>
    </row>
    <row r="56" spans="1:12" x14ac:dyDescent="0.2">
      <c r="A56" s="10" t="s">
        <v>44</v>
      </c>
      <c r="D56" s="10" t="s">
        <v>67</v>
      </c>
      <c r="E56" s="18" t="s">
        <v>114</v>
      </c>
      <c r="F56" s="9">
        <v>31929</v>
      </c>
      <c r="G56" s="9">
        <v>45992</v>
      </c>
      <c r="H56" s="10">
        <v>155</v>
      </c>
      <c r="I56" s="10" t="s">
        <v>66</v>
      </c>
      <c r="J56" s="10" t="s">
        <v>68</v>
      </c>
      <c r="K56" s="10" t="s">
        <v>69</v>
      </c>
      <c r="L56" s="10">
        <v>3</v>
      </c>
    </row>
    <row r="57" spans="1:12" x14ac:dyDescent="0.2">
      <c r="A57" s="10" t="s">
        <v>45</v>
      </c>
      <c r="D57" s="10" t="s">
        <v>67</v>
      </c>
      <c r="E57" s="18" t="s">
        <v>115</v>
      </c>
      <c r="F57" s="9">
        <v>31929</v>
      </c>
      <c r="G57" s="9">
        <v>45992</v>
      </c>
      <c r="H57" s="10">
        <v>155</v>
      </c>
      <c r="I57" s="10" t="s">
        <v>66</v>
      </c>
      <c r="J57" s="10" t="s">
        <v>68</v>
      </c>
      <c r="K57" s="10" t="s">
        <v>69</v>
      </c>
      <c r="L57" s="10">
        <v>3</v>
      </c>
    </row>
    <row r="58" spans="1:12" x14ac:dyDescent="0.2">
      <c r="A58" s="10" t="s">
        <v>46</v>
      </c>
      <c r="D58" s="10" t="s">
        <v>67</v>
      </c>
      <c r="E58" s="18" t="s">
        <v>116</v>
      </c>
      <c r="F58" s="9">
        <v>31929</v>
      </c>
      <c r="G58" s="9">
        <v>45992</v>
      </c>
      <c r="H58" s="10">
        <v>155</v>
      </c>
      <c r="I58" s="10" t="s">
        <v>66</v>
      </c>
      <c r="J58" s="10" t="s">
        <v>68</v>
      </c>
      <c r="K58" s="10" t="s">
        <v>69</v>
      </c>
      <c r="L58" s="10">
        <v>3</v>
      </c>
    </row>
    <row r="59" spans="1:12" x14ac:dyDescent="0.2">
      <c r="A59" s="10" t="s">
        <v>47</v>
      </c>
      <c r="D59" s="10" t="s">
        <v>67</v>
      </c>
      <c r="E59" s="18" t="s">
        <v>117</v>
      </c>
      <c r="F59" s="9">
        <v>31929</v>
      </c>
      <c r="G59" s="9">
        <v>45992</v>
      </c>
      <c r="H59" s="10">
        <v>155</v>
      </c>
      <c r="I59" s="10" t="s">
        <v>66</v>
      </c>
      <c r="J59" s="10" t="s">
        <v>68</v>
      </c>
      <c r="K59" s="10" t="s">
        <v>69</v>
      </c>
      <c r="L59" s="10">
        <v>3</v>
      </c>
    </row>
    <row r="60" spans="1:12" x14ac:dyDescent="0.2">
      <c r="A60" s="10" t="s">
        <v>48</v>
      </c>
      <c r="D60" s="10" t="s">
        <v>67</v>
      </c>
      <c r="E60" s="18" t="s">
        <v>118</v>
      </c>
      <c r="F60" s="9">
        <v>31929</v>
      </c>
      <c r="G60" s="9">
        <v>45992</v>
      </c>
      <c r="H60" s="10">
        <v>155</v>
      </c>
      <c r="I60" s="10" t="s">
        <v>66</v>
      </c>
      <c r="J60" s="10" t="s">
        <v>68</v>
      </c>
      <c r="K60" s="10" t="s">
        <v>69</v>
      </c>
      <c r="L60" s="10">
        <v>3</v>
      </c>
    </row>
    <row r="61" spans="1:12" x14ac:dyDescent="0.2">
      <c r="A61" s="10" t="s">
        <v>49</v>
      </c>
      <c r="D61" s="10" t="s">
        <v>67</v>
      </c>
      <c r="E61" s="18" t="s">
        <v>119</v>
      </c>
      <c r="F61" s="9">
        <v>31929</v>
      </c>
      <c r="G61" s="9">
        <v>45992</v>
      </c>
      <c r="H61" s="10">
        <v>155</v>
      </c>
      <c r="I61" s="10" t="s">
        <v>66</v>
      </c>
      <c r="J61" s="10" t="s">
        <v>68</v>
      </c>
      <c r="K61" s="10" t="s">
        <v>69</v>
      </c>
      <c r="L61" s="10">
        <v>3</v>
      </c>
    </row>
    <row r="62" spans="1:12" x14ac:dyDescent="0.2">
      <c r="A62" s="10" t="s">
        <v>50</v>
      </c>
      <c r="D62" s="10" t="s">
        <v>67</v>
      </c>
      <c r="E62" s="18" t="s">
        <v>120</v>
      </c>
      <c r="F62" s="9">
        <v>31929</v>
      </c>
      <c r="G62" s="9">
        <v>45992</v>
      </c>
      <c r="H62" s="10">
        <v>155</v>
      </c>
      <c r="I62" s="10" t="s">
        <v>66</v>
      </c>
      <c r="J62" s="10" t="s">
        <v>68</v>
      </c>
      <c r="K62" s="10" t="s">
        <v>69</v>
      </c>
      <c r="L62" s="10">
        <v>3</v>
      </c>
    </row>
    <row r="63" spans="1:12" x14ac:dyDescent="0.2">
      <c r="A63" s="10" t="s">
        <v>51</v>
      </c>
      <c r="D63" s="10" t="s">
        <v>67</v>
      </c>
      <c r="E63" s="18" t="s">
        <v>121</v>
      </c>
      <c r="F63" s="9">
        <v>31929</v>
      </c>
      <c r="G63" s="9">
        <v>45992</v>
      </c>
      <c r="H63" s="10">
        <v>155</v>
      </c>
      <c r="I63" s="10" t="s">
        <v>66</v>
      </c>
      <c r="J63" s="10" t="s">
        <v>68</v>
      </c>
      <c r="K63" s="10" t="s">
        <v>69</v>
      </c>
      <c r="L63" s="10">
        <v>3</v>
      </c>
    </row>
    <row r="64" spans="1:12" x14ac:dyDescent="0.2">
      <c r="A64" s="10" t="s">
        <v>52</v>
      </c>
      <c r="D64" s="10" t="s">
        <v>67</v>
      </c>
      <c r="E64" s="18" t="s">
        <v>122</v>
      </c>
      <c r="F64" s="9">
        <v>31929</v>
      </c>
      <c r="G64" s="9">
        <v>45992</v>
      </c>
      <c r="H64" s="10">
        <v>155</v>
      </c>
      <c r="I64" s="10" t="s">
        <v>66</v>
      </c>
      <c r="J64" s="10" t="s">
        <v>68</v>
      </c>
      <c r="K64" s="10" t="s">
        <v>69</v>
      </c>
      <c r="L64" s="10">
        <v>3</v>
      </c>
    </row>
    <row r="65" spans="1:12" x14ac:dyDescent="0.2">
      <c r="A65" s="10" t="s">
        <v>53</v>
      </c>
      <c r="D65" s="10" t="s">
        <v>67</v>
      </c>
      <c r="E65" s="18" t="s">
        <v>123</v>
      </c>
      <c r="F65" s="9">
        <v>42979</v>
      </c>
      <c r="G65" s="9">
        <v>45992</v>
      </c>
      <c r="H65" s="10">
        <v>34</v>
      </c>
      <c r="I65" s="10" t="s">
        <v>66</v>
      </c>
      <c r="J65" s="10" t="s">
        <v>68</v>
      </c>
      <c r="K65" s="10" t="s">
        <v>69</v>
      </c>
      <c r="L65" s="10">
        <v>3</v>
      </c>
    </row>
    <row r="66" spans="1:12" x14ac:dyDescent="0.2">
      <c r="A66" s="10" t="s">
        <v>54</v>
      </c>
      <c r="D66" s="10" t="s">
        <v>67</v>
      </c>
      <c r="E66" s="18" t="s">
        <v>124</v>
      </c>
      <c r="F66" s="9">
        <v>42979</v>
      </c>
      <c r="G66" s="9">
        <v>45992</v>
      </c>
      <c r="H66" s="10">
        <v>34</v>
      </c>
      <c r="I66" s="10" t="s">
        <v>66</v>
      </c>
      <c r="J66" s="10" t="s">
        <v>68</v>
      </c>
      <c r="K66" s="10" t="s">
        <v>69</v>
      </c>
      <c r="L66" s="10">
        <v>3</v>
      </c>
    </row>
    <row r="67" spans="1:12" x14ac:dyDescent="0.2">
      <c r="A67" s="10" t="s">
        <v>55</v>
      </c>
      <c r="D67" s="10" t="s">
        <v>67</v>
      </c>
      <c r="E67" s="18" t="s">
        <v>125</v>
      </c>
      <c r="F67" s="9">
        <v>31929</v>
      </c>
      <c r="G67" s="9">
        <v>45992</v>
      </c>
      <c r="H67" s="10">
        <v>155</v>
      </c>
      <c r="I67" s="10" t="s">
        <v>66</v>
      </c>
      <c r="J67" s="10" t="s">
        <v>68</v>
      </c>
      <c r="K67" s="10" t="s">
        <v>69</v>
      </c>
      <c r="L67" s="10">
        <v>3</v>
      </c>
    </row>
    <row r="68" spans="1:12" x14ac:dyDescent="0.2">
      <c r="A68" s="10" t="s">
        <v>56</v>
      </c>
      <c r="D68" s="10" t="s">
        <v>67</v>
      </c>
      <c r="E68" s="18" t="s">
        <v>126</v>
      </c>
      <c r="F68" s="9">
        <v>31929</v>
      </c>
      <c r="G68" s="9">
        <v>45992</v>
      </c>
      <c r="H68" s="10">
        <v>155</v>
      </c>
      <c r="I68" s="10" t="s">
        <v>66</v>
      </c>
      <c r="J68" s="10" t="s">
        <v>68</v>
      </c>
      <c r="K68" s="10" t="s">
        <v>69</v>
      </c>
      <c r="L68" s="10">
        <v>3</v>
      </c>
    </row>
    <row r="70" spans="1:12" x14ac:dyDescent="0.2">
      <c r="A70" s="10" t="s">
        <v>137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124792377V" display="A124792377V" xr:uid="{00000000-0004-0000-0000-000001000000}"/>
    <hyperlink ref="E13" location="A3517168V" display="A3517168V" xr:uid="{00000000-0004-0000-0000-000002000000}"/>
    <hyperlink ref="E14" location="A124792079W" display="A124792079W" xr:uid="{00000000-0004-0000-0000-000003000000}"/>
    <hyperlink ref="E15" location="A3517171J" display="A3517171J" xr:uid="{00000000-0004-0000-0000-000004000000}"/>
    <hyperlink ref="E16" location="A3517174R" display="A3517174R" xr:uid="{00000000-0004-0000-0000-000005000000}"/>
    <hyperlink ref="E17" location="A3517177W" display="A3517177W" xr:uid="{00000000-0004-0000-0000-000006000000}"/>
    <hyperlink ref="E18" location="A3517180K" display="A3517180K" xr:uid="{00000000-0004-0000-0000-000007000000}"/>
    <hyperlink ref="E19" location="A3517183T" display="A3517183T" xr:uid="{00000000-0004-0000-0000-000008000000}"/>
    <hyperlink ref="E20" location="A83728707W" display="A83728707W" xr:uid="{00000000-0004-0000-0000-000009000000}"/>
    <hyperlink ref="E21" location="A3517186X" display="A3517186X" xr:uid="{00000000-0004-0000-0000-00000A000000}"/>
    <hyperlink ref="E22" location="A3517189F" display="A3517189F" xr:uid="{00000000-0004-0000-0000-00000B000000}"/>
    <hyperlink ref="E23" location="A3517192V" display="A3517192V" xr:uid="{00000000-0004-0000-0000-00000C000000}"/>
    <hyperlink ref="E24" location="A3517195A" display="A3517195A" xr:uid="{00000000-0004-0000-0000-00000D000000}"/>
    <hyperlink ref="E25" location="A3517198J" display="A3517198J" xr:uid="{00000000-0004-0000-0000-00000E000000}"/>
    <hyperlink ref="E26" location="A83728710K" display="A83728710K" xr:uid="{00000000-0004-0000-0000-00000F000000}"/>
    <hyperlink ref="E27" location="A85301896V" display="A85301896V" xr:uid="{00000000-0004-0000-0000-000010000000}"/>
    <hyperlink ref="E28" location="A85301921K" display="A85301921K" xr:uid="{00000000-0004-0000-0000-000011000000}"/>
    <hyperlink ref="E29" location="A83728713T" display="A83728713T" xr:uid="{00000000-0004-0000-0000-000012000000}"/>
    <hyperlink ref="E30" location="A83728716X" display="A83728716X" xr:uid="{00000000-0004-0000-0000-000013000000}"/>
    <hyperlink ref="E31" location="A124792395X" display="A124792395X" xr:uid="{00000000-0004-0000-0000-000014000000}"/>
    <hyperlink ref="E32" location="A3517210L" display="A3517210L" xr:uid="{00000000-0004-0000-0000-000015000000}"/>
    <hyperlink ref="E33" location="A124792081J" display="A124792081J" xr:uid="{00000000-0004-0000-0000-000016000000}"/>
    <hyperlink ref="E34" location="A3517213V" display="A3517213V" xr:uid="{00000000-0004-0000-0000-000017000000}"/>
    <hyperlink ref="E35" location="A3517216A" display="A3517216A" xr:uid="{00000000-0004-0000-0000-000018000000}"/>
    <hyperlink ref="E36" location="A3517219J" display="A3517219J" xr:uid="{00000000-0004-0000-0000-000019000000}"/>
    <hyperlink ref="E37" location="A3517222W" display="A3517222W" xr:uid="{00000000-0004-0000-0000-00001A000000}"/>
    <hyperlink ref="E38" location="A3517225C" display="A3517225C" xr:uid="{00000000-0004-0000-0000-00001B000000}"/>
    <hyperlink ref="E39" location="A83728708X" display="A83728708X" xr:uid="{00000000-0004-0000-0000-00001C000000}"/>
    <hyperlink ref="E40" location="A3517228K" display="A3517228K" xr:uid="{00000000-0004-0000-0000-00001D000000}"/>
    <hyperlink ref="E41" location="A3517231X" display="A3517231X" xr:uid="{00000000-0004-0000-0000-00001E000000}"/>
    <hyperlink ref="E42" location="A3517234F" display="A3517234F" xr:uid="{00000000-0004-0000-0000-00001F000000}"/>
    <hyperlink ref="E43" location="A3517237L" display="A3517237L" xr:uid="{00000000-0004-0000-0000-000020000000}"/>
    <hyperlink ref="E44" location="A3517240A" display="A3517240A" xr:uid="{00000000-0004-0000-0000-000021000000}"/>
    <hyperlink ref="E45" location="A83728711L" display="A83728711L" xr:uid="{00000000-0004-0000-0000-000022000000}"/>
    <hyperlink ref="E46" location="A85301942W" display="A85301942W" xr:uid="{00000000-0004-0000-0000-000023000000}"/>
    <hyperlink ref="E47" location="A85301930L" display="A85301930L" xr:uid="{00000000-0004-0000-0000-000024000000}"/>
    <hyperlink ref="E48" location="A83728714V" display="A83728714V" xr:uid="{00000000-0004-0000-0000-000025000000}"/>
    <hyperlink ref="E49" location="A83728717A" display="A83728717A" xr:uid="{00000000-0004-0000-0000-000026000000}"/>
    <hyperlink ref="E50" location="A124792413T" display="A124792413T" xr:uid="{00000000-0004-0000-0000-000027000000}"/>
    <hyperlink ref="E51" location="A3517252K" display="A3517252K" xr:uid="{00000000-0004-0000-0000-000028000000}"/>
    <hyperlink ref="E52" location="A124792083L" display="A124792083L" xr:uid="{00000000-0004-0000-0000-000029000000}"/>
    <hyperlink ref="E53" location="A3517255T" display="A3517255T" xr:uid="{00000000-0004-0000-0000-00002A000000}"/>
    <hyperlink ref="E54" location="A3517258X" display="A3517258X" xr:uid="{00000000-0004-0000-0000-00002B000000}"/>
    <hyperlink ref="E55" location="A3517261L" display="A3517261L" xr:uid="{00000000-0004-0000-0000-00002C000000}"/>
    <hyperlink ref="E56" location="A3517264V" display="A3517264V" xr:uid="{00000000-0004-0000-0000-00002D000000}"/>
    <hyperlink ref="E57" location="A3517267A" display="A3517267A" xr:uid="{00000000-0004-0000-0000-00002E000000}"/>
    <hyperlink ref="E58" location="A83728709A" display="A83728709A" xr:uid="{00000000-0004-0000-0000-00002F000000}"/>
    <hyperlink ref="E59" location="A3517270R" display="A3517270R" xr:uid="{00000000-0004-0000-0000-000030000000}"/>
    <hyperlink ref="E60" location="A3517273W" display="A3517273W" xr:uid="{00000000-0004-0000-0000-000031000000}"/>
    <hyperlink ref="E61" location="A3517276C" display="A3517276C" xr:uid="{00000000-0004-0000-0000-000032000000}"/>
    <hyperlink ref="E62" location="A3517279K" display="A3517279K" xr:uid="{00000000-0004-0000-0000-000033000000}"/>
    <hyperlink ref="E63" location="A3517282X" display="A3517282X" xr:uid="{00000000-0004-0000-0000-000034000000}"/>
    <hyperlink ref="E64" location="A83728712R" display="A83728712R" xr:uid="{00000000-0004-0000-0000-000035000000}"/>
    <hyperlink ref="E65" location="A85301951X" display="A85301951X" xr:uid="{00000000-0004-0000-0000-000036000000}"/>
    <hyperlink ref="E66" location="A85301904J" display="A85301904J" xr:uid="{00000000-0004-0000-0000-000037000000}"/>
    <hyperlink ref="E67" location="A83728715W" display="A83728715W" xr:uid="{00000000-0004-0000-0000-000038000000}"/>
    <hyperlink ref="E68" location="A83728718C" display="A83728718C" xr:uid="{00000000-0004-0000-0000-000039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6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58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</row>
    <row r="2" spans="1:58" x14ac:dyDescent="0.2">
      <c r="A2" s="4" t="s">
        <v>57</v>
      </c>
      <c r="B2" s="7" t="s">
        <v>66</v>
      </c>
      <c r="C2" s="7" t="s">
        <v>66</v>
      </c>
      <c r="D2" s="7" t="s">
        <v>66</v>
      </c>
      <c r="E2" s="7" t="s">
        <v>66</v>
      </c>
      <c r="F2" s="7" t="s">
        <v>66</v>
      </c>
      <c r="G2" s="7" t="s">
        <v>66</v>
      </c>
      <c r="H2" s="7" t="s">
        <v>66</v>
      </c>
      <c r="I2" s="7" t="s">
        <v>66</v>
      </c>
      <c r="J2" s="7" t="s">
        <v>66</v>
      </c>
      <c r="K2" s="7" t="s">
        <v>66</v>
      </c>
      <c r="L2" s="7" t="s">
        <v>66</v>
      </c>
      <c r="M2" s="7" t="s">
        <v>66</v>
      </c>
      <c r="N2" s="7" t="s">
        <v>66</v>
      </c>
      <c r="O2" s="7" t="s">
        <v>66</v>
      </c>
      <c r="P2" s="7" t="s">
        <v>66</v>
      </c>
      <c r="Q2" s="7" t="s">
        <v>66</v>
      </c>
      <c r="R2" s="7" t="s">
        <v>66</v>
      </c>
      <c r="S2" s="7" t="s">
        <v>66</v>
      </c>
      <c r="T2" s="7" t="s">
        <v>66</v>
      </c>
      <c r="U2" s="7" t="s">
        <v>66</v>
      </c>
      <c r="V2" s="7" t="s">
        <v>66</v>
      </c>
      <c r="W2" s="7" t="s">
        <v>66</v>
      </c>
      <c r="X2" s="7" t="s">
        <v>66</v>
      </c>
      <c r="Y2" s="7" t="s">
        <v>66</v>
      </c>
      <c r="Z2" s="7" t="s">
        <v>66</v>
      </c>
      <c r="AA2" s="7" t="s">
        <v>66</v>
      </c>
      <c r="AB2" s="7" t="s">
        <v>66</v>
      </c>
      <c r="AC2" s="7" t="s">
        <v>66</v>
      </c>
      <c r="AD2" s="7" t="s">
        <v>66</v>
      </c>
      <c r="AE2" s="7" t="s">
        <v>66</v>
      </c>
      <c r="AF2" s="7" t="s">
        <v>66</v>
      </c>
      <c r="AG2" s="7" t="s">
        <v>66</v>
      </c>
      <c r="AH2" s="7" t="s">
        <v>66</v>
      </c>
      <c r="AI2" s="7" t="s">
        <v>66</v>
      </c>
      <c r="AJ2" s="7" t="s">
        <v>66</v>
      </c>
      <c r="AK2" s="7" t="s">
        <v>66</v>
      </c>
      <c r="AL2" s="7" t="s">
        <v>66</v>
      </c>
      <c r="AM2" s="7" t="s">
        <v>66</v>
      </c>
      <c r="AN2" s="7" t="s">
        <v>66</v>
      </c>
      <c r="AO2" s="7" t="s">
        <v>66</v>
      </c>
      <c r="AP2" s="7" t="s">
        <v>66</v>
      </c>
      <c r="AQ2" s="7" t="s">
        <v>66</v>
      </c>
      <c r="AR2" s="7" t="s">
        <v>66</v>
      </c>
      <c r="AS2" s="7" t="s">
        <v>66</v>
      </c>
      <c r="AT2" s="7" t="s">
        <v>66</v>
      </c>
      <c r="AU2" s="7" t="s">
        <v>66</v>
      </c>
      <c r="AV2" s="7" t="s">
        <v>66</v>
      </c>
      <c r="AW2" s="7" t="s">
        <v>66</v>
      </c>
      <c r="AX2" s="7" t="s">
        <v>66</v>
      </c>
      <c r="AY2" s="7" t="s">
        <v>66</v>
      </c>
      <c r="AZ2" s="7" t="s">
        <v>66</v>
      </c>
      <c r="BA2" s="7" t="s">
        <v>66</v>
      </c>
      <c r="BB2" s="7" t="s">
        <v>66</v>
      </c>
      <c r="BC2" s="7" t="s">
        <v>66</v>
      </c>
      <c r="BD2" s="7" t="s">
        <v>66</v>
      </c>
      <c r="BE2" s="7" t="s">
        <v>66</v>
      </c>
      <c r="BF2" s="7" t="s">
        <v>66</v>
      </c>
    </row>
    <row r="3" spans="1:58" x14ac:dyDescent="0.2">
      <c r="A3" s="4" t="s">
        <v>58</v>
      </c>
      <c r="B3" s="7" t="s">
        <v>67</v>
      </c>
      <c r="C3" s="7" t="s">
        <v>67</v>
      </c>
      <c r="D3" s="7" t="s">
        <v>67</v>
      </c>
      <c r="E3" s="7" t="s">
        <v>67</v>
      </c>
      <c r="F3" s="7" t="s">
        <v>67</v>
      </c>
      <c r="G3" s="7" t="s">
        <v>67</v>
      </c>
      <c r="H3" s="7" t="s">
        <v>67</v>
      </c>
      <c r="I3" s="7" t="s">
        <v>67</v>
      </c>
      <c r="J3" s="7" t="s">
        <v>67</v>
      </c>
      <c r="K3" s="7" t="s">
        <v>67</v>
      </c>
      <c r="L3" s="7" t="s">
        <v>67</v>
      </c>
      <c r="M3" s="7" t="s">
        <v>67</v>
      </c>
      <c r="N3" s="7" t="s">
        <v>67</v>
      </c>
      <c r="O3" s="7" t="s">
        <v>67</v>
      </c>
      <c r="P3" s="7" t="s">
        <v>67</v>
      </c>
      <c r="Q3" s="7" t="s">
        <v>67</v>
      </c>
      <c r="R3" s="7" t="s">
        <v>67</v>
      </c>
      <c r="S3" s="7" t="s">
        <v>67</v>
      </c>
      <c r="T3" s="7" t="s">
        <v>67</v>
      </c>
      <c r="U3" s="7" t="s">
        <v>67</v>
      </c>
      <c r="V3" s="7" t="s">
        <v>67</v>
      </c>
      <c r="W3" s="7" t="s">
        <v>67</v>
      </c>
      <c r="X3" s="7" t="s">
        <v>67</v>
      </c>
      <c r="Y3" s="7" t="s">
        <v>67</v>
      </c>
      <c r="Z3" s="7" t="s">
        <v>67</v>
      </c>
      <c r="AA3" s="7" t="s">
        <v>67</v>
      </c>
      <c r="AB3" s="7" t="s">
        <v>67</v>
      </c>
      <c r="AC3" s="7" t="s">
        <v>67</v>
      </c>
      <c r="AD3" s="7" t="s">
        <v>67</v>
      </c>
      <c r="AE3" s="7" t="s">
        <v>67</v>
      </c>
      <c r="AF3" s="7" t="s">
        <v>67</v>
      </c>
      <c r="AG3" s="7" t="s">
        <v>67</v>
      </c>
      <c r="AH3" s="7" t="s">
        <v>67</v>
      </c>
      <c r="AI3" s="7" t="s">
        <v>67</v>
      </c>
      <c r="AJ3" s="7" t="s">
        <v>67</v>
      </c>
      <c r="AK3" s="7" t="s">
        <v>67</v>
      </c>
      <c r="AL3" s="7" t="s">
        <v>67</v>
      </c>
      <c r="AM3" s="7" t="s">
        <v>67</v>
      </c>
      <c r="AN3" s="7" t="s">
        <v>67</v>
      </c>
      <c r="AO3" s="7" t="s">
        <v>67</v>
      </c>
      <c r="AP3" s="7" t="s">
        <v>67</v>
      </c>
      <c r="AQ3" s="7" t="s">
        <v>67</v>
      </c>
      <c r="AR3" s="7" t="s">
        <v>67</v>
      </c>
      <c r="AS3" s="7" t="s">
        <v>67</v>
      </c>
      <c r="AT3" s="7" t="s">
        <v>67</v>
      </c>
      <c r="AU3" s="7" t="s">
        <v>67</v>
      </c>
      <c r="AV3" s="7" t="s">
        <v>67</v>
      </c>
      <c r="AW3" s="7" t="s">
        <v>67</v>
      </c>
      <c r="AX3" s="7" t="s">
        <v>67</v>
      </c>
      <c r="AY3" s="7" t="s">
        <v>67</v>
      </c>
      <c r="AZ3" s="7" t="s">
        <v>67</v>
      </c>
      <c r="BA3" s="7" t="s">
        <v>67</v>
      </c>
      <c r="BB3" s="7" t="s">
        <v>67</v>
      </c>
      <c r="BC3" s="7" t="s">
        <v>67</v>
      </c>
      <c r="BD3" s="7" t="s">
        <v>67</v>
      </c>
      <c r="BE3" s="7" t="s">
        <v>67</v>
      </c>
      <c r="BF3" s="7" t="s">
        <v>67</v>
      </c>
    </row>
    <row r="4" spans="1:58" x14ac:dyDescent="0.2">
      <c r="A4" s="4" t="s">
        <v>59</v>
      </c>
      <c r="B4" s="7" t="s">
        <v>68</v>
      </c>
      <c r="C4" s="7" t="s">
        <v>68</v>
      </c>
      <c r="D4" s="7" t="s">
        <v>68</v>
      </c>
      <c r="E4" s="7" t="s">
        <v>68</v>
      </c>
      <c r="F4" s="7" t="s">
        <v>68</v>
      </c>
      <c r="G4" s="7" t="s">
        <v>68</v>
      </c>
      <c r="H4" s="7" t="s">
        <v>68</v>
      </c>
      <c r="I4" s="7" t="s">
        <v>68</v>
      </c>
      <c r="J4" s="7" t="s">
        <v>68</v>
      </c>
      <c r="K4" s="7" t="s">
        <v>68</v>
      </c>
      <c r="L4" s="7" t="s">
        <v>68</v>
      </c>
      <c r="M4" s="7" t="s">
        <v>68</v>
      </c>
      <c r="N4" s="7" t="s">
        <v>68</v>
      </c>
      <c r="O4" s="7" t="s">
        <v>68</v>
      </c>
      <c r="P4" s="7" t="s">
        <v>68</v>
      </c>
      <c r="Q4" s="7" t="s">
        <v>68</v>
      </c>
      <c r="R4" s="7" t="s">
        <v>68</v>
      </c>
      <c r="S4" s="7" t="s">
        <v>68</v>
      </c>
      <c r="T4" s="7" t="s">
        <v>68</v>
      </c>
      <c r="U4" s="7" t="s">
        <v>68</v>
      </c>
      <c r="V4" s="7" t="s">
        <v>68</v>
      </c>
      <c r="W4" s="7" t="s">
        <v>68</v>
      </c>
      <c r="X4" s="7" t="s">
        <v>68</v>
      </c>
      <c r="Y4" s="7" t="s">
        <v>68</v>
      </c>
      <c r="Z4" s="7" t="s">
        <v>68</v>
      </c>
      <c r="AA4" s="7" t="s">
        <v>68</v>
      </c>
      <c r="AB4" s="7" t="s">
        <v>68</v>
      </c>
      <c r="AC4" s="7" t="s">
        <v>68</v>
      </c>
      <c r="AD4" s="7" t="s">
        <v>68</v>
      </c>
      <c r="AE4" s="7" t="s">
        <v>68</v>
      </c>
      <c r="AF4" s="7" t="s">
        <v>68</v>
      </c>
      <c r="AG4" s="7" t="s">
        <v>68</v>
      </c>
      <c r="AH4" s="7" t="s">
        <v>68</v>
      </c>
      <c r="AI4" s="7" t="s">
        <v>68</v>
      </c>
      <c r="AJ4" s="7" t="s">
        <v>68</v>
      </c>
      <c r="AK4" s="7" t="s">
        <v>68</v>
      </c>
      <c r="AL4" s="7" t="s">
        <v>68</v>
      </c>
      <c r="AM4" s="7" t="s">
        <v>68</v>
      </c>
      <c r="AN4" s="7" t="s">
        <v>68</v>
      </c>
      <c r="AO4" s="7" t="s">
        <v>68</v>
      </c>
      <c r="AP4" s="7" t="s">
        <v>68</v>
      </c>
      <c r="AQ4" s="7" t="s">
        <v>68</v>
      </c>
      <c r="AR4" s="7" t="s">
        <v>68</v>
      </c>
      <c r="AS4" s="7" t="s">
        <v>68</v>
      </c>
      <c r="AT4" s="7" t="s">
        <v>68</v>
      </c>
      <c r="AU4" s="7" t="s">
        <v>68</v>
      </c>
      <c r="AV4" s="7" t="s">
        <v>68</v>
      </c>
      <c r="AW4" s="7" t="s">
        <v>68</v>
      </c>
      <c r="AX4" s="7" t="s">
        <v>68</v>
      </c>
      <c r="AY4" s="7" t="s">
        <v>68</v>
      </c>
      <c r="AZ4" s="7" t="s">
        <v>68</v>
      </c>
      <c r="BA4" s="7" t="s">
        <v>68</v>
      </c>
      <c r="BB4" s="7" t="s">
        <v>68</v>
      </c>
      <c r="BC4" s="7" t="s">
        <v>68</v>
      </c>
      <c r="BD4" s="7" t="s">
        <v>68</v>
      </c>
      <c r="BE4" s="7" t="s">
        <v>68</v>
      </c>
      <c r="BF4" s="7" t="s">
        <v>68</v>
      </c>
    </row>
    <row r="5" spans="1:58" x14ac:dyDescent="0.2">
      <c r="A5" s="4" t="s">
        <v>60</v>
      </c>
      <c r="B5" s="7" t="s">
        <v>69</v>
      </c>
      <c r="C5" s="7" t="s">
        <v>69</v>
      </c>
      <c r="D5" s="7" t="s">
        <v>69</v>
      </c>
      <c r="E5" s="7" t="s">
        <v>69</v>
      </c>
      <c r="F5" s="7" t="s">
        <v>69</v>
      </c>
      <c r="G5" s="7" t="s">
        <v>69</v>
      </c>
      <c r="H5" s="7" t="s">
        <v>69</v>
      </c>
      <c r="I5" s="7" t="s">
        <v>69</v>
      </c>
      <c r="J5" s="7" t="s">
        <v>69</v>
      </c>
      <c r="K5" s="7" t="s">
        <v>69</v>
      </c>
      <c r="L5" s="7" t="s">
        <v>69</v>
      </c>
      <c r="M5" s="7" t="s">
        <v>69</v>
      </c>
      <c r="N5" s="7" t="s">
        <v>69</v>
      </c>
      <c r="O5" s="7" t="s">
        <v>69</v>
      </c>
      <c r="P5" s="7" t="s">
        <v>69</v>
      </c>
      <c r="Q5" s="7" t="s">
        <v>69</v>
      </c>
      <c r="R5" s="7" t="s">
        <v>69</v>
      </c>
      <c r="S5" s="7" t="s">
        <v>69</v>
      </c>
      <c r="T5" s="7" t="s">
        <v>69</v>
      </c>
      <c r="U5" s="7" t="s">
        <v>69</v>
      </c>
      <c r="V5" s="7" t="s">
        <v>69</v>
      </c>
      <c r="W5" s="7" t="s">
        <v>69</v>
      </c>
      <c r="X5" s="7" t="s">
        <v>69</v>
      </c>
      <c r="Y5" s="7" t="s">
        <v>69</v>
      </c>
      <c r="Z5" s="7" t="s">
        <v>69</v>
      </c>
      <c r="AA5" s="7" t="s">
        <v>69</v>
      </c>
      <c r="AB5" s="7" t="s">
        <v>69</v>
      </c>
      <c r="AC5" s="7" t="s">
        <v>69</v>
      </c>
      <c r="AD5" s="7" t="s">
        <v>69</v>
      </c>
      <c r="AE5" s="7" t="s">
        <v>69</v>
      </c>
      <c r="AF5" s="7" t="s">
        <v>69</v>
      </c>
      <c r="AG5" s="7" t="s">
        <v>69</v>
      </c>
      <c r="AH5" s="7" t="s">
        <v>69</v>
      </c>
      <c r="AI5" s="7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7" t="s">
        <v>69</v>
      </c>
      <c r="AO5" s="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7" t="s">
        <v>69</v>
      </c>
      <c r="AX5" s="7" t="s">
        <v>69</v>
      </c>
      <c r="AY5" s="7" t="s">
        <v>69</v>
      </c>
      <c r="AZ5" s="7" t="s">
        <v>69</v>
      </c>
      <c r="BA5" s="7" t="s">
        <v>69</v>
      </c>
      <c r="BB5" s="7" t="s">
        <v>69</v>
      </c>
      <c r="BC5" s="7" t="s">
        <v>69</v>
      </c>
      <c r="BD5" s="7" t="s">
        <v>69</v>
      </c>
      <c r="BE5" s="7" t="s">
        <v>69</v>
      </c>
      <c r="BF5" s="7" t="s">
        <v>69</v>
      </c>
    </row>
    <row r="6" spans="1:58" x14ac:dyDescent="0.2">
      <c r="A6" s="4" t="s">
        <v>61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</row>
    <row r="7" spans="1:58" s="6" customFormat="1" x14ac:dyDescent="0.2">
      <c r="A7" s="5" t="s">
        <v>62</v>
      </c>
      <c r="B7" s="6">
        <v>31929</v>
      </c>
      <c r="C7" s="6">
        <v>31929</v>
      </c>
      <c r="D7" s="6">
        <v>31929</v>
      </c>
      <c r="E7" s="6">
        <v>31929</v>
      </c>
      <c r="F7" s="6">
        <v>31929</v>
      </c>
      <c r="G7" s="6">
        <v>31929</v>
      </c>
      <c r="H7" s="6">
        <v>31929</v>
      </c>
      <c r="I7" s="6">
        <v>31929</v>
      </c>
      <c r="J7" s="6">
        <v>31929</v>
      </c>
      <c r="K7" s="6">
        <v>31929</v>
      </c>
      <c r="L7" s="6">
        <v>31929</v>
      </c>
      <c r="M7" s="6">
        <v>31929</v>
      </c>
      <c r="N7" s="6">
        <v>31929</v>
      </c>
      <c r="O7" s="6">
        <v>31929</v>
      </c>
      <c r="P7" s="6">
        <v>31929</v>
      </c>
      <c r="Q7" s="6">
        <v>42979</v>
      </c>
      <c r="R7" s="6">
        <v>42979</v>
      </c>
      <c r="S7" s="6">
        <v>31929</v>
      </c>
      <c r="T7" s="6">
        <v>31929</v>
      </c>
      <c r="U7" s="6">
        <v>31929</v>
      </c>
      <c r="V7" s="6">
        <v>31929</v>
      </c>
      <c r="W7" s="6">
        <v>31929</v>
      </c>
      <c r="X7" s="6">
        <v>31929</v>
      </c>
      <c r="Y7" s="6">
        <v>31929</v>
      </c>
      <c r="Z7" s="6">
        <v>31929</v>
      </c>
      <c r="AA7" s="6">
        <v>31929</v>
      </c>
      <c r="AB7" s="6">
        <v>31929</v>
      </c>
      <c r="AC7" s="6">
        <v>31929</v>
      </c>
      <c r="AD7" s="6">
        <v>31929</v>
      </c>
      <c r="AE7" s="6">
        <v>31929</v>
      </c>
      <c r="AF7" s="6">
        <v>31929</v>
      </c>
      <c r="AG7" s="6">
        <v>31929</v>
      </c>
      <c r="AH7" s="6">
        <v>31929</v>
      </c>
      <c r="AI7" s="6">
        <v>31929</v>
      </c>
      <c r="AJ7" s="6">
        <v>42979</v>
      </c>
      <c r="AK7" s="6">
        <v>42979</v>
      </c>
      <c r="AL7" s="6">
        <v>31929</v>
      </c>
      <c r="AM7" s="6">
        <v>31929</v>
      </c>
      <c r="AN7" s="6">
        <v>31929</v>
      </c>
      <c r="AO7" s="6">
        <v>31929</v>
      </c>
      <c r="AP7" s="6">
        <v>31929</v>
      </c>
      <c r="AQ7" s="6">
        <v>31929</v>
      </c>
      <c r="AR7" s="6">
        <v>31929</v>
      </c>
      <c r="AS7" s="6">
        <v>31929</v>
      </c>
      <c r="AT7" s="6">
        <v>31929</v>
      </c>
      <c r="AU7" s="6">
        <v>31929</v>
      </c>
      <c r="AV7" s="6">
        <v>31929</v>
      </c>
      <c r="AW7" s="6">
        <v>31929</v>
      </c>
      <c r="AX7" s="6">
        <v>31929</v>
      </c>
      <c r="AY7" s="6">
        <v>31929</v>
      </c>
      <c r="AZ7" s="6">
        <v>31929</v>
      </c>
      <c r="BA7" s="6">
        <v>31929</v>
      </c>
      <c r="BB7" s="6">
        <v>31929</v>
      </c>
      <c r="BC7" s="6">
        <v>42979</v>
      </c>
      <c r="BD7" s="6">
        <v>42979</v>
      </c>
      <c r="BE7" s="6">
        <v>31929</v>
      </c>
      <c r="BF7" s="6">
        <v>31929</v>
      </c>
    </row>
    <row r="8" spans="1:58" s="6" customFormat="1" x14ac:dyDescent="0.2">
      <c r="A8" s="5" t="s">
        <v>63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  <c r="Q8" s="6">
        <v>45992</v>
      </c>
      <c r="R8" s="6">
        <v>45992</v>
      </c>
      <c r="S8" s="6">
        <v>45992</v>
      </c>
      <c r="T8" s="6">
        <v>45992</v>
      </c>
      <c r="U8" s="6">
        <v>45992</v>
      </c>
      <c r="V8" s="6">
        <v>45992</v>
      </c>
      <c r="W8" s="6">
        <v>45992</v>
      </c>
      <c r="X8" s="6">
        <v>45992</v>
      </c>
      <c r="Y8" s="6">
        <v>45992</v>
      </c>
      <c r="Z8" s="6">
        <v>45992</v>
      </c>
      <c r="AA8" s="6">
        <v>45992</v>
      </c>
      <c r="AB8" s="6">
        <v>45992</v>
      </c>
      <c r="AC8" s="6">
        <v>45992</v>
      </c>
      <c r="AD8" s="6">
        <v>45992</v>
      </c>
      <c r="AE8" s="6">
        <v>45992</v>
      </c>
      <c r="AF8" s="6">
        <v>45992</v>
      </c>
      <c r="AG8" s="6">
        <v>45992</v>
      </c>
      <c r="AH8" s="6">
        <v>45992</v>
      </c>
      <c r="AI8" s="6">
        <v>45992</v>
      </c>
      <c r="AJ8" s="6">
        <v>45992</v>
      </c>
      <c r="AK8" s="6">
        <v>45992</v>
      </c>
      <c r="AL8" s="6">
        <v>45992</v>
      </c>
      <c r="AM8" s="6">
        <v>45992</v>
      </c>
      <c r="AN8" s="6">
        <v>45992</v>
      </c>
      <c r="AO8" s="6">
        <v>45992</v>
      </c>
      <c r="AP8" s="6">
        <v>45992</v>
      </c>
      <c r="AQ8" s="6">
        <v>45992</v>
      </c>
      <c r="AR8" s="6">
        <v>45992</v>
      </c>
      <c r="AS8" s="6">
        <v>45992</v>
      </c>
      <c r="AT8" s="6">
        <v>45992</v>
      </c>
      <c r="AU8" s="6">
        <v>45992</v>
      </c>
      <c r="AV8" s="6">
        <v>45992</v>
      </c>
      <c r="AW8" s="6">
        <v>45992</v>
      </c>
      <c r="AX8" s="6">
        <v>45992</v>
      </c>
      <c r="AY8" s="6">
        <v>45992</v>
      </c>
      <c r="AZ8" s="6">
        <v>45992</v>
      </c>
      <c r="BA8" s="6">
        <v>45992</v>
      </c>
      <c r="BB8" s="6">
        <v>45992</v>
      </c>
      <c r="BC8" s="6">
        <v>45992</v>
      </c>
      <c r="BD8" s="6">
        <v>45992</v>
      </c>
      <c r="BE8" s="6">
        <v>45992</v>
      </c>
      <c r="BF8" s="6">
        <v>45992</v>
      </c>
    </row>
    <row r="9" spans="1:58" x14ac:dyDescent="0.2">
      <c r="A9" s="4" t="s">
        <v>64</v>
      </c>
      <c r="B9" s="1">
        <v>155</v>
      </c>
      <c r="C9" s="1">
        <v>155</v>
      </c>
      <c r="D9" s="1">
        <v>155</v>
      </c>
      <c r="E9" s="1">
        <v>155</v>
      </c>
      <c r="F9" s="1">
        <v>155</v>
      </c>
      <c r="G9" s="1">
        <v>155</v>
      </c>
      <c r="H9" s="1">
        <v>155</v>
      </c>
      <c r="I9" s="1">
        <v>155</v>
      </c>
      <c r="J9" s="1">
        <v>155</v>
      </c>
      <c r="K9" s="1">
        <v>155</v>
      </c>
      <c r="L9" s="1">
        <v>155</v>
      </c>
      <c r="M9" s="1">
        <v>155</v>
      </c>
      <c r="N9" s="1">
        <v>155</v>
      </c>
      <c r="O9" s="1">
        <v>155</v>
      </c>
      <c r="P9" s="1">
        <v>155</v>
      </c>
      <c r="Q9" s="1">
        <v>34</v>
      </c>
      <c r="R9" s="1">
        <v>34</v>
      </c>
      <c r="S9" s="1">
        <v>155</v>
      </c>
      <c r="T9" s="1">
        <v>155</v>
      </c>
      <c r="U9" s="1">
        <v>155</v>
      </c>
      <c r="V9" s="1">
        <v>155</v>
      </c>
      <c r="W9" s="1">
        <v>155</v>
      </c>
      <c r="X9" s="1">
        <v>155</v>
      </c>
      <c r="Y9" s="1">
        <v>155</v>
      </c>
      <c r="Z9" s="1">
        <v>155</v>
      </c>
      <c r="AA9" s="1">
        <v>155</v>
      </c>
      <c r="AB9" s="1">
        <v>155</v>
      </c>
      <c r="AC9" s="1">
        <v>155</v>
      </c>
      <c r="AD9" s="1">
        <v>155</v>
      </c>
      <c r="AE9" s="1">
        <v>155</v>
      </c>
      <c r="AF9" s="1">
        <v>155</v>
      </c>
      <c r="AG9" s="1">
        <v>155</v>
      </c>
      <c r="AH9" s="1">
        <v>155</v>
      </c>
      <c r="AI9" s="1">
        <v>155</v>
      </c>
      <c r="AJ9" s="1">
        <v>34</v>
      </c>
      <c r="AK9" s="1">
        <v>34</v>
      </c>
      <c r="AL9" s="1">
        <v>155</v>
      </c>
      <c r="AM9" s="1">
        <v>155</v>
      </c>
      <c r="AN9" s="1">
        <v>155</v>
      </c>
      <c r="AO9" s="1">
        <v>155</v>
      </c>
      <c r="AP9" s="1">
        <v>155</v>
      </c>
      <c r="AQ9" s="1">
        <v>155</v>
      </c>
      <c r="AR9" s="1">
        <v>155</v>
      </c>
      <c r="AS9" s="1">
        <v>155</v>
      </c>
      <c r="AT9" s="1">
        <v>155</v>
      </c>
      <c r="AU9" s="1">
        <v>155</v>
      </c>
      <c r="AV9" s="1">
        <v>155</v>
      </c>
      <c r="AW9" s="1">
        <v>155</v>
      </c>
      <c r="AX9" s="1">
        <v>155</v>
      </c>
      <c r="AY9" s="1">
        <v>155</v>
      </c>
      <c r="AZ9" s="1">
        <v>155</v>
      </c>
      <c r="BA9" s="1">
        <v>155</v>
      </c>
      <c r="BB9" s="1">
        <v>155</v>
      </c>
      <c r="BC9" s="1">
        <v>34</v>
      </c>
      <c r="BD9" s="1">
        <v>34</v>
      </c>
      <c r="BE9" s="1">
        <v>155</v>
      </c>
      <c r="BF9" s="1">
        <v>155</v>
      </c>
    </row>
    <row r="10" spans="1:58" x14ac:dyDescent="0.2">
      <c r="A10" s="4" t="s">
        <v>65</v>
      </c>
      <c r="B10" s="7" t="s">
        <v>70</v>
      </c>
      <c r="C10" s="7" t="s">
        <v>71</v>
      </c>
      <c r="D10" s="7" t="s">
        <v>72</v>
      </c>
      <c r="E10" s="7" t="s">
        <v>73</v>
      </c>
      <c r="F10" s="7" t="s">
        <v>74</v>
      </c>
      <c r="G10" s="7" t="s">
        <v>75</v>
      </c>
      <c r="H10" s="7" t="s">
        <v>76</v>
      </c>
      <c r="I10" s="7" t="s">
        <v>77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83</v>
      </c>
      <c r="P10" s="7" t="s">
        <v>84</v>
      </c>
      <c r="Q10" s="7" t="s">
        <v>85</v>
      </c>
      <c r="R10" s="7" t="s">
        <v>86</v>
      </c>
      <c r="S10" s="7" t="s">
        <v>87</v>
      </c>
      <c r="T10" s="7" t="s">
        <v>88</v>
      </c>
      <c r="U10" s="7" t="s">
        <v>89</v>
      </c>
      <c r="V10" s="7" t="s">
        <v>90</v>
      </c>
      <c r="W10" s="7" t="s">
        <v>91</v>
      </c>
      <c r="X10" s="7" t="s">
        <v>92</v>
      </c>
      <c r="Y10" s="7" t="s">
        <v>93</v>
      </c>
      <c r="Z10" s="7" t="s">
        <v>94</v>
      </c>
      <c r="AA10" s="7" t="s">
        <v>95</v>
      </c>
      <c r="AB10" s="7" t="s">
        <v>96</v>
      </c>
      <c r="AC10" s="7" t="s">
        <v>97</v>
      </c>
      <c r="AD10" s="7" t="s">
        <v>98</v>
      </c>
      <c r="AE10" s="7" t="s">
        <v>99</v>
      </c>
      <c r="AF10" s="7" t="s">
        <v>100</v>
      </c>
      <c r="AG10" s="7" t="s">
        <v>101</v>
      </c>
      <c r="AH10" s="7" t="s">
        <v>102</v>
      </c>
      <c r="AI10" s="7" t="s">
        <v>103</v>
      </c>
      <c r="AJ10" s="7" t="s">
        <v>104</v>
      </c>
      <c r="AK10" s="7" t="s">
        <v>105</v>
      </c>
      <c r="AL10" s="7" t="s">
        <v>106</v>
      </c>
      <c r="AM10" s="7" t="s">
        <v>107</v>
      </c>
      <c r="AN10" s="7" t="s">
        <v>108</v>
      </c>
      <c r="AO10" s="7" t="s">
        <v>109</v>
      </c>
      <c r="AP10" s="7" t="s">
        <v>110</v>
      </c>
      <c r="AQ10" s="7" t="s">
        <v>111</v>
      </c>
      <c r="AR10" s="7" t="s">
        <v>112</v>
      </c>
      <c r="AS10" s="7" t="s">
        <v>113</v>
      </c>
      <c r="AT10" s="7" t="s">
        <v>114</v>
      </c>
      <c r="AU10" s="7" t="s">
        <v>115</v>
      </c>
      <c r="AV10" s="7" t="s">
        <v>116</v>
      </c>
      <c r="AW10" s="7" t="s">
        <v>117</v>
      </c>
      <c r="AX10" s="7" t="s">
        <v>118</v>
      </c>
      <c r="AY10" s="7" t="s">
        <v>119</v>
      </c>
      <c r="AZ10" s="7" t="s">
        <v>120</v>
      </c>
      <c r="BA10" s="7" t="s">
        <v>121</v>
      </c>
      <c r="BB10" s="7" t="s">
        <v>122</v>
      </c>
      <c r="BC10" s="7" t="s">
        <v>123</v>
      </c>
      <c r="BD10" s="7" t="s">
        <v>124</v>
      </c>
      <c r="BE10" s="7" t="s">
        <v>125</v>
      </c>
      <c r="BF10" s="7" t="s">
        <v>126</v>
      </c>
    </row>
    <row r="11" spans="1:58" x14ac:dyDescent="0.2">
      <c r="A11" s="9">
        <v>31929</v>
      </c>
      <c r="B11" s="8">
        <v>2489</v>
      </c>
      <c r="C11" s="8">
        <v>421</v>
      </c>
      <c r="D11" s="8">
        <v>2068</v>
      </c>
      <c r="E11" s="8">
        <v>175</v>
      </c>
      <c r="F11" s="8">
        <v>16</v>
      </c>
      <c r="G11" s="8">
        <v>138</v>
      </c>
      <c r="H11" s="8">
        <v>58</v>
      </c>
      <c r="I11" s="8">
        <v>86</v>
      </c>
      <c r="J11" s="8">
        <v>274</v>
      </c>
      <c r="K11" s="8">
        <v>62</v>
      </c>
      <c r="L11" s="8">
        <v>54</v>
      </c>
      <c r="M11" s="8">
        <v>237</v>
      </c>
      <c r="N11" s="8">
        <v>582</v>
      </c>
      <c r="O11" s="8">
        <v>28</v>
      </c>
      <c r="P11" s="8">
        <v>9</v>
      </c>
      <c r="S11" s="8">
        <v>33</v>
      </c>
      <c r="T11" s="8">
        <v>5</v>
      </c>
      <c r="U11" s="8">
        <v>4735</v>
      </c>
      <c r="V11" s="8">
        <v>578</v>
      </c>
      <c r="W11" s="8">
        <v>4157</v>
      </c>
      <c r="X11" s="8">
        <v>1517</v>
      </c>
      <c r="Y11" s="8">
        <v>5</v>
      </c>
      <c r="Z11" s="8">
        <v>147</v>
      </c>
      <c r="AA11" s="8">
        <v>410</v>
      </c>
      <c r="AB11" s="8">
        <v>308</v>
      </c>
      <c r="AC11" s="8">
        <v>110</v>
      </c>
      <c r="AD11" s="8">
        <v>458</v>
      </c>
      <c r="AE11" s="8">
        <v>80</v>
      </c>
      <c r="AF11" s="8">
        <v>272</v>
      </c>
      <c r="AG11" s="8">
        <v>278</v>
      </c>
      <c r="AH11" s="8">
        <v>187</v>
      </c>
      <c r="AI11" s="8">
        <v>62</v>
      </c>
      <c r="AL11" s="8">
        <v>31</v>
      </c>
      <c r="AM11" s="8">
        <v>56</v>
      </c>
      <c r="AN11" s="8">
        <v>7225</v>
      </c>
      <c r="AO11" s="8">
        <v>1000</v>
      </c>
      <c r="AP11" s="8">
        <v>6225</v>
      </c>
      <c r="AQ11" s="8">
        <v>1692</v>
      </c>
      <c r="AR11" s="8">
        <v>21</v>
      </c>
      <c r="AS11" s="8">
        <v>286</v>
      </c>
      <c r="AT11" s="8">
        <v>468</v>
      </c>
      <c r="AU11" s="8">
        <v>395</v>
      </c>
      <c r="AV11" s="8">
        <v>384</v>
      </c>
      <c r="AW11" s="8">
        <v>519</v>
      </c>
      <c r="AX11" s="8">
        <v>134</v>
      </c>
      <c r="AY11" s="8">
        <v>509</v>
      </c>
      <c r="AZ11" s="8">
        <v>861</v>
      </c>
      <c r="BA11" s="8">
        <v>215</v>
      </c>
      <c r="BB11" s="8">
        <v>72</v>
      </c>
      <c r="BE11" s="8">
        <v>64</v>
      </c>
      <c r="BF11" s="8">
        <v>62</v>
      </c>
    </row>
    <row r="12" spans="1:58" x14ac:dyDescent="0.2">
      <c r="A12" s="9">
        <v>32021</v>
      </c>
      <c r="B12" s="8">
        <v>2708</v>
      </c>
      <c r="C12" s="8">
        <v>514</v>
      </c>
      <c r="D12" s="8">
        <v>2195</v>
      </c>
      <c r="E12" s="8">
        <v>212</v>
      </c>
      <c r="F12" s="8">
        <v>12</v>
      </c>
      <c r="G12" s="8">
        <v>132</v>
      </c>
      <c r="H12" s="8">
        <v>63</v>
      </c>
      <c r="I12" s="8">
        <v>77</v>
      </c>
      <c r="J12" s="8">
        <v>203</v>
      </c>
      <c r="K12" s="8">
        <v>93</v>
      </c>
      <c r="L12" s="8">
        <v>36</v>
      </c>
      <c r="M12" s="8">
        <v>294</v>
      </c>
      <c r="N12" s="8">
        <v>640</v>
      </c>
      <c r="O12" s="8">
        <v>52</v>
      </c>
      <c r="P12" s="8">
        <v>18</v>
      </c>
      <c r="S12" s="8">
        <v>36</v>
      </c>
      <c r="T12" s="8">
        <v>4</v>
      </c>
      <c r="U12" s="8">
        <v>4385</v>
      </c>
      <c r="V12" s="8">
        <v>495</v>
      </c>
      <c r="W12" s="8">
        <v>3890</v>
      </c>
      <c r="X12" s="8">
        <v>1442</v>
      </c>
      <c r="Y12" s="8">
        <v>5</v>
      </c>
      <c r="Z12" s="8">
        <v>273</v>
      </c>
      <c r="AA12" s="8">
        <v>299</v>
      </c>
      <c r="AB12" s="8">
        <v>290</v>
      </c>
      <c r="AC12" s="8">
        <v>124</v>
      </c>
      <c r="AD12" s="8">
        <v>308</v>
      </c>
      <c r="AE12" s="8">
        <v>93</v>
      </c>
      <c r="AF12" s="8">
        <v>330</v>
      </c>
      <c r="AG12" s="8">
        <v>244</v>
      </c>
      <c r="AH12" s="8">
        <v>159</v>
      </c>
      <c r="AI12" s="8">
        <v>47</v>
      </c>
      <c r="AL12" s="8">
        <v>15</v>
      </c>
      <c r="AM12" s="8">
        <v>43</v>
      </c>
      <c r="AN12" s="8">
        <v>7094</v>
      </c>
      <c r="AO12" s="8">
        <v>1009</v>
      </c>
      <c r="AP12" s="8">
        <v>6084</v>
      </c>
      <c r="AQ12" s="8">
        <v>1654</v>
      </c>
      <c r="AR12" s="8">
        <v>17</v>
      </c>
      <c r="AS12" s="8">
        <v>404</v>
      </c>
      <c r="AT12" s="8">
        <v>362</v>
      </c>
      <c r="AU12" s="8">
        <v>368</v>
      </c>
      <c r="AV12" s="8">
        <v>327</v>
      </c>
      <c r="AW12" s="8">
        <v>401</v>
      </c>
      <c r="AX12" s="8">
        <v>129</v>
      </c>
      <c r="AY12" s="8">
        <v>624</v>
      </c>
      <c r="AZ12" s="8">
        <v>884</v>
      </c>
      <c r="BA12" s="8">
        <v>210</v>
      </c>
      <c r="BB12" s="8">
        <v>65</v>
      </c>
      <c r="BE12" s="8">
        <v>51</v>
      </c>
      <c r="BF12" s="8">
        <v>47</v>
      </c>
    </row>
    <row r="13" spans="1:58" x14ac:dyDescent="0.2">
      <c r="A13" s="9">
        <v>32112</v>
      </c>
      <c r="B13" s="8">
        <v>3393</v>
      </c>
      <c r="C13" s="8">
        <v>382</v>
      </c>
      <c r="D13" s="8">
        <v>3011</v>
      </c>
      <c r="E13" s="8">
        <v>226</v>
      </c>
      <c r="F13" s="8">
        <v>15</v>
      </c>
      <c r="G13" s="8">
        <v>196</v>
      </c>
      <c r="H13" s="8">
        <v>107</v>
      </c>
      <c r="I13" s="8">
        <v>129</v>
      </c>
      <c r="J13" s="8">
        <v>282</v>
      </c>
      <c r="K13" s="8">
        <v>52</v>
      </c>
      <c r="L13" s="8">
        <v>28</v>
      </c>
      <c r="M13" s="8">
        <v>416</v>
      </c>
      <c r="N13" s="8">
        <v>1002</v>
      </c>
      <c r="O13" s="8">
        <v>38</v>
      </c>
      <c r="P13" s="8">
        <v>12</v>
      </c>
      <c r="S13" s="8">
        <v>42</v>
      </c>
      <c r="T13" s="8">
        <v>12</v>
      </c>
      <c r="U13" s="8">
        <v>5169</v>
      </c>
      <c r="V13" s="8">
        <v>735</v>
      </c>
      <c r="W13" s="8">
        <v>4434</v>
      </c>
      <c r="X13" s="8">
        <v>1425</v>
      </c>
      <c r="Y13" s="8">
        <v>6</v>
      </c>
      <c r="Z13" s="8">
        <v>171</v>
      </c>
      <c r="AA13" s="8">
        <v>396</v>
      </c>
      <c r="AB13" s="8">
        <v>329</v>
      </c>
      <c r="AC13" s="8">
        <v>207</v>
      </c>
      <c r="AD13" s="8">
        <v>402</v>
      </c>
      <c r="AE13" s="8">
        <v>120</v>
      </c>
      <c r="AF13" s="8">
        <v>386</v>
      </c>
      <c r="AG13" s="8">
        <v>346</v>
      </c>
      <c r="AH13" s="8">
        <v>220</v>
      </c>
      <c r="AI13" s="8">
        <v>67</v>
      </c>
      <c r="AL13" s="8">
        <v>21</v>
      </c>
      <c r="AM13" s="8">
        <v>69</v>
      </c>
      <c r="AN13" s="8">
        <v>8562</v>
      </c>
      <c r="AO13" s="8">
        <v>1117</v>
      </c>
      <c r="AP13" s="8">
        <v>7445</v>
      </c>
      <c r="AQ13" s="8">
        <v>1651</v>
      </c>
      <c r="AR13" s="8">
        <v>21</v>
      </c>
      <c r="AS13" s="8">
        <v>367</v>
      </c>
      <c r="AT13" s="8">
        <v>503</v>
      </c>
      <c r="AU13" s="8">
        <v>458</v>
      </c>
      <c r="AV13" s="8">
        <v>489</v>
      </c>
      <c r="AW13" s="8">
        <v>454</v>
      </c>
      <c r="AX13" s="8">
        <v>148</v>
      </c>
      <c r="AY13" s="8">
        <v>802</v>
      </c>
      <c r="AZ13" s="8">
        <v>1348</v>
      </c>
      <c r="BA13" s="8">
        <v>259</v>
      </c>
      <c r="BB13" s="8">
        <v>79</v>
      </c>
      <c r="BE13" s="8">
        <v>63</v>
      </c>
      <c r="BF13" s="8">
        <v>81</v>
      </c>
    </row>
    <row r="14" spans="1:58" x14ac:dyDescent="0.2">
      <c r="A14" s="9">
        <v>32203</v>
      </c>
      <c r="B14" s="8">
        <v>2634</v>
      </c>
      <c r="C14" s="8">
        <v>383</v>
      </c>
      <c r="D14" s="8">
        <v>2251</v>
      </c>
      <c r="E14" s="8">
        <v>241</v>
      </c>
      <c r="F14" s="8">
        <v>13</v>
      </c>
      <c r="G14" s="8">
        <v>130</v>
      </c>
      <c r="H14" s="8">
        <v>49</v>
      </c>
      <c r="I14" s="8">
        <v>43</v>
      </c>
      <c r="J14" s="8">
        <v>247</v>
      </c>
      <c r="K14" s="8">
        <v>67</v>
      </c>
      <c r="L14" s="8">
        <v>6</v>
      </c>
      <c r="M14" s="8">
        <v>204</v>
      </c>
      <c r="N14" s="8">
        <v>796</v>
      </c>
      <c r="O14" s="8">
        <v>38</v>
      </c>
      <c r="P14" s="8">
        <v>12</v>
      </c>
      <c r="S14" s="8">
        <v>72</v>
      </c>
      <c r="T14" s="8">
        <v>5</v>
      </c>
      <c r="U14" s="8">
        <v>4389</v>
      </c>
      <c r="V14" s="8">
        <v>550</v>
      </c>
      <c r="W14" s="8">
        <v>3839</v>
      </c>
      <c r="X14" s="8">
        <v>1292</v>
      </c>
      <c r="Y14" s="8">
        <v>4</v>
      </c>
      <c r="Z14" s="8">
        <v>182</v>
      </c>
      <c r="AA14" s="8">
        <v>291</v>
      </c>
      <c r="AB14" s="8">
        <v>218</v>
      </c>
      <c r="AC14" s="8">
        <v>116</v>
      </c>
      <c r="AD14" s="8">
        <v>316</v>
      </c>
      <c r="AE14" s="8">
        <v>130</v>
      </c>
      <c r="AF14" s="8">
        <v>327</v>
      </c>
      <c r="AG14" s="8">
        <v>244</v>
      </c>
      <c r="AH14" s="8">
        <v>331</v>
      </c>
      <c r="AI14" s="8">
        <v>86</v>
      </c>
      <c r="AL14" s="8">
        <v>33</v>
      </c>
      <c r="AM14" s="8">
        <v>41</v>
      </c>
      <c r="AN14" s="8">
        <v>7023</v>
      </c>
      <c r="AO14" s="8">
        <v>934</v>
      </c>
      <c r="AP14" s="8">
        <v>6090</v>
      </c>
      <c r="AQ14" s="8">
        <v>1533</v>
      </c>
      <c r="AR14" s="8">
        <v>17</v>
      </c>
      <c r="AS14" s="8">
        <v>312</v>
      </c>
      <c r="AT14" s="8">
        <v>340</v>
      </c>
      <c r="AU14" s="8">
        <v>262</v>
      </c>
      <c r="AV14" s="8">
        <v>363</v>
      </c>
      <c r="AW14" s="8">
        <v>383</v>
      </c>
      <c r="AX14" s="8">
        <v>136</v>
      </c>
      <c r="AY14" s="8">
        <v>531</v>
      </c>
      <c r="AZ14" s="8">
        <v>1041</v>
      </c>
      <c r="BA14" s="8">
        <v>368</v>
      </c>
      <c r="BB14" s="8">
        <v>99</v>
      </c>
      <c r="BE14" s="8">
        <v>105</v>
      </c>
      <c r="BF14" s="8">
        <v>46</v>
      </c>
    </row>
    <row r="15" spans="1:58" x14ac:dyDescent="0.2">
      <c r="A15" s="9">
        <v>32295</v>
      </c>
      <c r="B15" s="8">
        <v>3532</v>
      </c>
      <c r="C15" s="8">
        <v>397</v>
      </c>
      <c r="D15" s="8">
        <v>3136</v>
      </c>
      <c r="E15" s="8">
        <v>255</v>
      </c>
      <c r="F15" s="8">
        <v>15</v>
      </c>
      <c r="G15" s="8">
        <v>165</v>
      </c>
      <c r="H15" s="8">
        <v>116</v>
      </c>
      <c r="I15" s="8">
        <v>57</v>
      </c>
      <c r="J15" s="8">
        <v>378</v>
      </c>
      <c r="K15" s="8">
        <v>70</v>
      </c>
      <c r="L15" s="8">
        <v>16</v>
      </c>
      <c r="M15" s="8">
        <v>325</v>
      </c>
      <c r="N15" s="8">
        <v>1139</v>
      </c>
      <c r="O15" s="8">
        <v>66</v>
      </c>
      <c r="P15" s="8">
        <v>22</v>
      </c>
      <c r="S15" s="8">
        <v>37</v>
      </c>
      <c r="T15" s="8">
        <v>6</v>
      </c>
      <c r="U15" s="8">
        <v>5500</v>
      </c>
      <c r="V15" s="8">
        <v>579</v>
      </c>
      <c r="W15" s="8">
        <v>4921</v>
      </c>
      <c r="X15" s="8">
        <v>1689</v>
      </c>
      <c r="Y15" s="8">
        <v>9</v>
      </c>
      <c r="Z15" s="8">
        <v>223</v>
      </c>
      <c r="AA15" s="8">
        <v>424</v>
      </c>
      <c r="AB15" s="8">
        <v>290</v>
      </c>
      <c r="AC15" s="8">
        <v>144</v>
      </c>
      <c r="AD15" s="8">
        <v>400</v>
      </c>
      <c r="AE15" s="8">
        <v>118</v>
      </c>
      <c r="AF15" s="8">
        <v>378</v>
      </c>
      <c r="AG15" s="8">
        <v>476</v>
      </c>
      <c r="AH15" s="8">
        <v>274</v>
      </c>
      <c r="AI15" s="8">
        <v>80</v>
      </c>
      <c r="AL15" s="8">
        <v>40</v>
      </c>
      <c r="AM15" s="8">
        <v>88</v>
      </c>
      <c r="AN15" s="8">
        <v>9032</v>
      </c>
      <c r="AO15" s="8">
        <v>976</v>
      </c>
      <c r="AP15" s="8">
        <v>8056</v>
      </c>
      <c r="AQ15" s="8">
        <v>1944</v>
      </c>
      <c r="AR15" s="8">
        <v>24</v>
      </c>
      <c r="AS15" s="8">
        <v>388</v>
      </c>
      <c r="AT15" s="8">
        <v>539</v>
      </c>
      <c r="AU15" s="8">
        <v>347</v>
      </c>
      <c r="AV15" s="8">
        <v>522</v>
      </c>
      <c r="AW15" s="8">
        <v>470</v>
      </c>
      <c r="AX15" s="8">
        <v>133</v>
      </c>
      <c r="AY15" s="8">
        <v>703</v>
      </c>
      <c r="AZ15" s="8">
        <v>1615</v>
      </c>
      <c r="BA15" s="8">
        <v>340</v>
      </c>
      <c r="BB15" s="8">
        <v>102</v>
      </c>
      <c r="BE15" s="8">
        <v>76</v>
      </c>
      <c r="BF15" s="8">
        <v>94</v>
      </c>
    </row>
    <row r="16" spans="1:58" x14ac:dyDescent="0.2">
      <c r="A16" s="9">
        <v>32387</v>
      </c>
      <c r="B16" s="8">
        <v>3236</v>
      </c>
      <c r="C16" s="8">
        <v>362</v>
      </c>
      <c r="D16" s="8">
        <v>2875</v>
      </c>
      <c r="E16" s="8">
        <v>259</v>
      </c>
      <c r="F16" s="8">
        <v>11</v>
      </c>
      <c r="G16" s="8">
        <v>105</v>
      </c>
      <c r="H16" s="8">
        <v>133</v>
      </c>
      <c r="I16" s="8">
        <v>66</v>
      </c>
      <c r="J16" s="8">
        <v>261</v>
      </c>
      <c r="K16" s="8">
        <v>59</v>
      </c>
      <c r="L16" s="8">
        <v>19</v>
      </c>
      <c r="M16" s="8">
        <v>338</v>
      </c>
      <c r="N16" s="8">
        <v>1114</v>
      </c>
      <c r="O16" s="8">
        <v>34</v>
      </c>
      <c r="P16" s="8">
        <v>10</v>
      </c>
      <c r="S16" s="8">
        <v>27</v>
      </c>
      <c r="T16" s="8">
        <v>13</v>
      </c>
      <c r="U16" s="8">
        <v>4514</v>
      </c>
      <c r="V16" s="8">
        <v>576</v>
      </c>
      <c r="W16" s="8">
        <v>3938</v>
      </c>
      <c r="X16" s="8">
        <v>1306</v>
      </c>
      <c r="Y16" s="8">
        <v>9</v>
      </c>
      <c r="Z16" s="8">
        <v>197</v>
      </c>
      <c r="AA16" s="8">
        <v>352</v>
      </c>
      <c r="AB16" s="8">
        <v>279</v>
      </c>
      <c r="AC16" s="8">
        <v>137</v>
      </c>
      <c r="AD16" s="8">
        <v>373</v>
      </c>
      <c r="AE16" s="8">
        <v>97</v>
      </c>
      <c r="AF16" s="8">
        <v>355</v>
      </c>
      <c r="AG16" s="8">
        <v>216</v>
      </c>
      <c r="AH16" s="8">
        <v>239</v>
      </c>
      <c r="AI16" s="8">
        <v>72</v>
      </c>
      <c r="AL16" s="8">
        <v>15</v>
      </c>
      <c r="AM16" s="8">
        <v>57</v>
      </c>
      <c r="AN16" s="8">
        <v>7750</v>
      </c>
      <c r="AO16" s="8">
        <v>937</v>
      </c>
      <c r="AP16" s="8">
        <v>6813</v>
      </c>
      <c r="AQ16" s="8">
        <v>1565</v>
      </c>
      <c r="AR16" s="8">
        <v>20</v>
      </c>
      <c r="AS16" s="8">
        <v>301</v>
      </c>
      <c r="AT16" s="8">
        <v>485</v>
      </c>
      <c r="AU16" s="8">
        <v>345</v>
      </c>
      <c r="AV16" s="8">
        <v>397</v>
      </c>
      <c r="AW16" s="8">
        <v>432</v>
      </c>
      <c r="AX16" s="8">
        <v>116</v>
      </c>
      <c r="AY16" s="8">
        <v>693</v>
      </c>
      <c r="AZ16" s="8">
        <v>1329</v>
      </c>
      <c r="BA16" s="8">
        <v>274</v>
      </c>
      <c r="BB16" s="8">
        <v>82</v>
      </c>
      <c r="BE16" s="8">
        <v>42</v>
      </c>
      <c r="BF16" s="8">
        <v>70</v>
      </c>
    </row>
    <row r="17" spans="1:58" x14ac:dyDescent="0.2">
      <c r="A17" s="9">
        <v>32478</v>
      </c>
      <c r="B17" s="8">
        <v>3984</v>
      </c>
      <c r="C17" s="8">
        <v>378</v>
      </c>
      <c r="D17" s="8">
        <v>3606</v>
      </c>
      <c r="E17" s="8">
        <v>308</v>
      </c>
      <c r="F17" s="8">
        <v>11</v>
      </c>
      <c r="G17" s="8">
        <v>233</v>
      </c>
      <c r="H17" s="8">
        <v>164</v>
      </c>
      <c r="I17" s="8">
        <v>108</v>
      </c>
      <c r="J17" s="8">
        <v>343</v>
      </c>
      <c r="K17" s="8">
        <v>58</v>
      </c>
      <c r="L17" s="8">
        <v>26</v>
      </c>
      <c r="M17" s="8">
        <v>331</v>
      </c>
      <c r="N17" s="8">
        <v>1369</v>
      </c>
      <c r="O17" s="8">
        <v>59</v>
      </c>
      <c r="P17" s="8">
        <v>19</v>
      </c>
      <c r="S17" s="8">
        <v>32</v>
      </c>
      <c r="T17" s="8">
        <v>7</v>
      </c>
      <c r="U17" s="8">
        <v>5904</v>
      </c>
      <c r="V17" s="8">
        <v>749</v>
      </c>
      <c r="W17" s="8">
        <v>5155</v>
      </c>
      <c r="X17" s="8">
        <v>1666</v>
      </c>
      <c r="Y17" s="8">
        <v>7</v>
      </c>
      <c r="Z17" s="8">
        <v>270</v>
      </c>
      <c r="AA17" s="8">
        <v>514</v>
      </c>
      <c r="AB17" s="8">
        <v>317</v>
      </c>
      <c r="AC17" s="8">
        <v>135</v>
      </c>
      <c r="AD17" s="8">
        <v>705</v>
      </c>
      <c r="AE17" s="8">
        <v>112</v>
      </c>
      <c r="AF17" s="8">
        <v>410</v>
      </c>
      <c r="AG17" s="8">
        <v>297</v>
      </c>
      <c r="AH17" s="8">
        <v>260</v>
      </c>
      <c r="AI17" s="8">
        <v>79</v>
      </c>
      <c r="AL17" s="8">
        <v>13</v>
      </c>
      <c r="AM17" s="8">
        <v>62</v>
      </c>
      <c r="AN17" s="8">
        <v>9888</v>
      </c>
      <c r="AO17" s="8">
        <v>1127</v>
      </c>
      <c r="AP17" s="8">
        <v>8761</v>
      </c>
      <c r="AQ17" s="8">
        <v>1973</v>
      </c>
      <c r="AR17" s="8">
        <v>18</v>
      </c>
      <c r="AS17" s="8">
        <v>503</v>
      </c>
      <c r="AT17" s="8">
        <v>677</v>
      </c>
      <c r="AU17" s="8">
        <v>425</v>
      </c>
      <c r="AV17" s="8">
        <v>478</v>
      </c>
      <c r="AW17" s="8">
        <v>762</v>
      </c>
      <c r="AX17" s="8">
        <v>137</v>
      </c>
      <c r="AY17" s="8">
        <v>741</v>
      </c>
      <c r="AZ17" s="8">
        <v>1667</v>
      </c>
      <c r="BA17" s="8">
        <v>319</v>
      </c>
      <c r="BB17" s="8">
        <v>98</v>
      </c>
      <c r="BE17" s="8">
        <v>45</v>
      </c>
      <c r="BF17" s="8">
        <v>68</v>
      </c>
    </row>
    <row r="18" spans="1:58" x14ac:dyDescent="0.2">
      <c r="A18" s="9">
        <v>32568</v>
      </c>
      <c r="B18" s="8">
        <v>3252</v>
      </c>
      <c r="C18" s="8">
        <v>409</v>
      </c>
      <c r="D18" s="8">
        <v>2843</v>
      </c>
      <c r="E18" s="8">
        <v>295</v>
      </c>
      <c r="F18" s="8">
        <v>11</v>
      </c>
      <c r="G18" s="8">
        <v>88</v>
      </c>
      <c r="H18" s="8">
        <v>131</v>
      </c>
      <c r="I18" s="8">
        <v>54</v>
      </c>
      <c r="J18" s="8">
        <v>253</v>
      </c>
      <c r="K18" s="8">
        <v>67</v>
      </c>
      <c r="L18" s="8">
        <v>10</v>
      </c>
      <c r="M18" s="8">
        <v>260</v>
      </c>
      <c r="N18" s="8">
        <v>1151</v>
      </c>
      <c r="O18" s="8">
        <v>45</v>
      </c>
      <c r="P18" s="8">
        <v>15</v>
      </c>
      <c r="S18" s="8">
        <v>45</v>
      </c>
      <c r="T18" s="8">
        <v>3</v>
      </c>
      <c r="U18" s="8">
        <v>5179</v>
      </c>
      <c r="V18" s="8">
        <v>549</v>
      </c>
      <c r="W18" s="8">
        <v>4630</v>
      </c>
      <c r="X18" s="8">
        <v>1416</v>
      </c>
      <c r="Y18" s="8">
        <v>6</v>
      </c>
      <c r="Z18" s="8">
        <v>307</v>
      </c>
      <c r="AA18" s="8">
        <v>381</v>
      </c>
      <c r="AB18" s="8">
        <v>209</v>
      </c>
      <c r="AC18" s="8">
        <v>112</v>
      </c>
      <c r="AD18" s="8">
        <v>521</v>
      </c>
      <c r="AE18" s="8">
        <v>75</v>
      </c>
      <c r="AF18" s="8">
        <v>512</v>
      </c>
      <c r="AG18" s="8">
        <v>228</v>
      </c>
      <c r="AH18" s="8">
        <v>376</v>
      </c>
      <c r="AI18" s="8">
        <v>103</v>
      </c>
      <c r="AL18" s="8">
        <v>8</v>
      </c>
      <c r="AM18" s="8">
        <v>89</v>
      </c>
      <c r="AN18" s="8">
        <v>8430</v>
      </c>
      <c r="AO18" s="8">
        <v>958</v>
      </c>
      <c r="AP18" s="8">
        <v>7473</v>
      </c>
      <c r="AQ18" s="8">
        <v>1711</v>
      </c>
      <c r="AR18" s="8">
        <v>17</v>
      </c>
      <c r="AS18" s="8">
        <v>395</v>
      </c>
      <c r="AT18" s="8">
        <v>512</v>
      </c>
      <c r="AU18" s="8">
        <v>264</v>
      </c>
      <c r="AV18" s="8">
        <v>365</v>
      </c>
      <c r="AW18" s="8">
        <v>587</v>
      </c>
      <c r="AX18" s="8">
        <v>85</v>
      </c>
      <c r="AY18" s="8">
        <v>772</v>
      </c>
      <c r="AZ18" s="8">
        <v>1379</v>
      </c>
      <c r="BA18" s="8">
        <v>422</v>
      </c>
      <c r="BB18" s="8">
        <v>118</v>
      </c>
      <c r="BE18" s="8">
        <v>54</v>
      </c>
      <c r="BF18" s="8">
        <v>92</v>
      </c>
    </row>
    <row r="19" spans="1:58" x14ac:dyDescent="0.2">
      <c r="A19" s="9">
        <v>32660</v>
      </c>
      <c r="B19" s="8">
        <v>4345</v>
      </c>
      <c r="C19" s="8">
        <v>372</v>
      </c>
      <c r="D19" s="8">
        <v>3973</v>
      </c>
      <c r="E19" s="8">
        <v>367</v>
      </c>
      <c r="F19" s="8">
        <v>14</v>
      </c>
      <c r="G19" s="8">
        <v>149</v>
      </c>
      <c r="H19" s="8">
        <v>151</v>
      </c>
      <c r="I19" s="8">
        <v>87</v>
      </c>
      <c r="J19" s="8">
        <v>389</v>
      </c>
      <c r="K19" s="8">
        <v>99</v>
      </c>
      <c r="L19" s="8">
        <v>25</v>
      </c>
      <c r="M19" s="8">
        <v>442</v>
      </c>
      <c r="N19" s="8">
        <v>1543</v>
      </c>
      <c r="O19" s="8">
        <v>62</v>
      </c>
      <c r="P19" s="8">
        <v>20</v>
      </c>
      <c r="S19" s="8">
        <v>27</v>
      </c>
      <c r="T19" s="8">
        <v>9</v>
      </c>
      <c r="U19" s="8">
        <v>6160</v>
      </c>
      <c r="V19" s="8">
        <v>633</v>
      </c>
      <c r="W19" s="8">
        <v>5527</v>
      </c>
      <c r="X19" s="8">
        <v>1708</v>
      </c>
      <c r="Y19" s="8">
        <v>3</v>
      </c>
      <c r="Z19" s="8">
        <v>386</v>
      </c>
      <c r="AA19" s="8">
        <v>487</v>
      </c>
      <c r="AB19" s="8">
        <v>312</v>
      </c>
      <c r="AC19" s="8">
        <v>141</v>
      </c>
      <c r="AD19" s="8">
        <v>594</v>
      </c>
      <c r="AE19" s="8">
        <v>103</v>
      </c>
      <c r="AF19" s="8">
        <v>396</v>
      </c>
      <c r="AG19" s="8">
        <v>323</v>
      </c>
      <c r="AH19" s="8">
        <v>496</v>
      </c>
      <c r="AI19" s="8">
        <v>136</v>
      </c>
      <c r="AL19" s="8">
        <v>14</v>
      </c>
      <c r="AM19" s="8">
        <v>87</v>
      </c>
      <c r="AN19" s="8">
        <v>10505</v>
      </c>
      <c r="AO19" s="8">
        <v>1006</v>
      </c>
      <c r="AP19" s="8">
        <v>9499</v>
      </c>
      <c r="AQ19" s="8">
        <v>2075</v>
      </c>
      <c r="AR19" s="8">
        <v>17</v>
      </c>
      <c r="AS19" s="8">
        <v>535</v>
      </c>
      <c r="AT19" s="8">
        <v>638</v>
      </c>
      <c r="AU19" s="8">
        <v>400</v>
      </c>
      <c r="AV19" s="8">
        <v>531</v>
      </c>
      <c r="AW19" s="8">
        <v>693</v>
      </c>
      <c r="AX19" s="8">
        <v>128</v>
      </c>
      <c r="AY19" s="8">
        <v>837</v>
      </c>
      <c r="AZ19" s="8">
        <v>1866</v>
      </c>
      <c r="BA19" s="8">
        <v>559</v>
      </c>
      <c r="BB19" s="8">
        <v>156</v>
      </c>
      <c r="BE19" s="8">
        <v>41</v>
      </c>
      <c r="BF19" s="8">
        <v>96</v>
      </c>
    </row>
    <row r="20" spans="1:58" x14ac:dyDescent="0.2">
      <c r="A20" s="9">
        <v>32752</v>
      </c>
      <c r="B20" s="8">
        <v>3849</v>
      </c>
      <c r="C20" s="8">
        <v>500</v>
      </c>
      <c r="D20" s="8">
        <v>3349</v>
      </c>
      <c r="E20" s="8">
        <v>298</v>
      </c>
      <c r="F20" s="8">
        <v>8</v>
      </c>
      <c r="G20" s="8">
        <v>158</v>
      </c>
      <c r="H20" s="8">
        <v>120</v>
      </c>
      <c r="I20" s="8">
        <v>98</v>
      </c>
      <c r="J20" s="8">
        <v>273</v>
      </c>
      <c r="K20" s="8">
        <v>66</v>
      </c>
      <c r="L20" s="8">
        <v>29</v>
      </c>
      <c r="M20" s="8">
        <v>358</v>
      </c>
      <c r="N20" s="8">
        <v>1274</v>
      </c>
      <c r="O20" s="8">
        <v>91</v>
      </c>
      <c r="P20" s="8">
        <v>32</v>
      </c>
      <c r="S20" s="8">
        <v>31</v>
      </c>
      <c r="T20" s="8">
        <v>14</v>
      </c>
      <c r="U20" s="8">
        <v>5617</v>
      </c>
      <c r="V20" s="8">
        <v>546</v>
      </c>
      <c r="W20" s="8">
        <v>5070</v>
      </c>
      <c r="X20" s="8">
        <v>1555</v>
      </c>
      <c r="Y20" s="8">
        <v>26</v>
      </c>
      <c r="Z20" s="8">
        <v>226</v>
      </c>
      <c r="AA20" s="8">
        <v>456</v>
      </c>
      <c r="AB20" s="8">
        <v>332</v>
      </c>
      <c r="AC20" s="8">
        <v>101</v>
      </c>
      <c r="AD20" s="8">
        <v>664</v>
      </c>
      <c r="AE20" s="8">
        <v>73</v>
      </c>
      <c r="AF20" s="8">
        <v>374</v>
      </c>
      <c r="AG20" s="8">
        <v>359</v>
      </c>
      <c r="AH20" s="8">
        <v>390</v>
      </c>
      <c r="AI20" s="8">
        <v>106</v>
      </c>
      <c r="AL20" s="8">
        <v>7</v>
      </c>
      <c r="AM20" s="8">
        <v>89</v>
      </c>
      <c r="AN20" s="8">
        <v>9466</v>
      </c>
      <c r="AO20" s="8">
        <v>1046</v>
      </c>
      <c r="AP20" s="8">
        <v>8420</v>
      </c>
      <c r="AQ20" s="8">
        <v>1853</v>
      </c>
      <c r="AR20" s="8">
        <v>34</v>
      </c>
      <c r="AS20" s="8">
        <v>384</v>
      </c>
      <c r="AT20" s="8">
        <v>575</v>
      </c>
      <c r="AU20" s="8">
        <v>430</v>
      </c>
      <c r="AV20" s="8">
        <v>374</v>
      </c>
      <c r="AW20" s="8">
        <v>730</v>
      </c>
      <c r="AX20" s="8">
        <v>102</v>
      </c>
      <c r="AY20" s="8">
        <v>732</v>
      </c>
      <c r="AZ20" s="8">
        <v>1634</v>
      </c>
      <c r="BA20" s="8">
        <v>482</v>
      </c>
      <c r="BB20" s="8">
        <v>138</v>
      </c>
      <c r="BE20" s="8">
        <v>38</v>
      </c>
      <c r="BF20" s="8">
        <v>103</v>
      </c>
    </row>
    <row r="21" spans="1:58" x14ac:dyDescent="0.2">
      <c r="A21" s="9">
        <v>32843</v>
      </c>
      <c r="B21" s="8">
        <v>4436</v>
      </c>
      <c r="C21" s="8">
        <v>473</v>
      </c>
      <c r="D21" s="8">
        <v>3963</v>
      </c>
      <c r="E21" s="8">
        <v>361</v>
      </c>
      <c r="F21" s="8">
        <v>8</v>
      </c>
      <c r="G21" s="8">
        <v>245</v>
      </c>
      <c r="H21" s="8">
        <v>186</v>
      </c>
      <c r="I21" s="8">
        <v>111</v>
      </c>
      <c r="J21" s="8">
        <v>292</v>
      </c>
      <c r="K21" s="8">
        <v>90</v>
      </c>
      <c r="L21" s="8">
        <v>37</v>
      </c>
      <c r="M21" s="8">
        <v>425</v>
      </c>
      <c r="N21" s="8">
        <v>1453</v>
      </c>
      <c r="O21" s="8">
        <v>87</v>
      </c>
      <c r="P21" s="8">
        <v>30</v>
      </c>
      <c r="S21" s="8">
        <v>33</v>
      </c>
      <c r="T21" s="8">
        <v>16</v>
      </c>
      <c r="U21" s="8">
        <v>5940</v>
      </c>
      <c r="V21" s="8">
        <v>651</v>
      </c>
      <c r="W21" s="8">
        <v>5290</v>
      </c>
      <c r="X21" s="8">
        <v>1835</v>
      </c>
      <c r="Y21" s="8">
        <v>27</v>
      </c>
      <c r="Z21" s="8">
        <v>334</v>
      </c>
      <c r="AA21" s="8">
        <v>490</v>
      </c>
      <c r="AB21" s="8">
        <v>286</v>
      </c>
      <c r="AC21" s="8">
        <v>123</v>
      </c>
      <c r="AD21" s="8">
        <v>416</v>
      </c>
      <c r="AE21" s="8">
        <v>56</v>
      </c>
      <c r="AF21" s="8">
        <v>402</v>
      </c>
      <c r="AG21" s="8">
        <v>363</v>
      </c>
      <c r="AH21" s="8">
        <v>435</v>
      </c>
      <c r="AI21" s="8">
        <v>116</v>
      </c>
      <c r="AL21" s="8">
        <v>8</v>
      </c>
      <c r="AM21" s="8">
        <v>90</v>
      </c>
      <c r="AN21" s="8">
        <v>10376</v>
      </c>
      <c r="AO21" s="8">
        <v>1124</v>
      </c>
      <c r="AP21" s="8">
        <v>9252</v>
      </c>
      <c r="AQ21" s="8">
        <v>2197</v>
      </c>
      <c r="AR21" s="8">
        <v>35</v>
      </c>
      <c r="AS21" s="8">
        <v>579</v>
      </c>
      <c r="AT21" s="8">
        <v>676</v>
      </c>
      <c r="AU21" s="8">
        <v>397</v>
      </c>
      <c r="AV21" s="8">
        <v>415</v>
      </c>
      <c r="AW21" s="8">
        <v>506</v>
      </c>
      <c r="AX21" s="8">
        <v>93</v>
      </c>
      <c r="AY21" s="8">
        <v>827</v>
      </c>
      <c r="AZ21" s="8">
        <v>1816</v>
      </c>
      <c r="BA21" s="8">
        <v>523</v>
      </c>
      <c r="BB21" s="8">
        <v>146</v>
      </c>
      <c r="BE21" s="8">
        <v>42</v>
      </c>
      <c r="BF21" s="8">
        <v>106</v>
      </c>
    </row>
    <row r="22" spans="1:58" x14ac:dyDescent="0.2">
      <c r="A22" s="9">
        <v>32933</v>
      </c>
      <c r="B22" s="8">
        <v>3581</v>
      </c>
      <c r="C22" s="8">
        <v>412</v>
      </c>
      <c r="D22" s="8">
        <v>3169</v>
      </c>
      <c r="E22" s="8">
        <v>307</v>
      </c>
      <c r="F22" s="8">
        <v>14</v>
      </c>
      <c r="G22" s="8">
        <v>74</v>
      </c>
      <c r="H22" s="8">
        <v>109</v>
      </c>
      <c r="I22" s="8">
        <v>49</v>
      </c>
      <c r="J22" s="8">
        <v>201</v>
      </c>
      <c r="K22" s="8">
        <v>104</v>
      </c>
      <c r="L22" s="8">
        <v>31</v>
      </c>
      <c r="M22" s="8">
        <v>390</v>
      </c>
      <c r="N22" s="8">
        <v>1247</v>
      </c>
      <c r="O22" s="8">
        <v>102</v>
      </c>
      <c r="P22" s="8">
        <v>36</v>
      </c>
      <c r="S22" s="8">
        <v>30</v>
      </c>
      <c r="T22" s="8">
        <v>7</v>
      </c>
      <c r="U22" s="8">
        <v>4871</v>
      </c>
      <c r="V22" s="8">
        <v>484</v>
      </c>
      <c r="W22" s="8">
        <v>4387</v>
      </c>
      <c r="X22" s="8">
        <v>1522</v>
      </c>
      <c r="Y22" s="8">
        <v>8</v>
      </c>
      <c r="Z22" s="8">
        <v>242</v>
      </c>
      <c r="AA22" s="8">
        <v>371</v>
      </c>
      <c r="AB22" s="8">
        <v>241</v>
      </c>
      <c r="AC22" s="8">
        <v>113</v>
      </c>
      <c r="AD22" s="8">
        <v>279</v>
      </c>
      <c r="AE22" s="8">
        <v>63</v>
      </c>
      <c r="AF22" s="8">
        <v>370</v>
      </c>
      <c r="AG22" s="8">
        <v>408</v>
      </c>
      <c r="AH22" s="8">
        <v>350</v>
      </c>
      <c r="AI22" s="8">
        <v>95</v>
      </c>
      <c r="AL22" s="8">
        <v>7</v>
      </c>
      <c r="AM22" s="8">
        <v>63</v>
      </c>
      <c r="AN22" s="8">
        <v>8452</v>
      </c>
      <c r="AO22" s="8">
        <v>896</v>
      </c>
      <c r="AP22" s="8">
        <v>7557</v>
      </c>
      <c r="AQ22" s="8">
        <v>1830</v>
      </c>
      <c r="AR22" s="8">
        <v>22</v>
      </c>
      <c r="AS22" s="8">
        <v>316</v>
      </c>
      <c r="AT22" s="8">
        <v>479</v>
      </c>
      <c r="AU22" s="8">
        <v>290</v>
      </c>
      <c r="AV22" s="8">
        <v>315</v>
      </c>
      <c r="AW22" s="8">
        <v>383</v>
      </c>
      <c r="AX22" s="8">
        <v>95</v>
      </c>
      <c r="AY22" s="8">
        <v>760</v>
      </c>
      <c r="AZ22" s="8">
        <v>1655</v>
      </c>
      <c r="BA22" s="8">
        <v>452</v>
      </c>
      <c r="BB22" s="8">
        <v>131</v>
      </c>
      <c r="BE22" s="8">
        <v>37</v>
      </c>
      <c r="BF22" s="8">
        <v>70</v>
      </c>
    </row>
    <row r="23" spans="1:58" x14ac:dyDescent="0.2">
      <c r="A23" s="9">
        <v>33025</v>
      </c>
      <c r="B23" s="8">
        <v>3756</v>
      </c>
      <c r="C23" s="8">
        <v>446</v>
      </c>
      <c r="D23" s="8">
        <v>3310</v>
      </c>
      <c r="E23" s="8">
        <v>355</v>
      </c>
      <c r="F23" s="8">
        <v>23</v>
      </c>
      <c r="G23" s="8">
        <v>138</v>
      </c>
      <c r="H23" s="8">
        <v>118</v>
      </c>
      <c r="I23" s="8">
        <v>50</v>
      </c>
      <c r="J23" s="8">
        <v>350</v>
      </c>
      <c r="K23" s="8">
        <v>84</v>
      </c>
      <c r="L23" s="8">
        <v>34</v>
      </c>
      <c r="M23" s="8">
        <v>337</v>
      </c>
      <c r="N23" s="8">
        <v>1232</v>
      </c>
      <c r="O23" s="8">
        <v>74</v>
      </c>
      <c r="P23" s="8">
        <v>25</v>
      </c>
      <c r="S23" s="8">
        <v>3</v>
      </c>
      <c r="T23" s="8">
        <v>5</v>
      </c>
      <c r="U23" s="8">
        <v>5706</v>
      </c>
      <c r="V23" s="8">
        <v>593</v>
      </c>
      <c r="W23" s="8">
        <v>5113</v>
      </c>
      <c r="X23" s="8">
        <v>1976</v>
      </c>
      <c r="Y23" s="8">
        <v>7</v>
      </c>
      <c r="Z23" s="8">
        <v>252</v>
      </c>
      <c r="AA23" s="8">
        <v>462</v>
      </c>
      <c r="AB23" s="8">
        <v>285</v>
      </c>
      <c r="AC23" s="8">
        <v>117</v>
      </c>
      <c r="AD23" s="8">
        <v>461</v>
      </c>
      <c r="AE23" s="8">
        <v>79</v>
      </c>
      <c r="AF23" s="8">
        <v>341</v>
      </c>
      <c r="AG23" s="8">
        <v>316</v>
      </c>
      <c r="AH23" s="8">
        <v>359</v>
      </c>
      <c r="AI23" s="8">
        <v>102</v>
      </c>
      <c r="AL23" s="8">
        <v>19</v>
      </c>
      <c r="AM23" s="8">
        <v>58</v>
      </c>
      <c r="AN23" s="8">
        <v>9462</v>
      </c>
      <c r="AO23" s="8">
        <v>1039</v>
      </c>
      <c r="AP23" s="8">
        <v>8423</v>
      </c>
      <c r="AQ23" s="8">
        <v>2330</v>
      </c>
      <c r="AR23" s="8">
        <v>31</v>
      </c>
      <c r="AS23" s="8">
        <v>390</v>
      </c>
      <c r="AT23" s="8">
        <v>579</v>
      </c>
      <c r="AU23" s="8">
        <v>335</v>
      </c>
      <c r="AV23" s="8">
        <v>467</v>
      </c>
      <c r="AW23" s="8">
        <v>546</v>
      </c>
      <c r="AX23" s="8">
        <v>113</v>
      </c>
      <c r="AY23" s="8">
        <v>677</v>
      </c>
      <c r="AZ23" s="8">
        <v>1548</v>
      </c>
      <c r="BA23" s="8">
        <v>433</v>
      </c>
      <c r="BB23" s="8">
        <v>127</v>
      </c>
      <c r="BE23" s="8">
        <v>22</v>
      </c>
      <c r="BF23" s="8">
        <v>63</v>
      </c>
    </row>
    <row r="24" spans="1:58" x14ac:dyDescent="0.2">
      <c r="A24" s="9">
        <v>33117</v>
      </c>
      <c r="B24" s="8">
        <v>4058</v>
      </c>
      <c r="C24" s="8">
        <v>493</v>
      </c>
      <c r="D24" s="8">
        <v>3565</v>
      </c>
      <c r="E24" s="8">
        <v>314</v>
      </c>
      <c r="F24" s="8">
        <v>9</v>
      </c>
      <c r="G24" s="8">
        <v>97</v>
      </c>
      <c r="H24" s="8">
        <v>211</v>
      </c>
      <c r="I24" s="8">
        <v>87</v>
      </c>
      <c r="J24" s="8">
        <v>487</v>
      </c>
      <c r="K24" s="8">
        <v>127</v>
      </c>
      <c r="L24" s="8">
        <v>26</v>
      </c>
      <c r="M24" s="8">
        <v>285</v>
      </c>
      <c r="N24" s="8">
        <v>1288</v>
      </c>
      <c r="O24" s="8">
        <v>68</v>
      </c>
      <c r="P24" s="8">
        <v>23</v>
      </c>
      <c r="S24" s="8">
        <v>5</v>
      </c>
      <c r="T24" s="8">
        <v>7</v>
      </c>
      <c r="U24" s="8">
        <v>5280</v>
      </c>
      <c r="V24" s="8">
        <v>651</v>
      </c>
      <c r="W24" s="8">
        <v>4628</v>
      </c>
      <c r="X24" s="8">
        <v>1496</v>
      </c>
      <c r="Y24" s="8">
        <v>7</v>
      </c>
      <c r="Z24" s="8">
        <v>196</v>
      </c>
      <c r="AA24" s="8">
        <v>500</v>
      </c>
      <c r="AB24" s="8">
        <v>298</v>
      </c>
      <c r="AC24" s="8">
        <v>139</v>
      </c>
      <c r="AD24" s="8">
        <v>541</v>
      </c>
      <c r="AE24" s="8">
        <v>54</v>
      </c>
      <c r="AF24" s="8">
        <v>317</v>
      </c>
      <c r="AG24" s="8">
        <v>288</v>
      </c>
      <c r="AH24" s="8">
        <v>342</v>
      </c>
      <c r="AI24" s="8">
        <v>99</v>
      </c>
      <c r="AL24" s="8">
        <v>16</v>
      </c>
      <c r="AM24" s="8">
        <v>55</v>
      </c>
      <c r="AN24" s="8">
        <v>9337</v>
      </c>
      <c r="AO24" s="8">
        <v>1144</v>
      </c>
      <c r="AP24" s="8">
        <v>8193</v>
      </c>
      <c r="AQ24" s="8">
        <v>1810</v>
      </c>
      <c r="AR24" s="8">
        <v>17</v>
      </c>
      <c r="AS24" s="8">
        <v>293</v>
      </c>
      <c r="AT24" s="8">
        <v>711</v>
      </c>
      <c r="AU24" s="8">
        <v>385</v>
      </c>
      <c r="AV24" s="8">
        <v>626</v>
      </c>
      <c r="AW24" s="8">
        <v>668</v>
      </c>
      <c r="AX24" s="8">
        <v>80</v>
      </c>
      <c r="AY24" s="8">
        <v>602</v>
      </c>
      <c r="AZ24" s="8">
        <v>1576</v>
      </c>
      <c r="BA24" s="8">
        <v>410</v>
      </c>
      <c r="BB24" s="8">
        <v>122</v>
      </c>
      <c r="BE24" s="8">
        <v>21</v>
      </c>
      <c r="BF24" s="8">
        <v>62</v>
      </c>
    </row>
    <row r="25" spans="1:58" x14ac:dyDescent="0.2">
      <c r="A25" s="9">
        <v>33208</v>
      </c>
      <c r="B25" s="8">
        <v>4088</v>
      </c>
      <c r="C25" s="8">
        <v>590</v>
      </c>
      <c r="D25" s="8">
        <v>3499</v>
      </c>
      <c r="E25" s="8">
        <v>333</v>
      </c>
      <c r="F25" s="8">
        <v>8</v>
      </c>
      <c r="G25" s="8">
        <v>100</v>
      </c>
      <c r="H25" s="8">
        <v>243</v>
      </c>
      <c r="I25" s="8">
        <v>127</v>
      </c>
      <c r="J25" s="8">
        <v>396</v>
      </c>
      <c r="K25" s="8">
        <v>150</v>
      </c>
      <c r="L25" s="8">
        <v>19</v>
      </c>
      <c r="M25" s="8">
        <v>303</v>
      </c>
      <c r="N25" s="8">
        <v>1185</v>
      </c>
      <c r="O25" s="8">
        <v>76</v>
      </c>
      <c r="P25" s="8">
        <v>26</v>
      </c>
      <c r="S25" s="8">
        <v>9</v>
      </c>
      <c r="T25" s="8">
        <v>5</v>
      </c>
      <c r="U25" s="8">
        <v>5537</v>
      </c>
      <c r="V25" s="8">
        <v>670</v>
      </c>
      <c r="W25" s="8">
        <v>4867</v>
      </c>
      <c r="X25" s="8">
        <v>1756</v>
      </c>
      <c r="Y25" s="8">
        <v>5</v>
      </c>
      <c r="Z25" s="8">
        <v>146</v>
      </c>
      <c r="AA25" s="8">
        <v>515</v>
      </c>
      <c r="AB25" s="8">
        <v>336</v>
      </c>
      <c r="AC25" s="8">
        <v>168</v>
      </c>
      <c r="AD25" s="8">
        <v>508</v>
      </c>
      <c r="AE25" s="8">
        <v>96</v>
      </c>
      <c r="AF25" s="8">
        <v>298</v>
      </c>
      <c r="AG25" s="8">
        <v>333</v>
      </c>
      <c r="AH25" s="8">
        <v>269</v>
      </c>
      <c r="AI25" s="8">
        <v>74</v>
      </c>
      <c r="AL25" s="8">
        <v>25</v>
      </c>
      <c r="AM25" s="8">
        <v>61</v>
      </c>
      <c r="AN25" s="8">
        <v>9626</v>
      </c>
      <c r="AO25" s="8">
        <v>1260</v>
      </c>
      <c r="AP25" s="8">
        <v>8366</v>
      </c>
      <c r="AQ25" s="8">
        <v>2088</v>
      </c>
      <c r="AR25" s="8">
        <v>14</v>
      </c>
      <c r="AS25" s="8">
        <v>245</v>
      </c>
      <c r="AT25" s="8">
        <v>758</v>
      </c>
      <c r="AU25" s="8">
        <v>463</v>
      </c>
      <c r="AV25" s="8">
        <v>563</v>
      </c>
      <c r="AW25" s="8">
        <v>658</v>
      </c>
      <c r="AX25" s="8">
        <v>116</v>
      </c>
      <c r="AY25" s="8">
        <v>602</v>
      </c>
      <c r="AZ25" s="8">
        <v>1518</v>
      </c>
      <c r="BA25" s="8">
        <v>346</v>
      </c>
      <c r="BB25" s="8">
        <v>100</v>
      </c>
      <c r="BE25" s="8">
        <v>34</v>
      </c>
      <c r="BF25" s="8">
        <v>66</v>
      </c>
    </row>
    <row r="26" spans="1:58" x14ac:dyDescent="0.2">
      <c r="A26" s="9">
        <v>33298</v>
      </c>
      <c r="B26" s="8">
        <v>3218</v>
      </c>
      <c r="C26" s="8">
        <v>528</v>
      </c>
      <c r="D26" s="8">
        <v>2690</v>
      </c>
      <c r="E26" s="8">
        <v>242</v>
      </c>
      <c r="F26" s="8">
        <v>11</v>
      </c>
      <c r="G26" s="8">
        <v>129</v>
      </c>
      <c r="H26" s="8">
        <v>166</v>
      </c>
      <c r="I26" s="8">
        <v>117</v>
      </c>
      <c r="J26" s="8">
        <v>276</v>
      </c>
      <c r="K26" s="8">
        <v>99</v>
      </c>
      <c r="L26" s="8">
        <v>8</v>
      </c>
      <c r="M26" s="8">
        <v>230</v>
      </c>
      <c r="N26" s="8">
        <v>944</v>
      </c>
      <c r="O26" s="8">
        <v>34</v>
      </c>
      <c r="P26" s="8">
        <v>11</v>
      </c>
      <c r="S26" s="8">
        <v>19</v>
      </c>
      <c r="T26" s="8">
        <v>6</v>
      </c>
      <c r="U26" s="8">
        <v>4637</v>
      </c>
      <c r="V26" s="8">
        <v>541</v>
      </c>
      <c r="W26" s="8">
        <v>4096</v>
      </c>
      <c r="X26" s="8">
        <v>1430</v>
      </c>
      <c r="Y26" s="8">
        <v>3</v>
      </c>
      <c r="Z26" s="8">
        <v>192</v>
      </c>
      <c r="AA26" s="8">
        <v>420</v>
      </c>
      <c r="AB26" s="8">
        <v>358</v>
      </c>
      <c r="AC26" s="8">
        <v>128</v>
      </c>
      <c r="AD26" s="8">
        <v>419</v>
      </c>
      <c r="AE26" s="8">
        <v>67</v>
      </c>
      <c r="AF26" s="8">
        <v>222</v>
      </c>
      <c r="AG26" s="8">
        <v>220</v>
      </c>
      <c r="AH26" s="8">
        <v>227</v>
      </c>
      <c r="AI26" s="8">
        <v>85</v>
      </c>
      <c r="AL26" s="8">
        <v>23</v>
      </c>
      <c r="AM26" s="8">
        <v>63</v>
      </c>
      <c r="AN26" s="8">
        <v>7854</v>
      </c>
      <c r="AO26" s="8">
        <v>1069</v>
      </c>
      <c r="AP26" s="8">
        <v>6785</v>
      </c>
      <c r="AQ26" s="8">
        <v>1672</v>
      </c>
      <c r="AR26" s="8">
        <v>14</v>
      </c>
      <c r="AS26" s="8">
        <v>321</v>
      </c>
      <c r="AT26" s="8">
        <v>585</v>
      </c>
      <c r="AU26" s="8">
        <v>475</v>
      </c>
      <c r="AV26" s="8">
        <v>403</v>
      </c>
      <c r="AW26" s="8">
        <v>518</v>
      </c>
      <c r="AX26" s="8">
        <v>75</v>
      </c>
      <c r="AY26" s="8">
        <v>452</v>
      </c>
      <c r="AZ26" s="8">
        <v>1164</v>
      </c>
      <c r="BA26" s="8">
        <v>261</v>
      </c>
      <c r="BB26" s="8">
        <v>96</v>
      </c>
      <c r="BE26" s="8">
        <v>43</v>
      </c>
      <c r="BF26" s="8">
        <v>69</v>
      </c>
    </row>
    <row r="27" spans="1:58" x14ac:dyDescent="0.2">
      <c r="A27" s="9">
        <v>33390</v>
      </c>
      <c r="B27" s="8">
        <v>3270</v>
      </c>
      <c r="C27" s="8">
        <v>520</v>
      </c>
      <c r="D27" s="8">
        <v>2750</v>
      </c>
      <c r="E27" s="8">
        <v>290</v>
      </c>
      <c r="F27" s="8">
        <v>7</v>
      </c>
      <c r="G27" s="8">
        <v>74</v>
      </c>
      <c r="H27" s="8">
        <v>231</v>
      </c>
      <c r="I27" s="8">
        <v>99</v>
      </c>
      <c r="J27" s="8">
        <v>200</v>
      </c>
      <c r="K27" s="8">
        <v>96</v>
      </c>
      <c r="L27" s="8">
        <v>21</v>
      </c>
      <c r="M27" s="8">
        <v>213</v>
      </c>
      <c r="N27" s="8">
        <v>997</v>
      </c>
      <c r="O27" s="8">
        <v>47</v>
      </c>
      <c r="P27" s="8">
        <v>16</v>
      </c>
      <c r="S27" s="8">
        <v>55</v>
      </c>
      <c r="T27" s="8">
        <v>4</v>
      </c>
      <c r="U27" s="8">
        <v>5138</v>
      </c>
      <c r="V27" s="8">
        <v>630</v>
      </c>
      <c r="W27" s="8">
        <v>4508</v>
      </c>
      <c r="X27" s="8">
        <v>1673</v>
      </c>
      <c r="Y27" s="8">
        <v>11</v>
      </c>
      <c r="Z27" s="8">
        <v>236</v>
      </c>
      <c r="AA27" s="8">
        <v>434</v>
      </c>
      <c r="AB27" s="8">
        <v>426</v>
      </c>
      <c r="AC27" s="8">
        <v>137</v>
      </c>
      <c r="AD27" s="8">
        <v>370</v>
      </c>
      <c r="AE27" s="8">
        <v>66</v>
      </c>
      <c r="AF27" s="8">
        <v>251</v>
      </c>
      <c r="AG27" s="8">
        <v>158</v>
      </c>
      <c r="AH27" s="8">
        <v>294</v>
      </c>
      <c r="AI27" s="8">
        <v>86</v>
      </c>
      <c r="AL27" s="8">
        <v>42</v>
      </c>
      <c r="AM27" s="8">
        <v>71</v>
      </c>
      <c r="AN27" s="8">
        <v>8408</v>
      </c>
      <c r="AO27" s="8">
        <v>1150</v>
      </c>
      <c r="AP27" s="8">
        <v>7259</v>
      </c>
      <c r="AQ27" s="8">
        <v>1963</v>
      </c>
      <c r="AR27" s="8">
        <v>18</v>
      </c>
      <c r="AS27" s="8">
        <v>310</v>
      </c>
      <c r="AT27" s="8">
        <v>664</v>
      </c>
      <c r="AU27" s="8">
        <v>525</v>
      </c>
      <c r="AV27" s="8">
        <v>337</v>
      </c>
      <c r="AW27" s="8">
        <v>466</v>
      </c>
      <c r="AX27" s="8">
        <v>87</v>
      </c>
      <c r="AY27" s="8">
        <v>464</v>
      </c>
      <c r="AZ27" s="8">
        <v>1154</v>
      </c>
      <c r="BA27" s="8">
        <v>342</v>
      </c>
      <c r="BB27" s="8">
        <v>102</v>
      </c>
      <c r="BE27" s="8">
        <v>98</v>
      </c>
      <c r="BF27" s="8">
        <v>74</v>
      </c>
    </row>
    <row r="28" spans="1:58" x14ac:dyDescent="0.2">
      <c r="A28" s="9">
        <v>33482</v>
      </c>
      <c r="B28" s="8">
        <v>2903</v>
      </c>
      <c r="C28" s="8">
        <v>516</v>
      </c>
      <c r="D28" s="8">
        <v>2386</v>
      </c>
      <c r="E28" s="8">
        <v>297</v>
      </c>
      <c r="F28" s="8">
        <v>7</v>
      </c>
      <c r="G28" s="8">
        <v>86</v>
      </c>
      <c r="H28" s="8">
        <v>156</v>
      </c>
      <c r="I28" s="8">
        <v>90</v>
      </c>
      <c r="J28" s="8">
        <v>148</v>
      </c>
      <c r="K28" s="8">
        <v>92</v>
      </c>
      <c r="L28" s="8">
        <v>22</v>
      </c>
      <c r="M28" s="8">
        <v>304</v>
      </c>
      <c r="N28" s="8">
        <v>687</v>
      </c>
      <c r="O28" s="8">
        <v>48</v>
      </c>
      <c r="P28" s="8">
        <v>17</v>
      </c>
      <c r="S28" s="8">
        <v>90</v>
      </c>
      <c r="T28" s="8">
        <v>2</v>
      </c>
      <c r="U28" s="8">
        <v>4733</v>
      </c>
      <c r="V28" s="8">
        <v>524</v>
      </c>
      <c r="W28" s="8">
        <v>4210</v>
      </c>
      <c r="X28" s="8">
        <v>1425</v>
      </c>
      <c r="Y28" s="8">
        <v>8</v>
      </c>
      <c r="Z28" s="8">
        <v>158</v>
      </c>
      <c r="AA28" s="8">
        <v>359</v>
      </c>
      <c r="AB28" s="8">
        <v>372</v>
      </c>
      <c r="AC28" s="8">
        <v>119</v>
      </c>
      <c r="AD28" s="8">
        <v>467</v>
      </c>
      <c r="AE28" s="8">
        <v>87</v>
      </c>
      <c r="AF28" s="8">
        <v>318</v>
      </c>
      <c r="AG28" s="8">
        <v>231</v>
      </c>
      <c r="AH28" s="8">
        <v>212</v>
      </c>
      <c r="AI28" s="8">
        <v>63</v>
      </c>
      <c r="AL28" s="8">
        <v>46</v>
      </c>
      <c r="AM28" s="8">
        <v>97</v>
      </c>
      <c r="AN28" s="8">
        <v>7636</v>
      </c>
      <c r="AO28" s="8">
        <v>1040</v>
      </c>
      <c r="AP28" s="8">
        <v>6596</v>
      </c>
      <c r="AQ28" s="8">
        <v>1722</v>
      </c>
      <c r="AR28" s="8">
        <v>15</v>
      </c>
      <c r="AS28" s="8">
        <v>245</v>
      </c>
      <c r="AT28" s="8">
        <v>515</v>
      </c>
      <c r="AU28" s="8">
        <v>462</v>
      </c>
      <c r="AV28" s="8">
        <v>267</v>
      </c>
      <c r="AW28" s="8">
        <v>559</v>
      </c>
      <c r="AX28" s="8">
        <v>108</v>
      </c>
      <c r="AY28" s="8">
        <v>622</v>
      </c>
      <c r="AZ28" s="8">
        <v>918</v>
      </c>
      <c r="BA28" s="8">
        <v>260</v>
      </c>
      <c r="BB28" s="8">
        <v>80</v>
      </c>
      <c r="BE28" s="8">
        <v>135</v>
      </c>
      <c r="BF28" s="8">
        <v>99</v>
      </c>
    </row>
    <row r="29" spans="1:58" x14ac:dyDescent="0.2">
      <c r="A29" s="9">
        <v>33573</v>
      </c>
      <c r="B29" s="8">
        <v>2808</v>
      </c>
      <c r="C29" s="8">
        <v>519</v>
      </c>
      <c r="D29" s="8">
        <v>2290</v>
      </c>
      <c r="E29" s="8">
        <v>331</v>
      </c>
      <c r="F29" s="8">
        <v>8</v>
      </c>
      <c r="G29" s="8">
        <v>59</v>
      </c>
      <c r="H29" s="8">
        <v>139</v>
      </c>
      <c r="I29" s="8">
        <v>126</v>
      </c>
      <c r="J29" s="8">
        <v>212</v>
      </c>
      <c r="K29" s="8">
        <v>39</v>
      </c>
      <c r="L29" s="8">
        <v>16</v>
      </c>
      <c r="M29" s="8">
        <v>326</v>
      </c>
      <c r="N29" s="8">
        <v>600</v>
      </c>
      <c r="O29" s="8">
        <v>17</v>
      </c>
      <c r="P29" s="8">
        <v>5</v>
      </c>
      <c r="S29" s="8">
        <v>83</v>
      </c>
      <c r="T29" s="8">
        <v>9</v>
      </c>
      <c r="U29" s="8">
        <v>4931</v>
      </c>
      <c r="V29" s="8">
        <v>627</v>
      </c>
      <c r="W29" s="8">
        <v>4304</v>
      </c>
      <c r="X29" s="8">
        <v>1638</v>
      </c>
      <c r="Y29" s="8">
        <v>12</v>
      </c>
      <c r="Z29" s="8">
        <v>175</v>
      </c>
      <c r="AA29" s="8">
        <v>356</v>
      </c>
      <c r="AB29" s="8">
        <v>367</v>
      </c>
      <c r="AC29" s="8">
        <v>162</v>
      </c>
      <c r="AD29" s="8">
        <v>375</v>
      </c>
      <c r="AE29" s="8">
        <v>103</v>
      </c>
      <c r="AF29" s="8">
        <v>293</v>
      </c>
      <c r="AG29" s="8">
        <v>209</v>
      </c>
      <c r="AH29" s="8">
        <v>219</v>
      </c>
      <c r="AI29" s="8">
        <v>63</v>
      </c>
      <c r="AL29" s="8">
        <v>48</v>
      </c>
      <c r="AM29" s="8">
        <v>47</v>
      </c>
      <c r="AN29" s="8">
        <v>7740</v>
      </c>
      <c r="AO29" s="8">
        <v>1146</v>
      </c>
      <c r="AP29" s="8">
        <v>6594</v>
      </c>
      <c r="AQ29" s="8">
        <v>1968</v>
      </c>
      <c r="AR29" s="8">
        <v>19</v>
      </c>
      <c r="AS29" s="8">
        <v>235</v>
      </c>
      <c r="AT29" s="8">
        <v>495</v>
      </c>
      <c r="AU29" s="8">
        <v>494</v>
      </c>
      <c r="AV29" s="8">
        <v>374</v>
      </c>
      <c r="AW29" s="8">
        <v>414</v>
      </c>
      <c r="AX29" s="8">
        <v>119</v>
      </c>
      <c r="AY29" s="8">
        <v>619</v>
      </c>
      <c r="AZ29" s="8">
        <v>808</v>
      </c>
      <c r="BA29" s="8">
        <v>236</v>
      </c>
      <c r="BB29" s="8">
        <v>68</v>
      </c>
      <c r="BE29" s="8">
        <v>131</v>
      </c>
      <c r="BF29" s="8">
        <v>56</v>
      </c>
    </row>
    <row r="30" spans="1:58" x14ac:dyDescent="0.2">
      <c r="A30" s="9">
        <v>33664</v>
      </c>
      <c r="B30" s="8">
        <v>2100</v>
      </c>
      <c r="C30" s="8">
        <v>447</v>
      </c>
      <c r="D30" s="8">
        <v>1653</v>
      </c>
      <c r="E30" s="8">
        <v>261</v>
      </c>
      <c r="F30" s="8">
        <v>5</v>
      </c>
      <c r="G30" s="8">
        <v>77</v>
      </c>
      <c r="H30" s="8">
        <v>99</v>
      </c>
      <c r="I30" s="8">
        <v>47</v>
      </c>
      <c r="J30" s="8">
        <v>194</v>
      </c>
      <c r="K30" s="8">
        <v>51</v>
      </c>
      <c r="L30" s="8">
        <v>8</v>
      </c>
      <c r="M30" s="8">
        <v>208</v>
      </c>
      <c r="N30" s="8">
        <v>432</v>
      </c>
      <c r="O30" s="8">
        <v>23</v>
      </c>
      <c r="P30" s="8">
        <v>8</v>
      </c>
      <c r="S30" s="8">
        <v>8</v>
      </c>
      <c r="T30" s="8">
        <v>4</v>
      </c>
      <c r="U30" s="8">
        <v>4187</v>
      </c>
      <c r="V30" s="8">
        <v>446</v>
      </c>
      <c r="W30" s="8">
        <v>3741</v>
      </c>
      <c r="X30" s="8">
        <v>1317</v>
      </c>
      <c r="Y30" s="8">
        <v>10</v>
      </c>
      <c r="Z30" s="8">
        <v>144</v>
      </c>
      <c r="AA30" s="8">
        <v>292</v>
      </c>
      <c r="AB30" s="8">
        <v>269</v>
      </c>
      <c r="AC30" s="8">
        <v>110</v>
      </c>
      <c r="AD30" s="8">
        <v>292</v>
      </c>
      <c r="AE30" s="8">
        <v>108</v>
      </c>
      <c r="AF30" s="8">
        <v>197</v>
      </c>
      <c r="AG30" s="8">
        <v>242</v>
      </c>
      <c r="AH30" s="8">
        <v>275</v>
      </c>
      <c r="AI30" s="8">
        <v>85</v>
      </c>
      <c r="AL30" s="8">
        <v>90</v>
      </c>
      <c r="AM30" s="8">
        <v>96</v>
      </c>
      <c r="AN30" s="8">
        <v>6287</v>
      </c>
      <c r="AO30" s="8">
        <v>893</v>
      </c>
      <c r="AP30" s="8">
        <v>5393</v>
      </c>
      <c r="AQ30" s="8">
        <v>1579</v>
      </c>
      <c r="AR30" s="8">
        <v>15</v>
      </c>
      <c r="AS30" s="8">
        <v>221</v>
      </c>
      <c r="AT30" s="8">
        <v>390</v>
      </c>
      <c r="AU30" s="8">
        <v>316</v>
      </c>
      <c r="AV30" s="8">
        <v>303</v>
      </c>
      <c r="AW30" s="8">
        <v>344</v>
      </c>
      <c r="AX30" s="8">
        <v>116</v>
      </c>
      <c r="AY30" s="8">
        <v>405</v>
      </c>
      <c r="AZ30" s="8">
        <v>674</v>
      </c>
      <c r="BA30" s="8">
        <v>298</v>
      </c>
      <c r="BB30" s="8">
        <v>93</v>
      </c>
      <c r="BE30" s="8">
        <v>98</v>
      </c>
      <c r="BF30" s="8">
        <v>100</v>
      </c>
    </row>
    <row r="31" spans="1:58" x14ac:dyDescent="0.2">
      <c r="A31" s="9">
        <v>33756</v>
      </c>
      <c r="B31" s="8">
        <v>2408</v>
      </c>
      <c r="C31" s="8">
        <v>646</v>
      </c>
      <c r="D31" s="8">
        <v>1762</v>
      </c>
      <c r="E31" s="8">
        <v>299</v>
      </c>
      <c r="F31" s="8">
        <v>10</v>
      </c>
      <c r="G31" s="8">
        <v>48</v>
      </c>
      <c r="H31" s="8">
        <v>80</v>
      </c>
      <c r="I31" s="8">
        <v>231</v>
      </c>
      <c r="J31" s="8">
        <v>172</v>
      </c>
      <c r="K31" s="8">
        <v>49</v>
      </c>
      <c r="L31" s="8">
        <v>26</v>
      </c>
      <c r="M31" s="8">
        <v>215</v>
      </c>
      <c r="N31" s="8">
        <v>345</v>
      </c>
      <c r="O31" s="8">
        <v>28</v>
      </c>
      <c r="P31" s="8">
        <v>10</v>
      </c>
      <c r="S31" s="8">
        <v>5</v>
      </c>
      <c r="T31" s="8">
        <v>5</v>
      </c>
      <c r="U31" s="8">
        <v>4980</v>
      </c>
      <c r="V31" s="8">
        <v>542</v>
      </c>
      <c r="W31" s="8">
        <v>4438</v>
      </c>
      <c r="X31" s="8">
        <v>1623</v>
      </c>
      <c r="Y31" s="8">
        <v>6</v>
      </c>
      <c r="Z31" s="8">
        <v>298</v>
      </c>
      <c r="AA31" s="8">
        <v>337</v>
      </c>
      <c r="AB31" s="8">
        <v>297</v>
      </c>
      <c r="AC31" s="8">
        <v>120</v>
      </c>
      <c r="AD31" s="8">
        <v>332</v>
      </c>
      <c r="AE31" s="8">
        <v>174</v>
      </c>
      <c r="AF31" s="8">
        <v>265</v>
      </c>
      <c r="AG31" s="8">
        <v>193</v>
      </c>
      <c r="AH31" s="8">
        <v>296</v>
      </c>
      <c r="AI31" s="8">
        <v>87</v>
      </c>
      <c r="AL31" s="8">
        <v>104</v>
      </c>
      <c r="AM31" s="8">
        <v>56</v>
      </c>
      <c r="AN31" s="8">
        <v>7388</v>
      </c>
      <c r="AO31" s="8">
        <v>1188</v>
      </c>
      <c r="AP31" s="8">
        <v>6200</v>
      </c>
      <c r="AQ31" s="8">
        <v>1922</v>
      </c>
      <c r="AR31" s="8">
        <v>16</v>
      </c>
      <c r="AS31" s="8">
        <v>346</v>
      </c>
      <c r="AT31" s="8">
        <v>416</v>
      </c>
      <c r="AU31" s="8">
        <v>528</v>
      </c>
      <c r="AV31" s="8">
        <v>292</v>
      </c>
      <c r="AW31" s="8">
        <v>381</v>
      </c>
      <c r="AX31" s="8">
        <v>200</v>
      </c>
      <c r="AY31" s="8">
        <v>480</v>
      </c>
      <c r="AZ31" s="8">
        <v>538</v>
      </c>
      <c r="BA31" s="8">
        <v>324</v>
      </c>
      <c r="BB31" s="8">
        <v>97</v>
      </c>
      <c r="BE31" s="8">
        <v>110</v>
      </c>
      <c r="BF31" s="8">
        <v>61</v>
      </c>
    </row>
    <row r="32" spans="1:58" x14ac:dyDescent="0.2">
      <c r="A32" s="9">
        <v>33848</v>
      </c>
      <c r="B32" s="8">
        <v>2544</v>
      </c>
      <c r="C32" s="8">
        <v>689</v>
      </c>
      <c r="D32" s="8">
        <v>1855</v>
      </c>
      <c r="E32" s="8">
        <v>249</v>
      </c>
      <c r="F32" s="8">
        <v>10</v>
      </c>
      <c r="G32" s="8">
        <v>66</v>
      </c>
      <c r="H32" s="8">
        <v>189</v>
      </c>
      <c r="I32" s="8">
        <v>129</v>
      </c>
      <c r="J32" s="8">
        <v>157</v>
      </c>
      <c r="K32" s="8">
        <v>42</v>
      </c>
      <c r="L32" s="8">
        <v>30</v>
      </c>
      <c r="M32" s="8">
        <v>301</v>
      </c>
      <c r="N32" s="8">
        <v>353</v>
      </c>
      <c r="O32" s="8">
        <v>32</v>
      </c>
      <c r="P32" s="8">
        <v>11</v>
      </c>
      <c r="S32" s="8">
        <v>17</v>
      </c>
      <c r="T32" s="8">
        <v>8</v>
      </c>
      <c r="U32" s="8">
        <v>4680</v>
      </c>
      <c r="V32" s="8">
        <v>576</v>
      </c>
      <c r="W32" s="8">
        <v>4104</v>
      </c>
      <c r="X32" s="8">
        <v>1400</v>
      </c>
      <c r="Y32" s="8">
        <v>5</v>
      </c>
      <c r="Z32" s="8">
        <v>318</v>
      </c>
      <c r="AA32" s="8">
        <v>380</v>
      </c>
      <c r="AB32" s="8">
        <v>256</v>
      </c>
      <c r="AC32" s="8">
        <v>135</v>
      </c>
      <c r="AD32" s="8">
        <v>176</v>
      </c>
      <c r="AE32" s="8">
        <v>156</v>
      </c>
      <c r="AF32" s="8">
        <v>399</v>
      </c>
      <c r="AG32" s="8">
        <v>262</v>
      </c>
      <c r="AH32" s="8">
        <v>241</v>
      </c>
      <c r="AI32" s="8">
        <v>70</v>
      </c>
      <c r="AL32" s="8">
        <v>22</v>
      </c>
      <c r="AM32" s="8">
        <v>44</v>
      </c>
      <c r="AN32" s="8">
        <v>7224</v>
      </c>
      <c r="AO32" s="8">
        <v>1265</v>
      </c>
      <c r="AP32" s="8">
        <v>5959</v>
      </c>
      <c r="AQ32" s="8">
        <v>1649</v>
      </c>
      <c r="AR32" s="8">
        <v>15</v>
      </c>
      <c r="AS32" s="8">
        <v>383</v>
      </c>
      <c r="AT32" s="8">
        <v>569</v>
      </c>
      <c r="AU32" s="8">
        <v>385</v>
      </c>
      <c r="AV32" s="8">
        <v>292</v>
      </c>
      <c r="AW32" s="8">
        <v>218</v>
      </c>
      <c r="AX32" s="8">
        <v>186</v>
      </c>
      <c r="AY32" s="8">
        <v>700</v>
      </c>
      <c r="AZ32" s="8">
        <v>615</v>
      </c>
      <c r="BA32" s="8">
        <v>273</v>
      </c>
      <c r="BB32" s="8">
        <v>82</v>
      </c>
      <c r="BE32" s="8">
        <v>38</v>
      </c>
      <c r="BF32" s="8">
        <v>52</v>
      </c>
    </row>
    <row r="33" spans="1:58" x14ac:dyDescent="0.2">
      <c r="A33" s="9">
        <v>33939</v>
      </c>
      <c r="B33" s="8">
        <v>2805</v>
      </c>
      <c r="C33" s="8">
        <v>751</v>
      </c>
      <c r="D33" s="8">
        <v>2054</v>
      </c>
      <c r="E33" s="8">
        <v>347</v>
      </c>
      <c r="F33" s="8">
        <v>15</v>
      </c>
      <c r="G33" s="8">
        <v>58</v>
      </c>
      <c r="H33" s="8">
        <v>167</v>
      </c>
      <c r="I33" s="8">
        <v>241</v>
      </c>
      <c r="J33" s="8">
        <v>165</v>
      </c>
      <c r="K33" s="8">
        <v>50</v>
      </c>
      <c r="L33" s="8">
        <v>53</v>
      </c>
      <c r="M33" s="8">
        <v>182</v>
      </c>
      <c r="N33" s="8">
        <v>452</v>
      </c>
      <c r="O33" s="8">
        <v>26</v>
      </c>
      <c r="P33" s="8">
        <v>9</v>
      </c>
      <c r="S33" s="8">
        <v>3</v>
      </c>
      <c r="T33" s="8">
        <v>9</v>
      </c>
      <c r="U33" s="8">
        <v>6163</v>
      </c>
      <c r="V33" s="8">
        <v>691</v>
      </c>
      <c r="W33" s="8">
        <v>5472</v>
      </c>
      <c r="X33" s="8">
        <v>1631</v>
      </c>
      <c r="Y33" s="8">
        <v>6</v>
      </c>
      <c r="Z33" s="8">
        <v>287</v>
      </c>
      <c r="AA33" s="8">
        <v>445</v>
      </c>
      <c r="AB33" s="8">
        <v>309</v>
      </c>
      <c r="AC33" s="8">
        <v>291</v>
      </c>
      <c r="AD33" s="8">
        <v>335</v>
      </c>
      <c r="AE33" s="8">
        <v>555</v>
      </c>
      <c r="AF33" s="8">
        <v>335</v>
      </c>
      <c r="AG33" s="8">
        <v>374</v>
      </c>
      <c r="AH33" s="8">
        <v>331</v>
      </c>
      <c r="AI33" s="8">
        <v>96</v>
      </c>
      <c r="AL33" s="8">
        <v>41</v>
      </c>
      <c r="AM33" s="8">
        <v>94</v>
      </c>
      <c r="AN33" s="8">
        <v>8968</v>
      </c>
      <c r="AO33" s="8">
        <v>1442</v>
      </c>
      <c r="AP33" s="8">
        <v>7526</v>
      </c>
      <c r="AQ33" s="8">
        <v>1978</v>
      </c>
      <c r="AR33" s="8">
        <v>21</v>
      </c>
      <c r="AS33" s="8">
        <v>345</v>
      </c>
      <c r="AT33" s="8">
        <v>612</v>
      </c>
      <c r="AU33" s="8">
        <v>550</v>
      </c>
      <c r="AV33" s="8">
        <v>456</v>
      </c>
      <c r="AW33" s="8">
        <v>385</v>
      </c>
      <c r="AX33" s="8">
        <v>608</v>
      </c>
      <c r="AY33" s="8">
        <v>518</v>
      </c>
      <c r="AZ33" s="8">
        <v>826</v>
      </c>
      <c r="BA33" s="8">
        <v>357</v>
      </c>
      <c r="BB33" s="8">
        <v>105</v>
      </c>
      <c r="BE33" s="8">
        <v>44</v>
      </c>
      <c r="BF33" s="8">
        <v>103</v>
      </c>
    </row>
    <row r="34" spans="1:58" x14ac:dyDescent="0.2">
      <c r="A34" s="9">
        <v>34029</v>
      </c>
      <c r="B34" s="8">
        <v>2035</v>
      </c>
      <c r="C34" s="8">
        <v>697</v>
      </c>
      <c r="D34" s="8">
        <v>1338</v>
      </c>
      <c r="E34" s="8">
        <v>261</v>
      </c>
      <c r="F34" s="8">
        <v>13</v>
      </c>
      <c r="G34" s="8">
        <v>59</v>
      </c>
      <c r="H34" s="8">
        <v>53</v>
      </c>
      <c r="I34" s="8">
        <v>38</v>
      </c>
      <c r="J34" s="8">
        <v>81</v>
      </c>
      <c r="K34" s="8">
        <v>57</v>
      </c>
      <c r="L34" s="8">
        <v>42</v>
      </c>
      <c r="M34" s="8">
        <v>150</v>
      </c>
      <c r="N34" s="8">
        <v>356</v>
      </c>
      <c r="O34" s="8">
        <v>28</v>
      </c>
      <c r="P34" s="8">
        <v>10</v>
      </c>
      <c r="S34" s="8">
        <v>12</v>
      </c>
      <c r="T34" s="8">
        <v>1</v>
      </c>
      <c r="U34" s="8">
        <v>5026</v>
      </c>
      <c r="V34" s="8">
        <v>609</v>
      </c>
      <c r="W34" s="8">
        <v>4417</v>
      </c>
      <c r="X34" s="8">
        <v>1322</v>
      </c>
      <c r="Y34" s="8">
        <v>5</v>
      </c>
      <c r="Z34" s="8">
        <v>253</v>
      </c>
      <c r="AA34" s="8">
        <v>310</v>
      </c>
      <c r="AB34" s="8">
        <v>236</v>
      </c>
      <c r="AC34" s="8">
        <v>147</v>
      </c>
      <c r="AD34" s="8">
        <v>483</v>
      </c>
      <c r="AE34" s="8">
        <v>275</v>
      </c>
      <c r="AF34" s="8">
        <v>285</v>
      </c>
      <c r="AG34" s="8">
        <v>257</v>
      </c>
      <c r="AH34" s="8">
        <v>306</v>
      </c>
      <c r="AI34" s="8">
        <v>99</v>
      </c>
      <c r="AL34" s="8">
        <v>101</v>
      </c>
      <c r="AM34" s="8">
        <v>62</v>
      </c>
      <c r="AN34" s="8">
        <v>7061</v>
      </c>
      <c r="AO34" s="8">
        <v>1306</v>
      </c>
      <c r="AP34" s="8">
        <v>5755</v>
      </c>
      <c r="AQ34" s="8">
        <v>1584</v>
      </c>
      <c r="AR34" s="8">
        <v>18</v>
      </c>
      <c r="AS34" s="8">
        <v>312</v>
      </c>
      <c r="AT34" s="8">
        <v>363</v>
      </c>
      <c r="AU34" s="8">
        <v>275</v>
      </c>
      <c r="AV34" s="8">
        <v>228</v>
      </c>
      <c r="AW34" s="8">
        <v>540</v>
      </c>
      <c r="AX34" s="8">
        <v>316</v>
      </c>
      <c r="AY34" s="8">
        <v>435</v>
      </c>
      <c r="AZ34" s="8">
        <v>613</v>
      </c>
      <c r="BA34" s="8">
        <v>334</v>
      </c>
      <c r="BB34" s="8">
        <v>109</v>
      </c>
      <c r="BE34" s="8">
        <v>113</v>
      </c>
      <c r="BF34" s="8">
        <v>63</v>
      </c>
    </row>
    <row r="35" spans="1:58" x14ac:dyDescent="0.2">
      <c r="A35" s="9">
        <v>34121</v>
      </c>
      <c r="B35" s="8">
        <v>2121</v>
      </c>
      <c r="C35" s="8">
        <v>814</v>
      </c>
      <c r="D35" s="8">
        <v>1307</v>
      </c>
      <c r="E35" s="8">
        <v>292</v>
      </c>
      <c r="F35" s="8">
        <v>6</v>
      </c>
      <c r="G35" s="8">
        <v>34</v>
      </c>
      <c r="H35" s="8">
        <v>107</v>
      </c>
      <c r="I35" s="8">
        <v>76</v>
      </c>
      <c r="J35" s="8">
        <v>109</v>
      </c>
      <c r="K35" s="8">
        <v>33</v>
      </c>
      <c r="L35" s="8">
        <v>66</v>
      </c>
      <c r="M35" s="8">
        <v>206</v>
      </c>
      <c r="N35" s="8">
        <v>142</v>
      </c>
      <c r="O35" s="8">
        <v>33</v>
      </c>
      <c r="P35" s="8">
        <v>12</v>
      </c>
      <c r="S35" s="8">
        <v>20</v>
      </c>
      <c r="T35" s="8">
        <v>3</v>
      </c>
      <c r="U35" s="8">
        <v>5737</v>
      </c>
      <c r="V35" s="8">
        <v>721</v>
      </c>
      <c r="W35" s="8">
        <v>5016</v>
      </c>
      <c r="X35" s="8">
        <v>1770</v>
      </c>
      <c r="Y35" s="8">
        <v>7</v>
      </c>
      <c r="Z35" s="8">
        <v>312</v>
      </c>
      <c r="AA35" s="8">
        <v>405</v>
      </c>
      <c r="AB35" s="8">
        <v>243</v>
      </c>
      <c r="AC35" s="8">
        <v>151</v>
      </c>
      <c r="AD35" s="8">
        <v>324</v>
      </c>
      <c r="AE35" s="8">
        <v>311</v>
      </c>
      <c r="AF35" s="8">
        <v>317</v>
      </c>
      <c r="AG35" s="8">
        <v>263</v>
      </c>
      <c r="AH35" s="8">
        <v>340</v>
      </c>
      <c r="AI35" s="8">
        <v>108</v>
      </c>
      <c r="AL35" s="8">
        <v>58</v>
      </c>
      <c r="AM35" s="8">
        <v>118</v>
      </c>
      <c r="AN35" s="8">
        <v>7858</v>
      </c>
      <c r="AO35" s="8">
        <v>1535</v>
      </c>
      <c r="AP35" s="8">
        <v>6323</v>
      </c>
      <c r="AQ35" s="8">
        <v>2062</v>
      </c>
      <c r="AR35" s="8">
        <v>13</v>
      </c>
      <c r="AS35" s="8">
        <v>346</v>
      </c>
      <c r="AT35" s="8">
        <v>512</v>
      </c>
      <c r="AU35" s="8">
        <v>319</v>
      </c>
      <c r="AV35" s="8">
        <v>260</v>
      </c>
      <c r="AW35" s="8">
        <v>357</v>
      </c>
      <c r="AX35" s="8">
        <v>377</v>
      </c>
      <c r="AY35" s="8">
        <v>523</v>
      </c>
      <c r="AZ35" s="8">
        <v>406</v>
      </c>
      <c r="BA35" s="8">
        <v>373</v>
      </c>
      <c r="BB35" s="8">
        <v>120</v>
      </c>
      <c r="BE35" s="8">
        <v>79</v>
      </c>
      <c r="BF35" s="8">
        <v>121</v>
      </c>
    </row>
    <row r="36" spans="1:58" x14ac:dyDescent="0.2">
      <c r="A36" s="9">
        <v>34213</v>
      </c>
      <c r="B36" s="8">
        <v>2162</v>
      </c>
      <c r="C36" s="8">
        <v>739</v>
      </c>
      <c r="D36" s="8">
        <v>1422</v>
      </c>
      <c r="E36" s="8">
        <v>274</v>
      </c>
      <c r="F36" s="8">
        <v>13</v>
      </c>
      <c r="G36" s="8">
        <v>64</v>
      </c>
      <c r="H36" s="8">
        <v>151</v>
      </c>
      <c r="I36" s="8">
        <v>110</v>
      </c>
      <c r="J36" s="8">
        <v>75</v>
      </c>
      <c r="K36" s="8">
        <v>64</v>
      </c>
      <c r="L36" s="8">
        <v>79</v>
      </c>
      <c r="M36" s="8">
        <v>157</v>
      </c>
      <c r="N36" s="8">
        <v>198</v>
      </c>
      <c r="O36" s="8">
        <v>25</v>
      </c>
      <c r="P36" s="8">
        <v>9</v>
      </c>
      <c r="S36" s="8">
        <v>14</v>
      </c>
      <c r="T36" s="8">
        <v>1</v>
      </c>
      <c r="U36" s="8">
        <v>5699</v>
      </c>
      <c r="V36" s="8">
        <v>605</v>
      </c>
      <c r="W36" s="8">
        <v>5093</v>
      </c>
      <c r="X36" s="8">
        <v>1605</v>
      </c>
      <c r="Y36" s="8">
        <v>6</v>
      </c>
      <c r="Z36" s="8">
        <v>392</v>
      </c>
      <c r="AA36" s="8">
        <v>407</v>
      </c>
      <c r="AB36" s="8">
        <v>337</v>
      </c>
      <c r="AC36" s="8">
        <v>132</v>
      </c>
      <c r="AD36" s="8">
        <v>407</v>
      </c>
      <c r="AE36" s="8">
        <v>222</v>
      </c>
      <c r="AF36" s="8">
        <v>346</v>
      </c>
      <c r="AG36" s="8">
        <v>342</v>
      </c>
      <c r="AH36" s="8">
        <v>318</v>
      </c>
      <c r="AI36" s="8">
        <v>106</v>
      </c>
      <c r="AL36" s="8">
        <v>19</v>
      </c>
      <c r="AM36" s="8">
        <v>144</v>
      </c>
      <c r="AN36" s="8">
        <v>7860</v>
      </c>
      <c r="AO36" s="8">
        <v>1345</v>
      </c>
      <c r="AP36" s="8">
        <v>6516</v>
      </c>
      <c r="AQ36" s="8">
        <v>1879</v>
      </c>
      <c r="AR36" s="8">
        <v>19</v>
      </c>
      <c r="AS36" s="8">
        <v>456</v>
      </c>
      <c r="AT36" s="8">
        <v>558</v>
      </c>
      <c r="AU36" s="8">
        <v>447</v>
      </c>
      <c r="AV36" s="8">
        <v>207</v>
      </c>
      <c r="AW36" s="8">
        <v>471</v>
      </c>
      <c r="AX36" s="8">
        <v>301</v>
      </c>
      <c r="AY36" s="8">
        <v>503</v>
      </c>
      <c r="AZ36" s="8">
        <v>540</v>
      </c>
      <c r="BA36" s="8">
        <v>343</v>
      </c>
      <c r="BB36" s="8">
        <v>115</v>
      </c>
      <c r="BE36" s="8">
        <v>33</v>
      </c>
      <c r="BF36" s="8">
        <v>145</v>
      </c>
    </row>
    <row r="37" spans="1:58" x14ac:dyDescent="0.2">
      <c r="A37" s="9">
        <v>34304</v>
      </c>
      <c r="B37" s="8">
        <v>2688</v>
      </c>
      <c r="C37" s="8">
        <v>966</v>
      </c>
      <c r="D37" s="8">
        <v>1723</v>
      </c>
      <c r="E37" s="8">
        <v>292</v>
      </c>
      <c r="F37" s="8">
        <v>10</v>
      </c>
      <c r="G37" s="8">
        <v>61</v>
      </c>
      <c r="H37" s="8">
        <v>221</v>
      </c>
      <c r="I37" s="8">
        <v>129</v>
      </c>
      <c r="J37" s="8">
        <v>80</v>
      </c>
      <c r="K37" s="8">
        <v>38</v>
      </c>
      <c r="L37" s="8">
        <v>106</v>
      </c>
      <c r="M37" s="8">
        <v>229</v>
      </c>
      <c r="N37" s="8">
        <v>223</v>
      </c>
      <c r="O37" s="8">
        <v>49</v>
      </c>
      <c r="P37" s="8">
        <v>18</v>
      </c>
      <c r="S37" s="8">
        <v>27</v>
      </c>
      <c r="T37" s="8">
        <v>4</v>
      </c>
      <c r="U37" s="8">
        <v>6325</v>
      </c>
      <c r="V37" s="8">
        <v>651</v>
      </c>
      <c r="W37" s="8">
        <v>5674</v>
      </c>
      <c r="X37" s="8">
        <v>1863</v>
      </c>
      <c r="Y37" s="8">
        <v>10</v>
      </c>
      <c r="Z37" s="8">
        <v>410</v>
      </c>
      <c r="AA37" s="8">
        <v>527</v>
      </c>
      <c r="AB37" s="8">
        <v>368</v>
      </c>
      <c r="AC37" s="8">
        <v>167</v>
      </c>
      <c r="AD37" s="8">
        <v>430</v>
      </c>
      <c r="AE37" s="8">
        <v>225</v>
      </c>
      <c r="AF37" s="8">
        <v>362</v>
      </c>
      <c r="AG37" s="8">
        <v>350</v>
      </c>
      <c r="AH37" s="8">
        <v>392</v>
      </c>
      <c r="AI37" s="8">
        <v>120</v>
      </c>
      <c r="AL37" s="8">
        <v>26</v>
      </c>
      <c r="AM37" s="8">
        <v>85</v>
      </c>
      <c r="AN37" s="8">
        <v>9014</v>
      </c>
      <c r="AO37" s="8">
        <v>1617</v>
      </c>
      <c r="AP37" s="8">
        <v>7397</v>
      </c>
      <c r="AQ37" s="8">
        <v>2155</v>
      </c>
      <c r="AR37" s="8">
        <v>20</v>
      </c>
      <c r="AS37" s="8">
        <v>471</v>
      </c>
      <c r="AT37" s="8">
        <v>749</v>
      </c>
      <c r="AU37" s="8">
        <v>497</v>
      </c>
      <c r="AV37" s="8">
        <v>247</v>
      </c>
      <c r="AW37" s="8">
        <v>468</v>
      </c>
      <c r="AX37" s="8">
        <v>332</v>
      </c>
      <c r="AY37" s="8">
        <v>591</v>
      </c>
      <c r="AZ37" s="8">
        <v>574</v>
      </c>
      <c r="BA37" s="8">
        <v>441</v>
      </c>
      <c r="BB37" s="8">
        <v>138</v>
      </c>
      <c r="BE37" s="8">
        <v>53</v>
      </c>
      <c r="BF37" s="8">
        <v>89</v>
      </c>
    </row>
    <row r="38" spans="1:58" x14ac:dyDescent="0.2">
      <c r="A38" s="9">
        <v>34394</v>
      </c>
      <c r="B38" s="8">
        <v>2276</v>
      </c>
      <c r="C38" s="8">
        <v>724</v>
      </c>
      <c r="D38" s="8">
        <v>1551</v>
      </c>
      <c r="E38" s="8">
        <v>212</v>
      </c>
      <c r="F38" s="8">
        <v>8</v>
      </c>
      <c r="G38" s="8">
        <v>68</v>
      </c>
      <c r="H38" s="8">
        <v>125</v>
      </c>
      <c r="I38" s="8">
        <v>167</v>
      </c>
      <c r="J38" s="8">
        <v>120</v>
      </c>
      <c r="K38" s="8">
        <v>13</v>
      </c>
      <c r="L38" s="8">
        <v>145</v>
      </c>
      <c r="M38" s="8">
        <v>154</v>
      </c>
      <c r="N38" s="8">
        <v>202</v>
      </c>
      <c r="O38" s="8">
        <v>57</v>
      </c>
      <c r="P38" s="8">
        <v>22</v>
      </c>
      <c r="S38" s="8">
        <v>40</v>
      </c>
      <c r="T38" s="8">
        <v>1</v>
      </c>
      <c r="U38" s="8">
        <v>5331</v>
      </c>
      <c r="V38" s="8">
        <v>552</v>
      </c>
      <c r="W38" s="8">
        <v>4779</v>
      </c>
      <c r="X38" s="8">
        <v>1485</v>
      </c>
      <c r="Y38" s="8">
        <v>7</v>
      </c>
      <c r="Z38" s="8">
        <v>400</v>
      </c>
      <c r="AA38" s="8">
        <v>397</v>
      </c>
      <c r="AB38" s="8">
        <v>201</v>
      </c>
      <c r="AC38" s="8">
        <v>159</v>
      </c>
      <c r="AD38" s="8">
        <v>560</v>
      </c>
      <c r="AE38" s="8">
        <v>194</v>
      </c>
      <c r="AF38" s="8">
        <v>405</v>
      </c>
      <c r="AG38" s="8">
        <v>162</v>
      </c>
      <c r="AH38" s="8">
        <v>365</v>
      </c>
      <c r="AI38" s="8">
        <v>108</v>
      </c>
      <c r="AL38" s="8">
        <v>15</v>
      </c>
      <c r="AM38" s="8">
        <v>29</v>
      </c>
      <c r="AN38" s="8">
        <v>7607</v>
      </c>
      <c r="AO38" s="8">
        <v>1277</v>
      </c>
      <c r="AP38" s="8">
        <v>6330</v>
      </c>
      <c r="AQ38" s="8">
        <v>1697</v>
      </c>
      <c r="AR38" s="8">
        <v>15</v>
      </c>
      <c r="AS38" s="8">
        <v>468</v>
      </c>
      <c r="AT38" s="8">
        <v>522</v>
      </c>
      <c r="AU38" s="8">
        <v>368</v>
      </c>
      <c r="AV38" s="8">
        <v>278</v>
      </c>
      <c r="AW38" s="8">
        <v>572</v>
      </c>
      <c r="AX38" s="8">
        <v>339</v>
      </c>
      <c r="AY38" s="8">
        <v>559</v>
      </c>
      <c r="AZ38" s="8">
        <v>364</v>
      </c>
      <c r="BA38" s="8">
        <v>422</v>
      </c>
      <c r="BB38" s="8">
        <v>129</v>
      </c>
      <c r="BE38" s="8">
        <v>54</v>
      </c>
      <c r="BF38" s="8">
        <v>30</v>
      </c>
    </row>
    <row r="39" spans="1:58" x14ac:dyDescent="0.2">
      <c r="A39" s="9">
        <v>34486</v>
      </c>
      <c r="B39" s="8">
        <v>2434</v>
      </c>
      <c r="C39" s="8">
        <v>707</v>
      </c>
      <c r="D39" s="8">
        <v>1728</v>
      </c>
      <c r="E39" s="8">
        <v>311</v>
      </c>
      <c r="F39" s="8">
        <v>12</v>
      </c>
      <c r="G39" s="8">
        <v>88</v>
      </c>
      <c r="H39" s="8">
        <v>85</v>
      </c>
      <c r="I39" s="8">
        <v>104</v>
      </c>
      <c r="J39" s="8">
        <v>152</v>
      </c>
      <c r="K39" s="8">
        <v>89</v>
      </c>
      <c r="L39" s="8">
        <v>77</v>
      </c>
      <c r="M39" s="8">
        <v>179</v>
      </c>
      <c r="N39" s="8">
        <v>246</v>
      </c>
      <c r="O39" s="8">
        <v>52</v>
      </c>
      <c r="P39" s="8">
        <v>20</v>
      </c>
      <c r="S39" s="8">
        <v>76</v>
      </c>
      <c r="T39" s="8">
        <v>6</v>
      </c>
      <c r="U39" s="8">
        <v>7249</v>
      </c>
      <c r="V39" s="8">
        <v>706</v>
      </c>
      <c r="W39" s="8">
        <v>6543</v>
      </c>
      <c r="X39" s="8">
        <v>2006</v>
      </c>
      <c r="Y39" s="8">
        <v>13</v>
      </c>
      <c r="Z39" s="8">
        <v>602</v>
      </c>
      <c r="AA39" s="8">
        <v>520</v>
      </c>
      <c r="AB39" s="8">
        <v>409</v>
      </c>
      <c r="AC39" s="8">
        <v>189</v>
      </c>
      <c r="AD39" s="8">
        <v>355</v>
      </c>
      <c r="AE39" s="8">
        <v>313</v>
      </c>
      <c r="AF39" s="8">
        <v>530</v>
      </c>
      <c r="AG39" s="8">
        <v>319</v>
      </c>
      <c r="AH39" s="8">
        <v>599</v>
      </c>
      <c r="AI39" s="8">
        <v>155</v>
      </c>
      <c r="AL39" s="8">
        <v>32</v>
      </c>
      <c r="AM39" s="8">
        <v>97</v>
      </c>
      <c r="AN39" s="8">
        <v>9683</v>
      </c>
      <c r="AO39" s="8">
        <v>1412</v>
      </c>
      <c r="AP39" s="8">
        <v>8271</v>
      </c>
      <c r="AQ39" s="8">
        <v>2317</v>
      </c>
      <c r="AR39" s="8">
        <v>25</v>
      </c>
      <c r="AS39" s="8">
        <v>690</v>
      </c>
      <c r="AT39" s="8">
        <v>606</v>
      </c>
      <c r="AU39" s="8">
        <v>513</v>
      </c>
      <c r="AV39" s="8">
        <v>341</v>
      </c>
      <c r="AW39" s="8">
        <v>444</v>
      </c>
      <c r="AX39" s="8">
        <v>390</v>
      </c>
      <c r="AY39" s="8">
        <v>709</v>
      </c>
      <c r="AZ39" s="8">
        <v>566</v>
      </c>
      <c r="BA39" s="8">
        <v>651</v>
      </c>
      <c r="BB39" s="8">
        <v>175</v>
      </c>
      <c r="BE39" s="8">
        <v>108</v>
      </c>
      <c r="BF39" s="8">
        <v>103</v>
      </c>
    </row>
    <row r="40" spans="1:58" x14ac:dyDescent="0.2">
      <c r="A40" s="9">
        <v>34578</v>
      </c>
      <c r="B40" s="8">
        <v>2343</v>
      </c>
      <c r="C40" s="8">
        <v>689</v>
      </c>
      <c r="D40" s="8">
        <v>1654</v>
      </c>
      <c r="E40" s="8">
        <v>267</v>
      </c>
      <c r="F40" s="8">
        <v>24</v>
      </c>
      <c r="G40" s="8">
        <v>19</v>
      </c>
      <c r="H40" s="8">
        <v>66</v>
      </c>
      <c r="I40" s="8">
        <v>61</v>
      </c>
      <c r="J40" s="8">
        <v>216</v>
      </c>
      <c r="K40" s="8">
        <v>127</v>
      </c>
      <c r="L40" s="8">
        <v>62</v>
      </c>
      <c r="M40" s="8">
        <v>164</v>
      </c>
      <c r="N40" s="8">
        <v>187</v>
      </c>
      <c r="O40" s="8">
        <v>114</v>
      </c>
      <c r="P40" s="8">
        <v>44</v>
      </c>
      <c r="S40" s="8">
        <v>69</v>
      </c>
      <c r="T40" s="8">
        <v>7</v>
      </c>
      <c r="U40" s="8">
        <v>7035</v>
      </c>
      <c r="V40" s="8">
        <v>641</v>
      </c>
      <c r="W40" s="8">
        <v>6394</v>
      </c>
      <c r="X40" s="8">
        <v>1942</v>
      </c>
      <c r="Y40" s="8">
        <v>2</v>
      </c>
      <c r="Z40" s="8">
        <v>679</v>
      </c>
      <c r="AA40" s="8">
        <v>529</v>
      </c>
      <c r="AB40" s="8">
        <v>340</v>
      </c>
      <c r="AC40" s="8">
        <v>159</v>
      </c>
      <c r="AD40" s="8">
        <v>498</v>
      </c>
      <c r="AE40" s="8">
        <v>309</v>
      </c>
      <c r="AF40" s="8">
        <v>466</v>
      </c>
      <c r="AG40" s="8">
        <v>381</v>
      </c>
      <c r="AH40" s="8">
        <v>483</v>
      </c>
      <c r="AI40" s="8">
        <v>130</v>
      </c>
      <c r="AL40" s="8">
        <v>23</v>
      </c>
      <c r="AM40" s="8">
        <v>57</v>
      </c>
      <c r="AN40" s="8">
        <v>9377</v>
      </c>
      <c r="AO40" s="8">
        <v>1330</v>
      </c>
      <c r="AP40" s="8">
        <v>8048</v>
      </c>
      <c r="AQ40" s="8">
        <v>2208</v>
      </c>
      <c r="AR40" s="8">
        <v>26</v>
      </c>
      <c r="AS40" s="8">
        <v>698</v>
      </c>
      <c r="AT40" s="8">
        <v>595</v>
      </c>
      <c r="AU40" s="8">
        <v>401</v>
      </c>
      <c r="AV40" s="8">
        <v>376</v>
      </c>
      <c r="AW40" s="8">
        <v>626</v>
      </c>
      <c r="AX40" s="8">
        <v>371</v>
      </c>
      <c r="AY40" s="8">
        <v>630</v>
      </c>
      <c r="AZ40" s="8">
        <v>569</v>
      </c>
      <c r="BA40" s="8">
        <v>597</v>
      </c>
      <c r="BB40" s="8">
        <v>174</v>
      </c>
      <c r="BE40" s="8">
        <v>92</v>
      </c>
      <c r="BF40" s="8">
        <v>64</v>
      </c>
    </row>
    <row r="41" spans="1:58" x14ac:dyDescent="0.2">
      <c r="A41" s="9">
        <v>34669</v>
      </c>
      <c r="B41" s="8">
        <v>2739</v>
      </c>
      <c r="C41" s="8">
        <v>1013</v>
      </c>
      <c r="D41" s="8">
        <v>1726</v>
      </c>
      <c r="E41" s="8">
        <v>323</v>
      </c>
      <c r="F41" s="8">
        <v>23</v>
      </c>
      <c r="G41" s="8">
        <v>42</v>
      </c>
      <c r="H41" s="8">
        <v>106</v>
      </c>
      <c r="I41" s="8">
        <v>81</v>
      </c>
      <c r="J41" s="8">
        <v>218</v>
      </c>
      <c r="K41" s="8">
        <v>82</v>
      </c>
      <c r="L41" s="8">
        <v>73</v>
      </c>
      <c r="M41" s="8">
        <v>162</v>
      </c>
      <c r="N41" s="8">
        <v>184</v>
      </c>
      <c r="O41" s="8">
        <v>46</v>
      </c>
      <c r="P41" s="8">
        <v>18</v>
      </c>
      <c r="S41" s="8">
        <v>134</v>
      </c>
      <c r="T41" s="8">
        <v>4</v>
      </c>
      <c r="U41" s="8">
        <v>8148</v>
      </c>
      <c r="V41" s="8">
        <v>858</v>
      </c>
      <c r="W41" s="8">
        <v>7290</v>
      </c>
      <c r="X41" s="8">
        <v>2073</v>
      </c>
      <c r="Y41" s="8">
        <v>3</v>
      </c>
      <c r="Z41" s="8">
        <v>333</v>
      </c>
      <c r="AA41" s="8">
        <v>652</v>
      </c>
      <c r="AB41" s="8">
        <v>384</v>
      </c>
      <c r="AC41" s="8">
        <v>305</v>
      </c>
      <c r="AD41" s="8">
        <v>964</v>
      </c>
      <c r="AE41" s="8">
        <v>536</v>
      </c>
      <c r="AF41" s="8">
        <v>416</v>
      </c>
      <c r="AG41" s="8">
        <v>447</v>
      </c>
      <c r="AH41" s="8">
        <v>450</v>
      </c>
      <c r="AI41" s="8">
        <v>125</v>
      </c>
      <c r="AL41" s="8">
        <v>18</v>
      </c>
      <c r="AM41" s="8">
        <v>119</v>
      </c>
      <c r="AN41" s="8">
        <v>10887</v>
      </c>
      <c r="AO41" s="8">
        <v>1871</v>
      </c>
      <c r="AP41" s="8">
        <v>9016</v>
      </c>
      <c r="AQ41" s="8">
        <v>2396</v>
      </c>
      <c r="AR41" s="8">
        <v>26</v>
      </c>
      <c r="AS41" s="8">
        <v>374</v>
      </c>
      <c r="AT41" s="8">
        <v>758</v>
      </c>
      <c r="AU41" s="8">
        <v>466</v>
      </c>
      <c r="AV41" s="8">
        <v>523</v>
      </c>
      <c r="AW41" s="8">
        <v>1046</v>
      </c>
      <c r="AX41" s="8">
        <v>609</v>
      </c>
      <c r="AY41" s="8">
        <v>579</v>
      </c>
      <c r="AZ41" s="8">
        <v>631</v>
      </c>
      <c r="BA41" s="8">
        <v>496</v>
      </c>
      <c r="BB41" s="8">
        <v>143</v>
      </c>
      <c r="BE41" s="8">
        <v>152</v>
      </c>
      <c r="BF41" s="8">
        <v>123</v>
      </c>
    </row>
    <row r="42" spans="1:58" x14ac:dyDescent="0.2">
      <c r="A42" s="9">
        <v>34759</v>
      </c>
      <c r="B42" s="8">
        <v>2638</v>
      </c>
      <c r="C42" s="8">
        <v>885</v>
      </c>
      <c r="D42" s="8">
        <v>1753</v>
      </c>
      <c r="E42" s="8">
        <v>288</v>
      </c>
      <c r="F42" s="8">
        <v>22</v>
      </c>
      <c r="G42" s="8">
        <v>53</v>
      </c>
      <c r="H42" s="8">
        <v>83</v>
      </c>
      <c r="I42" s="8">
        <v>59</v>
      </c>
      <c r="J42" s="8">
        <v>293</v>
      </c>
      <c r="K42" s="8">
        <v>109</v>
      </c>
      <c r="L42" s="8">
        <v>94</v>
      </c>
      <c r="M42" s="8">
        <v>139</v>
      </c>
      <c r="N42" s="8">
        <v>159</v>
      </c>
      <c r="O42" s="8">
        <v>39</v>
      </c>
      <c r="P42" s="8">
        <v>15</v>
      </c>
      <c r="S42" s="8">
        <v>159</v>
      </c>
      <c r="T42" s="8">
        <v>1</v>
      </c>
      <c r="U42" s="8">
        <v>6466</v>
      </c>
      <c r="V42" s="8">
        <v>662</v>
      </c>
      <c r="W42" s="8">
        <v>5804</v>
      </c>
      <c r="X42" s="8">
        <v>2012</v>
      </c>
      <c r="Y42" s="8">
        <v>1</v>
      </c>
      <c r="Z42" s="8">
        <v>354</v>
      </c>
      <c r="AA42" s="8">
        <v>443</v>
      </c>
      <c r="AB42" s="8">
        <v>403</v>
      </c>
      <c r="AC42" s="8">
        <v>141</v>
      </c>
      <c r="AD42" s="8">
        <v>541</v>
      </c>
      <c r="AE42" s="8">
        <v>313</v>
      </c>
      <c r="AF42" s="8">
        <v>361</v>
      </c>
      <c r="AG42" s="8">
        <v>280</v>
      </c>
      <c r="AH42" s="8">
        <v>341</v>
      </c>
      <c r="AI42" s="8">
        <v>105</v>
      </c>
      <c r="AL42" s="8">
        <v>33</v>
      </c>
      <c r="AM42" s="8">
        <v>138</v>
      </c>
      <c r="AN42" s="8">
        <v>9104</v>
      </c>
      <c r="AO42" s="8">
        <v>1547</v>
      </c>
      <c r="AP42" s="8">
        <v>7557</v>
      </c>
      <c r="AQ42" s="8">
        <v>2299</v>
      </c>
      <c r="AR42" s="8">
        <v>23</v>
      </c>
      <c r="AS42" s="8">
        <v>408</v>
      </c>
      <c r="AT42" s="8">
        <v>526</v>
      </c>
      <c r="AU42" s="8">
        <v>462</v>
      </c>
      <c r="AV42" s="8">
        <v>434</v>
      </c>
      <c r="AW42" s="8">
        <v>650</v>
      </c>
      <c r="AX42" s="8">
        <v>408</v>
      </c>
      <c r="AY42" s="8">
        <v>500</v>
      </c>
      <c r="AZ42" s="8">
        <v>440</v>
      </c>
      <c r="BA42" s="8">
        <v>380</v>
      </c>
      <c r="BB42" s="8">
        <v>120</v>
      </c>
      <c r="BE42" s="8">
        <v>192</v>
      </c>
      <c r="BF42" s="8">
        <v>140</v>
      </c>
    </row>
    <row r="43" spans="1:58" x14ac:dyDescent="0.2">
      <c r="A43" s="9">
        <v>34851</v>
      </c>
      <c r="B43" s="8">
        <v>2740</v>
      </c>
      <c r="C43" s="8">
        <v>846</v>
      </c>
      <c r="D43" s="8">
        <v>1893</v>
      </c>
      <c r="E43" s="8">
        <v>303</v>
      </c>
      <c r="F43" s="8">
        <v>18</v>
      </c>
      <c r="G43" s="8">
        <v>8</v>
      </c>
      <c r="H43" s="8">
        <v>90</v>
      </c>
      <c r="I43" s="8">
        <v>62</v>
      </c>
      <c r="J43" s="8">
        <v>190</v>
      </c>
      <c r="K43" s="8">
        <v>144</v>
      </c>
      <c r="L43" s="8">
        <v>80</v>
      </c>
      <c r="M43" s="8">
        <v>223</v>
      </c>
      <c r="N43" s="8">
        <v>217</v>
      </c>
      <c r="O43" s="8">
        <v>85</v>
      </c>
      <c r="P43" s="8">
        <v>34</v>
      </c>
      <c r="S43" s="8">
        <v>173</v>
      </c>
      <c r="T43" s="8">
        <v>5</v>
      </c>
      <c r="U43" s="8">
        <v>8355</v>
      </c>
      <c r="V43" s="8">
        <v>844</v>
      </c>
      <c r="W43" s="8">
        <v>7512</v>
      </c>
      <c r="X43" s="8">
        <v>2573</v>
      </c>
      <c r="Y43" s="8">
        <v>42</v>
      </c>
      <c r="Z43" s="8">
        <v>591</v>
      </c>
      <c r="AA43" s="8">
        <v>451</v>
      </c>
      <c r="AB43" s="8">
        <v>454</v>
      </c>
      <c r="AC43" s="8">
        <v>208</v>
      </c>
      <c r="AD43" s="8">
        <v>667</v>
      </c>
      <c r="AE43" s="8">
        <v>479</v>
      </c>
      <c r="AF43" s="8">
        <v>408</v>
      </c>
      <c r="AG43" s="8">
        <v>395</v>
      </c>
      <c r="AH43" s="8">
        <v>501</v>
      </c>
      <c r="AI43" s="8">
        <v>138</v>
      </c>
      <c r="AL43" s="8">
        <v>59</v>
      </c>
      <c r="AM43" s="8">
        <v>107</v>
      </c>
      <c r="AN43" s="8">
        <v>11095</v>
      </c>
      <c r="AO43" s="8">
        <v>1690</v>
      </c>
      <c r="AP43" s="8">
        <v>9405</v>
      </c>
      <c r="AQ43" s="8">
        <v>2877</v>
      </c>
      <c r="AR43" s="8">
        <v>60</v>
      </c>
      <c r="AS43" s="8">
        <v>599</v>
      </c>
      <c r="AT43" s="8">
        <v>541</v>
      </c>
      <c r="AU43" s="8">
        <v>516</v>
      </c>
      <c r="AV43" s="8">
        <v>399</v>
      </c>
      <c r="AW43" s="8">
        <v>811</v>
      </c>
      <c r="AX43" s="8">
        <v>559</v>
      </c>
      <c r="AY43" s="8">
        <v>631</v>
      </c>
      <c r="AZ43" s="8">
        <v>612</v>
      </c>
      <c r="BA43" s="8">
        <v>585</v>
      </c>
      <c r="BB43" s="8">
        <v>172</v>
      </c>
      <c r="BE43" s="8">
        <v>232</v>
      </c>
      <c r="BF43" s="8">
        <v>112</v>
      </c>
    </row>
    <row r="44" spans="1:58" x14ac:dyDescent="0.2">
      <c r="A44" s="9">
        <v>34943</v>
      </c>
      <c r="B44" s="8">
        <v>3097</v>
      </c>
      <c r="C44" s="8">
        <v>801</v>
      </c>
      <c r="D44" s="8">
        <v>2296</v>
      </c>
      <c r="E44" s="8">
        <v>311</v>
      </c>
      <c r="F44" s="8">
        <v>35</v>
      </c>
      <c r="G44" s="8">
        <v>57</v>
      </c>
      <c r="H44" s="8">
        <v>81</v>
      </c>
      <c r="I44" s="8">
        <v>52</v>
      </c>
      <c r="J44" s="8">
        <v>247</v>
      </c>
      <c r="K44" s="8">
        <v>226</v>
      </c>
      <c r="L44" s="8">
        <v>111</v>
      </c>
      <c r="M44" s="8">
        <v>207</v>
      </c>
      <c r="N44" s="8">
        <v>325</v>
      </c>
      <c r="O44" s="8">
        <v>89</v>
      </c>
      <c r="P44" s="8">
        <v>36</v>
      </c>
      <c r="S44" s="8">
        <v>195</v>
      </c>
      <c r="T44" s="8">
        <v>1</v>
      </c>
      <c r="U44" s="8">
        <v>7295</v>
      </c>
      <c r="V44" s="8">
        <v>870</v>
      </c>
      <c r="W44" s="8">
        <v>6425</v>
      </c>
      <c r="X44" s="8">
        <v>1998</v>
      </c>
      <c r="Y44" s="8">
        <v>17</v>
      </c>
      <c r="Z44" s="8">
        <v>546</v>
      </c>
      <c r="AA44" s="8">
        <v>452</v>
      </c>
      <c r="AB44" s="8">
        <v>468</v>
      </c>
      <c r="AC44" s="8">
        <v>135</v>
      </c>
      <c r="AD44" s="8">
        <v>521</v>
      </c>
      <c r="AE44" s="8">
        <v>320</v>
      </c>
      <c r="AF44" s="8">
        <v>385</v>
      </c>
      <c r="AG44" s="8">
        <v>521</v>
      </c>
      <c r="AH44" s="8">
        <v>396</v>
      </c>
      <c r="AI44" s="8">
        <v>115</v>
      </c>
      <c r="AL44" s="8">
        <v>47</v>
      </c>
      <c r="AM44" s="8">
        <v>109</v>
      </c>
      <c r="AN44" s="8">
        <v>10392</v>
      </c>
      <c r="AO44" s="8">
        <v>1671</v>
      </c>
      <c r="AP44" s="8">
        <v>8721</v>
      </c>
      <c r="AQ44" s="8">
        <v>2310</v>
      </c>
      <c r="AR44" s="8">
        <v>53</v>
      </c>
      <c r="AS44" s="8">
        <v>603</v>
      </c>
      <c r="AT44" s="8">
        <v>533</v>
      </c>
      <c r="AU44" s="8">
        <v>520</v>
      </c>
      <c r="AV44" s="8">
        <v>382</v>
      </c>
      <c r="AW44" s="8">
        <v>747</v>
      </c>
      <c r="AX44" s="8">
        <v>431</v>
      </c>
      <c r="AY44" s="8">
        <v>592</v>
      </c>
      <c r="AZ44" s="8">
        <v>846</v>
      </c>
      <c r="BA44" s="8">
        <v>485</v>
      </c>
      <c r="BB44" s="8">
        <v>151</v>
      </c>
      <c r="BE44" s="8">
        <v>241</v>
      </c>
      <c r="BF44" s="8">
        <v>110</v>
      </c>
    </row>
    <row r="45" spans="1:58" x14ac:dyDescent="0.2">
      <c r="A45" s="9">
        <v>35034</v>
      </c>
      <c r="B45" s="8">
        <v>4138</v>
      </c>
      <c r="C45" s="8">
        <v>1036</v>
      </c>
      <c r="D45" s="8">
        <v>3102</v>
      </c>
      <c r="E45" s="8">
        <v>322</v>
      </c>
      <c r="F45" s="8">
        <v>48</v>
      </c>
      <c r="G45" s="8">
        <v>29</v>
      </c>
      <c r="H45" s="8">
        <v>100</v>
      </c>
      <c r="I45" s="8">
        <v>84</v>
      </c>
      <c r="J45" s="8">
        <v>424</v>
      </c>
      <c r="K45" s="8">
        <v>416</v>
      </c>
      <c r="L45" s="8">
        <v>93</v>
      </c>
      <c r="M45" s="8">
        <v>164</v>
      </c>
      <c r="N45" s="8">
        <v>597</v>
      </c>
      <c r="O45" s="8">
        <v>84</v>
      </c>
      <c r="P45" s="8">
        <v>34</v>
      </c>
      <c r="S45" s="8">
        <v>250</v>
      </c>
      <c r="T45" s="8">
        <v>3</v>
      </c>
      <c r="U45" s="8">
        <v>7915</v>
      </c>
      <c r="V45" s="8">
        <v>975</v>
      </c>
      <c r="W45" s="8">
        <v>6940</v>
      </c>
      <c r="X45" s="8">
        <v>2242</v>
      </c>
      <c r="Y45" s="8">
        <v>33</v>
      </c>
      <c r="Z45" s="8">
        <v>588</v>
      </c>
      <c r="AA45" s="8">
        <v>422</v>
      </c>
      <c r="AB45" s="8">
        <v>486</v>
      </c>
      <c r="AC45" s="8">
        <v>188</v>
      </c>
      <c r="AD45" s="8">
        <v>639</v>
      </c>
      <c r="AE45" s="8">
        <v>392</v>
      </c>
      <c r="AF45" s="8">
        <v>324</v>
      </c>
      <c r="AG45" s="8">
        <v>510</v>
      </c>
      <c r="AH45" s="8">
        <v>420</v>
      </c>
      <c r="AI45" s="8">
        <v>131</v>
      </c>
      <c r="AL45" s="8">
        <v>55</v>
      </c>
      <c r="AM45" s="8">
        <v>91</v>
      </c>
      <c r="AN45" s="8">
        <v>12053</v>
      </c>
      <c r="AO45" s="8">
        <v>2011</v>
      </c>
      <c r="AP45" s="8">
        <v>10042</v>
      </c>
      <c r="AQ45" s="8">
        <v>2564</v>
      </c>
      <c r="AR45" s="8">
        <v>81</v>
      </c>
      <c r="AS45" s="8">
        <v>617</v>
      </c>
      <c r="AT45" s="8">
        <v>522</v>
      </c>
      <c r="AU45" s="8">
        <v>570</v>
      </c>
      <c r="AV45" s="8">
        <v>612</v>
      </c>
      <c r="AW45" s="8">
        <v>1055</v>
      </c>
      <c r="AX45" s="8">
        <v>486</v>
      </c>
      <c r="AY45" s="8">
        <v>489</v>
      </c>
      <c r="AZ45" s="8">
        <v>1107</v>
      </c>
      <c r="BA45" s="8">
        <v>504</v>
      </c>
      <c r="BB45" s="8">
        <v>165</v>
      </c>
      <c r="BE45" s="8">
        <v>305</v>
      </c>
      <c r="BF45" s="8">
        <v>94</v>
      </c>
    </row>
    <row r="46" spans="1:58" x14ac:dyDescent="0.2">
      <c r="A46" s="9">
        <v>35125</v>
      </c>
      <c r="B46" s="8">
        <v>2835</v>
      </c>
      <c r="C46" s="8">
        <v>800</v>
      </c>
      <c r="D46" s="8">
        <v>2036</v>
      </c>
      <c r="E46" s="8">
        <v>305</v>
      </c>
      <c r="F46" s="8">
        <v>42</v>
      </c>
      <c r="G46" s="8">
        <v>33</v>
      </c>
      <c r="H46" s="8">
        <v>62</v>
      </c>
      <c r="I46" s="8">
        <v>49</v>
      </c>
      <c r="J46" s="8">
        <v>314</v>
      </c>
      <c r="K46" s="8">
        <v>341</v>
      </c>
      <c r="L46" s="8">
        <v>110</v>
      </c>
      <c r="M46" s="8">
        <v>50</v>
      </c>
      <c r="N46" s="8">
        <v>107</v>
      </c>
      <c r="O46" s="8">
        <v>109</v>
      </c>
      <c r="P46" s="8">
        <v>46</v>
      </c>
      <c r="S46" s="8">
        <v>181</v>
      </c>
      <c r="T46" s="8">
        <v>3</v>
      </c>
      <c r="U46" s="8">
        <v>7388</v>
      </c>
      <c r="V46" s="8">
        <v>914</v>
      </c>
      <c r="W46" s="8">
        <v>6474</v>
      </c>
      <c r="X46" s="8">
        <v>2076</v>
      </c>
      <c r="Y46" s="8">
        <v>117</v>
      </c>
      <c r="Z46" s="8">
        <v>476</v>
      </c>
      <c r="AA46" s="8">
        <v>357</v>
      </c>
      <c r="AB46" s="8">
        <v>440</v>
      </c>
      <c r="AC46" s="8">
        <v>157</v>
      </c>
      <c r="AD46" s="8">
        <v>493</v>
      </c>
      <c r="AE46" s="8">
        <v>483</v>
      </c>
      <c r="AF46" s="8">
        <v>374</v>
      </c>
      <c r="AG46" s="8">
        <v>313</v>
      </c>
      <c r="AH46" s="8">
        <v>440</v>
      </c>
      <c r="AI46" s="8">
        <v>133</v>
      </c>
      <c r="AL46" s="8">
        <v>104</v>
      </c>
      <c r="AM46" s="8">
        <v>119</v>
      </c>
      <c r="AN46" s="8">
        <v>10223</v>
      </c>
      <c r="AO46" s="8">
        <v>1714</v>
      </c>
      <c r="AP46" s="8">
        <v>8509</v>
      </c>
      <c r="AQ46" s="8">
        <v>2381</v>
      </c>
      <c r="AR46" s="8">
        <v>159</v>
      </c>
      <c r="AS46" s="8">
        <v>509</v>
      </c>
      <c r="AT46" s="8">
        <v>419</v>
      </c>
      <c r="AU46" s="8">
        <v>489</v>
      </c>
      <c r="AV46" s="8">
        <v>471</v>
      </c>
      <c r="AW46" s="8">
        <v>835</v>
      </c>
      <c r="AX46" s="8">
        <v>593</v>
      </c>
      <c r="AY46" s="8">
        <v>423</v>
      </c>
      <c r="AZ46" s="8">
        <v>420</v>
      </c>
      <c r="BA46" s="8">
        <v>550</v>
      </c>
      <c r="BB46" s="8">
        <v>179</v>
      </c>
      <c r="BE46" s="8">
        <v>285</v>
      </c>
      <c r="BF46" s="8">
        <v>122</v>
      </c>
    </row>
    <row r="47" spans="1:58" x14ac:dyDescent="0.2">
      <c r="A47" s="9">
        <v>35217</v>
      </c>
      <c r="B47" s="8">
        <v>4664</v>
      </c>
      <c r="C47" s="8">
        <v>1119</v>
      </c>
      <c r="D47" s="8">
        <v>3546</v>
      </c>
      <c r="E47" s="8">
        <v>346</v>
      </c>
      <c r="F47" s="8">
        <v>78</v>
      </c>
      <c r="G47" s="8">
        <v>73</v>
      </c>
      <c r="H47" s="8">
        <v>100</v>
      </c>
      <c r="I47" s="8">
        <v>119</v>
      </c>
      <c r="J47" s="8">
        <v>804</v>
      </c>
      <c r="K47" s="8">
        <v>387</v>
      </c>
      <c r="L47" s="8">
        <v>97</v>
      </c>
      <c r="M47" s="8">
        <v>142</v>
      </c>
      <c r="N47" s="8">
        <v>334</v>
      </c>
      <c r="O47" s="8">
        <v>186</v>
      </c>
      <c r="P47" s="8">
        <v>79</v>
      </c>
      <c r="S47" s="8">
        <v>273</v>
      </c>
      <c r="T47" s="8">
        <v>6</v>
      </c>
      <c r="U47" s="8">
        <v>9358</v>
      </c>
      <c r="V47" s="8">
        <v>1151</v>
      </c>
      <c r="W47" s="8">
        <v>8206</v>
      </c>
      <c r="X47" s="8">
        <v>2469</v>
      </c>
      <c r="Y47" s="8">
        <v>88</v>
      </c>
      <c r="Z47" s="8">
        <v>834</v>
      </c>
      <c r="AA47" s="8">
        <v>451</v>
      </c>
      <c r="AB47" s="8">
        <v>529</v>
      </c>
      <c r="AC47" s="8">
        <v>215</v>
      </c>
      <c r="AD47" s="8">
        <v>763</v>
      </c>
      <c r="AE47" s="8">
        <v>605</v>
      </c>
      <c r="AF47" s="8">
        <v>341</v>
      </c>
      <c r="AG47" s="8">
        <v>447</v>
      </c>
      <c r="AH47" s="8">
        <v>558</v>
      </c>
      <c r="AI47" s="8">
        <v>160</v>
      </c>
      <c r="AL47" s="8">
        <v>44</v>
      </c>
      <c r="AM47" s="8">
        <v>190</v>
      </c>
      <c r="AN47" s="8">
        <v>14022</v>
      </c>
      <c r="AO47" s="8">
        <v>2270</v>
      </c>
      <c r="AP47" s="8">
        <v>11752</v>
      </c>
      <c r="AQ47" s="8">
        <v>2815</v>
      </c>
      <c r="AR47" s="8">
        <v>167</v>
      </c>
      <c r="AS47" s="8">
        <v>907</v>
      </c>
      <c r="AT47" s="8">
        <v>551</v>
      </c>
      <c r="AU47" s="8">
        <v>647</v>
      </c>
      <c r="AV47" s="8">
        <v>1019</v>
      </c>
      <c r="AW47" s="8">
        <v>1150</v>
      </c>
      <c r="AX47" s="8">
        <v>702</v>
      </c>
      <c r="AY47" s="8">
        <v>483</v>
      </c>
      <c r="AZ47" s="8">
        <v>781</v>
      </c>
      <c r="BA47" s="8">
        <v>744</v>
      </c>
      <c r="BB47" s="8">
        <v>239</v>
      </c>
      <c r="BE47" s="8">
        <v>317</v>
      </c>
      <c r="BF47" s="8">
        <v>196</v>
      </c>
    </row>
    <row r="48" spans="1:58" x14ac:dyDescent="0.2">
      <c r="A48" s="9">
        <v>35309</v>
      </c>
      <c r="B48" s="8">
        <v>4271</v>
      </c>
      <c r="C48" s="8">
        <v>937</v>
      </c>
      <c r="D48" s="8">
        <v>3334</v>
      </c>
      <c r="E48" s="8">
        <v>271</v>
      </c>
      <c r="F48" s="8">
        <v>65</v>
      </c>
      <c r="G48" s="8">
        <v>33</v>
      </c>
      <c r="H48" s="8">
        <v>173</v>
      </c>
      <c r="I48" s="8">
        <v>74</v>
      </c>
      <c r="J48" s="8">
        <v>360</v>
      </c>
      <c r="K48" s="8">
        <v>296</v>
      </c>
      <c r="L48" s="8">
        <v>101</v>
      </c>
      <c r="M48" s="8">
        <v>252</v>
      </c>
      <c r="N48" s="8">
        <v>791</v>
      </c>
      <c r="O48" s="8">
        <v>75</v>
      </c>
      <c r="P48" s="8">
        <v>31</v>
      </c>
      <c r="S48" s="8">
        <v>303</v>
      </c>
      <c r="T48" s="8">
        <v>8</v>
      </c>
      <c r="U48" s="8">
        <v>7871</v>
      </c>
      <c r="V48" s="8">
        <v>1072</v>
      </c>
      <c r="W48" s="8">
        <v>6800</v>
      </c>
      <c r="X48" s="8">
        <v>1994</v>
      </c>
      <c r="Y48" s="8">
        <v>128</v>
      </c>
      <c r="Z48" s="8">
        <v>206</v>
      </c>
      <c r="AA48" s="8">
        <v>475</v>
      </c>
      <c r="AB48" s="8">
        <v>343</v>
      </c>
      <c r="AC48" s="8">
        <v>207</v>
      </c>
      <c r="AD48" s="8">
        <v>609</v>
      </c>
      <c r="AE48" s="8">
        <v>492</v>
      </c>
      <c r="AF48" s="8">
        <v>640</v>
      </c>
      <c r="AG48" s="8">
        <v>634</v>
      </c>
      <c r="AH48" s="8">
        <v>409</v>
      </c>
      <c r="AI48" s="8">
        <v>113</v>
      </c>
      <c r="AL48" s="8">
        <v>27</v>
      </c>
      <c r="AM48" s="8">
        <v>95</v>
      </c>
      <c r="AN48" s="8">
        <v>12142</v>
      </c>
      <c r="AO48" s="8">
        <v>2009</v>
      </c>
      <c r="AP48" s="8">
        <v>10134</v>
      </c>
      <c r="AQ48" s="8">
        <v>2265</v>
      </c>
      <c r="AR48" s="8">
        <v>193</v>
      </c>
      <c r="AS48" s="8">
        <v>239</v>
      </c>
      <c r="AT48" s="8">
        <v>647</v>
      </c>
      <c r="AU48" s="8">
        <v>417</v>
      </c>
      <c r="AV48" s="8">
        <v>568</v>
      </c>
      <c r="AW48" s="8">
        <v>905</v>
      </c>
      <c r="AX48" s="8">
        <v>593</v>
      </c>
      <c r="AY48" s="8">
        <v>892</v>
      </c>
      <c r="AZ48" s="8">
        <v>1425</v>
      </c>
      <c r="BA48" s="8">
        <v>484</v>
      </c>
      <c r="BB48" s="8">
        <v>144</v>
      </c>
      <c r="BE48" s="8">
        <v>330</v>
      </c>
      <c r="BF48" s="8">
        <v>102</v>
      </c>
    </row>
    <row r="49" spans="1:58" x14ac:dyDescent="0.2">
      <c r="A49" s="9">
        <v>35400</v>
      </c>
      <c r="B49" s="8">
        <v>4960</v>
      </c>
      <c r="C49" s="8">
        <v>1112</v>
      </c>
      <c r="D49" s="8">
        <v>3847</v>
      </c>
      <c r="E49" s="8">
        <v>410</v>
      </c>
      <c r="F49" s="8">
        <v>55</v>
      </c>
      <c r="G49" s="8">
        <v>14</v>
      </c>
      <c r="H49" s="8">
        <v>94</v>
      </c>
      <c r="I49" s="8">
        <v>136</v>
      </c>
      <c r="J49" s="8">
        <v>345</v>
      </c>
      <c r="K49" s="8">
        <v>331</v>
      </c>
      <c r="L49" s="8">
        <v>119</v>
      </c>
      <c r="M49" s="8">
        <v>230</v>
      </c>
      <c r="N49" s="8">
        <v>1048</v>
      </c>
      <c r="O49" s="8">
        <v>83</v>
      </c>
      <c r="P49" s="8">
        <v>34</v>
      </c>
      <c r="S49" s="8">
        <v>365</v>
      </c>
      <c r="T49" s="8">
        <v>21</v>
      </c>
      <c r="U49" s="8">
        <v>8919</v>
      </c>
      <c r="V49" s="8">
        <v>1246</v>
      </c>
      <c r="W49" s="8">
        <v>7674</v>
      </c>
      <c r="X49" s="8">
        <v>2175</v>
      </c>
      <c r="Y49" s="8">
        <v>177</v>
      </c>
      <c r="Z49" s="8">
        <v>341</v>
      </c>
      <c r="AA49" s="8">
        <v>548</v>
      </c>
      <c r="AB49" s="8">
        <v>419</v>
      </c>
      <c r="AC49" s="8">
        <v>278</v>
      </c>
      <c r="AD49" s="8">
        <v>720</v>
      </c>
      <c r="AE49" s="8">
        <v>542</v>
      </c>
      <c r="AF49" s="8">
        <v>396</v>
      </c>
      <c r="AG49" s="8">
        <v>743</v>
      </c>
      <c r="AH49" s="8">
        <v>555</v>
      </c>
      <c r="AI49" s="8">
        <v>154</v>
      </c>
      <c r="AL49" s="8">
        <v>44</v>
      </c>
      <c r="AM49" s="8">
        <v>92</v>
      </c>
      <c r="AN49" s="8">
        <v>13879</v>
      </c>
      <c r="AO49" s="8">
        <v>2358</v>
      </c>
      <c r="AP49" s="8">
        <v>11521</v>
      </c>
      <c r="AQ49" s="8">
        <v>2585</v>
      </c>
      <c r="AR49" s="8">
        <v>232</v>
      </c>
      <c r="AS49" s="8">
        <v>355</v>
      </c>
      <c r="AT49" s="8">
        <v>642</v>
      </c>
      <c r="AU49" s="8">
        <v>555</v>
      </c>
      <c r="AV49" s="8">
        <v>623</v>
      </c>
      <c r="AW49" s="8">
        <v>1050</v>
      </c>
      <c r="AX49" s="8">
        <v>661</v>
      </c>
      <c r="AY49" s="8">
        <v>626</v>
      </c>
      <c r="AZ49" s="8">
        <v>1791</v>
      </c>
      <c r="BA49" s="8">
        <v>638</v>
      </c>
      <c r="BB49" s="8">
        <v>188</v>
      </c>
      <c r="BE49" s="8">
        <v>410</v>
      </c>
      <c r="BF49" s="8">
        <v>113</v>
      </c>
    </row>
    <row r="50" spans="1:58" x14ac:dyDescent="0.2">
      <c r="A50" s="9">
        <v>35490</v>
      </c>
      <c r="B50" s="8">
        <v>4374</v>
      </c>
      <c r="C50" s="8">
        <v>1197</v>
      </c>
      <c r="D50" s="8">
        <v>3177</v>
      </c>
      <c r="E50" s="8">
        <v>432</v>
      </c>
      <c r="F50" s="8">
        <v>51</v>
      </c>
      <c r="G50" s="8">
        <v>42</v>
      </c>
      <c r="H50" s="8">
        <v>115</v>
      </c>
      <c r="I50" s="8">
        <v>65</v>
      </c>
      <c r="J50" s="8">
        <v>280</v>
      </c>
      <c r="K50" s="8">
        <v>323</v>
      </c>
      <c r="L50" s="8">
        <v>180</v>
      </c>
      <c r="M50" s="8">
        <v>105</v>
      </c>
      <c r="N50" s="8">
        <v>718</v>
      </c>
      <c r="O50" s="8">
        <v>66</v>
      </c>
      <c r="P50" s="8">
        <v>28</v>
      </c>
      <c r="S50" s="8">
        <v>309</v>
      </c>
      <c r="T50" s="8">
        <v>13</v>
      </c>
      <c r="U50" s="8">
        <v>7242</v>
      </c>
      <c r="V50" s="8">
        <v>1039</v>
      </c>
      <c r="W50" s="8">
        <v>6203</v>
      </c>
      <c r="X50" s="8">
        <v>1788</v>
      </c>
      <c r="Y50" s="8">
        <v>93</v>
      </c>
      <c r="Z50" s="8">
        <v>350</v>
      </c>
      <c r="AA50" s="8">
        <v>394</v>
      </c>
      <c r="AB50" s="8">
        <v>283</v>
      </c>
      <c r="AC50" s="8">
        <v>232</v>
      </c>
      <c r="AD50" s="8">
        <v>498</v>
      </c>
      <c r="AE50" s="8">
        <v>423</v>
      </c>
      <c r="AF50" s="8">
        <v>376</v>
      </c>
      <c r="AG50" s="8">
        <v>377</v>
      </c>
      <c r="AH50" s="8">
        <v>623</v>
      </c>
      <c r="AI50" s="8">
        <v>175</v>
      </c>
      <c r="AL50" s="8">
        <v>43</v>
      </c>
      <c r="AM50" s="8">
        <v>156</v>
      </c>
      <c r="AN50" s="8">
        <v>11616</v>
      </c>
      <c r="AO50" s="8">
        <v>2236</v>
      </c>
      <c r="AP50" s="8">
        <v>9380</v>
      </c>
      <c r="AQ50" s="8">
        <v>2221</v>
      </c>
      <c r="AR50" s="8">
        <v>144</v>
      </c>
      <c r="AS50" s="8">
        <v>392</v>
      </c>
      <c r="AT50" s="8">
        <v>509</v>
      </c>
      <c r="AU50" s="8">
        <v>347</v>
      </c>
      <c r="AV50" s="8">
        <v>512</v>
      </c>
      <c r="AW50" s="8">
        <v>821</v>
      </c>
      <c r="AX50" s="8">
        <v>603</v>
      </c>
      <c r="AY50" s="8">
        <v>481</v>
      </c>
      <c r="AZ50" s="8">
        <v>1095</v>
      </c>
      <c r="BA50" s="8">
        <v>689</v>
      </c>
      <c r="BB50" s="8">
        <v>203</v>
      </c>
      <c r="BE50" s="8">
        <v>352</v>
      </c>
      <c r="BF50" s="8">
        <v>169</v>
      </c>
    </row>
    <row r="51" spans="1:58" x14ac:dyDescent="0.2">
      <c r="A51" s="9">
        <v>35582</v>
      </c>
      <c r="B51" s="8">
        <v>3938</v>
      </c>
      <c r="C51" s="8">
        <v>1115</v>
      </c>
      <c r="D51" s="8">
        <v>2824</v>
      </c>
      <c r="E51" s="8">
        <v>537</v>
      </c>
      <c r="F51" s="8">
        <v>63</v>
      </c>
      <c r="G51" s="8">
        <v>55</v>
      </c>
      <c r="H51" s="8">
        <v>139</v>
      </c>
      <c r="I51" s="8">
        <v>91</v>
      </c>
      <c r="J51" s="8">
        <v>383</v>
      </c>
      <c r="K51" s="8">
        <v>325</v>
      </c>
      <c r="L51" s="8">
        <v>76</v>
      </c>
      <c r="M51" s="8">
        <v>218</v>
      </c>
      <c r="N51" s="8">
        <v>290</v>
      </c>
      <c r="O51" s="8">
        <v>89</v>
      </c>
      <c r="P51" s="8">
        <v>41</v>
      </c>
      <c r="S51" s="8">
        <v>138</v>
      </c>
      <c r="T51" s="8">
        <v>5</v>
      </c>
      <c r="U51" s="8">
        <v>9783</v>
      </c>
      <c r="V51" s="8">
        <v>1269</v>
      </c>
      <c r="W51" s="8">
        <v>8514</v>
      </c>
      <c r="X51" s="8">
        <v>2155</v>
      </c>
      <c r="Y51" s="8">
        <v>127</v>
      </c>
      <c r="Z51" s="8">
        <v>382</v>
      </c>
      <c r="AA51" s="8">
        <v>625</v>
      </c>
      <c r="AB51" s="8">
        <v>488</v>
      </c>
      <c r="AC51" s="8">
        <v>274</v>
      </c>
      <c r="AD51" s="8">
        <v>709</v>
      </c>
      <c r="AE51" s="8">
        <v>617</v>
      </c>
      <c r="AF51" s="8">
        <v>413</v>
      </c>
      <c r="AG51" s="8">
        <v>625</v>
      </c>
      <c r="AH51" s="8">
        <v>838</v>
      </c>
      <c r="AI51" s="8">
        <v>235</v>
      </c>
      <c r="AL51" s="8">
        <v>239</v>
      </c>
      <c r="AM51" s="8">
        <v>221</v>
      </c>
      <c r="AN51" s="8">
        <v>13721</v>
      </c>
      <c r="AO51" s="8">
        <v>2383</v>
      </c>
      <c r="AP51" s="8">
        <v>11338</v>
      </c>
      <c r="AQ51" s="8">
        <v>2693</v>
      </c>
      <c r="AR51" s="8">
        <v>189</v>
      </c>
      <c r="AS51" s="8">
        <v>436</v>
      </c>
      <c r="AT51" s="8">
        <v>765</v>
      </c>
      <c r="AU51" s="8">
        <v>579</v>
      </c>
      <c r="AV51" s="8">
        <v>657</v>
      </c>
      <c r="AW51" s="8">
        <v>1033</v>
      </c>
      <c r="AX51" s="8">
        <v>693</v>
      </c>
      <c r="AY51" s="8">
        <v>631</v>
      </c>
      <c r="AZ51" s="8">
        <v>916</v>
      </c>
      <c r="BA51" s="8">
        <v>927</v>
      </c>
      <c r="BB51" s="8">
        <v>276</v>
      </c>
      <c r="BE51" s="8">
        <v>377</v>
      </c>
      <c r="BF51" s="8">
        <v>226</v>
      </c>
    </row>
    <row r="52" spans="1:58" x14ac:dyDescent="0.2">
      <c r="A52" s="9">
        <v>35674</v>
      </c>
      <c r="B52" s="8">
        <v>3403</v>
      </c>
      <c r="C52" s="8">
        <v>972</v>
      </c>
      <c r="D52" s="8">
        <v>2430</v>
      </c>
      <c r="E52" s="8">
        <v>511</v>
      </c>
      <c r="F52" s="8">
        <v>45</v>
      </c>
      <c r="G52" s="8">
        <v>42</v>
      </c>
      <c r="H52" s="8">
        <v>124</v>
      </c>
      <c r="I52" s="8">
        <v>69</v>
      </c>
      <c r="J52" s="8">
        <v>240</v>
      </c>
      <c r="K52" s="8">
        <v>284</v>
      </c>
      <c r="L52" s="8">
        <v>64</v>
      </c>
      <c r="M52" s="8">
        <v>193</v>
      </c>
      <c r="N52" s="8">
        <v>267</v>
      </c>
      <c r="O52" s="8">
        <v>70</v>
      </c>
      <c r="P52" s="8">
        <v>32</v>
      </c>
      <c r="S52" s="8">
        <v>168</v>
      </c>
      <c r="T52" s="8">
        <v>9</v>
      </c>
      <c r="U52" s="8">
        <v>8802</v>
      </c>
      <c r="V52" s="8">
        <v>1589</v>
      </c>
      <c r="W52" s="8">
        <v>7212</v>
      </c>
      <c r="X52" s="8">
        <v>1904</v>
      </c>
      <c r="Y52" s="8">
        <v>138</v>
      </c>
      <c r="Z52" s="8">
        <v>338</v>
      </c>
      <c r="AA52" s="8">
        <v>591</v>
      </c>
      <c r="AB52" s="8">
        <v>501</v>
      </c>
      <c r="AC52" s="8">
        <v>263</v>
      </c>
      <c r="AD52" s="8">
        <v>529</v>
      </c>
      <c r="AE52" s="8">
        <v>316</v>
      </c>
      <c r="AF52" s="8">
        <v>493</v>
      </c>
      <c r="AG52" s="8">
        <v>729</v>
      </c>
      <c r="AH52" s="8">
        <v>566</v>
      </c>
      <c r="AI52" s="8">
        <v>164</v>
      </c>
      <c r="AL52" s="8">
        <v>76</v>
      </c>
      <c r="AM52" s="8">
        <v>130</v>
      </c>
      <c r="AN52" s="8">
        <v>12204</v>
      </c>
      <c r="AO52" s="8">
        <v>2562</v>
      </c>
      <c r="AP52" s="8">
        <v>9643</v>
      </c>
      <c r="AQ52" s="8">
        <v>2415</v>
      </c>
      <c r="AR52" s="8">
        <v>183</v>
      </c>
      <c r="AS52" s="8">
        <v>379</v>
      </c>
      <c r="AT52" s="8">
        <v>715</v>
      </c>
      <c r="AU52" s="8">
        <v>570</v>
      </c>
      <c r="AV52" s="8">
        <v>504</v>
      </c>
      <c r="AW52" s="8">
        <v>813</v>
      </c>
      <c r="AX52" s="8">
        <v>380</v>
      </c>
      <c r="AY52" s="8">
        <v>686</v>
      </c>
      <c r="AZ52" s="8">
        <v>996</v>
      </c>
      <c r="BA52" s="8">
        <v>637</v>
      </c>
      <c r="BB52" s="8">
        <v>196</v>
      </c>
      <c r="BE52" s="8">
        <v>243</v>
      </c>
      <c r="BF52" s="8">
        <v>139</v>
      </c>
    </row>
    <row r="53" spans="1:58" x14ac:dyDescent="0.2">
      <c r="A53" s="9">
        <v>35765</v>
      </c>
      <c r="B53" s="8">
        <v>4368</v>
      </c>
      <c r="C53" s="8">
        <v>1173</v>
      </c>
      <c r="D53" s="8">
        <v>3194</v>
      </c>
      <c r="E53" s="8">
        <v>709</v>
      </c>
      <c r="F53" s="8">
        <v>67</v>
      </c>
      <c r="G53" s="8">
        <v>32</v>
      </c>
      <c r="H53" s="8">
        <v>117</v>
      </c>
      <c r="I53" s="8">
        <v>162</v>
      </c>
      <c r="J53" s="8">
        <v>301</v>
      </c>
      <c r="K53" s="8">
        <v>309</v>
      </c>
      <c r="L53" s="8">
        <v>125</v>
      </c>
      <c r="M53" s="8">
        <v>283</v>
      </c>
      <c r="N53" s="8">
        <v>420</v>
      </c>
      <c r="O53" s="8">
        <v>58</v>
      </c>
      <c r="P53" s="8">
        <v>26</v>
      </c>
      <c r="S53" s="8">
        <v>164</v>
      </c>
      <c r="T53" s="8">
        <v>17</v>
      </c>
      <c r="U53" s="8">
        <v>10459</v>
      </c>
      <c r="V53" s="8">
        <v>1936</v>
      </c>
      <c r="W53" s="8">
        <v>8523</v>
      </c>
      <c r="X53" s="8">
        <v>2321</v>
      </c>
      <c r="Y53" s="8">
        <v>207</v>
      </c>
      <c r="Z53" s="8">
        <v>528</v>
      </c>
      <c r="AA53" s="8">
        <v>673</v>
      </c>
      <c r="AB53" s="8">
        <v>591</v>
      </c>
      <c r="AC53" s="8">
        <v>351</v>
      </c>
      <c r="AD53" s="8">
        <v>605</v>
      </c>
      <c r="AE53" s="8">
        <v>339</v>
      </c>
      <c r="AF53" s="8">
        <v>428</v>
      </c>
      <c r="AG53" s="8">
        <v>862</v>
      </c>
      <c r="AH53" s="8">
        <v>646</v>
      </c>
      <c r="AI53" s="8">
        <v>181</v>
      </c>
      <c r="AL53" s="8">
        <v>105</v>
      </c>
      <c r="AM53" s="8">
        <v>133</v>
      </c>
      <c r="AN53" s="8">
        <v>14827</v>
      </c>
      <c r="AO53" s="8">
        <v>3110</v>
      </c>
      <c r="AP53" s="8">
        <v>11718</v>
      </c>
      <c r="AQ53" s="8">
        <v>3030</v>
      </c>
      <c r="AR53" s="8">
        <v>274</v>
      </c>
      <c r="AS53" s="8">
        <v>560</v>
      </c>
      <c r="AT53" s="8">
        <v>790</v>
      </c>
      <c r="AU53" s="8">
        <v>753</v>
      </c>
      <c r="AV53" s="8">
        <v>651</v>
      </c>
      <c r="AW53" s="8">
        <v>914</v>
      </c>
      <c r="AX53" s="8">
        <v>464</v>
      </c>
      <c r="AY53" s="8">
        <v>711</v>
      </c>
      <c r="AZ53" s="8">
        <v>1283</v>
      </c>
      <c r="BA53" s="8">
        <v>704</v>
      </c>
      <c r="BB53" s="8">
        <v>208</v>
      </c>
      <c r="BE53" s="8">
        <v>269</v>
      </c>
      <c r="BF53" s="8">
        <v>150</v>
      </c>
    </row>
    <row r="54" spans="1:58" x14ac:dyDescent="0.2">
      <c r="A54" s="9">
        <v>35855</v>
      </c>
      <c r="B54" s="8">
        <v>3420</v>
      </c>
      <c r="C54" s="8">
        <v>953</v>
      </c>
      <c r="D54" s="8">
        <v>2467</v>
      </c>
      <c r="E54" s="8">
        <v>347</v>
      </c>
      <c r="F54" s="8">
        <v>53</v>
      </c>
      <c r="G54" s="8">
        <v>35</v>
      </c>
      <c r="H54" s="8">
        <v>125</v>
      </c>
      <c r="I54" s="8">
        <v>91</v>
      </c>
      <c r="J54" s="8">
        <v>321</v>
      </c>
      <c r="K54" s="8">
        <v>273</v>
      </c>
      <c r="L54" s="8">
        <v>76</v>
      </c>
      <c r="M54" s="8">
        <v>157</v>
      </c>
      <c r="N54" s="8">
        <v>447</v>
      </c>
      <c r="O54" s="8">
        <v>34</v>
      </c>
      <c r="P54" s="8">
        <v>16</v>
      </c>
      <c r="S54" s="8">
        <v>130</v>
      </c>
      <c r="T54" s="8">
        <v>15</v>
      </c>
      <c r="U54" s="8">
        <v>8496</v>
      </c>
      <c r="V54" s="8">
        <v>1693</v>
      </c>
      <c r="W54" s="8">
        <v>6803</v>
      </c>
      <c r="X54" s="8">
        <v>1886</v>
      </c>
      <c r="Y54" s="8">
        <v>131</v>
      </c>
      <c r="Z54" s="8">
        <v>429</v>
      </c>
      <c r="AA54" s="8">
        <v>519</v>
      </c>
      <c r="AB54" s="8">
        <v>327</v>
      </c>
      <c r="AC54" s="8">
        <v>277</v>
      </c>
      <c r="AD54" s="8">
        <v>640</v>
      </c>
      <c r="AE54" s="8">
        <v>322</v>
      </c>
      <c r="AF54" s="8">
        <v>427</v>
      </c>
      <c r="AG54" s="8">
        <v>497</v>
      </c>
      <c r="AH54" s="8">
        <v>609</v>
      </c>
      <c r="AI54" s="8">
        <v>171</v>
      </c>
      <c r="AL54" s="8">
        <v>59</v>
      </c>
      <c r="AM54" s="8">
        <v>71</v>
      </c>
      <c r="AN54" s="8">
        <v>11917</v>
      </c>
      <c r="AO54" s="8">
        <v>2646</v>
      </c>
      <c r="AP54" s="8">
        <v>9270</v>
      </c>
      <c r="AQ54" s="8">
        <v>2233</v>
      </c>
      <c r="AR54" s="8">
        <v>184</v>
      </c>
      <c r="AS54" s="8">
        <v>464</v>
      </c>
      <c r="AT54" s="8">
        <v>644</v>
      </c>
      <c r="AU54" s="8">
        <v>418</v>
      </c>
      <c r="AV54" s="8">
        <v>599</v>
      </c>
      <c r="AW54" s="8">
        <v>914</v>
      </c>
      <c r="AX54" s="8">
        <v>399</v>
      </c>
      <c r="AY54" s="8">
        <v>584</v>
      </c>
      <c r="AZ54" s="8">
        <v>944</v>
      </c>
      <c r="BA54" s="8">
        <v>643</v>
      </c>
      <c r="BB54" s="8">
        <v>187</v>
      </c>
      <c r="BE54" s="8">
        <v>188</v>
      </c>
      <c r="BF54" s="8">
        <v>86</v>
      </c>
    </row>
    <row r="55" spans="1:58" x14ac:dyDescent="0.2">
      <c r="A55" s="9">
        <v>35947</v>
      </c>
      <c r="B55" s="8">
        <v>4533</v>
      </c>
      <c r="C55" s="8">
        <v>1389</v>
      </c>
      <c r="D55" s="8">
        <v>3144</v>
      </c>
      <c r="E55" s="8">
        <v>390</v>
      </c>
      <c r="F55" s="8">
        <v>55</v>
      </c>
      <c r="G55" s="8">
        <v>72</v>
      </c>
      <c r="H55" s="8">
        <v>130</v>
      </c>
      <c r="I55" s="8">
        <v>148</v>
      </c>
      <c r="J55" s="8">
        <v>126</v>
      </c>
      <c r="K55" s="8">
        <v>376</v>
      </c>
      <c r="L55" s="8">
        <v>69</v>
      </c>
      <c r="M55" s="8">
        <v>202</v>
      </c>
      <c r="N55" s="8">
        <v>888</v>
      </c>
      <c r="O55" s="8">
        <v>83</v>
      </c>
      <c r="P55" s="8">
        <v>38</v>
      </c>
      <c r="S55" s="8">
        <v>100</v>
      </c>
      <c r="T55" s="8">
        <v>20</v>
      </c>
      <c r="U55" s="8">
        <v>10210</v>
      </c>
      <c r="V55" s="8">
        <v>1653</v>
      </c>
      <c r="W55" s="8">
        <v>8557</v>
      </c>
      <c r="X55" s="8">
        <v>2335</v>
      </c>
      <c r="Y55" s="8">
        <v>158</v>
      </c>
      <c r="Z55" s="8">
        <v>463</v>
      </c>
      <c r="AA55" s="8">
        <v>615</v>
      </c>
      <c r="AB55" s="8">
        <v>519</v>
      </c>
      <c r="AC55" s="8">
        <v>360</v>
      </c>
      <c r="AD55" s="8">
        <v>756</v>
      </c>
      <c r="AE55" s="8">
        <v>387</v>
      </c>
      <c r="AF55" s="8">
        <v>474</v>
      </c>
      <c r="AG55" s="8">
        <v>767</v>
      </c>
      <c r="AH55" s="8">
        <v>727</v>
      </c>
      <c r="AI55" s="8">
        <v>201</v>
      </c>
      <c r="AL55" s="8">
        <v>102</v>
      </c>
      <c r="AM55" s="8">
        <v>138</v>
      </c>
      <c r="AN55" s="8">
        <v>14743</v>
      </c>
      <c r="AO55" s="8">
        <v>3042</v>
      </c>
      <c r="AP55" s="8">
        <v>11701</v>
      </c>
      <c r="AQ55" s="8">
        <v>2725</v>
      </c>
      <c r="AR55" s="8">
        <v>213</v>
      </c>
      <c r="AS55" s="8">
        <v>534</v>
      </c>
      <c r="AT55" s="8">
        <v>745</v>
      </c>
      <c r="AU55" s="8">
        <v>667</v>
      </c>
      <c r="AV55" s="8">
        <v>486</v>
      </c>
      <c r="AW55" s="8">
        <v>1132</v>
      </c>
      <c r="AX55" s="8">
        <v>456</v>
      </c>
      <c r="AY55" s="8">
        <v>676</v>
      </c>
      <c r="AZ55" s="8">
        <v>1655</v>
      </c>
      <c r="BA55" s="8">
        <v>810</v>
      </c>
      <c r="BB55" s="8">
        <v>239</v>
      </c>
      <c r="BE55" s="8">
        <v>202</v>
      </c>
      <c r="BF55" s="8">
        <v>158</v>
      </c>
    </row>
    <row r="56" spans="1:58" x14ac:dyDescent="0.2">
      <c r="A56" s="9">
        <v>36039</v>
      </c>
      <c r="B56" s="8">
        <v>4562</v>
      </c>
      <c r="C56" s="8">
        <v>1417</v>
      </c>
      <c r="D56" s="8">
        <v>3145</v>
      </c>
      <c r="E56" s="8">
        <v>268</v>
      </c>
      <c r="F56" s="8">
        <v>55</v>
      </c>
      <c r="G56" s="8">
        <v>88</v>
      </c>
      <c r="H56" s="8">
        <v>110</v>
      </c>
      <c r="I56" s="8">
        <v>234</v>
      </c>
      <c r="J56" s="8">
        <v>542</v>
      </c>
      <c r="K56" s="8">
        <v>360</v>
      </c>
      <c r="L56" s="8">
        <v>62</v>
      </c>
      <c r="M56" s="8">
        <v>144</v>
      </c>
      <c r="N56" s="8">
        <v>642</v>
      </c>
      <c r="O56" s="8">
        <v>53</v>
      </c>
      <c r="P56" s="8">
        <v>25</v>
      </c>
      <c r="S56" s="8">
        <v>82</v>
      </c>
      <c r="T56" s="8">
        <v>10</v>
      </c>
      <c r="U56" s="8">
        <v>9281</v>
      </c>
      <c r="V56" s="8">
        <v>1225</v>
      </c>
      <c r="W56" s="8">
        <v>8056</v>
      </c>
      <c r="X56" s="8">
        <v>1888</v>
      </c>
      <c r="Y56" s="8">
        <v>149</v>
      </c>
      <c r="Z56" s="8">
        <v>385</v>
      </c>
      <c r="AA56" s="8">
        <v>592</v>
      </c>
      <c r="AB56" s="8">
        <v>520</v>
      </c>
      <c r="AC56" s="8">
        <v>436</v>
      </c>
      <c r="AD56" s="8">
        <v>967</v>
      </c>
      <c r="AE56" s="8">
        <v>414</v>
      </c>
      <c r="AF56" s="8">
        <v>527</v>
      </c>
      <c r="AG56" s="8">
        <v>749</v>
      </c>
      <c r="AH56" s="8">
        <v>504</v>
      </c>
      <c r="AI56" s="8">
        <v>142</v>
      </c>
      <c r="AL56" s="8">
        <v>103</v>
      </c>
      <c r="AM56" s="8">
        <v>130</v>
      </c>
      <c r="AN56" s="8">
        <v>13843</v>
      </c>
      <c r="AO56" s="8">
        <v>2642</v>
      </c>
      <c r="AP56" s="8">
        <v>11201</v>
      </c>
      <c r="AQ56" s="8">
        <v>2156</v>
      </c>
      <c r="AR56" s="8">
        <v>205</v>
      </c>
      <c r="AS56" s="8">
        <v>473</v>
      </c>
      <c r="AT56" s="8">
        <v>703</v>
      </c>
      <c r="AU56" s="8">
        <v>755</v>
      </c>
      <c r="AV56" s="8">
        <v>978</v>
      </c>
      <c r="AW56" s="8">
        <v>1327</v>
      </c>
      <c r="AX56" s="8">
        <v>476</v>
      </c>
      <c r="AY56" s="8">
        <v>671</v>
      </c>
      <c r="AZ56" s="8">
        <v>1391</v>
      </c>
      <c r="BA56" s="8">
        <v>557</v>
      </c>
      <c r="BB56" s="8">
        <v>167</v>
      </c>
      <c r="BE56" s="8">
        <v>185</v>
      </c>
      <c r="BF56" s="8">
        <v>140</v>
      </c>
    </row>
    <row r="57" spans="1:58" x14ac:dyDescent="0.2">
      <c r="A57" s="9">
        <v>36130</v>
      </c>
      <c r="B57" s="8">
        <v>5028</v>
      </c>
      <c r="C57" s="8">
        <v>1562</v>
      </c>
      <c r="D57" s="8">
        <v>3467</v>
      </c>
      <c r="E57" s="8">
        <v>349</v>
      </c>
      <c r="F57" s="8">
        <v>76</v>
      </c>
      <c r="G57" s="8">
        <v>108</v>
      </c>
      <c r="H57" s="8">
        <v>107</v>
      </c>
      <c r="I57" s="8">
        <v>210</v>
      </c>
      <c r="J57" s="8">
        <v>359</v>
      </c>
      <c r="K57" s="8">
        <v>313</v>
      </c>
      <c r="L57" s="8">
        <v>67</v>
      </c>
      <c r="M57" s="8">
        <v>307</v>
      </c>
      <c r="N57" s="8">
        <v>804</v>
      </c>
      <c r="O57" s="8">
        <v>93</v>
      </c>
      <c r="P57" s="8">
        <v>45</v>
      </c>
      <c r="S57" s="8">
        <v>112</v>
      </c>
      <c r="T57" s="8">
        <v>8</v>
      </c>
      <c r="U57" s="8">
        <v>9423</v>
      </c>
      <c r="V57" s="8">
        <v>935</v>
      </c>
      <c r="W57" s="8">
        <v>8488</v>
      </c>
      <c r="X57" s="8">
        <v>2096</v>
      </c>
      <c r="Y57" s="8">
        <v>185</v>
      </c>
      <c r="Z57" s="8">
        <v>477</v>
      </c>
      <c r="AA57" s="8">
        <v>578</v>
      </c>
      <c r="AB57" s="8">
        <v>529</v>
      </c>
      <c r="AC57" s="8">
        <v>487</v>
      </c>
      <c r="AD57" s="8">
        <v>916</v>
      </c>
      <c r="AE57" s="8">
        <v>337</v>
      </c>
      <c r="AF57" s="8">
        <v>487</v>
      </c>
      <c r="AG57" s="8">
        <v>1018</v>
      </c>
      <c r="AH57" s="8">
        <v>488</v>
      </c>
      <c r="AI57" s="8">
        <v>139</v>
      </c>
      <c r="AL57" s="8">
        <v>91</v>
      </c>
      <c r="AM57" s="8">
        <v>92</v>
      </c>
      <c r="AN57" s="8">
        <v>14451</v>
      </c>
      <c r="AO57" s="8">
        <v>2496</v>
      </c>
      <c r="AP57" s="8">
        <v>11955</v>
      </c>
      <c r="AQ57" s="8">
        <v>2445</v>
      </c>
      <c r="AR57" s="8">
        <v>261</v>
      </c>
      <c r="AS57" s="8">
        <v>585</v>
      </c>
      <c r="AT57" s="8">
        <v>685</v>
      </c>
      <c r="AU57" s="8">
        <v>739</v>
      </c>
      <c r="AV57" s="8">
        <v>846</v>
      </c>
      <c r="AW57" s="8">
        <v>1230</v>
      </c>
      <c r="AX57" s="8">
        <v>404</v>
      </c>
      <c r="AY57" s="8">
        <v>794</v>
      </c>
      <c r="AZ57" s="8">
        <v>1822</v>
      </c>
      <c r="BA57" s="8">
        <v>581</v>
      </c>
      <c r="BB57" s="8">
        <v>183</v>
      </c>
      <c r="BE57" s="8">
        <v>203</v>
      </c>
      <c r="BF57" s="8">
        <v>99</v>
      </c>
    </row>
    <row r="58" spans="1:58" x14ac:dyDescent="0.2">
      <c r="A58" s="9">
        <v>36220</v>
      </c>
      <c r="B58" s="8">
        <v>3730</v>
      </c>
      <c r="C58" s="8">
        <v>1173</v>
      </c>
      <c r="D58" s="8">
        <v>2557</v>
      </c>
      <c r="E58" s="8">
        <v>250</v>
      </c>
      <c r="F58" s="8">
        <v>77</v>
      </c>
      <c r="G58" s="8">
        <v>118</v>
      </c>
      <c r="H58" s="8">
        <v>99</v>
      </c>
      <c r="I58" s="8">
        <v>67</v>
      </c>
      <c r="J58" s="8">
        <v>479</v>
      </c>
      <c r="K58" s="8">
        <v>309</v>
      </c>
      <c r="L58" s="8">
        <v>80</v>
      </c>
      <c r="M58" s="8">
        <v>148</v>
      </c>
      <c r="N58" s="8">
        <v>398</v>
      </c>
      <c r="O58" s="8">
        <v>52</v>
      </c>
      <c r="P58" s="8">
        <v>25</v>
      </c>
      <c r="S58" s="8">
        <v>74</v>
      </c>
      <c r="T58" s="8">
        <v>3</v>
      </c>
      <c r="U58" s="8">
        <v>8800</v>
      </c>
      <c r="V58" s="8">
        <v>822</v>
      </c>
      <c r="W58" s="8">
        <v>7978</v>
      </c>
      <c r="X58" s="8">
        <v>1989</v>
      </c>
      <c r="Y58" s="8">
        <v>242</v>
      </c>
      <c r="Z58" s="8">
        <v>346</v>
      </c>
      <c r="AA58" s="8">
        <v>549</v>
      </c>
      <c r="AB58" s="8">
        <v>413</v>
      </c>
      <c r="AC58" s="8">
        <v>400</v>
      </c>
      <c r="AD58" s="8">
        <v>778</v>
      </c>
      <c r="AE58" s="8">
        <v>525</v>
      </c>
      <c r="AF58" s="8">
        <v>471</v>
      </c>
      <c r="AG58" s="8">
        <v>753</v>
      </c>
      <c r="AH58" s="8">
        <v>554</v>
      </c>
      <c r="AI58" s="8">
        <v>154</v>
      </c>
      <c r="AL58" s="8">
        <v>114</v>
      </c>
      <c r="AM58" s="8">
        <v>157</v>
      </c>
      <c r="AN58" s="8">
        <v>12530</v>
      </c>
      <c r="AO58" s="8">
        <v>1995</v>
      </c>
      <c r="AP58" s="8">
        <v>10535</v>
      </c>
      <c r="AQ58" s="8">
        <v>2239</v>
      </c>
      <c r="AR58" s="8">
        <v>319</v>
      </c>
      <c r="AS58" s="8">
        <v>464</v>
      </c>
      <c r="AT58" s="8">
        <v>648</v>
      </c>
      <c r="AU58" s="8">
        <v>479</v>
      </c>
      <c r="AV58" s="8">
        <v>879</v>
      </c>
      <c r="AW58" s="8">
        <v>1087</v>
      </c>
      <c r="AX58" s="8">
        <v>605</v>
      </c>
      <c r="AY58" s="8">
        <v>620</v>
      </c>
      <c r="AZ58" s="8">
        <v>1151</v>
      </c>
      <c r="BA58" s="8">
        <v>605</v>
      </c>
      <c r="BB58" s="8">
        <v>179</v>
      </c>
      <c r="BE58" s="8">
        <v>188</v>
      </c>
      <c r="BF58" s="8">
        <v>161</v>
      </c>
    </row>
    <row r="59" spans="1:58" x14ac:dyDescent="0.2">
      <c r="A59" s="9">
        <v>36312</v>
      </c>
      <c r="B59" s="8">
        <v>3518</v>
      </c>
      <c r="C59" s="8">
        <v>1010</v>
      </c>
      <c r="D59" s="8">
        <v>2508</v>
      </c>
      <c r="E59" s="8">
        <v>219</v>
      </c>
      <c r="F59" s="8">
        <v>151</v>
      </c>
      <c r="G59" s="8">
        <v>91</v>
      </c>
      <c r="H59" s="8">
        <v>126</v>
      </c>
      <c r="I59" s="8">
        <v>121</v>
      </c>
      <c r="J59" s="8">
        <v>197</v>
      </c>
      <c r="K59" s="8">
        <v>224</v>
      </c>
      <c r="L59" s="8">
        <v>121</v>
      </c>
      <c r="M59" s="8">
        <v>211</v>
      </c>
      <c r="N59" s="8">
        <v>542</v>
      </c>
      <c r="O59" s="8">
        <v>43</v>
      </c>
      <c r="P59" s="8">
        <v>21</v>
      </c>
      <c r="S59" s="8">
        <v>57</v>
      </c>
      <c r="T59" s="8">
        <v>11</v>
      </c>
      <c r="U59" s="8">
        <v>9459</v>
      </c>
      <c r="V59" s="8">
        <v>921</v>
      </c>
      <c r="W59" s="8">
        <v>8538</v>
      </c>
      <c r="X59" s="8">
        <v>1967</v>
      </c>
      <c r="Y59" s="8">
        <v>207</v>
      </c>
      <c r="Z59" s="8">
        <v>534</v>
      </c>
      <c r="AA59" s="8">
        <v>571</v>
      </c>
      <c r="AB59" s="8">
        <v>544</v>
      </c>
      <c r="AC59" s="8">
        <v>681</v>
      </c>
      <c r="AD59" s="8">
        <v>518</v>
      </c>
      <c r="AE59" s="8">
        <v>515</v>
      </c>
      <c r="AF59" s="8">
        <v>509</v>
      </c>
      <c r="AG59" s="8">
        <v>773</v>
      </c>
      <c r="AH59" s="8">
        <v>731</v>
      </c>
      <c r="AI59" s="8">
        <v>199</v>
      </c>
      <c r="AL59" s="8">
        <v>90</v>
      </c>
      <c r="AM59" s="8">
        <v>115</v>
      </c>
      <c r="AN59" s="8">
        <v>12977</v>
      </c>
      <c r="AO59" s="8">
        <v>1932</v>
      </c>
      <c r="AP59" s="8">
        <v>11046</v>
      </c>
      <c r="AQ59" s="8">
        <v>2186</v>
      </c>
      <c r="AR59" s="8">
        <v>358</v>
      </c>
      <c r="AS59" s="8">
        <v>625</v>
      </c>
      <c r="AT59" s="8">
        <v>697</v>
      </c>
      <c r="AU59" s="8">
        <v>665</v>
      </c>
      <c r="AV59" s="8">
        <v>878</v>
      </c>
      <c r="AW59" s="8">
        <v>741</v>
      </c>
      <c r="AX59" s="8">
        <v>636</v>
      </c>
      <c r="AY59" s="8">
        <v>720</v>
      </c>
      <c r="AZ59" s="8">
        <v>1315</v>
      </c>
      <c r="BA59" s="8">
        <v>775</v>
      </c>
      <c r="BB59" s="8">
        <v>220</v>
      </c>
      <c r="BE59" s="8">
        <v>146</v>
      </c>
      <c r="BF59" s="8">
        <v>126</v>
      </c>
    </row>
    <row r="60" spans="1:58" x14ac:dyDescent="0.2">
      <c r="A60" s="9">
        <v>36404</v>
      </c>
      <c r="B60" s="8">
        <v>3911</v>
      </c>
      <c r="C60" s="8">
        <v>1055</v>
      </c>
      <c r="D60" s="8">
        <v>2857</v>
      </c>
      <c r="E60" s="8">
        <v>369</v>
      </c>
      <c r="F60" s="8">
        <v>104</v>
      </c>
      <c r="G60" s="8">
        <v>57</v>
      </c>
      <c r="H60" s="8">
        <v>164</v>
      </c>
      <c r="I60" s="8">
        <v>168</v>
      </c>
      <c r="J60" s="8">
        <v>252</v>
      </c>
      <c r="K60" s="8">
        <v>272</v>
      </c>
      <c r="L60" s="8">
        <v>119</v>
      </c>
      <c r="M60" s="8">
        <v>181</v>
      </c>
      <c r="N60" s="8">
        <v>550</v>
      </c>
      <c r="O60" s="8">
        <v>76</v>
      </c>
      <c r="P60" s="8">
        <v>39</v>
      </c>
      <c r="S60" s="8">
        <v>78</v>
      </c>
      <c r="T60" s="8">
        <v>22</v>
      </c>
      <c r="U60" s="8">
        <v>9149</v>
      </c>
      <c r="V60" s="8">
        <v>867</v>
      </c>
      <c r="W60" s="8">
        <v>8283</v>
      </c>
      <c r="X60" s="8">
        <v>1915</v>
      </c>
      <c r="Y60" s="8">
        <v>386</v>
      </c>
      <c r="Z60" s="8">
        <v>368</v>
      </c>
      <c r="AA60" s="8">
        <v>603</v>
      </c>
      <c r="AB60" s="8">
        <v>580</v>
      </c>
      <c r="AC60" s="8">
        <v>335</v>
      </c>
      <c r="AD60" s="8">
        <v>732</v>
      </c>
      <c r="AE60" s="8">
        <v>558</v>
      </c>
      <c r="AF60" s="8">
        <v>509</v>
      </c>
      <c r="AG60" s="8">
        <v>748</v>
      </c>
      <c r="AH60" s="8">
        <v>588</v>
      </c>
      <c r="AI60" s="8">
        <v>163</v>
      </c>
      <c r="AL60" s="8">
        <v>107</v>
      </c>
      <c r="AM60" s="8">
        <v>122</v>
      </c>
      <c r="AN60" s="8">
        <v>13061</v>
      </c>
      <c r="AO60" s="8">
        <v>1921</v>
      </c>
      <c r="AP60" s="8">
        <v>11139</v>
      </c>
      <c r="AQ60" s="8">
        <v>2284</v>
      </c>
      <c r="AR60" s="8">
        <v>491</v>
      </c>
      <c r="AS60" s="8">
        <v>425</v>
      </c>
      <c r="AT60" s="8">
        <v>767</v>
      </c>
      <c r="AU60" s="8">
        <v>748</v>
      </c>
      <c r="AV60" s="8">
        <v>587</v>
      </c>
      <c r="AW60" s="8">
        <v>1005</v>
      </c>
      <c r="AX60" s="8">
        <v>676</v>
      </c>
      <c r="AY60" s="8">
        <v>691</v>
      </c>
      <c r="AZ60" s="8">
        <v>1298</v>
      </c>
      <c r="BA60" s="8">
        <v>664</v>
      </c>
      <c r="BB60" s="8">
        <v>202</v>
      </c>
      <c r="BE60" s="8">
        <v>184</v>
      </c>
      <c r="BF60" s="8">
        <v>144</v>
      </c>
    </row>
    <row r="61" spans="1:58" x14ac:dyDescent="0.2">
      <c r="A61" s="9">
        <v>36495</v>
      </c>
      <c r="B61" s="8">
        <v>3838</v>
      </c>
      <c r="C61" s="8">
        <v>587</v>
      </c>
      <c r="D61" s="8">
        <v>3252</v>
      </c>
      <c r="E61" s="8">
        <v>358</v>
      </c>
      <c r="F61" s="8">
        <v>100</v>
      </c>
      <c r="G61" s="8">
        <v>39</v>
      </c>
      <c r="H61" s="8">
        <v>129</v>
      </c>
      <c r="I61" s="8">
        <v>212</v>
      </c>
      <c r="J61" s="8">
        <v>445</v>
      </c>
      <c r="K61" s="8">
        <v>247</v>
      </c>
      <c r="L61" s="8">
        <v>72</v>
      </c>
      <c r="M61" s="8">
        <v>247</v>
      </c>
      <c r="N61" s="8">
        <v>831</v>
      </c>
      <c r="O61" s="8">
        <v>37</v>
      </c>
      <c r="P61" s="8">
        <v>18</v>
      </c>
      <c r="S61" s="8">
        <v>31</v>
      </c>
      <c r="T61" s="8">
        <v>15</v>
      </c>
      <c r="U61" s="8">
        <v>9564</v>
      </c>
      <c r="V61" s="8">
        <v>762</v>
      </c>
      <c r="W61" s="8">
        <v>8801</v>
      </c>
      <c r="X61" s="8">
        <v>2188</v>
      </c>
      <c r="Y61" s="8">
        <v>222</v>
      </c>
      <c r="Z61" s="8">
        <v>407</v>
      </c>
      <c r="AA61" s="8">
        <v>645</v>
      </c>
      <c r="AB61" s="8">
        <v>582</v>
      </c>
      <c r="AC61" s="8">
        <v>443</v>
      </c>
      <c r="AD61" s="8">
        <v>752</v>
      </c>
      <c r="AE61" s="8">
        <v>584</v>
      </c>
      <c r="AF61" s="8">
        <v>581</v>
      </c>
      <c r="AG61" s="8">
        <v>727</v>
      </c>
      <c r="AH61" s="8">
        <v>645</v>
      </c>
      <c r="AI61" s="8">
        <v>184</v>
      </c>
      <c r="AL61" s="8">
        <v>122</v>
      </c>
      <c r="AM61" s="8">
        <v>131</v>
      </c>
      <c r="AN61" s="8">
        <v>13402</v>
      </c>
      <c r="AO61" s="8">
        <v>1349</v>
      </c>
      <c r="AP61" s="8">
        <v>12053</v>
      </c>
      <c r="AQ61" s="8">
        <v>2546</v>
      </c>
      <c r="AR61" s="8">
        <v>322</v>
      </c>
      <c r="AS61" s="8">
        <v>446</v>
      </c>
      <c r="AT61" s="8">
        <v>773</v>
      </c>
      <c r="AU61" s="8">
        <v>794</v>
      </c>
      <c r="AV61" s="8">
        <v>888</v>
      </c>
      <c r="AW61" s="8">
        <v>998</v>
      </c>
      <c r="AX61" s="8">
        <v>656</v>
      </c>
      <c r="AY61" s="8">
        <v>828</v>
      </c>
      <c r="AZ61" s="8">
        <v>1558</v>
      </c>
      <c r="BA61" s="8">
        <v>681</v>
      </c>
      <c r="BB61" s="8">
        <v>201</v>
      </c>
      <c r="BE61" s="8">
        <v>153</v>
      </c>
      <c r="BF61" s="8">
        <v>146</v>
      </c>
    </row>
    <row r="62" spans="1:58" x14ac:dyDescent="0.2">
      <c r="A62" s="9">
        <v>36586</v>
      </c>
      <c r="B62" s="8">
        <v>3662</v>
      </c>
      <c r="C62" s="8">
        <v>489</v>
      </c>
      <c r="D62" s="8">
        <v>3174</v>
      </c>
      <c r="E62" s="8">
        <v>339</v>
      </c>
      <c r="F62" s="8">
        <v>89</v>
      </c>
      <c r="G62" s="8">
        <v>64</v>
      </c>
      <c r="H62" s="8">
        <v>61</v>
      </c>
      <c r="I62" s="8">
        <v>149</v>
      </c>
      <c r="J62" s="8">
        <v>531</v>
      </c>
      <c r="K62" s="8">
        <v>200</v>
      </c>
      <c r="L62" s="8">
        <v>44</v>
      </c>
      <c r="M62" s="8">
        <v>412</v>
      </c>
      <c r="N62" s="8">
        <v>691</v>
      </c>
      <c r="O62" s="8">
        <v>52</v>
      </c>
      <c r="P62" s="8">
        <v>26</v>
      </c>
      <c r="S62" s="8">
        <v>34</v>
      </c>
      <c r="T62" s="8">
        <v>20</v>
      </c>
      <c r="U62" s="8">
        <v>8595</v>
      </c>
      <c r="V62" s="8">
        <v>567</v>
      </c>
      <c r="W62" s="8">
        <v>8028</v>
      </c>
      <c r="X62" s="8">
        <v>1888</v>
      </c>
      <c r="Y62" s="8">
        <v>130</v>
      </c>
      <c r="Z62" s="8">
        <v>395</v>
      </c>
      <c r="AA62" s="8">
        <v>387</v>
      </c>
      <c r="AB62" s="8">
        <v>399</v>
      </c>
      <c r="AC62" s="8">
        <v>371</v>
      </c>
      <c r="AD62" s="8">
        <v>745</v>
      </c>
      <c r="AE62" s="8">
        <v>928</v>
      </c>
      <c r="AF62" s="8">
        <v>482</v>
      </c>
      <c r="AG62" s="8">
        <v>636</v>
      </c>
      <c r="AH62" s="8">
        <v>727</v>
      </c>
      <c r="AI62" s="8">
        <v>194</v>
      </c>
      <c r="AL62" s="8">
        <v>96</v>
      </c>
      <c r="AM62" s="8">
        <v>104</v>
      </c>
      <c r="AN62" s="8">
        <v>12257</v>
      </c>
      <c r="AO62" s="8">
        <v>1055</v>
      </c>
      <c r="AP62" s="8">
        <v>11202</v>
      </c>
      <c r="AQ62" s="8">
        <v>2226</v>
      </c>
      <c r="AR62" s="8">
        <v>218</v>
      </c>
      <c r="AS62" s="8">
        <v>459</v>
      </c>
      <c r="AT62" s="8">
        <v>448</v>
      </c>
      <c r="AU62" s="8">
        <v>548</v>
      </c>
      <c r="AV62" s="8">
        <v>903</v>
      </c>
      <c r="AW62" s="8">
        <v>945</v>
      </c>
      <c r="AX62" s="8">
        <v>973</v>
      </c>
      <c r="AY62" s="8">
        <v>894</v>
      </c>
      <c r="AZ62" s="8">
        <v>1327</v>
      </c>
      <c r="BA62" s="8">
        <v>779</v>
      </c>
      <c r="BB62" s="8">
        <v>220</v>
      </c>
      <c r="BE62" s="8">
        <v>130</v>
      </c>
      <c r="BF62" s="8">
        <v>123</v>
      </c>
    </row>
    <row r="63" spans="1:58" x14ac:dyDescent="0.2">
      <c r="A63" s="9">
        <v>36678</v>
      </c>
      <c r="B63" s="8">
        <v>4365</v>
      </c>
      <c r="C63" s="8">
        <v>599</v>
      </c>
      <c r="D63" s="8">
        <v>3766</v>
      </c>
      <c r="E63" s="8">
        <v>400</v>
      </c>
      <c r="F63" s="8">
        <v>103</v>
      </c>
      <c r="G63" s="8">
        <v>63</v>
      </c>
      <c r="H63" s="8">
        <v>91</v>
      </c>
      <c r="I63" s="8">
        <v>139</v>
      </c>
      <c r="J63" s="8">
        <v>705</v>
      </c>
      <c r="K63" s="8">
        <v>171</v>
      </c>
      <c r="L63" s="8">
        <v>38</v>
      </c>
      <c r="M63" s="8">
        <v>271</v>
      </c>
      <c r="N63" s="8">
        <v>1074</v>
      </c>
      <c r="O63" s="8">
        <v>80</v>
      </c>
      <c r="P63" s="8">
        <v>41</v>
      </c>
      <c r="S63" s="8">
        <v>33</v>
      </c>
      <c r="T63" s="8">
        <v>7</v>
      </c>
      <c r="U63" s="8">
        <v>10095</v>
      </c>
      <c r="V63" s="8">
        <v>748</v>
      </c>
      <c r="W63" s="8">
        <v>9347</v>
      </c>
      <c r="X63" s="8">
        <v>2024</v>
      </c>
      <c r="Y63" s="8">
        <v>250</v>
      </c>
      <c r="Z63" s="8">
        <v>556</v>
      </c>
      <c r="AA63" s="8">
        <v>523</v>
      </c>
      <c r="AB63" s="8">
        <v>579</v>
      </c>
      <c r="AC63" s="8">
        <v>520</v>
      </c>
      <c r="AD63" s="8">
        <v>1054</v>
      </c>
      <c r="AE63" s="8">
        <v>820</v>
      </c>
      <c r="AF63" s="8">
        <v>532</v>
      </c>
      <c r="AG63" s="8">
        <v>641</v>
      </c>
      <c r="AH63" s="8">
        <v>706</v>
      </c>
      <c r="AI63" s="8">
        <v>196</v>
      </c>
      <c r="AL63" s="8">
        <v>127</v>
      </c>
      <c r="AM63" s="8">
        <v>166</v>
      </c>
      <c r="AN63" s="8">
        <v>14460</v>
      </c>
      <c r="AO63" s="8">
        <v>1347</v>
      </c>
      <c r="AP63" s="8">
        <v>13113</v>
      </c>
      <c r="AQ63" s="8">
        <v>2424</v>
      </c>
      <c r="AR63" s="8">
        <v>353</v>
      </c>
      <c r="AS63" s="8">
        <v>618</v>
      </c>
      <c r="AT63" s="8">
        <v>614</v>
      </c>
      <c r="AU63" s="8">
        <v>719</v>
      </c>
      <c r="AV63" s="8">
        <v>1225</v>
      </c>
      <c r="AW63" s="8">
        <v>1224</v>
      </c>
      <c r="AX63" s="8">
        <v>858</v>
      </c>
      <c r="AY63" s="8">
        <v>803</v>
      </c>
      <c r="AZ63" s="8">
        <v>1714</v>
      </c>
      <c r="BA63" s="8">
        <v>786</v>
      </c>
      <c r="BB63" s="8">
        <v>237</v>
      </c>
      <c r="BE63" s="8">
        <v>160</v>
      </c>
      <c r="BF63" s="8">
        <v>173</v>
      </c>
    </row>
    <row r="64" spans="1:58" x14ac:dyDescent="0.2">
      <c r="A64" s="9">
        <v>36770</v>
      </c>
      <c r="B64" s="8">
        <v>3497</v>
      </c>
      <c r="C64" s="8">
        <v>530</v>
      </c>
      <c r="D64" s="8">
        <v>2966</v>
      </c>
      <c r="E64" s="8">
        <v>383</v>
      </c>
      <c r="F64" s="8">
        <v>92</v>
      </c>
      <c r="G64" s="8">
        <v>39</v>
      </c>
      <c r="H64" s="8">
        <v>84</v>
      </c>
      <c r="I64" s="8">
        <v>124</v>
      </c>
      <c r="J64" s="8">
        <v>380</v>
      </c>
      <c r="K64" s="8">
        <v>116</v>
      </c>
      <c r="L64" s="8">
        <v>39</v>
      </c>
      <c r="M64" s="8">
        <v>435</v>
      </c>
      <c r="N64" s="8">
        <v>701</v>
      </c>
      <c r="O64" s="8">
        <v>54</v>
      </c>
      <c r="P64" s="8">
        <v>28</v>
      </c>
      <c r="S64" s="8">
        <v>60</v>
      </c>
      <c r="T64" s="8">
        <v>10</v>
      </c>
      <c r="U64" s="8">
        <v>9375</v>
      </c>
      <c r="V64" s="8">
        <v>589</v>
      </c>
      <c r="W64" s="8">
        <v>8786</v>
      </c>
      <c r="X64" s="8">
        <v>1803</v>
      </c>
      <c r="Y64" s="8">
        <v>310</v>
      </c>
      <c r="Z64" s="8">
        <v>444</v>
      </c>
      <c r="AA64" s="8">
        <v>500</v>
      </c>
      <c r="AB64" s="8">
        <v>543</v>
      </c>
      <c r="AC64" s="8">
        <v>318</v>
      </c>
      <c r="AD64" s="8">
        <v>586</v>
      </c>
      <c r="AE64" s="8">
        <v>1020</v>
      </c>
      <c r="AF64" s="8">
        <v>642</v>
      </c>
      <c r="AG64" s="8">
        <v>854</v>
      </c>
      <c r="AH64" s="8">
        <v>724</v>
      </c>
      <c r="AI64" s="8">
        <v>196</v>
      </c>
      <c r="AL64" s="8">
        <v>98</v>
      </c>
      <c r="AM64" s="8">
        <v>126</v>
      </c>
      <c r="AN64" s="8">
        <v>12872</v>
      </c>
      <c r="AO64" s="8">
        <v>1120</v>
      </c>
      <c r="AP64" s="8">
        <v>11752</v>
      </c>
      <c r="AQ64" s="8">
        <v>2186</v>
      </c>
      <c r="AR64" s="8">
        <v>402</v>
      </c>
      <c r="AS64" s="8">
        <v>483</v>
      </c>
      <c r="AT64" s="8">
        <v>584</v>
      </c>
      <c r="AU64" s="8">
        <v>667</v>
      </c>
      <c r="AV64" s="8">
        <v>699</v>
      </c>
      <c r="AW64" s="8">
        <v>702</v>
      </c>
      <c r="AX64" s="8">
        <v>1059</v>
      </c>
      <c r="AY64" s="8">
        <v>1077</v>
      </c>
      <c r="AZ64" s="8">
        <v>1555</v>
      </c>
      <c r="BA64" s="8">
        <v>778</v>
      </c>
      <c r="BB64" s="8">
        <v>224</v>
      </c>
      <c r="BE64" s="8">
        <v>158</v>
      </c>
      <c r="BF64" s="8">
        <v>136</v>
      </c>
    </row>
    <row r="65" spans="1:58" x14ac:dyDescent="0.2">
      <c r="A65" s="9">
        <v>36861</v>
      </c>
      <c r="B65" s="8">
        <v>3744</v>
      </c>
      <c r="C65" s="8">
        <v>631</v>
      </c>
      <c r="D65" s="8">
        <v>3113</v>
      </c>
      <c r="E65" s="8">
        <v>306</v>
      </c>
      <c r="F65" s="8">
        <v>115</v>
      </c>
      <c r="G65" s="8">
        <v>40</v>
      </c>
      <c r="H65" s="8">
        <v>95</v>
      </c>
      <c r="I65" s="8">
        <v>155</v>
      </c>
      <c r="J65" s="8">
        <v>367</v>
      </c>
      <c r="K65" s="8">
        <v>182</v>
      </c>
      <c r="L65" s="8">
        <v>106</v>
      </c>
      <c r="M65" s="8">
        <v>255</v>
      </c>
      <c r="N65" s="8">
        <v>780</v>
      </c>
      <c r="O65" s="8">
        <v>101</v>
      </c>
      <c r="P65" s="8">
        <v>55</v>
      </c>
      <c r="S65" s="8">
        <v>82</v>
      </c>
      <c r="T65" s="8">
        <v>14</v>
      </c>
      <c r="U65" s="8">
        <v>9762</v>
      </c>
      <c r="V65" s="8">
        <v>766</v>
      </c>
      <c r="W65" s="8">
        <v>8996</v>
      </c>
      <c r="X65" s="8">
        <v>1932</v>
      </c>
      <c r="Y65" s="8">
        <v>227</v>
      </c>
      <c r="Z65" s="8">
        <v>509</v>
      </c>
      <c r="AA65" s="8">
        <v>461</v>
      </c>
      <c r="AB65" s="8">
        <v>601</v>
      </c>
      <c r="AC65" s="8">
        <v>350</v>
      </c>
      <c r="AD65" s="8">
        <v>810</v>
      </c>
      <c r="AE65" s="8">
        <v>1034</v>
      </c>
      <c r="AF65" s="8">
        <v>639</v>
      </c>
      <c r="AG65" s="8">
        <v>710</v>
      </c>
      <c r="AH65" s="8">
        <v>650</v>
      </c>
      <c r="AI65" s="8">
        <v>181</v>
      </c>
      <c r="AL65" s="8">
        <v>126</v>
      </c>
      <c r="AM65" s="8">
        <v>138</v>
      </c>
      <c r="AN65" s="8">
        <v>13506</v>
      </c>
      <c r="AO65" s="8">
        <v>1397</v>
      </c>
      <c r="AP65" s="8">
        <v>12109</v>
      </c>
      <c r="AQ65" s="8">
        <v>2238</v>
      </c>
      <c r="AR65" s="8">
        <v>343</v>
      </c>
      <c r="AS65" s="8">
        <v>549</v>
      </c>
      <c r="AT65" s="8">
        <v>556</v>
      </c>
      <c r="AU65" s="8">
        <v>757</v>
      </c>
      <c r="AV65" s="8">
        <v>716</v>
      </c>
      <c r="AW65" s="8">
        <v>992</v>
      </c>
      <c r="AX65" s="8">
        <v>1140</v>
      </c>
      <c r="AY65" s="8">
        <v>894</v>
      </c>
      <c r="AZ65" s="8">
        <v>1490</v>
      </c>
      <c r="BA65" s="8">
        <v>752</v>
      </c>
      <c r="BB65" s="8">
        <v>236</v>
      </c>
      <c r="BE65" s="8">
        <v>208</v>
      </c>
      <c r="BF65" s="8">
        <v>152</v>
      </c>
    </row>
    <row r="66" spans="1:58" x14ac:dyDescent="0.2">
      <c r="A66" s="9">
        <v>36951</v>
      </c>
      <c r="B66" s="8">
        <v>2864</v>
      </c>
      <c r="C66" s="8">
        <v>629</v>
      </c>
      <c r="D66" s="8">
        <v>2234</v>
      </c>
      <c r="E66" s="8">
        <v>219</v>
      </c>
      <c r="F66" s="8">
        <v>95</v>
      </c>
      <c r="G66" s="8">
        <v>38</v>
      </c>
      <c r="H66" s="8">
        <v>78</v>
      </c>
      <c r="I66" s="8">
        <v>86</v>
      </c>
      <c r="J66" s="8">
        <v>240</v>
      </c>
      <c r="K66" s="8">
        <v>151</v>
      </c>
      <c r="L66" s="8">
        <v>79</v>
      </c>
      <c r="M66" s="8">
        <v>168</v>
      </c>
      <c r="N66" s="8">
        <v>664</v>
      </c>
      <c r="O66" s="8">
        <v>34</v>
      </c>
      <c r="P66" s="8">
        <v>18</v>
      </c>
      <c r="S66" s="8">
        <v>30</v>
      </c>
      <c r="T66" s="8">
        <v>6</v>
      </c>
      <c r="U66" s="8">
        <v>8715</v>
      </c>
      <c r="V66" s="8">
        <v>818</v>
      </c>
      <c r="W66" s="8">
        <v>7898</v>
      </c>
      <c r="X66" s="8">
        <v>1643</v>
      </c>
      <c r="Y66" s="8">
        <v>261</v>
      </c>
      <c r="Z66" s="8">
        <v>358</v>
      </c>
      <c r="AA66" s="8">
        <v>340</v>
      </c>
      <c r="AB66" s="8">
        <v>368</v>
      </c>
      <c r="AC66" s="8">
        <v>236</v>
      </c>
      <c r="AD66" s="8">
        <v>856</v>
      </c>
      <c r="AE66" s="8">
        <v>1021</v>
      </c>
      <c r="AF66" s="8">
        <v>487</v>
      </c>
      <c r="AG66" s="8">
        <v>683</v>
      </c>
      <c r="AH66" s="8">
        <v>665</v>
      </c>
      <c r="AI66" s="8">
        <v>183</v>
      </c>
      <c r="AL66" s="8">
        <v>106</v>
      </c>
      <c r="AM66" s="8">
        <v>132</v>
      </c>
      <c r="AN66" s="8">
        <v>11579</v>
      </c>
      <c r="AO66" s="8">
        <v>1447</v>
      </c>
      <c r="AP66" s="8">
        <v>10132</v>
      </c>
      <c r="AQ66" s="8">
        <v>1862</v>
      </c>
      <c r="AR66" s="8">
        <v>356</v>
      </c>
      <c r="AS66" s="8">
        <v>396</v>
      </c>
      <c r="AT66" s="8">
        <v>418</v>
      </c>
      <c r="AU66" s="8">
        <v>454</v>
      </c>
      <c r="AV66" s="8">
        <v>476</v>
      </c>
      <c r="AW66" s="8">
        <v>1007</v>
      </c>
      <c r="AX66" s="8">
        <v>1100</v>
      </c>
      <c r="AY66" s="8">
        <v>655</v>
      </c>
      <c r="AZ66" s="8">
        <v>1347</v>
      </c>
      <c r="BA66" s="8">
        <v>699</v>
      </c>
      <c r="BB66" s="8">
        <v>201</v>
      </c>
      <c r="BE66" s="8">
        <v>136</v>
      </c>
      <c r="BF66" s="8">
        <v>138</v>
      </c>
    </row>
    <row r="67" spans="1:58" x14ac:dyDescent="0.2">
      <c r="A67" s="9">
        <v>37043</v>
      </c>
      <c r="B67" s="8">
        <v>3556</v>
      </c>
      <c r="C67" s="8">
        <v>845</v>
      </c>
      <c r="D67" s="8">
        <v>2711</v>
      </c>
      <c r="E67" s="8">
        <v>254</v>
      </c>
      <c r="F67" s="8">
        <v>99</v>
      </c>
      <c r="G67" s="8">
        <v>35</v>
      </c>
      <c r="H67" s="8">
        <v>102</v>
      </c>
      <c r="I67" s="8">
        <v>176</v>
      </c>
      <c r="J67" s="8">
        <v>153</v>
      </c>
      <c r="K67" s="8">
        <v>193</v>
      </c>
      <c r="L67" s="8">
        <v>109</v>
      </c>
      <c r="M67" s="8">
        <v>246</v>
      </c>
      <c r="N67" s="8">
        <v>822</v>
      </c>
      <c r="O67" s="8">
        <v>46</v>
      </c>
      <c r="P67" s="8">
        <v>25</v>
      </c>
      <c r="S67" s="8">
        <v>45</v>
      </c>
      <c r="T67" s="8">
        <v>6</v>
      </c>
      <c r="U67" s="8">
        <v>9904</v>
      </c>
      <c r="V67" s="8">
        <v>920</v>
      </c>
      <c r="W67" s="8">
        <v>8984</v>
      </c>
      <c r="X67" s="8">
        <v>1931</v>
      </c>
      <c r="Y67" s="8">
        <v>310</v>
      </c>
      <c r="Z67" s="8">
        <v>449</v>
      </c>
      <c r="AA67" s="8">
        <v>415</v>
      </c>
      <c r="AB67" s="8">
        <v>495</v>
      </c>
      <c r="AC67" s="8">
        <v>353</v>
      </c>
      <c r="AD67" s="8">
        <v>634</v>
      </c>
      <c r="AE67" s="8">
        <v>915</v>
      </c>
      <c r="AF67" s="8">
        <v>699</v>
      </c>
      <c r="AG67" s="8">
        <v>947</v>
      </c>
      <c r="AH67" s="8">
        <v>674</v>
      </c>
      <c r="AI67" s="8">
        <v>189</v>
      </c>
      <c r="AL67" s="8">
        <v>197</v>
      </c>
      <c r="AM67" s="8">
        <v>149</v>
      </c>
      <c r="AN67" s="8">
        <v>13460</v>
      </c>
      <c r="AO67" s="8">
        <v>1765</v>
      </c>
      <c r="AP67" s="8">
        <v>11695</v>
      </c>
      <c r="AQ67" s="8">
        <v>2185</v>
      </c>
      <c r="AR67" s="8">
        <v>409</v>
      </c>
      <c r="AS67" s="8">
        <v>483</v>
      </c>
      <c r="AT67" s="8">
        <v>517</v>
      </c>
      <c r="AU67" s="8">
        <v>671</v>
      </c>
      <c r="AV67" s="8">
        <v>507</v>
      </c>
      <c r="AW67" s="8">
        <v>827</v>
      </c>
      <c r="AX67" s="8">
        <v>1024</v>
      </c>
      <c r="AY67" s="8">
        <v>944</v>
      </c>
      <c r="AZ67" s="8">
        <v>1769</v>
      </c>
      <c r="BA67" s="8">
        <v>720</v>
      </c>
      <c r="BB67" s="8">
        <v>213</v>
      </c>
      <c r="BE67" s="8">
        <v>241</v>
      </c>
      <c r="BF67" s="8">
        <v>155</v>
      </c>
    </row>
    <row r="68" spans="1:58" x14ac:dyDescent="0.2">
      <c r="A68" s="9">
        <v>37135</v>
      </c>
      <c r="B68" s="8">
        <v>3171</v>
      </c>
      <c r="C68" s="8">
        <v>899</v>
      </c>
      <c r="D68" s="8">
        <v>2272</v>
      </c>
      <c r="E68" s="8">
        <v>171</v>
      </c>
      <c r="F68" s="8">
        <v>143</v>
      </c>
      <c r="G68" s="8">
        <v>35</v>
      </c>
      <c r="H68" s="8">
        <v>129</v>
      </c>
      <c r="I68" s="8">
        <v>159</v>
      </c>
      <c r="J68" s="8">
        <v>174</v>
      </c>
      <c r="K68" s="8">
        <v>270</v>
      </c>
      <c r="L68" s="8">
        <v>73</v>
      </c>
      <c r="M68" s="8">
        <v>185</v>
      </c>
      <c r="N68" s="8">
        <v>474</v>
      </c>
      <c r="O68" s="8">
        <v>34</v>
      </c>
      <c r="P68" s="8">
        <v>19</v>
      </c>
      <c r="S68" s="8">
        <v>59</v>
      </c>
      <c r="T68" s="8">
        <v>3</v>
      </c>
      <c r="U68" s="8">
        <v>9322</v>
      </c>
      <c r="V68" s="8">
        <v>916</v>
      </c>
      <c r="W68" s="8">
        <v>8407</v>
      </c>
      <c r="X68" s="8">
        <v>1533</v>
      </c>
      <c r="Y68" s="8">
        <v>344</v>
      </c>
      <c r="Z68" s="8">
        <v>441</v>
      </c>
      <c r="AA68" s="8">
        <v>411</v>
      </c>
      <c r="AB68" s="8">
        <v>582</v>
      </c>
      <c r="AC68" s="8">
        <v>329</v>
      </c>
      <c r="AD68" s="8">
        <v>732</v>
      </c>
      <c r="AE68" s="8">
        <v>867</v>
      </c>
      <c r="AF68" s="8">
        <v>666</v>
      </c>
      <c r="AG68" s="8">
        <v>838</v>
      </c>
      <c r="AH68" s="8">
        <v>645</v>
      </c>
      <c r="AI68" s="8">
        <v>177</v>
      </c>
      <c r="AL68" s="8">
        <v>111</v>
      </c>
      <c r="AM68" s="8">
        <v>119</v>
      </c>
      <c r="AN68" s="8">
        <v>12494</v>
      </c>
      <c r="AO68" s="8">
        <v>1815</v>
      </c>
      <c r="AP68" s="8">
        <v>10679</v>
      </c>
      <c r="AQ68" s="8">
        <v>1704</v>
      </c>
      <c r="AR68" s="8">
        <v>488</v>
      </c>
      <c r="AS68" s="8">
        <v>476</v>
      </c>
      <c r="AT68" s="8">
        <v>540</v>
      </c>
      <c r="AU68" s="8">
        <v>741</v>
      </c>
      <c r="AV68" s="8">
        <v>503</v>
      </c>
      <c r="AW68" s="8">
        <v>1002</v>
      </c>
      <c r="AX68" s="8">
        <v>940</v>
      </c>
      <c r="AY68" s="8">
        <v>851</v>
      </c>
      <c r="AZ68" s="8">
        <v>1311</v>
      </c>
      <c r="BA68" s="8">
        <v>679</v>
      </c>
      <c r="BB68" s="8">
        <v>196</v>
      </c>
      <c r="BE68" s="8">
        <v>170</v>
      </c>
      <c r="BF68" s="8">
        <v>122</v>
      </c>
    </row>
    <row r="69" spans="1:58" x14ac:dyDescent="0.2">
      <c r="A69" s="9">
        <v>37226</v>
      </c>
      <c r="B69" s="8">
        <v>3589</v>
      </c>
      <c r="C69" s="8">
        <v>903</v>
      </c>
      <c r="D69" s="8">
        <v>2687</v>
      </c>
      <c r="E69" s="8">
        <v>176</v>
      </c>
      <c r="F69" s="8">
        <v>206</v>
      </c>
      <c r="G69" s="8">
        <v>41</v>
      </c>
      <c r="H69" s="8">
        <v>110</v>
      </c>
      <c r="I69" s="8">
        <v>181</v>
      </c>
      <c r="J69" s="8">
        <v>223</v>
      </c>
      <c r="K69" s="8">
        <v>323</v>
      </c>
      <c r="L69" s="8">
        <v>128</v>
      </c>
      <c r="M69" s="8">
        <v>164</v>
      </c>
      <c r="N69" s="8">
        <v>590</v>
      </c>
      <c r="O69" s="8">
        <v>40</v>
      </c>
      <c r="P69" s="8">
        <v>23</v>
      </c>
      <c r="S69" s="8">
        <v>65</v>
      </c>
      <c r="T69" s="8">
        <v>7</v>
      </c>
      <c r="U69" s="8">
        <v>10452</v>
      </c>
      <c r="V69" s="8">
        <v>1080</v>
      </c>
      <c r="W69" s="8">
        <v>9372</v>
      </c>
      <c r="X69" s="8">
        <v>2143</v>
      </c>
      <c r="Y69" s="8">
        <v>529</v>
      </c>
      <c r="Z69" s="8">
        <v>462</v>
      </c>
      <c r="AA69" s="8">
        <v>446</v>
      </c>
      <c r="AB69" s="8">
        <v>614</v>
      </c>
      <c r="AC69" s="8">
        <v>330</v>
      </c>
      <c r="AD69" s="8">
        <v>808</v>
      </c>
      <c r="AE69" s="8">
        <v>913</v>
      </c>
      <c r="AF69" s="8">
        <v>553</v>
      </c>
      <c r="AG69" s="8">
        <v>729</v>
      </c>
      <c r="AH69" s="8">
        <v>712</v>
      </c>
      <c r="AI69" s="8">
        <v>199</v>
      </c>
      <c r="AL69" s="8">
        <v>165</v>
      </c>
      <c r="AM69" s="8">
        <v>124</v>
      </c>
      <c r="AN69" s="8">
        <v>14042</v>
      </c>
      <c r="AO69" s="8">
        <v>1983</v>
      </c>
      <c r="AP69" s="8">
        <v>12059</v>
      </c>
      <c r="AQ69" s="8">
        <v>2319</v>
      </c>
      <c r="AR69" s="8">
        <v>735</v>
      </c>
      <c r="AS69" s="8">
        <v>504</v>
      </c>
      <c r="AT69" s="8">
        <v>556</v>
      </c>
      <c r="AU69" s="8">
        <v>795</v>
      </c>
      <c r="AV69" s="8">
        <v>553</v>
      </c>
      <c r="AW69" s="8">
        <v>1132</v>
      </c>
      <c r="AX69" s="8">
        <v>1041</v>
      </c>
      <c r="AY69" s="8">
        <v>717</v>
      </c>
      <c r="AZ69" s="8">
        <v>1319</v>
      </c>
      <c r="BA69" s="8">
        <v>753</v>
      </c>
      <c r="BB69" s="8">
        <v>222</v>
      </c>
      <c r="BE69" s="8">
        <v>230</v>
      </c>
      <c r="BF69" s="8">
        <v>131</v>
      </c>
    </row>
    <row r="70" spans="1:58" x14ac:dyDescent="0.2">
      <c r="A70" s="9">
        <v>37316</v>
      </c>
      <c r="B70" s="8">
        <v>2865</v>
      </c>
      <c r="C70" s="8">
        <v>836</v>
      </c>
      <c r="D70" s="8">
        <v>2028</v>
      </c>
      <c r="E70" s="8">
        <v>195</v>
      </c>
      <c r="F70" s="8">
        <v>228</v>
      </c>
      <c r="G70" s="8">
        <v>46</v>
      </c>
      <c r="H70" s="8">
        <v>42</v>
      </c>
      <c r="I70" s="8">
        <v>131</v>
      </c>
      <c r="J70" s="8">
        <v>146</v>
      </c>
      <c r="K70" s="8">
        <v>245</v>
      </c>
      <c r="L70" s="8">
        <v>61</v>
      </c>
      <c r="M70" s="8">
        <v>128</v>
      </c>
      <c r="N70" s="8">
        <v>410</v>
      </c>
      <c r="O70" s="8">
        <v>35</v>
      </c>
      <c r="P70" s="8">
        <v>20</v>
      </c>
      <c r="S70" s="8">
        <v>39</v>
      </c>
      <c r="T70" s="8">
        <v>3</v>
      </c>
      <c r="U70" s="8">
        <v>9206</v>
      </c>
      <c r="V70" s="8">
        <v>860</v>
      </c>
      <c r="W70" s="8">
        <v>8346</v>
      </c>
      <c r="X70" s="8">
        <v>1873</v>
      </c>
      <c r="Y70" s="8">
        <v>300</v>
      </c>
      <c r="Z70" s="8">
        <v>479</v>
      </c>
      <c r="AA70" s="8">
        <v>393</v>
      </c>
      <c r="AB70" s="8">
        <v>458</v>
      </c>
      <c r="AC70" s="8">
        <v>276</v>
      </c>
      <c r="AD70" s="8">
        <v>1257</v>
      </c>
      <c r="AE70" s="8">
        <v>626</v>
      </c>
      <c r="AF70" s="8">
        <v>468</v>
      </c>
      <c r="AG70" s="8">
        <v>641</v>
      </c>
      <c r="AH70" s="8">
        <v>592</v>
      </c>
      <c r="AI70" s="8">
        <v>163</v>
      </c>
      <c r="AL70" s="8">
        <v>122</v>
      </c>
      <c r="AM70" s="8">
        <v>123</v>
      </c>
      <c r="AN70" s="8">
        <v>12071</v>
      </c>
      <c r="AO70" s="8">
        <v>1697</v>
      </c>
      <c r="AP70" s="8">
        <v>10374</v>
      </c>
      <c r="AQ70" s="8">
        <v>2068</v>
      </c>
      <c r="AR70" s="8">
        <v>528</v>
      </c>
      <c r="AS70" s="8">
        <v>525</v>
      </c>
      <c r="AT70" s="8">
        <v>435</v>
      </c>
      <c r="AU70" s="8">
        <v>589</v>
      </c>
      <c r="AV70" s="8">
        <v>422</v>
      </c>
      <c r="AW70" s="8">
        <v>1502</v>
      </c>
      <c r="AX70" s="8">
        <v>687</v>
      </c>
      <c r="AY70" s="8">
        <v>596</v>
      </c>
      <c r="AZ70" s="8">
        <v>1051</v>
      </c>
      <c r="BA70" s="8">
        <v>626</v>
      </c>
      <c r="BB70" s="8">
        <v>183</v>
      </c>
      <c r="BE70" s="8">
        <v>160</v>
      </c>
      <c r="BF70" s="8">
        <v>127</v>
      </c>
    </row>
    <row r="71" spans="1:58" x14ac:dyDescent="0.2">
      <c r="A71" s="9">
        <v>37408</v>
      </c>
      <c r="B71" s="8">
        <v>3458</v>
      </c>
      <c r="C71" s="8">
        <v>961</v>
      </c>
      <c r="D71" s="8">
        <v>2497</v>
      </c>
      <c r="E71" s="8">
        <v>251</v>
      </c>
      <c r="F71" s="8">
        <v>270</v>
      </c>
      <c r="G71" s="8">
        <v>50</v>
      </c>
      <c r="H71" s="8">
        <v>65</v>
      </c>
      <c r="I71" s="8">
        <v>119</v>
      </c>
      <c r="J71" s="8">
        <v>142</v>
      </c>
      <c r="K71" s="8">
        <v>335</v>
      </c>
      <c r="L71" s="8">
        <v>47</v>
      </c>
      <c r="M71" s="8">
        <v>154</v>
      </c>
      <c r="N71" s="8">
        <v>558</v>
      </c>
      <c r="O71" s="8">
        <v>56</v>
      </c>
      <c r="P71" s="8">
        <v>33</v>
      </c>
      <c r="S71" s="8">
        <v>46</v>
      </c>
      <c r="T71" s="8">
        <v>5</v>
      </c>
      <c r="U71" s="8">
        <v>10889</v>
      </c>
      <c r="V71" s="8">
        <v>1140</v>
      </c>
      <c r="W71" s="8">
        <v>9748</v>
      </c>
      <c r="X71" s="8">
        <v>2117</v>
      </c>
      <c r="Y71" s="8">
        <v>343</v>
      </c>
      <c r="Z71" s="8">
        <v>567</v>
      </c>
      <c r="AA71" s="8">
        <v>549</v>
      </c>
      <c r="AB71" s="8">
        <v>543</v>
      </c>
      <c r="AC71" s="8">
        <v>316</v>
      </c>
      <c r="AD71" s="8">
        <v>1368</v>
      </c>
      <c r="AE71" s="8">
        <v>634</v>
      </c>
      <c r="AF71" s="8">
        <v>613</v>
      </c>
      <c r="AG71" s="8">
        <v>770</v>
      </c>
      <c r="AH71" s="8">
        <v>711</v>
      </c>
      <c r="AI71" s="8">
        <v>202</v>
      </c>
      <c r="AL71" s="8">
        <v>169</v>
      </c>
      <c r="AM71" s="8">
        <v>168</v>
      </c>
      <c r="AN71" s="8">
        <v>14347</v>
      </c>
      <c r="AO71" s="8">
        <v>2101</v>
      </c>
      <c r="AP71" s="8">
        <v>12246</v>
      </c>
      <c r="AQ71" s="8">
        <v>2367</v>
      </c>
      <c r="AR71" s="8">
        <v>613</v>
      </c>
      <c r="AS71" s="8">
        <v>617</v>
      </c>
      <c r="AT71" s="8">
        <v>614</v>
      </c>
      <c r="AU71" s="8">
        <v>662</v>
      </c>
      <c r="AV71" s="8">
        <v>458</v>
      </c>
      <c r="AW71" s="8">
        <v>1703</v>
      </c>
      <c r="AX71" s="8">
        <v>681</v>
      </c>
      <c r="AY71" s="8">
        <v>767</v>
      </c>
      <c r="AZ71" s="8">
        <v>1328</v>
      </c>
      <c r="BA71" s="8">
        <v>767</v>
      </c>
      <c r="BB71" s="8">
        <v>235</v>
      </c>
      <c r="BE71" s="8">
        <v>214</v>
      </c>
      <c r="BF71" s="8">
        <v>173</v>
      </c>
    </row>
    <row r="72" spans="1:58" x14ac:dyDescent="0.2">
      <c r="A72" s="9">
        <v>37500</v>
      </c>
      <c r="B72" s="8">
        <v>3619</v>
      </c>
      <c r="C72" s="8">
        <v>1042</v>
      </c>
      <c r="D72" s="8">
        <v>2577</v>
      </c>
      <c r="E72" s="8">
        <v>361</v>
      </c>
      <c r="F72" s="8">
        <v>190</v>
      </c>
      <c r="G72" s="8">
        <v>22</v>
      </c>
      <c r="H72" s="8">
        <v>77</v>
      </c>
      <c r="I72" s="8">
        <v>189</v>
      </c>
      <c r="J72" s="8">
        <v>229</v>
      </c>
      <c r="K72" s="8">
        <v>398</v>
      </c>
      <c r="L72" s="8">
        <v>41</v>
      </c>
      <c r="M72" s="8">
        <v>112</v>
      </c>
      <c r="N72" s="8">
        <v>455</v>
      </c>
      <c r="O72" s="8">
        <v>60</v>
      </c>
      <c r="P72" s="8">
        <v>36</v>
      </c>
      <c r="S72" s="8">
        <v>28</v>
      </c>
      <c r="T72" s="8">
        <v>15</v>
      </c>
      <c r="U72" s="8">
        <v>10350</v>
      </c>
      <c r="V72" s="8">
        <v>1033</v>
      </c>
      <c r="W72" s="8">
        <v>9317</v>
      </c>
      <c r="X72" s="8">
        <v>1913</v>
      </c>
      <c r="Y72" s="8">
        <v>273</v>
      </c>
      <c r="Z72" s="8">
        <v>666</v>
      </c>
      <c r="AA72" s="8">
        <v>468</v>
      </c>
      <c r="AB72" s="8">
        <v>644</v>
      </c>
      <c r="AC72" s="8">
        <v>376</v>
      </c>
      <c r="AD72" s="8">
        <v>1056</v>
      </c>
      <c r="AE72" s="8">
        <v>521</v>
      </c>
      <c r="AF72" s="8">
        <v>610</v>
      </c>
      <c r="AG72" s="8">
        <v>1054</v>
      </c>
      <c r="AH72" s="8">
        <v>640</v>
      </c>
      <c r="AI72" s="8">
        <v>184</v>
      </c>
      <c r="AL72" s="8">
        <v>113</v>
      </c>
      <c r="AM72" s="8">
        <v>140</v>
      </c>
      <c r="AN72" s="8">
        <v>13969</v>
      </c>
      <c r="AO72" s="8">
        <v>2075</v>
      </c>
      <c r="AP72" s="8">
        <v>11894</v>
      </c>
      <c r="AQ72" s="8">
        <v>2274</v>
      </c>
      <c r="AR72" s="8">
        <v>463</v>
      </c>
      <c r="AS72" s="8">
        <v>689</v>
      </c>
      <c r="AT72" s="8">
        <v>545</v>
      </c>
      <c r="AU72" s="8">
        <v>833</v>
      </c>
      <c r="AV72" s="8">
        <v>605</v>
      </c>
      <c r="AW72" s="8">
        <v>1455</v>
      </c>
      <c r="AX72" s="8">
        <v>562</v>
      </c>
      <c r="AY72" s="8">
        <v>722</v>
      </c>
      <c r="AZ72" s="8">
        <v>1509</v>
      </c>
      <c r="BA72" s="8">
        <v>701</v>
      </c>
      <c r="BB72" s="8">
        <v>220</v>
      </c>
      <c r="BE72" s="8">
        <v>141</v>
      </c>
      <c r="BF72" s="8">
        <v>155</v>
      </c>
    </row>
    <row r="73" spans="1:58" x14ac:dyDescent="0.2">
      <c r="A73" s="9">
        <v>37591</v>
      </c>
      <c r="B73" s="8">
        <v>4242</v>
      </c>
      <c r="C73" s="8">
        <v>1336</v>
      </c>
      <c r="D73" s="8">
        <v>2906</v>
      </c>
      <c r="E73" s="8">
        <v>455</v>
      </c>
      <c r="F73" s="8">
        <v>166</v>
      </c>
      <c r="G73" s="8">
        <v>22</v>
      </c>
      <c r="H73" s="8">
        <v>94</v>
      </c>
      <c r="I73" s="8">
        <v>196</v>
      </c>
      <c r="J73" s="8">
        <v>199</v>
      </c>
      <c r="K73" s="8">
        <v>431</v>
      </c>
      <c r="L73" s="8">
        <v>44</v>
      </c>
      <c r="M73" s="8">
        <v>169</v>
      </c>
      <c r="N73" s="8">
        <v>559</v>
      </c>
      <c r="O73" s="8">
        <v>45</v>
      </c>
      <c r="P73" s="8">
        <v>27</v>
      </c>
      <c r="S73" s="8">
        <v>66</v>
      </c>
      <c r="T73" s="8">
        <v>30</v>
      </c>
      <c r="U73" s="8">
        <v>12686</v>
      </c>
      <c r="V73" s="8">
        <v>1178</v>
      </c>
      <c r="W73" s="8">
        <v>11508</v>
      </c>
      <c r="X73" s="8">
        <v>2256</v>
      </c>
      <c r="Y73" s="8">
        <v>371</v>
      </c>
      <c r="Z73" s="8">
        <v>513</v>
      </c>
      <c r="AA73" s="8">
        <v>515</v>
      </c>
      <c r="AB73" s="8">
        <v>620</v>
      </c>
      <c r="AC73" s="8">
        <v>382</v>
      </c>
      <c r="AD73" s="8">
        <v>2426</v>
      </c>
      <c r="AE73" s="8">
        <v>834</v>
      </c>
      <c r="AF73" s="8">
        <v>675</v>
      </c>
      <c r="AG73" s="8">
        <v>1081</v>
      </c>
      <c r="AH73" s="8">
        <v>526</v>
      </c>
      <c r="AI73" s="8">
        <v>170</v>
      </c>
      <c r="AL73" s="8">
        <v>167</v>
      </c>
      <c r="AM73" s="8">
        <v>148</v>
      </c>
      <c r="AN73" s="8">
        <v>16928</v>
      </c>
      <c r="AO73" s="8">
        <v>2514</v>
      </c>
      <c r="AP73" s="8">
        <v>14413</v>
      </c>
      <c r="AQ73" s="8">
        <v>2712</v>
      </c>
      <c r="AR73" s="8">
        <v>536</v>
      </c>
      <c r="AS73" s="8">
        <v>535</v>
      </c>
      <c r="AT73" s="8">
        <v>610</v>
      </c>
      <c r="AU73" s="8">
        <v>816</v>
      </c>
      <c r="AV73" s="8">
        <v>581</v>
      </c>
      <c r="AW73" s="8">
        <v>2857</v>
      </c>
      <c r="AX73" s="8">
        <v>878</v>
      </c>
      <c r="AY73" s="8">
        <v>844</v>
      </c>
      <c r="AZ73" s="8">
        <v>1640</v>
      </c>
      <c r="BA73" s="8">
        <v>572</v>
      </c>
      <c r="BB73" s="8">
        <v>197</v>
      </c>
      <c r="BE73" s="8">
        <v>234</v>
      </c>
      <c r="BF73" s="8">
        <v>178</v>
      </c>
    </row>
    <row r="74" spans="1:58" x14ac:dyDescent="0.2">
      <c r="A74" s="9">
        <v>37681</v>
      </c>
      <c r="B74" s="8">
        <v>3545</v>
      </c>
      <c r="C74" s="8">
        <v>1049</v>
      </c>
      <c r="D74" s="8">
        <v>2497</v>
      </c>
      <c r="E74" s="8">
        <v>440</v>
      </c>
      <c r="F74" s="8">
        <v>140</v>
      </c>
      <c r="G74" s="8">
        <v>14</v>
      </c>
      <c r="H74" s="8">
        <v>60</v>
      </c>
      <c r="I74" s="8">
        <v>115</v>
      </c>
      <c r="J74" s="8">
        <v>135</v>
      </c>
      <c r="K74" s="8">
        <v>442</v>
      </c>
      <c r="L74" s="8">
        <v>43</v>
      </c>
      <c r="M74" s="8">
        <v>125</v>
      </c>
      <c r="N74" s="8">
        <v>535</v>
      </c>
      <c r="O74" s="8">
        <v>25</v>
      </c>
      <c r="P74" s="8">
        <v>15</v>
      </c>
      <c r="S74" s="8">
        <v>53</v>
      </c>
      <c r="T74" s="8">
        <v>19</v>
      </c>
      <c r="U74" s="8">
        <v>10444</v>
      </c>
      <c r="V74" s="8">
        <v>1011</v>
      </c>
      <c r="W74" s="8">
        <v>9433</v>
      </c>
      <c r="X74" s="8">
        <v>2060</v>
      </c>
      <c r="Y74" s="8">
        <v>280</v>
      </c>
      <c r="Z74" s="8">
        <v>603</v>
      </c>
      <c r="AA74" s="8">
        <v>384</v>
      </c>
      <c r="AB74" s="8">
        <v>508</v>
      </c>
      <c r="AC74" s="8">
        <v>266</v>
      </c>
      <c r="AD74" s="8">
        <v>1238</v>
      </c>
      <c r="AE74" s="8">
        <v>830</v>
      </c>
      <c r="AF74" s="8">
        <v>627</v>
      </c>
      <c r="AG74" s="8">
        <v>1093</v>
      </c>
      <c r="AH74" s="8">
        <v>517</v>
      </c>
      <c r="AI74" s="8">
        <v>145</v>
      </c>
      <c r="AL74" s="8">
        <v>119</v>
      </c>
      <c r="AM74" s="8">
        <v>106</v>
      </c>
      <c r="AN74" s="8">
        <v>13989</v>
      </c>
      <c r="AO74" s="8">
        <v>2059</v>
      </c>
      <c r="AP74" s="8">
        <v>11930</v>
      </c>
      <c r="AQ74" s="8">
        <v>2500</v>
      </c>
      <c r="AR74" s="8">
        <v>420</v>
      </c>
      <c r="AS74" s="8">
        <v>617</v>
      </c>
      <c r="AT74" s="8">
        <v>445</v>
      </c>
      <c r="AU74" s="8">
        <v>623</v>
      </c>
      <c r="AV74" s="8">
        <v>401</v>
      </c>
      <c r="AW74" s="8">
        <v>1679</v>
      </c>
      <c r="AX74" s="8">
        <v>873</v>
      </c>
      <c r="AY74" s="8">
        <v>752</v>
      </c>
      <c r="AZ74" s="8">
        <v>1628</v>
      </c>
      <c r="BA74" s="8">
        <v>542</v>
      </c>
      <c r="BB74" s="8">
        <v>160</v>
      </c>
      <c r="BE74" s="8">
        <v>171</v>
      </c>
      <c r="BF74" s="8">
        <v>125</v>
      </c>
    </row>
    <row r="75" spans="1:58" x14ac:dyDescent="0.2">
      <c r="A75" s="9">
        <v>37773</v>
      </c>
      <c r="B75" s="8">
        <v>4416</v>
      </c>
      <c r="C75" s="8">
        <v>1261</v>
      </c>
      <c r="D75" s="8">
        <v>3155</v>
      </c>
      <c r="E75" s="8">
        <v>524</v>
      </c>
      <c r="F75" s="8">
        <v>178</v>
      </c>
      <c r="G75" s="8">
        <v>19</v>
      </c>
      <c r="H75" s="8">
        <v>108</v>
      </c>
      <c r="I75" s="8">
        <v>180</v>
      </c>
      <c r="J75" s="8">
        <v>187</v>
      </c>
      <c r="K75" s="8">
        <v>449</v>
      </c>
      <c r="L75" s="8">
        <v>138</v>
      </c>
      <c r="M75" s="8">
        <v>191</v>
      </c>
      <c r="N75" s="8">
        <v>634</v>
      </c>
      <c r="O75" s="8">
        <v>27</v>
      </c>
      <c r="P75" s="8">
        <v>17</v>
      </c>
      <c r="S75" s="8">
        <v>56</v>
      </c>
      <c r="T75" s="8">
        <v>18</v>
      </c>
      <c r="U75" s="8">
        <v>11494</v>
      </c>
      <c r="V75" s="8">
        <v>1305</v>
      </c>
      <c r="W75" s="8">
        <v>10189</v>
      </c>
      <c r="X75" s="8">
        <v>2539</v>
      </c>
      <c r="Y75" s="8">
        <v>288</v>
      </c>
      <c r="Z75" s="8">
        <v>599</v>
      </c>
      <c r="AA75" s="8">
        <v>500</v>
      </c>
      <c r="AB75" s="8">
        <v>610</v>
      </c>
      <c r="AC75" s="8">
        <v>410</v>
      </c>
      <c r="AD75" s="8">
        <v>1405</v>
      </c>
      <c r="AE75" s="8">
        <v>417</v>
      </c>
      <c r="AF75" s="8">
        <v>536</v>
      </c>
      <c r="AG75" s="8">
        <v>1192</v>
      </c>
      <c r="AH75" s="8">
        <v>587</v>
      </c>
      <c r="AI75" s="8">
        <v>170</v>
      </c>
      <c r="AL75" s="8">
        <v>116</v>
      </c>
      <c r="AM75" s="8">
        <v>138</v>
      </c>
      <c r="AN75" s="8">
        <v>15911</v>
      </c>
      <c r="AO75" s="8">
        <v>2567</v>
      </c>
      <c r="AP75" s="8">
        <v>13344</v>
      </c>
      <c r="AQ75" s="8">
        <v>3063</v>
      </c>
      <c r="AR75" s="8">
        <v>466</v>
      </c>
      <c r="AS75" s="8">
        <v>618</v>
      </c>
      <c r="AT75" s="8">
        <v>608</v>
      </c>
      <c r="AU75" s="8">
        <v>790</v>
      </c>
      <c r="AV75" s="8">
        <v>597</v>
      </c>
      <c r="AW75" s="8">
        <v>1854</v>
      </c>
      <c r="AX75" s="8">
        <v>555</v>
      </c>
      <c r="AY75" s="8">
        <v>728</v>
      </c>
      <c r="AZ75" s="8">
        <v>1827</v>
      </c>
      <c r="BA75" s="8">
        <v>614</v>
      </c>
      <c r="BB75" s="8">
        <v>187</v>
      </c>
      <c r="BE75" s="8">
        <v>172</v>
      </c>
      <c r="BF75" s="8">
        <v>156</v>
      </c>
    </row>
    <row r="76" spans="1:58" x14ac:dyDescent="0.2">
      <c r="A76" s="9">
        <v>37865</v>
      </c>
      <c r="B76" s="8">
        <v>4494</v>
      </c>
      <c r="C76" s="8">
        <v>1160</v>
      </c>
      <c r="D76" s="8">
        <v>3334</v>
      </c>
      <c r="E76" s="8">
        <v>556</v>
      </c>
      <c r="F76" s="8">
        <v>194</v>
      </c>
      <c r="G76" s="8">
        <v>14</v>
      </c>
      <c r="H76" s="8">
        <v>72</v>
      </c>
      <c r="I76" s="8">
        <v>187</v>
      </c>
      <c r="J76" s="8">
        <v>153</v>
      </c>
      <c r="K76" s="8">
        <v>511</v>
      </c>
      <c r="L76" s="8">
        <v>170</v>
      </c>
      <c r="M76" s="8">
        <v>223</v>
      </c>
      <c r="N76" s="8">
        <v>640</v>
      </c>
      <c r="O76" s="8">
        <v>20</v>
      </c>
      <c r="P76" s="8">
        <v>13</v>
      </c>
      <c r="S76" s="8">
        <v>119</v>
      </c>
      <c r="T76" s="8">
        <v>9</v>
      </c>
      <c r="U76" s="8">
        <v>10868</v>
      </c>
      <c r="V76" s="8">
        <v>1304</v>
      </c>
      <c r="W76" s="8">
        <v>9564</v>
      </c>
      <c r="X76" s="8">
        <v>2081</v>
      </c>
      <c r="Y76" s="8">
        <v>306</v>
      </c>
      <c r="Z76" s="8">
        <v>414</v>
      </c>
      <c r="AA76" s="8">
        <v>453</v>
      </c>
      <c r="AB76" s="8">
        <v>624</v>
      </c>
      <c r="AC76" s="8">
        <v>357</v>
      </c>
      <c r="AD76" s="8">
        <v>1618</v>
      </c>
      <c r="AE76" s="8">
        <v>317</v>
      </c>
      <c r="AF76" s="8">
        <v>583</v>
      </c>
      <c r="AG76" s="8">
        <v>1212</v>
      </c>
      <c r="AH76" s="8">
        <v>540</v>
      </c>
      <c r="AI76" s="8">
        <v>157</v>
      </c>
      <c r="AL76" s="8">
        <v>87</v>
      </c>
      <c r="AM76" s="8">
        <v>148</v>
      </c>
      <c r="AN76" s="8">
        <v>15363</v>
      </c>
      <c r="AO76" s="8">
        <v>2464</v>
      </c>
      <c r="AP76" s="8">
        <v>12898</v>
      </c>
      <c r="AQ76" s="8">
        <v>2637</v>
      </c>
      <c r="AR76" s="8">
        <v>500</v>
      </c>
      <c r="AS76" s="8">
        <v>428</v>
      </c>
      <c r="AT76" s="8">
        <v>526</v>
      </c>
      <c r="AU76" s="8">
        <v>811</v>
      </c>
      <c r="AV76" s="8">
        <v>510</v>
      </c>
      <c r="AW76" s="8">
        <v>2129</v>
      </c>
      <c r="AX76" s="8">
        <v>487</v>
      </c>
      <c r="AY76" s="8">
        <v>806</v>
      </c>
      <c r="AZ76" s="8">
        <v>1852</v>
      </c>
      <c r="BA76" s="8">
        <v>560</v>
      </c>
      <c r="BB76" s="8">
        <v>169</v>
      </c>
      <c r="BE76" s="8">
        <v>206</v>
      </c>
      <c r="BF76" s="8">
        <v>157</v>
      </c>
    </row>
    <row r="77" spans="1:58" x14ac:dyDescent="0.2">
      <c r="A77" s="9">
        <v>37956</v>
      </c>
      <c r="B77" s="8">
        <v>5104</v>
      </c>
      <c r="C77" s="8">
        <v>1500</v>
      </c>
      <c r="D77" s="8">
        <v>3604</v>
      </c>
      <c r="E77" s="8">
        <v>572</v>
      </c>
      <c r="F77" s="8">
        <v>226</v>
      </c>
      <c r="G77" s="8">
        <v>12</v>
      </c>
      <c r="H77" s="8">
        <v>85</v>
      </c>
      <c r="I77" s="8">
        <v>207</v>
      </c>
      <c r="J77" s="8">
        <v>189</v>
      </c>
      <c r="K77" s="8">
        <v>566</v>
      </c>
      <c r="L77" s="8">
        <v>210</v>
      </c>
      <c r="M77" s="8">
        <v>155</v>
      </c>
      <c r="N77" s="8">
        <v>741</v>
      </c>
      <c r="O77" s="8">
        <v>24</v>
      </c>
      <c r="P77" s="8">
        <v>15</v>
      </c>
      <c r="S77" s="8">
        <v>98</v>
      </c>
      <c r="T77" s="8">
        <v>9</v>
      </c>
      <c r="U77" s="8">
        <v>11614</v>
      </c>
      <c r="V77" s="8">
        <v>1366</v>
      </c>
      <c r="W77" s="8">
        <v>10247</v>
      </c>
      <c r="X77" s="8">
        <v>2240</v>
      </c>
      <c r="Y77" s="8">
        <v>398</v>
      </c>
      <c r="Z77" s="8">
        <v>526</v>
      </c>
      <c r="AA77" s="8">
        <v>502</v>
      </c>
      <c r="AB77" s="8">
        <v>664</v>
      </c>
      <c r="AC77" s="8">
        <v>418</v>
      </c>
      <c r="AD77" s="8">
        <v>1389</v>
      </c>
      <c r="AE77" s="8">
        <v>398</v>
      </c>
      <c r="AF77" s="8">
        <v>648</v>
      </c>
      <c r="AG77" s="8">
        <v>1487</v>
      </c>
      <c r="AH77" s="8">
        <v>470</v>
      </c>
      <c r="AI77" s="8">
        <v>141</v>
      </c>
      <c r="AL77" s="8">
        <v>105</v>
      </c>
      <c r="AM77" s="8">
        <v>148</v>
      </c>
      <c r="AN77" s="8">
        <v>16717</v>
      </c>
      <c r="AO77" s="8">
        <v>2866</v>
      </c>
      <c r="AP77" s="8">
        <v>13851</v>
      </c>
      <c r="AQ77" s="8">
        <v>2812</v>
      </c>
      <c r="AR77" s="8">
        <v>624</v>
      </c>
      <c r="AS77" s="8">
        <v>538</v>
      </c>
      <c r="AT77" s="8">
        <v>587</v>
      </c>
      <c r="AU77" s="8">
        <v>871</v>
      </c>
      <c r="AV77" s="8">
        <v>607</v>
      </c>
      <c r="AW77" s="8">
        <v>1955</v>
      </c>
      <c r="AX77" s="8">
        <v>608</v>
      </c>
      <c r="AY77" s="8">
        <v>803</v>
      </c>
      <c r="AZ77" s="8">
        <v>2228</v>
      </c>
      <c r="BA77" s="8">
        <v>494</v>
      </c>
      <c r="BB77" s="8">
        <v>155</v>
      </c>
      <c r="BE77" s="8">
        <v>203</v>
      </c>
      <c r="BF77" s="8">
        <v>157</v>
      </c>
    </row>
    <row r="78" spans="1:58" x14ac:dyDescent="0.2">
      <c r="A78" s="9">
        <v>38047</v>
      </c>
      <c r="B78" s="8">
        <v>4124</v>
      </c>
      <c r="C78" s="8">
        <v>1117</v>
      </c>
      <c r="D78" s="8">
        <v>3007</v>
      </c>
      <c r="E78" s="8">
        <v>462</v>
      </c>
      <c r="F78" s="8">
        <v>284</v>
      </c>
      <c r="G78" s="8">
        <v>12</v>
      </c>
      <c r="H78" s="8">
        <v>87</v>
      </c>
      <c r="I78" s="8">
        <v>160</v>
      </c>
      <c r="J78" s="8">
        <v>96</v>
      </c>
      <c r="K78" s="8">
        <v>552</v>
      </c>
      <c r="L78" s="8">
        <v>225</v>
      </c>
      <c r="M78" s="8">
        <v>133</v>
      </c>
      <c r="N78" s="8">
        <v>457</v>
      </c>
      <c r="O78" s="8">
        <v>33</v>
      </c>
      <c r="P78" s="8">
        <v>22</v>
      </c>
      <c r="S78" s="8">
        <v>63</v>
      </c>
      <c r="T78" s="8">
        <v>6</v>
      </c>
      <c r="U78" s="8">
        <v>9314</v>
      </c>
      <c r="V78" s="8">
        <v>981</v>
      </c>
      <c r="W78" s="8">
        <v>8332</v>
      </c>
      <c r="X78" s="8">
        <v>1697</v>
      </c>
      <c r="Y78" s="8">
        <v>198</v>
      </c>
      <c r="Z78" s="8">
        <v>591</v>
      </c>
      <c r="AA78" s="8">
        <v>431</v>
      </c>
      <c r="AB78" s="8">
        <v>556</v>
      </c>
      <c r="AC78" s="8">
        <v>362</v>
      </c>
      <c r="AD78" s="8">
        <v>936</v>
      </c>
      <c r="AE78" s="8">
        <v>450</v>
      </c>
      <c r="AF78" s="8">
        <v>527</v>
      </c>
      <c r="AG78" s="8">
        <v>1167</v>
      </c>
      <c r="AH78" s="8">
        <v>422</v>
      </c>
      <c r="AI78" s="8">
        <v>131</v>
      </c>
      <c r="AL78" s="8">
        <v>118</v>
      </c>
      <c r="AM78" s="8">
        <v>158</v>
      </c>
      <c r="AN78" s="8">
        <v>13438</v>
      </c>
      <c r="AO78" s="8">
        <v>2098</v>
      </c>
      <c r="AP78" s="8">
        <v>11340</v>
      </c>
      <c r="AQ78" s="8">
        <v>2159</v>
      </c>
      <c r="AR78" s="8">
        <v>482</v>
      </c>
      <c r="AS78" s="8">
        <v>603</v>
      </c>
      <c r="AT78" s="8">
        <v>518</v>
      </c>
      <c r="AU78" s="8">
        <v>716</v>
      </c>
      <c r="AV78" s="8">
        <v>458</v>
      </c>
      <c r="AW78" s="8">
        <v>1488</v>
      </c>
      <c r="AX78" s="8">
        <v>674</v>
      </c>
      <c r="AY78" s="8">
        <v>660</v>
      </c>
      <c r="AZ78" s="8">
        <v>1623</v>
      </c>
      <c r="BA78" s="8">
        <v>454</v>
      </c>
      <c r="BB78" s="8">
        <v>153</v>
      </c>
      <c r="BE78" s="8">
        <v>181</v>
      </c>
      <c r="BF78" s="8">
        <v>164</v>
      </c>
    </row>
    <row r="79" spans="1:58" x14ac:dyDescent="0.2">
      <c r="A79" s="9">
        <v>38139</v>
      </c>
      <c r="B79" s="8">
        <v>5490</v>
      </c>
      <c r="C79" s="8">
        <v>1307</v>
      </c>
      <c r="D79" s="8">
        <v>4182</v>
      </c>
      <c r="E79" s="8">
        <v>739</v>
      </c>
      <c r="F79" s="8">
        <v>362</v>
      </c>
      <c r="G79" s="8">
        <v>30</v>
      </c>
      <c r="H79" s="8">
        <v>95</v>
      </c>
      <c r="I79" s="8">
        <v>231</v>
      </c>
      <c r="J79" s="8">
        <v>135</v>
      </c>
      <c r="K79" s="8">
        <v>706</v>
      </c>
      <c r="L79" s="8">
        <v>229</v>
      </c>
      <c r="M79" s="8">
        <v>194</v>
      </c>
      <c r="N79" s="8">
        <v>803</v>
      </c>
      <c r="O79" s="8">
        <v>17</v>
      </c>
      <c r="P79" s="8">
        <v>11</v>
      </c>
      <c r="S79" s="8">
        <v>58</v>
      </c>
      <c r="T79" s="8">
        <v>9</v>
      </c>
      <c r="U79" s="8">
        <v>10934</v>
      </c>
      <c r="V79" s="8">
        <v>1060</v>
      </c>
      <c r="W79" s="8">
        <v>9874</v>
      </c>
      <c r="X79" s="8">
        <v>2211</v>
      </c>
      <c r="Y79" s="8">
        <v>219</v>
      </c>
      <c r="Z79" s="8">
        <v>580</v>
      </c>
      <c r="AA79" s="8">
        <v>494</v>
      </c>
      <c r="AB79" s="8">
        <v>591</v>
      </c>
      <c r="AC79" s="8">
        <v>410</v>
      </c>
      <c r="AD79" s="8">
        <v>1442</v>
      </c>
      <c r="AE79" s="8">
        <v>446</v>
      </c>
      <c r="AF79" s="8">
        <v>636</v>
      </c>
      <c r="AG79" s="8">
        <v>1118</v>
      </c>
      <c r="AH79" s="8">
        <v>598</v>
      </c>
      <c r="AI79" s="8">
        <v>175</v>
      </c>
      <c r="AL79" s="8">
        <v>116</v>
      </c>
      <c r="AM79" s="8">
        <v>156</v>
      </c>
      <c r="AN79" s="8">
        <v>16424</v>
      </c>
      <c r="AO79" s="8">
        <v>2367</v>
      </c>
      <c r="AP79" s="8">
        <v>14057</v>
      </c>
      <c r="AQ79" s="8">
        <v>2950</v>
      </c>
      <c r="AR79" s="8">
        <v>581</v>
      </c>
      <c r="AS79" s="8">
        <v>610</v>
      </c>
      <c r="AT79" s="8">
        <v>589</v>
      </c>
      <c r="AU79" s="8">
        <v>822</v>
      </c>
      <c r="AV79" s="8">
        <v>545</v>
      </c>
      <c r="AW79" s="8">
        <v>2147</v>
      </c>
      <c r="AX79" s="8">
        <v>675</v>
      </c>
      <c r="AY79" s="8">
        <v>830</v>
      </c>
      <c r="AZ79" s="8">
        <v>1920</v>
      </c>
      <c r="BA79" s="8">
        <v>616</v>
      </c>
      <c r="BB79" s="8">
        <v>187</v>
      </c>
      <c r="BE79" s="8">
        <v>175</v>
      </c>
      <c r="BF79" s="8">
        <v>166</v>
      </c>
    </row>
    <row r="80" spans="1:58" x14ac:dyDescent="0.2">
      <c r="A80" s="9">
        <v>38231</v>
      </c>
      <c r="B80" s="8">
        <v>5238</v>
      </c>
      <c r="C80" s="8">
        <v>1443</v>
      </c>
      <c r="D80" s="8">
        <v>3795</v>
      </c>
      <c r="E80" s="8">
        <v>683</v>
      </c>
      <c r="F80" s="8">
        <v>293</v>
      </c>
      <c r="G80" s="8">
        <v>14</v>
      </c>
      <c r="H80" s="8">
        <v>101</v>
      </c>
      <c r="I80" s="8">
        <v>201</v>
      </c>
      <c r="J80" s="8">
        <v>191</v>
      </c>
      <c r="K80" s="8">
        <v>667</v>
      </c>
      <c r="L80" s="8">
        <v>220</v>
      </c>
      <c r="M80" s="8">
        <v>150</v>
      </c>
      <c r="N80" s="8">
        <v>671</v>
      </c>
      <c r="O80" s="8">
        <v>13</v>
      </c>
      <c r="P80" s="8">
        <v>9</v>
      </c>
      <c r="S80" s="8">
        <v>64</v>
      </c>
      <c r="T80" s="8">
        <v>10</v>
      </c>
      <c r="U80" s="8">
        <v>10272</v>
      </c>
      <c r="V80" s="8">
        <v>1070</v>
      </c>
      <c r="W80" s="8">
        <v>9202</v>
      </c>
      <c r="X80" s="8">
        <v>1729</v>
      </c>
      <c r="Y80" s="8">
        <v>201</v>
      </c>
      <c r="Z80" s="8">
        <v>580</v>
      </c>
      <c r="AA80" s="8">
        <v>507</v>
      </c>
      <c r="AB80" s="8">
        <v>699</v>
      </c>
      <c r="AC80" s="8">
        <v>373</v>
      </c>
      <c r="AD80" s="8">
        <v>1232</v>
      </c>
      <c r="AE80" s="8">
        <v>453</v>
      </c>
      <c r="AF80" s="8">
        <v>643</v>
      </c>
      <c r="AG80" s="8">
        <v>1163</v>
      </c>
      <c r="AH80" s="8">
        <v>560</v>
      </c>
      <c r="AI80" s="8">
        <v>165</v>
      </c>
      <c r="AL80" s="8">
        <v>91</v>
      </c>
      <c r="AM80" s="8">
        <v>141</v>
      </c>
      <c r="AN80" s="8">
        <v>15510</v>
      </c>
      <c r="AO80" s="8">
        <v>2513</v>
      </c>
      <c r="AP80" s="8">
        <v>12997</v>
      </c>
      <c r="AQ80" s="8">
        <v>2411</v>
      </c>
      <c r="AR80" s="8">
        <v>494</v>
      </c>
      <c r="AS80" s="8">
        <v>594</v>
      </c>
      <c r="AT80" s="8">
        <v>608</v>
      </c>
      <c r="AU80" s="8">
        <v>900</v>
      </c>
      <c r="AV80" s="8">
        <v>564</v>
      </c>
      <c r="AW80" s="8">
        <v>1899</v>
      </c>
      <c r="AX80" s="8">
        <v>673</v>
      </c>
      <c r="AY80" s="8">
        <v>793</v>
      </c>
      <c r="AZ80" s="8">
        <v>1834</v>
      </c>
      <c r="BA80" s="8">
        <v>573</v>
      </c>
      <c r="BB80" s="8">
        <v>175</v>
      </c>
      <c r="BE80" s="8">
        <v>155</v>
      </c>
      <c r="BF80" s="8">
        <v>152</v>
      </c>
    </row>
    <row r="81" spans="1:58" x14ac:dyDescent="0.2">
      <c r="A81" s="9">
        <v>38322</v>
      </c>
      <c r="B81" s="8">
        <v>6047</v>
      </c>
      <c r="C81" s="8">
        <v>1536</v>
      </c>
      <c r="D81" s="8">
        <v>4511</v>
      </c>
      <c r="E81" s="8">
        <v>844</v>
      </c>
      <c r="F81" s="8">
        <v>322</v>
      </c>
      <c r="G81" s="8">
        <v>30</v>
      </c>
      <c r="H81" s="8">
        <v>178</v>
      </c>
      <c r="I81" s="8">
        <v>189</v>
      </c>
      <c r="J81" s="8">
        <v>175</v>
      </c>
      <c r="K81" s="8">
        <v>771</v>
      </c>
      <c r="L81" s="8">
        <v>286</v>
      </c>
      <c r="M81" s="8">
        <v>149</v>
      </c>
      <c r="N81" s="8">
        <v>861</v>
      </c>
      <c r="O81" s="8">
        <v>26</v>
      </c>
      <c r="P81" s="8">
        <v>18</v>
      </c>
      <c r="S81" s="8">
        <v>57</v>
      </c>
      <c r="T81" s="8">
        <v>5</v>
      </c>
      <c r="U81" s="8">
        <v>12863</v>
      </c>
      <c r="V81" s="8">
        <v>1219</v>
      </c>
      <c r="W81" s="8">
        <v>11644</v>
      </c>
      <c r="X81" s="8">
        <v>2112</v>
      </c>
      <c r="Y81" s="8">
        <v>310</v>
      </c>
      <c r="Z81" s="8">
        <v>815</v>
      </c>
      <c r="AA81" s="8">
        <v>592</v>
      </c>
      <c r="AB81" s="8">
        <v>882</v>
      </c>
      <c r="AC81" s="8">
        <v>440</v>
      </c>
      <c r="AD81" s="8">
        <v>1843</v>
      </c>
      <c r="AE81" s="8">
        <v>422</v>
      </c>
      <c r="AF81" s="8">
        <v>789</v>
      </c>
      <c r="AG81" s="8">
        <v>1381</v>
      </c>
      <c r="AH81" s="8">
        <v>678</v>
      </c>
      <c r="AI81" s="8">
        <v>203</v>
      </c>
      <c r="AL81" s="8">
        <v>130</v>
      </c>
      <c r="AM81" s="8">
        <v>198</v>
      </c>
      <c r="AN81" s="8">
        <v>18910</v>
      </c>
      <c r="AO81" s="8">
        <v>2755</v>
      </c>
      <c r="AP81" s="8">
        <v>16156</v>
      </c>
      <c r="AQ81" s="8">
        <v>2955</v>
      </c>
      <c r="AR81" s="8">
        <v>632</v>
      </c>
      <c r="AS81" s="8">
        <v>845</v>
      </c>
      <c r="AT81" s="8">
        <v>770</v>
      </c>
      <c r="AU81" s="8">
        <v>1071</v>
      </c>
      <c r="AV81" s="8">
        <v>615</v>
      </c>
      <c r="AW81" s="8">
        <v>2615</v>
      </c>
      <c r="AX81" s="8">
        <v>709</v>
      </c>
      <c r="AY81" s="8">
        <v>938</v>
      </c>
      <c r="AZ81" s="8">
        <v>2242</v>
      </c>
      <c r="BA81" s="8">
        <v>704</v>
      </c>
      <c r="BB81" s="8">
        <v>222</v>
      </c>
      <c r="BE81" s="8">
        <v>187</v>
      </c>
      <c r="BF81" s="8">
        <v>203</v>
      </c>
    </row>
    <row r="82" spans="1:58" x14ac:dyDescent="0.2">
      <c r="A82" s="9">
        <v>38412</v>
      </c>
      <c r="B82" s="8">
        <v>5443</v>
      </c>
      <c r="C82" s="8">
        <v>1421</v>
      </c>
      <c r="D82" s="8">
        <v>4021</v>
      </c>
      <c r="E82" s="8">
        <v>879</v>
      </c>
      <c r="F82" s="8">
        <v>350</v>
      </c>
      <c r="G82" s="8">
        <v>29</v>
      </c>
      <c r="H82" s="8">
        <v>116</v>
      </c>
      <c r="I82" s="8">
        <v>150</v>
      </c>
      <c r="J82" s="8">
        <v>180</v>
      </c>
      <c r="K82" s="8">
        <v>631</v>
      </c>
      <c r="L82" s="8">
        <v>254</v>
      </c>
      <c r="M82" s="8">
        <v>128</v>
      </c>
      <c r="N82" s="8">
        <v>723</v>
      </c>
      <c r="O82" s="8">
        <v>21</v>
      </c>
      <c r="P82" s="8">
        <v>15</v>
      </c>
      <c r="S82" s="8">
        <v>28</v>
      </c>
      <c r="T82" s="8">
        <v>6</v>
      </c>
      <c r="U82" s="8">
        <v>10274</v>
      </c>
      <c r="V82" s="8">
        <v>941</v>
      </c>
      <c r="W82" s="8">
        <v>9334</v>
      </c>
      <c r="X82" s="8">
        <v>1980</v>
      </c>
      <c r="Y82" s="8">
        <v>184</v>
      </c>
      <c r="Z82" s="8">
        <v>642</v>
      </c>
      <c r="AA82" s="8">
        <v>572</v>
      </c>
      <c r="AB82" s="8">
        <v>616</v>
      </c>
      <c r="AC82" s="8">
        <v>294</v>
      </c>
      <c r="AD82" s="8">
        <v>980</v>
      </c>
      <c r="AE82" s="8">
        <v>512</v>
      </c>
      <c r="AF82" s="8">
        <v>668</v>
      </c>
      <c r="AG82" s="8">
        <v>1181</v>
      </c>
      <c r="AH82" s="8">
        <v>586</v>
      </c>
      <c r="AI82" s="8">
        <v>178</v>
      </c>
      <c r="AL82" s="8">
        <v>116</v>
      </c>
      <c r="AM82" s="8">
        <v>170</v>
      </c>
      <c r="AN82" s="8">
        <v>15717</v>
      </c>
      <c r="AO82" s="8">
        <v>2362</v>
      </c>
      <c r="AP82" s="8">
        <v>13355</v>
      </c>
      <c r="AQ82" s="8">
        <v>2859</v>
      </c>
      <c r="AR82" s="8">
        <v>534</v>
      </c>
      <c r="AS82" s="8">
        <v>671</v>
      </c>
      <c r="AT82" s="8">
        <v>687</v>
      </c>
      <c r="AU82" s="8">
        <v>766</v>
      </c>
      <c r="AV82" s="8">
        <v>474</v>
      </c>
      <c r="AW82" s="8">
        <v>1611</v>
      </c>
      <c r="AX82" s="8">
        <v>767</v>
      </c>
      <c r="AY82" s="8">
        <v>795</v>
      </c>
      <c r="AZ82" s="8">
        <v>1904</v>
      </c>
      <c r="BA82" s="8">
        <v>607</v>
      </c>
      <c r="BB82" s="8">
        <v>193</v>
      </c>
      <c r="BE82" s="8">
        <v>144</v>
      </c>
      <c r="BF82" s="8">
        <v>177</v>
      </c>
    </row>
    <row r="83" spans="1:58" x14ac:dyDescent="0.2">
      <c r="A83" s="9">
        <v>38504</v>
      </c>
      <c r="B83" s="8">
        <v>6781</v>
      </c>
      <c r="C83" s="8">
        <v>1896</v>
      </c>
      <c r="D83" s="8">
        <v>4886</v>
      </c>
      <c r="E83" s="8">
        <v>1057</v>
      </c>
      <c r="F83" s="8">
        <v>308</v>
      </c>
      <c r="G83" s="8">
        <v>54</v>
      </c>
      <c r="H83" s="8">
        <v>130</v>
      </c>
      <c r="I83" s="8">
        <v>221</v>
      </c>
      <c r="J83" s="8">
        <v>168</v>
      </c>
      <c r="K83" s="8">
        <v>856</v>
      </c>
      <c r="L83" s="8">
        <v>295</v>
      </c>
      <c r="M83" s="8">
        <v>142</v>
      </c>
      <c r="N83" s="8">
        <v>911</v>
      </c>
      <c r="O83" s="8">
        <v>33</v>
      </c>
      <c r="P83" s="8">
        <v>24</v>
      </c>
      <c r="S83" s="8">
        <v>55</v>
      </c>
      <c r="T83" s="8">
        <v>8</v>
      </c>
      <c r="U83" s="8">
        <v>12661</v>
      </c>
      <c r="V83" s="8">
        <v>1317</v>
      </c>
      <c r="W83" s="8">
        <v>11344</v>
      </c>
      <c r="X83" s="8">
        <v>2394</v>
      </c>
      <c r="Y83" s="8">
        <v>226</v>
      </c>
      <c r="Z83" s="8">
        <v>681</v>
      </c>
      <c r="AA83" s="8">
        <v>725</v>
      </c>
      <c r="AB83" s="8">
        <v>708</v>
      </c>
      <c r="AC83" s="8">
        <v>503</v>
      </c>
      <c r="AD83" s="8">
        <v>1476</v>
      </c>
      <c r="AE83" s="8">
        <v>411</v>
      </c>
      <c r="AF83" s="8">
        <v>848</v>
      </c>
      <c r="AG83" s="8">
        <v>1282</v>
      </c>
      <c r="AH83" s="8">
        <v>736</v>
      </c>
      <c r="AI83" s="8">
        <v>232</v>
      </c>
      <c r="AL83" s="8">
        <v>123</v>
      </c>
      <c r="AM83" s="8">
        <v>202</v>
      </c>
      <c r="AN83" s="8">
        <v>19442</v>
      </c>
      <c r="AO83" s="8">
        <v>3213</v>
      </c>
      <c r="AP83" s="8">
        <v>16230</v>
      </c>
      <c r="AQ83" s="8">
        <v>3450</v>
      </c>
      <c r="AR83" s="8">
        <v>534</v>
      </c>
      <c r="AS83" s="8">
        <v>735</v>
      </c>
      <c r="AT83" s="8">
        <v>855</v>
      </c>
      <c r="AU83" s="8">
        <v>929</v>
      </c>
      <c r="AV83" s="8">
        <v>672</v>
      </c>
      <c r="AW83" s="8">
        <v>2332</v>
      </c>
      <c r="AX83" s="8">
        <v>707</v>
      </c>
      <c r="AY83" s="8">
        <v>989</v>
      </c>
      <c r="AZ83" s="8">
        <v>2192</v>
      </c>
      <c r="BA83" s="8">
        <v>768</v>
      </c>
      <c r="BB83" s="8">
        <v>256</v>
      </c>
      <c r="BE83" s="8">
        <v>178</v>
      </c>
      <c r="BF83" s="8">
        <v>210</v>
      </c>
    </row>
    <row r="84" spans="1:58" x14ac:dyDescent="0.2">
      <c r="A84" s="9">
        <v>38596</v>
      </c>
      <c r="B84" s="8">
        <v>7359</v>
      </c>
      <c r="C84" s="8">
        <v>2221</v>
      </c>
      <c r="D84" s="8">
        <v>5137</v>
      </c>
      <c r="E84" s="8">
        <v>1132</v>
      </c>
      <c r="F84" s="8">
        <v>324</v>
      </c>
      <c r="G84" s="8">
        <v>40</v>
      </c>
      <c r="H84" s="8">
        <v>108</v>
      </c>
      <c r="I84" s="8">
        <v>317</v>
      </c>
      <c r="J84" s="8">
        <v>211</v>
      </c>
      <c r="K84" s="8">
        <v>822</v>
      </c>
      <c r="L84" s="8">
        <v>337</v>
      </c>
      <c r="M84" s="8">
        <v>136</v>
      </c>
      <c r="N84" s="8">
        <v>903</v>
      </c>
      <c r="O84" s="8">
        <v>51</v>
      </c>
      <c r="P84" s="8">
        <v>38</v>
      </c>
      <c r="S84" s="8">
        <v>60</v>
      </c>
      <c r="T84" s="8">
        <v>5</v>
      </c>
      <c r="U84" s="8">
        <v>11877</v>
      </c>
      <c r="V84" s="8">
        <v>1481</v>
      </c>
      <c r="W84" s="8">
        <v>10396</v>
      </c>
      <c r="X84" s="8">
        <v>2337</v>
      </c>
      <c r="Y84" s="8">
        <v>220</v>
      </c>
      <c r="Z84" s="8">
        <v>532</v>
      </c>
      <c r="AA84" s="8">
        <v>685</v>
      </c>
      <c r="AB84" s="8">
        <v>719</v>
      </c>
      <c r="AC84" s="8">
        <v>378</v>
      </c>
      <c r="AD84" s="8">
        <v>1074</v>
      </c>
      <c r="AE84" s="8">
        <v>381</v>
      </c>
      <c r="AF84" s="8">
        <v>780</v>
      </c>
      <c r="AG84" s="8">
        <v>1461</v>
      </c>
      <c r="AH84" s="8">
        <v>634</v>
      </c>
      <c r="AI84" s="8">
        <v>194</v>
      </c>
      <c r="AL84" s="8">
        <v>118</v>
      </c>
      <c r="AM84" s="8">
        <v>165</v>
      </c>
      <c r="AN84" s="8">
        <v>19236</v>
      </c>
      <c r="AO84" s="8">
        <v>3702</v>
      </c>
      <c r="AP84" s="8">
        <v>15533</v>
      </c>
      <c r="AQ84" s="8">
        <v>3468</v>
      </c>
      <c r="AR84" s="8">
        <v>544</v>
      </c>
      <c r="AS84" s="8">
        <v>572</v>
      </c>
      <c r="AT84" s="8">
        <v>793</v>
      </c>
      <c r="AU84" s="8">
        <v>1036</v>
      </c>
      <c r="AV84" s="8">
        <v>589</v>
      </c>
      <c r="AW84" s="8">
        <v>1896</v>
      </c>
      <c r="AX84" s="8">
        <v>718</v>
      </c>
      <c r="AY84" s="8">
        <v>917</v>
      </c>
      <c r="AZ84" s="8">
        <v>2364</v>
      </c>
      <c r="BA84" s="8">
        <v>685</v>
      </c>
      <c r="BB84" s="8">
        <v>232</v>
      </c>
      <c r="BE84" s="8">
        <v>178</v>
      </c>
      <c r="BF84" s="8">
        <v>170</v>
      </c>
    </row>
    <row r="85" spans="1:58" x14ac:dyDescent="0.2">
      <c r="A85" s="9">
        <v>38687</v>
      </c>
      <c r="B85" s="8">
        <v>9022</v>
      </c>
      <c r="C85" s="8">
        <v>3320</v>
      </c>
      <c r="D85" s="8">
        <v>5701</v>
      </c>
      <c r="E85" s="8">
        <v>1236</v>
      </c>
      <c r="F85" s="8">
        <v>382</v>
      </c>
      <c r="G85" s="8">
        <v>50</v>
      </c>
      <c r="H85" s="8">
        <v>161</v>
      </c>
      <c r="I85" s="8">
        <v>255</v>
      </c>
      <c r="J85" s="8">
        <v>309</v>
      </c>
      <c r="K85" s="8">
        <v>1177</v>
      </c>
      <c r="L85" s="8">
        <v>312</v>
      </c>
      <c r="M85" s="8">
        <v>89</v>
      </c>
      <c r="N85" s="8">
        <v>844</v>
      </c>
      <c r="O85" s="8">
        <v>36</v>
      </c>
      <c r="P85" s="8">
        <v>29</v>
      </c>
      <c r="S85" s="8">
        <v>82</v>
      </c>
      <c r="T85" s="8">
        <v>8</v>
      </c>
      <c r="U85" s="8">
        <v>14484</v>
      </c>
      <c r="V85" s="8">
        <v>1645</v>
      </c>
      <c r="W85" s="8">
        <v>12839</v>
      </c>
      <c r="X85" s="8">
        <v>2635</v>
      </c>
      <c r="Y85" s="8">
        <v>218</v>
      </c>
      <c r="Z85" s="8">
        <v>827</v>
      </c>
      <c r="AA85" s="8">
        <v>771</v>
      </c>
      <c r="AB85" s="8">
        <v>833</v>
      </c>
      <c r="AC85" s="8">
        <v>408</v>
      </c>
      <c r="AD85" s="8">
        <v>2127</v>
      </c>
      <c r="AE85" s="8">
        <v>415</v>
      </c>
      <c r="AF85" s="8">
        <v>759</v>
      </c>
      <c r="AG85" s="8">
        <v>1603</v>
      </c>
      <c r="AH85" s="8">
        <v>798</v>
      </c>
      <c r="AI85" s="8">
        <v>248</v>
      </c>
      <c r="AL85" s="8">
        <v>121</v>
      </c>
      <c r="AM85" s="8">
        <v>169</v>
      </c>
      <c r="AN85" s="8">
        <v>23506</v>
      </c>
      <c r="AO85" s="8">
        <v>4966</v>
      </c>
      <c r="AP85" s="8">
        <v>18540</v>
      </c>
      <c r="AQ85" s="8">
        <v>3871</v>
      </c>
      <c r="AR85" s="8">
        <v>600</v>
      </c>
      <c r="AS85" s="8">
        <v>877</v>
      </c>
      <c r="AT85" s="8">
        <v>932</v>
      </c>
      <c r="AU85" s="8">
        <v>1088</v>
      </c>
      <c r="AV85" s="8">
        <v>717</v>
      </c>
      <c r="AW85" s="8">
        <v>3304</v>
      </c>
      <c r="AX85" s="8">
        <v>727</v>
      </c>
      <c r="AY85" s="8">
        <v>848</v>
      </c>
      <c r="AZ85" s="8">
        <v>2447</v>
      </c>
      <c r="BA85" s="8">
        <v>834</v>
      </c>
      <c r="BB85" s="8">
        <v>277</v>
      </c>
      <c r="BE85" s="8">
        <v>203</v>
      </c>
      <c r="BF85" s="8">
        <v>177</v>
      </c>
    </row>
    <row r="86" spans="1:58" x14ac:dyDescent="0.2">
      <c r="A86" s="9">
        <v>38777</v>
      </c>
      <c r="B86" s="8">
        <v>7637</v>
      </c>
      <c r="C86" s="8">
        <v>3338</v>
      </c>
      <c r="D86" s="8">
        <v>4299</v>
      </c>
      <c r="E86" s="8">
        <v>1113</v>
      </c>
      <c r="F86" s="8">
        <v>271</v>
      </c>
      <c r="G86" s="8">
        <v>20</v>
      </c>
      <c r="H86" s="8">
        <v>110</v>
      </c>
      <c r="I86" s="8">
        <v>139</v>
      </c>
      <c r="J86" s="8">
        <v>238</v>
      </c>
      <c r="K86" s="8">
        <v>608</v>
      </c>
      <c r="L86" s="8">
        <v>320</v>
      </c>
      <c r="M86" s="8">
        <v>102</v>
      </c>
      <c r="N86" s="8">
        <v>721</v>
      </c>
      <c r="O86" s="8">
        <v>27</v>
      </c>
      <c r="P86" s="8">
        <v>21</v>
      </c>
      <c r="S86" s="8">
        <v>80</v>
      </c>
      <c r="T86" s="8">
        <v>11</v>
      </c>
      <c r="U86" s="8">
        <v>12343</v>
      </c>
      <c r="V86" s="8">
        <v>1540</v>
      </c>
      <c r="W86" s="8">
        <v>10803</v>
      </c>
      <c r="X86" s="8">
        <v>2124</v>
      </c>
      <c r="Y86" s="8">
        <v>217</v>
      </c>
      <c r="Z86" s="8">
        <v>707</v>
      </c>
      <c r="AA86" s="8">
        <v>644</v>
      </c>
      <c r="AB86" s="8">
        <v>786</v>
      </c>
      <c r="AC86" s="8">
        <v>378</v>
      </c>
      <c r="AD86" s="8">
        <v>1635</v>
      </c>
      <c r="AE86" s="8">
        <v>465</v>
      </c>
      <c r="AF86" s="8">
        <v>810</v>
      </c>
      <c r="AG86" s="8">
        <v>1164</v>
      </c>
      <c r="AH86" s="8">
        <v>627</v>
      </c>
      <c r="AI86" s="8">
        <v>194</v>
      </c>
      <c r="AL86" s="8">
        <v>118</v>
      </c>
      <c r="AM86" s="8">
        <v>161</v>
      </c>
      <c r="AN86" s="8">
        <v>19980</v>
      </c>
      <c r="AO86" s="8">
        <v>4878</v>
      </c>
      <c r="AP86" s="8">
        <v>15102</v>
      </c>
      <c r="AQ86" s="8">
        <v>3237</v>
      </c>
      <c r="AR86" s="8">
        <v>488</v>
      </c>
      <c r="AS86" s="8">
        <v>727</v>
      </c>
      <c r="AT86" s="8">
        <v>754</v>
      </c>
      <c r="AU86" s="8">
        <v>925</v>
      </c>
      <c r="AV86" s="8">
        <v>615</v>
      </c>
      <c r="AW86" s="8">
        <v>2243</v>
      </c>
      <c r="AX86" s="8">
        <v>785</v>
      </c>
      <c r="AY86" s="8">
        <v>912</v>
      </c>
      <c r="AZ86" s="8">
        <v>1885</v>
      </c>
      <c r="BA86" s="8">
        <v>654</v>
      </c>
      <c r="BB86" s="8">
        <v>214</v>
      </c>
      <c r="BE86" s="8">
        <v>198</v>
      </c>
      <c r="BF86" s="8">
        <v>172</v>
      </c>
    </row>
    <row r="87" spans="1:58" x14ac:dyDescent="0.2">
      <c r="A87" s="9">
        <v>38869</v>
      </c>
      <c r="B87" s="8">
        <v>10127</v>
      </c>
      <c r="C87" s="8">
        <v>4723</v>
      </c>
      <c r="D87" s="8">
        <v>5404</v>
      </c>
      <c r="E87" s="8">
        <v>1138</v>
      </c>
      <c r="F87" s="8">
        <v>386</v>
      </c>
      <c r="G87" s="8">
        <v>29</v>
      </c>
      <c r="H87" s="8">
        <v>119</v>
      </c>
      <c r="I87" s="8">
        <v>218</v>
      </c>
      <c r="J87" s="8">
        <v>260</v>
      </c>
      <c r="K87" s="8">
        <v>840</v>
      </c>
      <c r="L87" s="8">
        <v>223</v>
      </c>
      <c r="M87" s="8">
        <v>157</v>
      </c>
      <c r="N87" s="8">
        <v>1096</v>
      </c>
      <c r="O87" s="8">
        <v>34</v>
      </c>
      <c r="P87" s="8">
        <v>26</v>
      </c>
      <c r="S87" s="8">
        <v>174</v>
      </c>
      <c r="T87" s="8">
        <v>10</v>
      </c>
      <c r="U87" s="8">
        <v>13646</v>
      </c>
      <c r="V87" s="8">
        <v>1390</v>
      </c>
      <c r="W87" s="8">
        <v>12256</v>
      </c>
      <c r="X87" s="8">
        <v>2318</v>
      </c>
      <c r="Y87" s="8">
        <v>245</v>
      </c>
      <c r="Z87" s="8">
        <v>855</v>
      </c>
      <c r="AA87" s="8">
        <v>588</v>
      </c>
      <c r="AB87" s="8">
        <v>874</v>
      </c>
      <c r="AC87" s="8">
        <v>552</v>
      </c>
      <c r="AD87" s="8">
        <v>1526</v>
      </c>
      <c r="AE87" s="8">
        <v>469</v>
      </c>
      <c r="AF87" s="8">
        <v>748</v>
      </c>
      <c r="AG87" s="8">
        <v>1631</v>
      </c>
      <c r="AH87" s="8">
        <v>909</v>
      </c>
      <c r="AI87" s="8">
        <v>266</v>
      </c>
      <c r="AL87" s="8">
        <v>144</v>
      </c>
      <c r="AM87" s="8">
        <v>246</v>
      </c>
      <c r="AN87" s="8">
        <v>23773</v>
      </c>
      <c r="AO87" s="8">
        <v>6113</v>
      </c>
      <c r="AP87" s="8">
        <v>17660</v>
      </c>
      <c r="AQ87" s="8">
        <v>3456</v>
      </c>
      <c r="AR87" s="8">
        <v>631</v>
      </c>
      <c r="AS87" s="8">
        <v>884</v>
      </c>
      <c r="AT87" s="8">
        <v>707</v>
      </c>
      <c r="AU87" s="8">
        <v>1093</v>
      </c>
      <c r="AV87" s="8">
        <v>812</v>
      </c>
      <c r="AW87" s="8">
        <v>2365</v>
      </c>
      <c r="AX87" s="8">
        <v>692</v>
      </c>
      <c r="AY87" s="8">
        <v>904</v>
      </c>
      <c r="AZ87" s="8">
        <v>2727</v>
      </c>
      <c r="BA87" s="8">
        <v>943</v>
      </c>
      <c r="BB87" s="8">
        <v>291</v>
      </c>
      <c r="BE87" s="8">
        <v>318</v>
      </c>
      <c r="BF87" s="8">
        <v>256</v>
      </c>
    </row>
    <row r="88" spans="1:58" x14ac:dyDescent="0.2">
      <c r="A88" s="9">
        <v>38961</v>
      </c>
      <c r="B88" s="8">
        <v>8931</v>
      </c>
      <c r="C88" s="8">
        <v>3720</v>
      </c>
      <c r="D88" s="8">
        <v>5211</v>
      </c>
      <c r="E88" s="8">
        <v>1068</v>
      </c>
      <c r="F88" s="8">
        <v>445</v>
      </c>
      <c r="G88" s="8">
        <v>47</v>
      </c>
      <c r="H88" s="8">
        <v>85</v>
      </c>
      <c r="I88" s="8">
        <v>231</v>
      </c>
      <c r="J88" s="8">
        <v>346</v>
      </c>
      <c r="K88" s="8">
        <v>755</v>
      </c>
      <c r="L88" s="8">
        <v>265</v>
      </c>
      <c r="M88" s="8">
        <v>140</v>
      </c>
      <c r="N88" s="8">
        <v>935</v>
      </c>
      <c r="O88" s="8">
        <v>35</v>
      </c>
      <c r="P88" s="8">
        <v>33</v>
      </c>
      <c r="S88" s="8">
        <v>126</v>
      </c>
      <c r="T88" s="8">
        <v>23</v>
      </c>
      <c r="U88" s="8">
        <v>12323</v>
      </c>
      <c r="V88" s="8">
        <v>1225</v>
      </c>
      <c r="W88" s="8">
        <v>11097</v>
      </c>
      <c r="X88" s="8">
        <v>1953</v>
      </c>
      <c r="Y88" s="8">
        <v>253</v>
      </c>
      <c r="Z88" s="8">
        <v>716</v>
      </c>
      <c r="AA88" s="8">
        <v>608</v>
      </c>
      <c r="AB88" s="8">
        <v>722</v>
      </c>
      <c r="AC88" s="8">
        <v>408</v>
      </c>
      <c r="AD88" s="8">
        <v>1556</v>
      </c>
      <c r="AE88" s="8">
        <v>393</v>
      </c>
      <c r="AF88" s="8">
        <v>721</v>
      </c>
      <c r="AG88" s="8">
        <v>1569</v>
      </c>
      <c r="AH88" s="8">
        <v>720</v>
      </c>
      <c r="AI88" s="8">
        <v>212</v>
      </c>
      <c r="AL88" s="8">
        <v>154</v>
      </c>
      <c r="AM88" s="8">
        <v>297</v>
      </c>
      <c r="AN88" s="8">
        <v>21254</v>
      </c>
      <c r="AO88" s="8">
        <v>4946</v>
      </c>
      <c r="AP88" s="8">
        <v>16308</v>
      </c>
      <c r="AQ88" s="8">
        <v>3020</v>
      </c>
      <c r="AR88" s="8">
        <v>698</v>
      </c>
      <c r="AS88" s="8">
        <v>763</v>
      </c>
      <c r="AT88" s="8">
        <v>693</v>
      </c>
      <c r="AU88" s="8">
        <v>953</v>
      </c>
      <c r="AV88" s="8">
        <v>754</v>
      </c>
      <c r="AW88" s="8">
        <v>2311</v>
      </c>
      <c r="AX88" s="8">
        <v>658</v>
      </c>
      <c r="AY88" s="8">
        <v>862</v>
      </c>
      <c r="AZ88" s="8">
        <v>2504</v>
      </c>
      <c r="BA88" s="8">
        <v>755</v>
      </c>
      <c r="BB88" s="8">
        <v>246</v>
      </c>
      <c r="BE88" s="8">
        <v>280</v>
      </c>
      <c r="BF88" s="8">
        <v>320</v>
      </c>
    </row>
    <row r="89" spans="1:58" x14ac:dyDescent="0.2">
      <c r="A89" s="9">
        <v>39052</v>
      </c>
      <c r="B89" s="8">
        <v>9754</v>
      </c>
      <c r="C89" s="8">
        <v>4329</v>
      </c>
      <c r="D89" s="8">
        <v>5425</v>
      </c>
      <c r="E89" s="8">
        <v>1103</v>
      </c>
      <c r="F89" s="8">
        <v>536</v>
      </c>
      <c r="G89" s="8">
        <v>56</v>
      </c>
      <c r="H89" s="8">
        <v>146</v>
      </c>
      <c r="I89" s="8">
        <v>261</v>
      </c>
      <c r="J89" s="8"/>
      <c r="K89" s="8">
        <v>690</v>
      </c>
      <c r="L89" s="8"/>
      <c r="M89" s="8">
        <v>191</v>
      </c>
      <c r="N89" s="8">
        <v>905</v>
      </c>
      <c r="O89" s="8"/>
      <c r="P89" s="8"/>
      <c r="S89" s="8">
        <v>85</v>
      </c>
      <c r="T89" s="8">
        <v>45</v>
      </c>
      <c r="U89" s="8">
        <v>13760</v>
      </c>
      <c r="V89" s="8">
        <v>1911</v>
      </c>
      <c r="W89" s="8">
        <v>11849</v>
      </c>
      <c r="X89" s="8">
        <v>2284</v>
      </c>
      <c r="Y89" s="8">
        <v>305</v>
      </c>
      <c r="Z89" s="8">
        <v>656</v>
      </c>
      <c r="AA89" s="8">
        <v>655</v>
      </c>
      <c r="AB89" s="8">
        <v>859</v>
      </c>
      <c r="AC89" s="8"/>
      <c r="AD89" s="8">
        <v>1322</v>
      </c>
      <c r="AE89" s="8"/>
      <c r="AF89" s="8">
        <v>823</v>
      </c>
      <c r="AG89" s="8">
        <v>1819</v>
      </c>
      <c r="AH89" s="8"/>
      <c r="AI89" s="8"/>
      <c r="AL89" s="8">
        <v>143</v>
      </c>
      <c r="AM89" s="8">
        <v>301</v>
      </c>
      <c r="AN89" s="8">
        <v>23513</v>
      </c>
      <c r="AO89" s="8">
        <v>6239</v>
      </c>
      <c r="AP89" s="8">
        <v>17274</v>
      </c>
      <c r="AQ89" s="8">
        <v>3387</v>
      </c>
      <c r="AR89" s="8">
        <v>842</v>
      </c>
      <c r="AS89" s="8">
        <v>713</v>
      </c>
      <c r="AT89" s="8">
        <v>801</v>
      </c>
      <c r="AU89" s="8">
        <v>1120</v>
      </c>
      <c r="AV89" s="8">
        <v>865</v>
      </c>
      <c r="AW89" s="8">
        <v>2012</v>
      </c>
      <c r="AX89" s="8">
        <v>637</v>
      </c>
      <c r="AY89" s="8">
        <v>1014</v>
      </c>
      <c r="AZ89" s="8">
        <v>2724</v>
      </c>
      <c r="BA89" s="8">
        <v>780</v>
      </c>
      <c r="BB89" s="8">
        <v>248</v>
      </c>
      <c r="BE89" s="8">
        <v>228</v>
      </c>
      <c r="BF89" s="8">
        <v>346</v>
      </c>
    </row>
    <row r="90" spans="1:58" x14ac:dyDescent="0.2">
      <c r="A90" s="9">
        <v>39142</v>
      </c>
      <c r="B90" s="8">
        <v>9796</v>
      </c>
      <c r="C90" s="8">
        <v>4046</v>
      </c>
      <c r="D90" s="8">
        <v>5749</v>
      </c>
      <c r="E90" s="8">
        <v>818</v>
      </c>
      <c r="F90" s="8">
        <v>438</v>
      </c>
      <c r="G90" s="8">
        <v>55</v>
      </c>
      <c r="H90" s="8">
        <v>94</v>
      </c>
      <c r="I90" s="8">
        <v>170</v>
      </c>
      <c r="J90" s="8"/>
      <c r="K90" s="8">
        <v>557</v>
      </c>
      <c r="L90" s="8"/>
      <c r="M90" s="8">
        <v>148</v>
      </c>
      <c r="N90" s="8">
        <v>1164</v>
      </c>
      <c r="O90" s="8"/>
      <c r="P90" s="8"/>
      <c r="S90" s="8">
        <v>41</v>
      </c>
      <c r="T90" s="8">
        <v>13</v>
      </c>
      <c r="U90" s="8">
        <v>12205</v>
      </c>
      <c r="V90" s="8">
        <v>1445</v>
      </c>
      <c r="W90" s="8">
        <v>10760</v>
      </c>
      <c r="X90" s="8">
        <v>1979</v>
      </c>
      <c r="Y90" s="8">
        <v>264</v>
      </c>
      <c r="Z90" s="8">
        <v>756</v>
      </c>
      <c r="AA90" s="8">
        <v>563</v>
      </c>
      <c r="AB90" s="8">
        <v>784</v>
      </c>
      <c r="AC90" s="8"/>
      <c r="AD90" s="8">
        <v>1289</v>
      </c>
      <c r="AE90" s="8"/>
      <c r="AF90" s="8">
        <v>679</v>
      </c>
      <c r="AG90" s="8">
        <v>1470</v>
      </c>
      <c r="AH90" s="8"/>
      <c r="AI90" s="8"/>
      <c r="AL90" s="8">
        <v>94</v>
      </c>
      <c r="AM90" s="8">
        <v>157</v>
      </c>
      <c r="AN90" s="8">
        <v>22001</v>
      </c>
      <c r="AO90" s="8">
        <v>5491</v>
      </c>
      <c r="AP90" s="8">
        <v>16509</v>
      </c>
      <c r="AQ90" s="8">
        <v>2798</v>
      </c>
      <c r="AR90" s="8">
        <v>703</v>
      </c>
      <c r="AS90" s="8">
        <v>811</v>
      </c>
      <c r="AT90" s="8">
        <v>658</v>
      </c>
      <c r="AU90" s="8">
        <v>954</v>
      </c>
      <c r="AV90" s="8">
        <v>619</v>
      </c>
      <c r="AW90" s="8">
        <v>1846</v>
      </c>
      <c r="AX90" s="8">
        <v>1663</v>
      </c>
      <c r="AY90" s="8">
        <v>827</v>
      </c>
      <c r="AZ90" s="8">
        <v>2634</v>
      </c>
      <c r="BA90" s="8">
        <v>778</v>
      </c>
      <c r="BB90" s="8">
        <v>328</v>
      </c>
      <c r="BE90" s="8">
        <v>135</v>
      </c>
      <c r="BF90" s="8">
        <v>170</v>
      </c>
    </row>
    <row r="91" spans="1:58" x14ac:dyDescent="0.2">
      <c r="A91" s="9">
        <v>39234</v>
      </c>
      <c r="B91" s="8">
        <v>12614</v>
      </c>
      <c r="C91" s="8">
        <v>4958</v>
      </c>
      <c r="D91" s="8">
        <v>7656</v>
      </c>
      <c r="E91" s="8">
        <v>750</v>
      </c>
      <c r="F91" s="8">
        <v>691</v>
      </c>
      <c r="G91" s="8">
        <v>35</v>
      </c>
      <c r="H91" s="8">
        <v>102</v>
      </c>
      <c r="I91" s="8">
        <v>146</v>
      </c>
      <c r="J91" s="8">
        <v>354</v>
      </c>
      <c r="K91" s="8">
        <v>647</v>
      </c>
      <c r="L91" s="8">
        <v>1677</v>
      </c>
      <c r="M91" s="8">
        <v>120</v>
      </c>
      <c r="N91" s="8">
        <v>1839</v>
      </c>
      <c r="O91" s="8">
        <v>29</v>
      </c>
      <c r="P91" s="8">
        <v>24</v>
      </c>
      <c r="S91" s="8">
        <v>73</v>
      </c>
      <c r="T91" s="8">
        <v>41</v>
      </c>
      <c r="U91" s="8">
        <v>14805</v>
      </c>
      <c r="V91" s="8">
        <v>1987</v>
      </c>
      <c r="W91" s="8">
        <v>12818</v>
      </c>
      <c r="X91" s="8">
        <v>2151</v>
      </c>
      <c r="Y91" s="8">
        <v>196</v>
      </c>
      <c r="Z91" s="8">
        <v>1031</v>
      </c>
      <c r="AA91" s="8">
        <v>728</v>
      </c>
      <c r="AB91" s="8">
        <v>917</v>
      </c>
      <c r="AC91" s="8">
        <v>420</v>
      </c>
      <c r="AD91" s="8">
        <v>1731</v>
      </c>
      <c r="AE91" s="8">
        <v>625</v>
      </c>
      <c r="AF91" s="8">
        <v>780</v>
      </c>
      <c r="AG91" s="8">
        <v>1671</v>
      </c>
      <c r="AH91" s="8">
        <v>976</v>
      </c>
      <c r="AI91" s="8">
        <v>340</v>
      </c>
      <c r="AL91" s="8">
        <v>129</v>
      </c>
      <c r="AM91" s="8">
        <v>171</v>
      </c>
      <c r="AN91" s="8">
        <v>27419</v>
      </c>
      <c r="AO91" s="8">
        <v>6945</v>
      </c>
      <c r="AP91" s="8">
        <v>20474</v>
      </c>
      <c r="AQ91" s="8">
        <v>2901</v>
      </c>
      <c r="AR91" s="8">
        <v>887</v>
      </c>
      <c r="AS91" s="8">
        <v>1065</v>
      </c>
      <c r="AT91" s="8">
        <v>830</v>
      </c>
      <c r="AU91" s="8">
        <v>1064</v>
      </c>
      <c r="AV91" s="8">
        <v>774</v>
      </c>
      <c r="AW91" s="8">
        <v>2378</v>
      </c>
      <c r="AX91" s="8">
        <v>2302</v>
      </c>
      <c r="AY91" s="8">
        <v>900</v>
      </c>
      <c r="AZ91" s="8">
        <v>3510</v>
      </c>
      <c r="BA91" s="8">
        <v>1005</v>
      </c>
      <c r="BB91" s="8">
        <v>364</v>
      </c>
      <c r="BE91" s="8">
        <v>203</v>
      </c>
      <c r="BF91" s="8">
        <v>212</v>
      </c>
    </row>
    <row r="92" spans="1:58" x14ac:dyDescent="0.2">
      <c r="A92" s="9">
        <v>39326</v>
      </c>
      <c r="B92" s="8">
        <v>10593</v>
      </c>
      <c r="C92" s="8">
        <v>4438</v>
      </c>
      <c r="D92" s="8">
        <v>6155</v>
      </c>
      <c r="E92" s="8">
        <v>848</v>
      </c>
      <c r="F92" s="8">
        <v>582</v>
      </c>
      <c r="G92" s="8">
        <v>27</v>
      </c>
      <c r="H92" s="8">
        <v>142</v>
      </c>
      <c r="I92" s="8">
        <v>199</v>
      </c>
      <c r="J92" s="8">
        <v>376</v>
      </c>
      <c r="K92" s="8">
        <v>639</v>
      </c>
      <c r="L92" s="8">
        <v>901</v>
      </c>
      <c r="M92" s="8">
        <v>152</v>
      </c>
      <c r="N92" s="8">
        <v>1049</v>
      </c>
      <c r="O92" s="8">
        <v>82</v>
      </c>
      <c r="P92" s="8">
        <v>13</v>
      </c>
      <c r="S92" s="8">
        <v>99</v>
      </c>
      <c r="T92" s="8">
        <v>178</v>
      </c>
      <c r="U92" s="8">
        <v>12925</v>
      </c>
      <c r="V92" s="8">
        <v>1728</v>
      </c>
      <c r="W92" s="8">
        <v>11197</v>
      </c>
      <c r="X92" s="8">
        <v>1989</v>
      </c>
      <c r="Y92" s="8">
        <v>196</v>
      </c>
      <c r="Z92" s="8">
        <v>906</v>
      </c>
      <c r="AA92" s="8">
        <v>663</v>
      </c>
      <c r="AB92" s="8">
        <v>961</v>
      </c>
      <c r="AC92" s="8">
        <v>352</v>
      </c>
      <c r="AD92" s="8">
        <v>1273</v>
      </c>
      <c r="AE92" s="8">
        <v>385</v>
      </c>
      <c r="AF92" s="8">
        <v>646</v>
      </c>
      <c r="AG92" s="8">
        <v>1622</v>
      </c>
      <c r="AH92" s="8">
        <v>634</v>
      </c>
      <c r="AI92" s="8">
        <v>330</v>
      </c>
      <c r="AL92" s="8">
        <v>217</v>
      </c>
      <c r="AM92" s="8">
        <v>202</v>
      </c>
      <c r="AN92" s="8">
        <v>23518</v>
      </c>
      <c r="AO92" s="8">
        <v>6166</v>
      </c>
      <c r="AP92" s="8">
        <v>17352</v>
      </c>
      <c r="AQ92" s="8">
        <v>2837</v>
      </c>
      <c r="AR92" s="8">
        <v>778</v>
      </c>
      <c r="AS92" s="8">
        <v>933</v>
      </c>
      <c r="AT92" s="8">
        <v>805</v>
      </c>
      <c r="AU92" s="8">
        <v>1160</v>
      </c>
      <c r="AV92" s="8">
        <v>728</v>
      </c>
      <c r="AW92" s="8">
        <v>1912</v>
      </c>
      <c r="AX92" s="8">
        <v>1286</v>
      </c>
      <c r="AY92" s="8">
        <v>799</v>
      </c>
      <c r="AZ92" s="8">
        <v>2672</v>
      </c>
      <c r="BA92" s="8">
        <v>716</v>
      </c>
      <c r="BB92" s="8">
        <v>343</v>
      </c>
      <c r="BE92" s="8">
        <v>316</v>
      </c>
      <c r="BF92" s="8">
        <v>380</v>
      </c>
    </row>
    <row r="93" spans="1:58" x14ac:dyDescent="0.2">
      <c r="A93" s="9">
        <v>39417</v>
      </c>
      <c r="B93" s="8">
        <v>13133</v>
      </c>
      <c r="C93" s="8">
        <v>5441</v>
      </c>
      <c r="D93" s="8">
        <v>7692</v>
      </c>
      <c r="E93" s="8">
        <v>959</v>
      </c>
      <c r="F93" s="8">
        <v>752</v>
      </c>
      <c r="G93" s="8">
        <v>37</v>
      </c>
      <c r="H93" s="8">
        <v>184</v>
      </c>
      <c r="I93" s="8">
        <v>264</v>
      </c>
      <c r="J93" s="8"/>
      <c r="K93" s="8">
        <v>681</v>
      </c>
      <c r="L93" s="8"/>
      <c r="M93" s="8">
        <v>157</v>
      </c>
      <c r="N93" s="8">
        <v>1632</v>
      </c>
      <c r="O93" s="8">
        <v>98</v>
      </c>
      <c r="P93" s="8"/>
      <c r="S93" s="8"/>
      <c r="T93" s="8"/>
      <c r="U93" s="8">
        <v>14727</v>
      </c>
      <c r="V93" s="8">
        <v>2093</v>
      </c>
      <c r="W93" s="8">
        <v>12634</v>
      </c>
      <c r="X93" s="8">
        <v>2379</v>
      </c>
      <c r="Y93" s="8">
        <v>290</v>
      </c>
      <c r="Z93" s="8">
        <v>1038</v>
      </c>
      <c r="AA93" s="8">
        <v>764</v>
      </c>
      <c r="AB93" s="8">
        <v>1000</v>
      </c>
      <c r="AC93" s="8"/>
      <c r="AD93" s="8">
        <v>1432</v>
      </c>
      <c r="AE93" s="8"/>
      <c r="AF93" s="8">
        <v>744</v>
      </c>
      <c r="AG93" s="8">
        <v>1766</v>
      </c>
      <c r="AH93" s="8">
        <v>839</v>
      </c>
      <c r="AI93" s="8"/>
      <c r="AL93" s="8"/>
      <c r="AM93" s="8"/>
      <c r="AN93" s="8">
        <v>27860</v>
      </c>
      <c r="AO93" s="8">
        <v>7534</v>
      </c>
      <c r="AP93" s="8">
        <v>20326</v>
      </c>
      <c r="AQ93" s="8">
        <v>3338</v>
      </c>
      <c r="AR93" s="8">
        <v>1042</v>
      </c>
      <c r="AS93" s="8">
        <v>1074</v>
      </c>
      <c r="AT93" s="8">
        <v>948</v>
      </c>
      <c r="AU93" s="8">
        <v>1264</v>
      </c>
      <c r="AV93" s="8">
        <v>929</v>
      </c>
      <c r="AW93" s="8">
        <v>2114</v>
      </c>
      <c r="AX93" s="8">
        <v>1504</v>
      </c>
      <c r="AY93" s="8">
        <v>901</v>
      </c>
      <c r="AZ93" s="8">
        <v>3399</v>
      </c>
      <c r="BA93" s="8">
        <v>936</v>
      </c>
      <c r="BB93" s="8">
        <v>312</v>
      </c>
      <c r="BE93" s="8">
        <v>196</v>
      </c>
      <c r="BF93" s="8">
        <v>358</v>
      </c>
    </row>
    <row r="94" spans="1:58" x14ac:dyDescent="0.2">
      <c r="A94" s="9">
        <v>39508</v>
      </c>
      <c r="B94" s="8">
        <v>11157</v>
      </c>
      <c r="C94" s="8">
        <v>4832</v>
      </c>
      <c r="D94" s="8">
        <v>6325</v>
      </c>
      <c r="E94" s="8">
        <v>977</v>
      </c>
      <c r="F94" s="8">
        <v>710</v>
      </c>
      <c r="G94" s="8">
        <v>53</v>
      </c>
      <c r="H94" s="8">
        <v>112</v>
      </c>
      <c r="I94" s="8">
        <v>159</v>
      </c>
      <c r="J94" s="8"/>
      <c r="K94" s="8">
        <v>568</v>
      </c>
      <c r="L94" s="8"/>
      <c r="M94" s="8">
        <v>120</v>
      </c>
      <c r="N94" s="8">
        <v>1149</v>
      </c>
      <c r="O94" s="8">
        <v>80</v>
      </c>
      <c r="P94" s="8"/>
      <c r="S94" s="8">
        <v>55</v>
      </c>
      <c r="T94" s="8">
        <v>135</v>
      </c>
      <c r="U94" s="8">
        <v>12035</v>
      </c>
      <c r="V94" s="8">
        <v>1890</v>
      </c>
      <c r="W94" s="8">
        <v>10145</v>
      </c>
      <c r="X94" s="8">
        <v>1932</v>
      </c>
      <c r="Y94" s="8">
        <v>268</v>
      </c>
      <c r="Z94" s="8">
        <v>824</v>
      </c>
      <c r="AA94" s="8">
        <v>588</v>
      </c>
      <c r="AB94" s="8">
        <v>621</v>
      </c>
      <c r="AC94" s="8"/>
      <c r="AD94" s="8">
        <v>1372</v>
      </c>
      <c r="AE94" s="8"/>
      <c r="AF94" s="8">
        <v>547</v>
      </c>
      <c r="AG94" s="8">
        <v>1218</v>
      </c>
      <c r="AH94" s="8">
        <v>755</v>
      </c>
      <c r="AI94" s="8"/>
      <c r="AL94" s="8">
        <v>81</v>
      </c>
      <c r="AM94" s="8">
        <v>162</v>
      </c>
      <c r="AN94" s="8">
        <v>23192</v>
      </c>
      <c r="AO94" s="8">
        <v>6722</v>
      </c>
      <c r="AP94" s="8">
        <v>16470</v>
      </c>
      <c r="AQ94" s="8">
        <v>2909</v>
      </c>
      <c r="AR94" s="8">
        <v>978</v>
      </c>
      <c r="AS94" s="8">
        <v>877</v>
      </c>
      <c r="AT94" s="8">
        <v>700</v>
      </c>
      <c r="AU94" s="8">
        <v>780</v>
      </c>
      <c r="AV94" s="8">
        <v>644</v>
      </c>
      <c r="AW94" s="8">
        <v>1939</v>
      </c>
      <c r="AX94" s="8">
        <v>1504</v>
      </c>
      <c r="AY94" s="8">
        <v>667</v>
      </c>
      <c r="AZ94" s="8">
        <v>2367</v>
      </c>
      <c r="BA94" s="8">
        <v>836</v>
      </c>
      <c r="BB94" s="8">
        <v>229</v>
      </c>
      <c r="BE94" s="8">
        <v>136</v>
      </c>
      <c r="BF94" s="8">
        <v>297</v>
      </c>
    </row>
    <row r="95" spans="1:58" x14ac:dyDescent="0.2">
      <c r="A95" s="9">
        <v>39600</v>
      </c>
      <c r="B95" s="8">
        <v>13274</v>
      </c>
      <c r="C95" s="8">
        <v>5978</v>
      </c>
      <c r="D95" s="8">
        <v>7296</v>
      </c>
      <c r="E95" s="8">
        <v>983</v>
      </c>
      <c r="F95" s="8">
        <v>568</v>
      </c>
      <c r="G95" s="8">
        <v>67</v>
      </c>
      <c r="H95" s="8">
        <v>178</v>
      </c>
      <c r="I95" s="8">
        <v>213</v>
      </c>
      <c r="J95" s="8"/>
      <c r="K95" s="8">
        <v>673</v>
      </c>
      <c r="L95" s="8"/>
      <c r="M95" s="8">
        <v>227</v>
      </c>
      <c r="N95" s="8">
        <v>1644</v>
      </c>
      <c r="O95" s="8">
        <v>61</v>
      </c>
      <c r="P95" s="8"/>
      <c r="S95" s="8">
        <v>94</v>
      </c>
      <c r="T95" s="8">
        <v>42</v>
      </c>
      <c r="U95" s="8">
        <v>16324</v>
      </c>
      <c r="V95" s="8">
        <v>2801</v>
      </c>
      <c r="W95" s="8">
        <v>13523</v>
      </c>
      <c r="X95" s="8">
        <v>2273</v>
      </c>
      <c r="Y95" s="8">
        <v>458</v>
      </c>
      <c r="Z95" s="8">
        <v>1128</v>
      </c>
      <c r="AA95" s="8">
        <v>765</v>
      </c>
      <c r="AB95" s="8">
        <v>1106</v>
      </c>
      <c r="AC95" s="8"/>
      <c r="AD95" s="8">
        <v>2087</v>
      </c>
      <c r="AE95" s="8"/>
      <c r="AF95" s="8">
        <v>663</v>
      </c>
      <c r="AG95" s="8">
        <v>1515</v>
      </c>
      <c r="AH95" s="8">
        <v>828</v>
      </c>
      <c r="AI95" s="8"/>
      <c r="AL95" s="8">
        <v>105</v>
      </c>
      <c r="AM95" s="8">
        <v>195</v>
      </c>
      <c r="AN95" s="8">
        <v>29597</v>
      </c>
      <c r="AO95" s="8">
        <v>8779</v>
      </c>
      <c r="AP95" s="8">
        <v>20819</v>
      </c>
      <c r="AQ95" s="8">
        <v>3256</v>
      </c>
      <c r="AR95" s="8">
        <v>1026</v>
      </c>
      <c r="AS95" s="8">
        <v>1195</v>
      </c>
      <c r="AT95" s="8">
        <v>943</v>
      </c>
      <c r="AU95" s="8">
        <v>1319</v>
      </c>
      <c r="AV95" s="8">
        <v>624</v>
      </c>
      <c r="AW95" s="8">
        <v>2760</v>
      </c>
      <c r="AX95" s="8">
        <v>2026</v>
      </c>
      <c r="AY95" s="8">
        <v>891</v>
      </c>
      <c r="AZ95" s="8">
        <v>3159</v>
      </c>
      <c r="BA95" s="8">
        <v>889</v>
      </c>
      <c r="BB95" s="8">
        <v>262</v>
      </c>
      <c r="BE95" s="8">
        <v>200</v>
      </c>
      <c r="BF95" s="8">
        <v>237</v>
      </c>
    </row>
    <row r="96" spans="1:58" x14ac:dyDescent="0.2">
      <c r="A96" s="9">
        <v>39692</v>
      </c>
      <c r="B96" s="8">
        <v>13412</v>
      </c>
      <c r="C96" s="8">
        <v>6331</v>
      </c>
      <c r="D96" s="8">
        <v>7081</v>
      </c>
      <c r="E96" s="8">
        <v>961</v>
      </c>
      <c r="F96" s="8">
        <v>735</v>
      </c>
      <c r="G96" s="8">
        <v>27</v>
      </c>
      <c r="H96" s="8">
        <v>112</v>
      </c>
      <c r="I96" s="8">
        <v>193</v>
      </c>
      <c r="J96" s="8">
        <v>410</v>
      </c>
      <c r="K96" s="8">
        <v>948</v>
      </c>
      <c r="L96" s="8">
        <v>883</v>
      </c>
      <c r="M96" s="8">
        <v>260</v>
      </c>
      <c r="N96" s="8">
        <v>1356</v>
      </c>
      <c r="O96" s="8">
        <v>47</v>
      </c>
      <c r="P96" s="8">
        <v>21</v>
      </c>
      <c r="S96" s="8">
        <v>76</v>
      </c>
      <c r="T96" s="8">
        <v>51</v>
      </c>
      <c r="U96" s="8">
        <v>14286</v>
      </c>
      <c r="V96" s="8">
        <v>2241</v>
      </c>
      <c r="W96" s="8">
        <v>12045</v>
      </c>
      <c r="X96" s="8">
        <v>1975</v>
      </c>
      <c r="Y96" s="8">
        <v>232</v>
      </c>
      <c r="Z96" s="8">
        <v>688</v>
      </c>
      <c r="AA96" s="8">
        <v>797</v>
      </c>
      <c r="AB96" s="8">
        <v>912</v>
      </c>
      <c r="AC96" s="8">
        <v>283</v>
      </c>
      <c r="AD96" s="8">
        <v>1777</v>
      </c>
      <c r="AE96" s="8">
        <v>699</v>
      </c>
      <c r="AF96" s="8">
        <v>676</v>
      </c>
      <c r="AG96" s="8">
        <v>1935</v>
      </c>
      <c r="AH96" s="8">
        <v>659</v>
      </c>
      <c r="AI96" s="8">
        <v>232</v>
      </c>
      <c r="AL96" s="8">
        <v>95</v>
      </c>
      <c r="AM96" s="8">
        <v>189</v>
      </c>
      <c r="AN96" s="8">
        <v>27698</v>
      </c>
      <c r="AO96" s="8">
        <v>8572</v>
      </c>
      <c r="AP96" s="8">
        <v>19126</v>
      </c>
      <c r="AQ96" s="8">
        <v>2936</v>
      </c>
      <c r="AR96" s="8">
        <v>967</v>
      </c>
      <c r="AS96" s="8">
        <v>715</v>
      </c>
      <c r="AT96" s="8">
        <v>910</v>
      </c>
      <c r="AU96" s="8">
        <v>1105</v>
      </c>
      <c r="AV96" s="8">
        <v>693</v>
      </c>
      <c r="AW96" s="8">
        <v>2725</v>
      </c>
      <c r="AX96" s="8">
        <v>1583</v>
      </c>
      <c r="AY96" s="8">
        <v>936</v>
      </c>
      <c r="AZ96" s="8">
        <v>3291</v>
      </c>
      <c r="BA96" s="8">
        <v>706</v>
      </c>
      <c r="BB96" s="8">
        <v>253</v>
      </c>
      <c r="BE96" s="8">
        <v>171</v>
      </c>
      <c r="BF96" s="8">
        <v>240</v>
      </c>
    </row>
    <row r="97" spans="1:58" x14ac:dyDescent="0.2">
      <c r="A97" s="9">
        <v>39783</v>
      </c>
      <c r="B97" s="8">
        <v>17500</v>
      </c>
      <c r="C97" s="8">
        <v>8121</v>
      </c>
      <c r="D97" s="8">
        <v>9379</v>
      </c>
      <c r="E97" s="8">
        <v>1264</v>
      </c>
      <c r="F97" s="8">
        <v>1223</v>
      </c>
      <c r="G97" s="8">
        <v>85</v>
      </c>
      <c r="H97" s="8">
        <v>249</v>
      </c>
      <c r="I97" s="8">
        <v>361</v>
      </c>
      <c r="J97" s="8">
        <v>266</v>
      </c>
      <c r="K97" s="8">
        <v>1340</v>
      </c>
      <c r="L97" s="8">
        <v>1074</v>
      </c>
      <c r="M97" s="8">
        <v>240</v>
      </c>
      <c r="N97" s="8">
        <v>1558</v>
      </c>
      <c r="O97" s="8">
        <v>79</v>
      </c>
      <c r="P97" s="8">
        <v>172</v>
      </c>
      <c r="S97" s="8">
        <v>133</v>
      </c>
      <c r="T97" s="8">
        <v>8</v>
      </c>
      <c r="U97" s="8">
        <v>16769</v>
      </c>
      <c r="V97" s="8">
        <v>2921</v>
      </c>
      <c r="W97" s="8">
        <v>13848</v>
      </c>
      <c r="X97" s="8">
        <v>2347</v>
      </c>
      <c r="Y97" s="8">
        <v>439</v>
      </c>
      <c r="Z97" s="8">
        <v>787</v>
      </c>
      <c r="AA97" s="8">
        <v>849</v>
      </c>
      <c r="AB97" s="8">
        <v>1150</v>
      </c>
      <c r="AC97" s="8">
        <v>406</v>
      </c>
      <c r="AD97" s="8">
        <v>2463</v>
      </c>
      <c r="AE97" s="8">
        <v>444</v>
      </c>
      <c r="AF97" s="8">
        <v>754</v>
      </c>
      <c r="AG97" s="8">
        <v>1669</v>
      </c>
      <c r="AH97" s="8">
        <v>936</v>
      </c>
      <c r="AI97" s="8">
        <v>234</v>
      </c>
      <c r="AL97" s="8">
        <v>130</v>
      </c>
      <c r="AM97" s="8">
        <v>215</v>
      </c>
      <c r="AN97" s="8">
        <v>34269</v>
      </c>
      <c r="AO97" s="8">
        <v>11042</v>
      </c>
      <c r="AP97" s="8">
        <v>23227</v>
      </c>
      <c r="AQ97" s="8">
        <v>3612</v>
      </c>
      <c r="AR97" s="8">
        <v>1662</v>
      </c>
      <c r="AS97" s="8">
        <v>872</v>
      </c>
      <c r="AT97" s="8">
        <v>1098</v>
      </c>
      <c r="AU97" s="8">
        <v>1510</v>
      </c>
      <c r="AV97" s="8">
        <v>673</v>
      </c>
      <c r="AW97" s="8">
        <v>3803</v>
      </c>
      <c r="AX97" s="8">
        <v>1518</v>
      </c>
      <c r="AY97" s="8">
        <v>994</v>
      </c>
      <c r="AZ97" s="8">
        <v>3228</v>
      </c>
      <c r="BA97" s="8">
        <v>1016</v>
      </c>
      <c r="BB97" s="8">
        <v>406</v>
      </c>
      <c r="BE97" s="8">
        <v>264</v>
      </c>
      <c r="BF97" s="8">
        <v>223</v>
      </c>
    </row>
    <row r="98" spans="1:58" x14ac:dyDescent="0.2">
      <c r="A98" s="9">
        <v>39873</v>
      </c>
      <c r="B98" s="8">
        <v>13585</v>
      </c>
      <c r="C98" s="8">
        <v>6807</v>
      </c>
      <c r="D98" s="8">
        <v>6778</v>
      </c>
      <c r="E98" s="8">
        <v>1035</v>
      </c>
      <c r="F98" s="8">
        <v>955</v>
      </c>
      <c r="G98" s="8">
        <v>52</v>
      </c>
      <c r="H98" s="8">
        <v>120</v>
      </c>
      <c r="I98" s="8">
        <v>141</v>
      </c>
      <c r="J98" s="8">
        <v>144</v>
      </c>
      <c r="K98" s="8">
        <v>1133</v>
      </c>
      <c r="L98" s="8">
        <v>983</v>
      </c>
      <c r="M98" s="8">
        <v>155</v>
      </c>
      <c r="N98" s="8">
        <v>901</v>
      </c>
      <c r="O98" s="8">
        <v>56</v>
      </c>
      <c r="P98" s="8">
        <v>37</v>
      </c>
      <c r="S98" s="8">
        <v>102</v>
      </c>
      <c r="T98" s="8">
        <v>26</v>
      </c>
      <c r="U98" s="8">
        <v>13291</v>
      </c>
      <c r="V98" s="8">
        <v>2284</v>
      </c>
      <c r="W98" s="8">
        <v>11008</v>
      </c>
      <c r="X98" s="8">
        <v>1820</v>
      </c>
      <c r="Y98" s="8">
        <v>263</v>
      </c>
      <c r="Z98" s="8">
        <v>1064</v>
      </c>
      <c r="AA98" s="8">
        <v>704</v>
      </c>
      <c r="AB98" s="8">
        <v>824</v>
      </c>
      <c r="AC98" s="8">
        <v>502</v>
      </c>
      <c r="AD98" s="8">
        <v>1816</v>
      </c>
      <c r="AE98" s="8">
        <v>464</v>
      </c>
      <c r="AF98" s="8">
        <v>604</v>
      </c>
      <c r="AG98" s="8">
        <v>1173</v>
      </c>
      <c r="AH98" s="8">
        <v>516</v>
      </c>
      <c r="AI98" s="8">
        <v>134</v>
      </c>
      <c r="AL98" s="8">
        <v>114</v>
      </c>
      <c r="AM98" s="8">
        <v>190</v>
      </c>
      <c r="AN98" s="8">
        <v>26876</v>
      </c>
      <c r="AO98" s="8">
        <v>9090</v>
      </c>
      <c r="AP98" s="8">
        <v>17786</v>
      </c>
      <c r="AQ98" s="8">
        <v>2855</v>
      </c>
      <c r="AR98" s="8">
        <v>1218</v>
      </c>
      <c r="AS98" s="8">
        <v>1116</v>
      </c>
      <c r="AT98" s="8">
        <v>825</v>
      </c>
      <c r="AU98" s="8">
        <v>965</v>
      </c>
      <c r="AV98" s="8">
        <v>646</v>
      </c>
      <c r="AW98" s="8">
        <v>2949</v>
      </c>
      <c r="AX98" s="8">
        <v>1447</v>
      </c>
      <c r="AY98" s="8">
        <v>759</v>
      </c>
      <c r="AZ98" s="8">
        <v>2074</v>
      </c>
      <c r="BA98" s="8">
        <v>572</v>
      </c>
      <c r="BB98" s="8">
        <v>171</v>
      </c>
      <c r="BE98" s="8">
        <v>216</v>
      </c>
      <c r="BF98" s="8">
        <v>216</v>
      </c>
    </row>
    <row r="99" spans="1:58" x14ac:dyDescent="0.2">
      <c r="A99" s="9">
        <v>39965</v>
      </c>
      <c r="B99" s="8">
        <v>15623</v>
      </c>
      <c r="C99" s="8">
        <v>6831</v>
      </c>
      <c r="D99" s="8">
        <v>8792</v>
      </c>
      <c r="E99" s="8">
        <v>1073</v>
      </c>
      <c r="F99" s="8">
        <v>1377</v>
      </c>
      <c r="G99" s="8">
        <v>78</v>
      </c>
      <c r="H99" s="8">
        <v>143</v>
      </c>
      <c r="I99" s="8">
        <v>232</v>
      </c>
      <c r="J99" s="8">
        <v>427</v>
      </c>
      <c r="K99" s="8">
        <v>1298</v>
      </c>
      <c r="L99" s="8">
        <v>1272</v>
      </c>
      <c r="M99" s="8">
        <v>166</v>
      </c>
      <c r="N99" s="8">
        <v>1155</v>
      </c>
      <c r="O99" s="8">
        <v>55</v>
      </c>
      <c r="P99" s="8">
        <v>57</v>
      </c>
      <c r="S99" s="8">
        <v>123</v>
      </c>
      <c r="T99" s="8">
        <v>76</v>
      </c>
      <c r="U99" s="8">
        <v>17104</v>
      </c>
      <c r="V99" s="8">
        <v>2442</v>
      </c>
      <c r="W99" s="8">
        <v>14662</v>
      </c>
      <c r="X99" s="8">
        <v>2206</v>
      </c>
      <c r="Y99" s="8">
        <v>332</v>
      </c>
      <c r="Z99" s="8">
        <v>1315</v>
      </c>
      <c r="AA99" s="8">
        <v>903</v>
      </c>
      <c r="AB99" s="8">
        <v>1270</v>
      </c>
      <c r="AC99" s="8">
        <v>663</v>
      </c>
      <c r="AD99" s="8">
        <v>2274</v>
      </c>
      <c r="AE99" s="8">
        <v>512</v>
      </c>
      <c r="AF99" s="8">
        <v>610</v>
      </c>
      <c r="AG99" s="8">
        <v>1333</v>
      </c>
      <c r="AH99" s="8">
        <v>1034</v>
      </c>
      <c r="AI99" s="8">
        <v>484</v>
      </c>
      <c r="AL99" s="8">
        <v>174</v>
      </c>
      <c r="AM99" s="8">
        <v>442</v>
      </c>
      <c r="AN99" s="8">
        <v>32727</v>
      </c>
      <c r="AO99" s="8">
        <v>9273</v>
      </c>
      <c r="AP99" s="8">
        <v>23454</v>
      </c>
      <c r="AQ99" s="8">
        <v>3279</v>
      </c>
      <c r="AR99" s="8">
        <v>1710</v>
      </c>
      <c r="AS99" s="8">
        <v>1393</v>
      </c>
      <c r="AT99" s="8">
        <v>1046</v>
      </c>
      <c r="AU99" s="8">
        <v>1502</v>
      </c>
      <c r="AV99" s="8">
        <v>1090</v>
      </c>
      <c r="AW99" s="8">
        <v>3572</v>
      </c>
      <c r="AX99" s="8">
        <v>1784</v>
      </c>
      <c r="AY99" s="8">
        <v>776</v>
      </c>
      <c r="AZ99" s="8">
        <v>2487</v>
      </c>
      <c r="BA99" s="8">
        <v>1090</v>
      </c>
      <c r="BB99" s="8">
        <v>541</v>
      </c>
      <c r="BE99" s="8">
        <v>297</v>
      </c>
      <c r="BF99" s="8">
        <v>518</v>
      </c>
    </row>
    <row r="100" spans="1:58" x14ac:dyDescent="0.2">
      <c r="A100" s="9">
        <v>40057</v>
      </c>
      <c r="B100" s="8">
        <v>12784</v>
      </c>
      <c r="C100" s="8">
        <v>6044</v>
      </c>
      <c r="D100" s="8">
        <v>6740</v>
      </c>
      <c r="E100" s="8">
        <v>936</v>
      </c>
      <c r="F100" s="8">
        <v>932</v>
      </c>
      <c r="G100" s="8">
        <v>47</v>
      </c>
      <c r="H100" s="8">
        <v>128</v>
      </c>
      <c r="I100" s="8">
        <v>262</v>
      </c>
      <c r="J100" s="8">
        <v>312</v>
      </c>
      <c r="K100" s="8">
        <v>1016</v>
      </c>
      <c r="L100" s="8">
        <v>893</v>
      </c>
      <c r="M100" s="8">
        <v>104</v>
      </c>
      <c r="N100" s="8">
        <v>804</v>
      </c>
      <c r="O100" s="8">
        <v>112</v>
      </c>
      <c r="P100" s="8">
        <v>69</v>
      </c>
      <c r="S100" s="8">
        <v>100</v>
      </c>
      <c r="T100" s="8">
        <v>77</v>
      </c>
      <c r="U100" s="8">
        <v>13738</v>
      </c>
      <c r="V100" s="8">
        <v>1916</v>
      </c>
      <c r="W100" s="8">
        <v>11821</v>
      </c>
      <c r="X100" s="8">
        <v>1679</v>
      </c>
      <c r="Y100" s="8">
        <v>311</v>
      </c>
      <c r="Z100" s="8">
        <v>1019</v>
      </c>
      <c r="AA100" s="8">
        <v>638</v>
      </c>
      <c r="AB100" s="8">
        <v>910</v>
      </c>
      <c r="AC100" s="8">
        <v>399</v>
      </c>
      <c r="AD100" s="8">
        <v>2035</v>
      </c>
      <c r="AE100" s="8">
        <v>382</v>
      </c>
      <c r="AF100" s="8">
        <v>506</v>
      </c>
      <c r="AG100" s="8">
        <v>1594</v>
      </c>
      <c r="AH100" s="8">
        <v>741</v>
      </c>
      <c r="AI100" s="8">
        <v>263</v>
      </c>
      <c r="AL100" s="8">
        <v>176</v>
      </c>
      <c r="AM100" s="8">
        <v>264</v>
      </c>
      <c r="AN100" s="8">
        <v>26522</v>
      </c>
      <c r="AO100" s="8">
        <v>7961</v>
      </c>
      <c r="AP100" s="8">
        <v>18561</v>
      </c>
      <c r="AQ100" s="8">
        <v>2615</v>
      </c>
      <c r="AR100" s="8">
        <v>1243</v>
      </c>
      <c r="AS100" s="8">
        <v>1066</v>
      </c>
      <c r="AT100" s="8">
        <v>766</v>
      </c>
      <c r="AU100" s="8">
        <v>1172</v>
      </c>
      <c r="AV100" s="8">
        <v>711</v>
      </c>
      <c r="AW100" s="8">
        <v>3051</v>
      </c>
      <c r="AX100" s="8">
        <v>1275</v>
      </c>
      <c r="AY100" s="8">
        <v>611</v>
      </c>
      <c r="AZ100" s="8">
        <v>2399</v>
      </c>
      <c r="BA100" s="8">
        <v>853</v>
      </c>
      <c r="BB100" s="8">
        <v>332</v>
      </c>
      <c r="BE100" s="8">
        <v>276</v>
      </c>
      <c r="BF100" s="8">
        <v>341</v>
      </c>
    </row>
    <row r="101" spans="1:58" x14ac:dyDescent="0.2">
      <c r="A101" s="9">
        <v>40148</v>
      </c>
      <c r="B101" s="8">
        <v>14818</v>
      </c>
      <c r="C101" s="8">
        <v>6792</v>
      </c>
      <c r="D101" s="8">
        <v>8026</v>
      </c>
      <c r="E101" s="8">
        <v>1186</v>
      </c>
      <c r="F101" s="8">
        <v>1184</v>
      </c>
      <c r="G101" s="8">
        <v>70</v>
      </c>
      <c r="H101" s="8">
        <v>142</v>
      </c>
      <c r="I101" s="8">
        <v>254</v>
      </c>
      <c r="J101" s="8">
        <v>476</v>
      </c>
      <c r="K101" s="8">
        <v>996</v>
      </c>
      <c r="L101" s="8">
        <v>849</v>
      </c>
      <c r="M101" s="8">
        <v>178</v>
      </c>
      <c r="N101" s="8">
        <v>1224</v>
      </c>
      <c r="O101" s="8">
        <v>119</v>
      </c>
      <c r="P101" s="8">
        <v>18</v>
      </c>
      <c r="S101" s="8">
        <v>97</v>
      </c>
      <c r="T101" s="8">
        <v>117</v>
      </c>
      <c r="U101" s="8">
        <v>17534</v>
      </c>
      <c r="V101" s="8">
        <v>2534</v>
      </c>
      <c r="W101" s="8">
        <v>15000</v>
      </c>
      <c r="X101" s="8">
        <v>2226</v>
      </c>
      <c r="Y101" s="8">
        <v>365</v>
      </c>
      <c r="Z101" s="8">
        <v>1562</v>
      </c>
      <c r="AA101" s="8">
        <v>951</v>
      </c>
      <c r="AB101" s="8">
        <v>1095</v>
      </c>
      <c r="AC101" s="8">
        <v>476</v>
      </c>
      <c r="AD101" s="8">
        <v>2430</v>
      </c>
      <c r="AE101" s="8">
        <v>446</v>
      </c>
      <c r="AF101" s="8">
        <v>564</v>
      </c>
      <c r="AG101" s="8">
        <v>1910</v>
      </c>
      <c r="AH101" s="8">
        <v>1012</v>
      </c>
      <c r="AI101" s="8">
        <v>381</v>
      </c>
      <c r="AL101" s="8">
        <v>130</v>
      </c>
      <c r="AM101" s="8">
        <v>314</v>
      </c>
      <c r="AN101" s="8">
        <v>32352</v>
      </c>
      <c r="AO101" s="8">
        <v>9326</v>
      </c>
      <c r="AP101" s="8">
        <v>23027</v>
      </c>
      <c r="AQ101" s="8">
        <v>3412</v>
      </c>
      <c r="AR101" s="8">
        <v>1549</v>
      </c>
      <c r="AS101" s="8">
        <v>1632</v>
      </c>
      <c r="AT101" s="8">
        <v>1093</v>
      </c>
      <c r="AU101" s="8">
        <v>1349</v>
      </c>
      <c r="AV101" s="8">
        <v>952</v>
      </c>
      <c r="AW101" s="8">
        <v>3426</v>
      </c>
      <c r="AX101" s="8">
        <v>1295</v>
      </c>
      <c r="AY101" s="8">
        <v>742</v>
      </c>
      <c r="AZ101" s="8">
        <v>3135</v>
      </c>
      <c r="BA101" s="8">
        <v>1130</v>
      </c>
      <c r="BB101" s="8">
        <v>399</v>
      </c>
      <c r="BE101" s="8">
        <v>227</v>
      </c>
      <c r="BF101" s="8">
        <v>431</v>
      </c>
    </row>
    <row r="102" spans="1:58" x14ac:dyDescent="0.2">
      <c r="A102" s="9">
        <v>40238</v>
      </c>
      <c r="B102" s="8">
        <v>13055</v>
      </c>
      <c r="C102" s="8">
        <v>6189</v>
      </c>
      <c r="D102" s="8">
        <v>6867</v>
      </c>
      <c r="E102" s="8">
        <v>804</v>
      </c>
      <c r="F102" s="8">
        <v>928</v>
      </c>
      <c r="G102" s="8">
        <v>46</v>
      </c>
      <c r="H102" s="8">
        <v>57</v>
      </c>
      <c r="I102" s="8">
        <v>156</v>
      </c>
      <c r="J102" s="8">
        <v>219</v>
      </c>
      <c r="K102" s="8">
        <v>843</v>
      </c>
      <c r="L102" s="8"/>
      <c r="M102" s="8"/>
      <c r="N102" s="8">
        <v>1484</v>
      </c>
      <c r="O102" s="8">
        <v>161</v>
      </c>
      <c r="P102" s="8">
        <v>52</v>
      </c>
      <c r="S102" s="8">
        <v>64</v>
      </c>
      <c r="T102" s="8">
        <v>117</v>
      </c>
      <c r="U102" s="8">
        <v>12633</v>
      </c>
      <c r="V102" s="8">
        <v>1900</v>
      </c>
      <c r="W102" s="8">
        <v>10733</v>
      </c>
      <c r="X102" s="8">
        <v>1649</v>
      </c>
      <c r="Y102" s="8">
        <v>255</v>
      </c>
      <c r="Z102" s="8">
        <v>1513</v>
      </c>
      <c r="AA102" s="8">
        <v>710</v>
      </c>
      <c r="AB102" s="8">
        <v>661</v>
      </c>
      <c r="AC102" s="8">
        <v>322</v>
      </c>
      <c r="AD102" s="8">
        <v>1459</v>
      </c>
      <c r="AE102" s="8"/>
      <c r="AF102" s="8"/>
      <c r="AG102" s="8">
        <v>1252</v>
      </c>
      <c r="AH102" s="8">
        <v>673</v>
      </c>
      <c r="AI102" s="8">
        <v>166</v>
      </c>
      <c r="AL102" s="8">
        <v>165</v>
      </c>
      <c r="AM102" s="8">
        <v>172</v>
      </c>
      <c r="AN102" s="8">
        <v>25688</v>
      </c>
      <c r="AO102" s="8">
        <v>8088</v>
      </c>
      <c r="AP102" s="8">
        <v>17600</v>
      </c>
      <c r="AQ102" s="8">
        <v>2453</v>
      </c>
      <c r="AR102" s="8">
        <v>1183</v>
      </c>
      <c r="AS102" s="8">
        <v>1558</v>
      </c>
      <c r="AT102" s="8">
        <v>767</v>
      </c>
      <c r="AU102" s="8">
        <v>817</v>
      </c>
      <c r="AV102" s="8">
        <v>541</v>
      </c>
      <c r="AW102" s="8">
        <v>2302</v>
      </c>
      <c r="AX102" s="8">
        <v>1194</v>
      </c>
      <c r="AY102" s="8">
        <v>680</v>
      </c>
      <c r="AZ102" s="8">
        <v>2736</v>
      </c>
      <c r="BA102" s="8">
        <v>834</v>
      </c>
      <c r="BB102" s="8">
        <v>218</v>
      </c>
      <c r="BE102" s="8">
        <v>229</v>
      </c>
      <c r="BF102" s="8">
        <v>289</v>
      </c>
    </row>
    <row r="103" spans="1:58" x14ac:dyDescent="0.2">
      <c r="A103" s="9">
        <v>40330</v>
      </c>
      <c r="B103" s="8">
        <v>15429</v>
      </c>
      <c r="C103" s="8">
        <v>7449</v>
      </c>
      <c r="D103" s="8">
        <v>7980</v>
      </c>
      <c r="E103" s="8">
        <v>1119</v>
      </c>
      <c r="F103" s="8">
        <v>1405</v>
      </c>
      <c r="G103" s="8">
        <v>78</v>
      </c>
      <c r="H103" s="8">
        <v>109</v>
      </c>
      <c r="I103" s="8">
        <v>156</v>
      </c>
      <c r="J103" s="8">
        <v>277</v>
      </c>
      <c r="K103" s="8">
        <v>879</v>
      </c>
      <c r="L103" s="8"/>
      <c r="M103" s="8"/>
      <c r="N103" s="8">
        <v>1379</v>
      </c>
      <c r="O103" s="8">
        <v>195</v>
      </c>
      <c r="P103" s="8">
        <v>42</v>
      </c>
      <c r="S103" s="8">
        <v>99</v>
      </c>
      <c r="T103" s="8">
        <v>155</v>
      </c>
      <c r="U103" s="8">
        <v>15077</v>
      </c>
      <c r="V103" s="8">
        <v>2361</v>
      </c>
      <c r="W103" s="8">
        <v>12717</v>
      </c>
      <c r="X103" s="8">
        <v>2144</v>
      </c>
      <c r="Y103" s="8">
        <v>347</v>
      </c>
      <c r="Z103" s="8">
        <v>1788</v>
      </c>
      <c r="AA103" s="8">
        <v>607</v>
      </c>
      <c r="AB103" s="8">
        <v>942</v>
      </c>
      <c r="AC103" s="8">
        <v>433</v>
      </c>
      <c r="AD103" s="8">
        <v>1515</v>
      </c>
      <c r="AE103" s="8"/>
      <c r="AF103" s="8"/>
      <c r="AG103" s="8">
        <v>1714</v>
      </c>
      <c r="AH103" s="8">
        <v>709</v>
      </c>
      <c r="AI103" s="8">
        <v>257</v>
      </c>
      <c r="AL103" s="8">
        <v>176</v>
      </c>
      <c r="AM103" s="8">
        <v>177</v>
      </c>
      <c r="AN103" s="8">
        <v>30507</v>
      </c>
      <c r="AO103" s="8">
        <v>9810</v>
      </c>
      <c r="AP103" s="8">
        <v>20697</v>
      </c>
      <c r="AQ103" s="8">
        <v>3263</v>
      </c>
      <c r="AR103" s="8">
        <v>1752</v>
      </c>
      <c r="AS103" s="8">
        <v>1866</v>
      </c>
      <c r="AT103" s="8">
        <v>716</v>
      </c>
      <c r="AU103" s="8">
        <v>1098</v>
      </c>
      <c r="AV103" s="8">
        <v>710</v>
      </c>
      <c r="AW103" s="8">
        <v>2393</v>
      </c>
      <c r="AX103" s="8">
        <v>1259</v>
      </c>
      <c r="AY103" s="8">
        <v>676</v>
      </c>
      <c r="AZ103" s="8">
        <v>3093</v>
      </c>
      <c r="BA103" s="8">
        <v>904</v>
      </c>
      <c r="BB103" s="8">
        <v>299</v>
      </c>
      <c r="BE103" s="8">
        <v>275</v>
      </c>
      <c r="BF103" s="8">
        <v>333</v>
      </c>
    </row>
    <row r="104" spans="1:58" x14ac:dyDescent="0.2">
      <c r="A104" s="9">
        <v>40422</v>
      </c>
      <c r="B104" s="8">
        <v>16154</v>
      </c>
      <c r="C104" s="8">
        <v>8350</v>
      </c>
      <c r="D104" s="8">
        <v>7804</v>
      </c>
      <c r="E104" s="8">
        <v>950</v>
      </c>
      <c r="F104" s="8">
        <v>1308</v>
      </c>
      <c r="G104" s="8">
        <v>59</v>
      </c>
      <c r="H104" s="8">
        <v>113</v>
      </c>
      <c r="I104" s="8">
        <v>362</v>
      </c>
      <c r="J104" s="8">
        <v>289</v>
      </c>
      <c r="K104" s="8">
        <v>885</v>
      </c>
      <c r="L104" s="8"/>
      <c r="M104" s="8"/>
      <c r="N104" s="8">
        <v>1444</v>
      </c>
      <c r="O104" s="8">
        <v>160</v>
      </c>
      <c r="P104" s="8">
        <v>33</v>
      </c>
      <c r="S104" s="8">
        <v>110</v>
      </c>
      <c r="T104" s="8">
        <v>91</v>
      </c>
      <c r="U104" s="8">
        <v>12447</v>
      </c>
      <c r="V104" s="8">
        <v>2070</v>
      </c>
      <c r="W104" s="8">
        <v>10377</v>
      </c>
      <c r="X104" s="8">
        <v>1748</v>
      </c>
      <c r="Y104" s="8">
        <v>269</v>
      </c>
      <c r="Z104" s="8">
        <v>1045</v>
      </c>
      <c r="AA104" s="8">
        <v>640</v>
      </c>
      <c r="AB104" s="8">
        <v>685</v>
      </c>
      <c r="AC104" s="8">
        <v>319</v>
      </c>
      <c r="AD104" s="8">
        <v>1049</v>
      </c>
      <c r="AE104" s="8"/>
      <c r="AF104" s="8"/>
      <c r="AG104" s="8">
        <v>1723</v>
      </c>
      <c r="AH104" s="8">
        <v>640</v>
      </c>
      <c r="AI104" s="8">
        <v>237</v>
      </c>
      <c r="AL104" s="8">
        <v>163</v>
      </c>
      <c r="AM104" s="8">
        <v>177</v>
      </c>
      <c r="AN104" s="8">
        <v>28601</v>
      </c>
      <c r="AO104" s="8">
        <v>10420</v>
      </c>
      <c r="AP104" s="8">
        <v>18181</v>
      </c>
      <c r="AQ104" s="8">
        <v>2699</v>
      </c>
      <c r="AR104" s="8">
        <v>1577</v>
      </c>
      <c r="AS104" s="8">
        <v>1103</v>
      </c>
      <c r="AT104" s="8">
        <v>753</v>
      </c>
      <c r="AU104" s="8">
        <v>1047</v>
      </c>
      <c r="AV104" s="8">
        <v>608</v>
      </c>
      <c r="AW104" s="8">
        <v>1934</v>
      </c>
      <c r="AX104" s="8">
        <v>1097</v>
      </c>
      <c r="AY104" s="8">
        <v>700</v>
      </c>
      <c r="AZ104" s="8">
        <v>3167</v>
      </c>
      <c r="BA104" s="8">
        <v>799</v>
      </c>
      <c r="BB104" s="8">
        <v>270</v>
      </c>
      <c r="BE104" s="8">
        <v>272</v>
      </c>
      <c r="BF104" s="8">
        <v>268</v>
      </c>
    </row>
    <row r="105" spans="1:58" x14ac:dyDescent="0.2">
      <c r="A105" s="9">
        <v>40513</v>
      </c>
      <c r="B105" s="8">
        <v>17859</v>
      </c>
      <c r="C105" s="8">
        <v>8972</v>
      </c>
      <c r="D105" s="8">
        <v>8887</v>
      </c>
      <c r="E105" s="8">
        <v>1351</v>
      </c>
      <c r="F105" s="8">
        <v>1221</v>
      </c>
      <c r="G105" s="8">
        <v>83</v>
      </c>
      <c r="H105" s="8">
        <v>167</v>
      </c>
      <c r="I105" s="8">
        <v>316</v>
      </c>
      <c r="J105" s="8">
        <v>330</v>
      </c>
      <c r="K105" s="8">
        <v>1157</v>
      </c>
      <c r="L105" s="8"/>
      <c r="M105" s="8"/>
      <c r="N105" s="8">
        <v>1552</v>
      </c>
      <c r="O105" s="8">
        <v>336</v>
      </c>
      <c r="P105" s="8">
        <v>25</v>
      </c>
      <c r="S105" s="8">
        <v>125</v>
      </c>
      <c r="T105" s="8">
        <v>150</v>
      </c>
      <c r="U105" s="8">
        <v>15741</v>
      </c>
      <c r="V105" s="8">
        <v>2572</v>
      </c>
      <c r="W105" s="8">
        <v>13170</v>
      </c>
      <c r="X105" s="8">
        <v>2054</v>
      </c>
      <c r="Y105" s="8">
        <v>510</v>
      </c>
      <c r="Z105" s="8">
        <v>1383</v>
      </c>
      <c r="AA105" s="8">
        <v>792</v>
      </c>
      <c r="AB105" s="8">
        <v>868</v>
      </c>
      <c r="AC105" s="8">
        <v>543</v>
      </c>
      <c r="AD105" s="8">
        <v>2157</v>
      </c>
      <c r="AE105" s="8"/>
      <c r="AF105" s="8"/>
      <c r="AG105" s="8">
        <v>1423</v>
      </c>
      <c r="AH105" s="8">
        <v>720</v>
      </c>
      <c r="AI105" s="8">
        <v>257</v>
      </c>
      <c r="AL105" s="8">
        <v>104</v>
      </c>
      <c r="AM105" s="8">
        <v>227</v>
      </c>
      <c r="AN105" s="8">
        <v>33600</v>
      </c>
      <c r="AO105" s="8">
        <v>11543</v>
      </c>
      <c r="AP105" s="8">
        <v>22057</v>
      </c>
      <c r="AQ105" s="8">
        <v>3405</v>
      </c>
      <c r="AR105" s="8">
        <v>1730</v>
      </c>
      <c r="AS105" s="8">
        <v>1466</v>
      </c>
      <c r="AT105" s="8">
        <v>960</v>
      </c>
      <c r="AU105" s="8">
        <v>1184</v>
      </c>
      <c r="AV105" s="8">
        <v>873</v>
      </c>
      <c r="AW105" s="8">
        <v>3313</v>
      </c>
      <c r="AX105" s="8">
        <v>1181</v>
      </c>
      <c r="AY105" s="8">
        <v>806</v>
      </c>
      <c r="AZ105" s="8">
        <v>2974</v>
      </c>
      <c r="BA105" s="8">
        <v>1056</v>
      </c>
      <c r="BB105" s="8">
        <v>282</v>
      </c>
      <c r="BE105" s="8">
        <v>229</v>
      </c>
      <c r="BF105" s="8">
        <v>377</v>
      </c>
    </row>
    <row r="106" spans="1:58" x14ac:dyDescent="0.2">
      <c r="A106" s="9">
        <v>40603</v>
      </c>
      <c r="B106" s="8">
        <v>16122</v>
      </c>
      <c r="C106" s="8">
        <v>8427</v>
      </c>
      <c r="D106" s="8">
        <v>7695</v>
      </c>
      <c r="E106" s="8">
        <v>1154</v>
      </c>
      <c r="F106" s="8">
        <v>958</v>
      </c>
      <c r="G106" s="8">
        <v>64</v>
      </c>
      <c r="H106" s="8">
        <v>84</v>
      </c>
      <c r="I106" s="8">
        <v>154</v>
      </c>
      <c r="J106" s="8">
        <v>222</v>
      </c>
      <c r="K106" s="8">
        <v>944</v>
      </c>
      <c r="L106" s="8"/>
      <c r="M106" s="8"/>
      <c r="N106" s="8">
        <v>1682</v>
      </c>
      <c r="O106" s="8">
        <v>207</v>
      </c>
      <c r="P106" s="8">
        <v>36</v>
      </c>
      <c r="S106" s="8">
        <v>151</v>
      </c>
      <c r="T106" s="8">
        <v>102</v>
      </c>
      <c r="U106" s="8">
        <v>12821</v>
      </c>
      <c r="V106" s="8">
        <v>2098</v>
      </c>
      <c r="W106" s="8">
        <v>10723</v>
      </c>
      <c r="X106" s="8">
        <v>1616</v>
      </c>
      <c r="Y106" s="8">
        <v>433</v>
      </c>
      <c r="Z106" s="8">
        <v>1359</v>
      </c>
      <c r="AA106" s="8">
        <v>628</v>
      </c>
      <c r="AB106" s="8">
        <v>578</v>
      </c>
      <c r="AC106" s="8">
        <v>346</v>
      </c>
      <c r="AD106" s="8">
        <v>1925</v>
      </c>
      <c r="AE106" s="8"/>
      <c r="AF106" s="8"/>
      <c r="AG106" s="8">
        <v>1141</v>
      </c>
      <c r="AH106" s="8">
        <v>589</v>
      </c>
      <c r="AI106" s="8">
        <v>211</v>
      </c>
      <c r="AL106" s="8">
        <v>124</v>
      </c>
      <c r="AM106" s="8">
        <v>171</v>
      </c>
      <c r="AN106" s="8">
        <v>28943</v>
      </c>
      <c r="AO106" s="8">
        <v>10525</v>
      </c>
      <c r="AP106" s="8">
        <v>18418</v>
      </c>
      <c r="AQ106" s="8">
        <v>2769</v>
      </c>
      <c r="AR106" s="8">
        <v>1391</v>
      </c>
      <c r="AS106" s="8">
        <v>1423</v>
      </c>
      <c r="AT106" s="8">
        <v>712</v>
      </c>
      <c r="AU106" s="8">
        <v>732</v>
      </c>
      <c r="AV106" s="8">
        <v>568</v>
      </c>
      <c r="AW106" s="8">
        <v>2869</v>
      </c>
      <c r="AX106" s="8">
        <v>1129</v>
      </c>
      <c r="AY106" s="8">
        <v>531</v>
      </c>
      <c r="AZ106" s="8">
        <v>2823</v>
      </c>
      <c r="BA106" s="8">
        <v>795</v>
      </c>
      <c r="BB106" s="8">
        <v>248</v>
      </c>
      <c r="BE106" s="8">
        <v>275</v>
      </c>
      <c r="BF106" s="8">
        <v>273</v>
      </c>
    </row>
    <row r="107" spans="1:58" x14ac:dyDescent="0.2">
      <c r="A107" s="9">
        <v>40695</v>
      </c>
      <c r="B107" s="8">
        <v>20642</v>
      </c>
      <c r="C107" s="8">
        <v>11130</v>
      </c>
      <c r="D107" s="8">
        <v>9512</v>
      </c>
      <c r="E107" s="8">
        <v>1457</v>
      </c>
      <c r="F107" s="8">
        <v>1039</v>
      </c>
      <c r="G107" s="8">
        <v>94</v>
      </c>
      <c r="H107" s="8">
        <v>130</v>
      </c>
      <c r="I107" s="8">
        <v>229</v>
      </c>
      <c r="J107" s="8">
        <v>300</v>
      </c>
      <c r="K107" s="8">
        <v>1415</v>
      </c>
      <c r="L107" s="8"/>
      <c r="M107" s="8"/>
      <c r="N107" s="8">
        <v>1848</v>
      </c>
      <c r="O107" s="8">
        <v>178</v>
      </c>
      <c r="P107" s="8">
        <v>70</v>
      </c>
      <c r="S107" s="8">
        <v>187</v>
      </c>
      <c r="T107" s="8">
        <v>136</v>
      </c>
      <c r="U107" s="8">
        <v>15796</v>
      </c>
      <c r="V107" s="8">
        <v>3229</v>
      </c>
      <c r="W107" s="8">
        <v>12567</v>
      </c>
      <c r="X107" s="8">
        <v>2014</v>
      </c>
      <c r="Y107" s="8">
        <v>456</v>
      </c>
      <c r="Z107" s="8">
        <v>1357</v>
      </c>
      <c r="AA107" s="8">
        <v>715</v>
      </c>
      <c r="AB107" s="8">
        <v>959</v>
      </c>
      <c r="AC107" s="8">
        <v>480</v>
      </c>
      <c r="AD107" s="8">
        <v>2015</v>
      </c>
      <c r="AE107" s="8"/>
      <c r="AF107" s="8"/>
      <c r="AG107" s="8">
        <v>1127</v>
      </c>
      <c r="AH107" s="8">
        <v>823</v>
      </c>
      <c r="AI107" s="8">
        <v>243</v>
      </c>
      <c r="AL107" s="8">
        <v>100</v>
      </c>
      <c r="AM107" s="8">
        <v>279</v>
      </c>
      <c r="AN107" s="8">
        <v>36437</v>
      </c>
      <c r="AO107" s="8">
        <v>14359</v>
      </c>
      <c r="AP107" s="8">
        <v>22079</v>
      </c>
      <c r="AQ107" s="8">
        <v>3470</v>
      </c>
      <c r="AR107" s="8">
        <v>1495</v>
      </c>
      <c r="AS107" s="8">
        <v>1451</v>
      </c>
      <c r="AT107" s="8">
        <v>845</v>
      </c>
      <c r="AU107" s="8">
        <v>1188</v>
      </c>
      <c r="AV107" s="8">
        <v>780</v>
      </c>
      <c r="AW107" s="8">
        <v>3430</v>
      </c>
      <c r="AX107" s="8">
        <v>1379</v>
      </c>
      <c r="AY107" s="8">
        <v>795</v>
      </c>
      <c r="AZ107" s="8">
        <v>2975</v>
      </c>
      <c r="BA107" s="8">
        <v>1001</v>
      </c>
      <c r="BB107" s="8">
        <v>313</v>
      </c>
      <c r="BE107" s="8">
        <v>288</v>
      </c>
      <c r="BF107" s="8">
        <v>415</v>
      </c>
    </row>
    <row r="108" spans="1:58" x14ac:dyDescent="0.2">
      <c r="A108" s="9">
        <v>40787</v>
      </c>
      <c r="B108" s="8">
        <v>23180</v>
      </c>
      <c r="C108" s="8">
        <v>14468</v>
      </c>
      <c r="D108" s="8">
        <v>8712</v>
      </c>
      <c r="E108" s="8">
        <v>1554</v>
      </c>
      <c r="F108" s="8">
        <v>750</v>
      </c>
      <c r="G108" s="8">
        <v>45</v>
      </c>
      <c r="H108" s="8">
        <v>214</v>
      </c>
      <c r="I108" s="8">
        <v>308</v>
      </c>
      <c r="J108" s="8">
        <v>341</v>
      </c>
      <c r="K108" s="8">
        <v>1511</v>
      </c>
      <c r="L108" s="8">
        <v>835</v>
      </c>
      <c r="M108" s="8">
        <v>169</v>
      </c>
      <c r="N108" s="8">
        <v>1318</v>
      </c>
      <c r="O108" s="8">
        <v>164</v>
      </c>
      <c r="P108" s="8">
        <v>96</v>
      </c>
      <c r="S108" s="8">
        <v>155</v>
      </c>
      <c r="T108" s="8">
        <v>84</v>
      </c>
      <c r="U108" s="8">
        <v>14332</v>
      </c>
      <c r="V108" s="8">
        <v>2829</v>
      </c>
      <c r="W108" s="8">
        <v>11502</v>
      </c>
      <c r="X108" s="8">
        <v>1846</v>
      </c>
      <c r="Y108" s="8">
        <v>464</v>
      </c>
      <c r="Z108" s="8">
        <v>823</v>
      </c>
      <c r="AA108" s="8">
        <v>741</v>
      </c>
      <c r="AB108" s="8">
        <v>786</v>
      </c>
      <c r="AC108" s="8">
        <v>475</v>
      </c>
      <c r="AD108" s="8">
        <v>1982</v>
      </c>
      <c r="AE108" s="8">
        <v>364</v>
      </c>
      <c r="AF108" s="8">
        <v>565</v>
      </c>
      <c r="AG108" s="8">
        <v>1118</v>
      </c>
      <c r="AH108" s="8">
        <v>670</v>
      </c>
      <c r="AI108" s="8">
        <v>411</v>
      </c>
      <c r="AL108" s="8">
        <v>132</v>
      </c>
      <c r="AM108" s="8">
        <v>265</v>
      </c>
      <c r="AN108" s="8">
        <v>37512</v>
      </c>
      <c r="AO108" s="8">
        <v>17298</v>
      </c>
      <c r="AP108" s="8">
        <v>20214</v>
      </c>
      <c r="AQ108" s="8">
        <v>3399</v>
      </c>
      <c r="AR108" s="8">
        <v>1214</v>
      </c>
      <c r="AS108" s="8">
        <v>868</v>
      </c>
      <c r="AT108" s="8">
        <v>956</v>
      </c>
      <c r="AU108" s="8">
        <v>1093</v>
      </c>
      <c r="AV108" s="8">
        <v>817</v>
      </c>
      <c r="AW108" s="8">
        <v>3493</v>
      </c>
      <c r="AX108" s="8">
        <v>1199</v>
      </c>
      <c r="AY108" s="8">
        <v>734</v>
      </c>
      <c r="AZ108" s="8">
        <v>2436</v>
      </c>
      <c r="BA108" s="8">
        <v>834</v>
      </c>
      <c r="BB108" s="8">
        <v>507</v>
      </c>
      <c r="BE108" s="8">
        <v>287</v>
      </c>
      <c r="BF108" s="8">
        <v>349</v>
      </c>
    </row>
    <row r="109" spans="1:58" x14ac:dyDescent="0.2">
      <c r="A109" s="9">
        <v>40878</v>
      </c>
      <c r="B109" s="8">
        <v>25637</v>
      </c>
      <c r="C109" s="8">
        <v>16431</v>
      </c>
      <c r="D109" s="8">
        <v>9206</v>
      </c>
      <c r="E109" s="8">
        <v>1694</v>
      </c>
      <c r="F109" s="8">
        <v>771</v>
      </c>
      <c r="G109" s="8">
        <v>29</v>
      </c>
      <c r="H109" s="8">
        <v>298</v>
      </c>
      <c r="I109" s="8">
        <v>239</v>
      </c>
      <c r="J109" s="8">
        <v>267</v>
      </c>
      <c r="K109" s="8">
        <v>1454</v>
      </c>
      <c r="L109" s="8"/>
      <c r="M109" s="8"/>
      <c r="N109" s="8">
        <v>1597</v>
      </c>
      <c r="O109" s="8">
        <v>170</v>
      </c>
      <c r="P109" s="8">
        <v>54</v>
      </c>
      <c r="S109" s="8">
        <v>165</v>
      </c>
      <c r="T109" s="8">
        <v>75</v>
      </c>
      <c r="U109" s="8">
        <v>16590</v>
      </c>
      <c r="V109" s="8">
        <v>3508</v>
      </c>
      <c r="W109" s="8">
        <v>13081</v>
      </c>
      <c r="X109" s="8">
        <v>1976</v>
      </c>
      <c r="Y109" s="8">
        <v>653</v>
      </c>
      <c r="Z109" s="8">
        <v>1143</v>
      </c>
      <c r="AA109" s="8">
        <v>870</v>
      </c>
      <c r="AB109" s="8">
        <v>749</v>
      </c>
      <c r="AC109" s="8">
        <v>322</v>
      </c>
      <c r="AD109" s="8">
        <v>2828</v>
      </c>
      <c r="AE109" s="8"/>
      <c r="AF109" s="8"/>
      <c r="AG109" s="8">
        <v>1170</v>
      </c>
      <c r="AH109" s="8">
        <v>764</v>
      </c>
      <c r="AI109" s="8">
        <v>215</v>
      </c>
      <c r="AL109" s="8">
        <v>157</v>
      </c>
      <c r="AM109" s="8">
        <v>316</v>
      </c>
      <c r="AN109" s="8">
        <v>42227</v>
      </c>
      <c r="AO109" s="8">
        <v>19940</v>
      </c>
      <c r="AP109" s="8">
        <v>22287</v>
      </c>
      <c r="AQ109" s="8">
        <v>3671</v>
      </c>
      <c r="AR109" s="8">
        <v>1424</v>
      </c>
      <c r="AS109" s="8">
        <v>1172</v>
      </c>
      <c r="AT109" s="8">
        <v>1167</v>
      </c>
      <c r="AU109" s="8">
        <v>987</v>
      </c>
      <c r="AV109" s="8">
        <v>589</v>
      </c>
      <c r="AW109" s="8">
        <v>4282</v>
      </c>
      <c r="AX109" s="8">
        <v>1382</v>
      </c>
      <c r="AY109" s="8">
        <v>714</v>
      </c>
      <c r="AZ109" s="8">
        <v>2768</v>
      </c>
      <c r="BA109" s="8">
        <v>934</v>
      </c>
      <c r="BB109" s="8">
        <v>269</v>
      </c>
      <c r="BE109" s="8">
        <v>323</v>
      </c>
      <c r="BF109" s="8">
        <v>391</v>
      </c>
    </row>
    <row r="110" spans="1:58" x14ac:dyDescent="0.2">
      <c r="A110" s="9">
        <v>40969</v>
      </c>
      <c r="B110" s="8">
        <v>24520</v>
      </c>
      <c r="C110" s="8">
        <v>16645</v>
      </c>
      <c r="D110" s="8">
        <v>7874</v>
      </c>
      <c r="E110" s="8">
        <v>1347</v>
      </c>
      <c r="F110" s="8">
        <v>818</v>
      </c>
      <c r="G110" s="8">
        <v>54</v>
      </c>
      <c r="H110" s="8">
        <v>195</v>
      </c>
      <c r="I110" s="8">
        <v>171</v>
      </c>
      <c r="J110" s="8">
        <v>194</v>
      </c>
      <c r="K110" s="8">
        <v>1257</v>
      </c>
      <c r="L110" s="8">
        <v>925</v>
      </c>
      <c r="M110" s="8">
        <v>133</v>
      </c>
      <c r="N110" s="8">
        <v>1327</v>
      </c>
      <c r="O110" s="8">
        <v>136</v>
      </c>
      <c r="P110" s="8">
        <v>41</v>
      </c>
      <c r="S110" s="8">
        <v>128</v>
      </c>
      <c r="T110" s="8">
        <v>83</v>
      </c>
      <c r="U110" s="8">
        <v>13013</v>
      </c>
      <c r="V110" s="8">
        <v>2967</v>
      </c>
      <c r="W110" s="8">
        <v>10046</v>
      </c>
      <c r="X110" s="8">
        <v>1533</v>
      </c>
      <c r="Y110" s="8">
        <v>462</v>
      </c>
      <c r="Z110" s="8">
        <v>1091</v>
      </c>
      <c r="AA110" s="8">
        <v>605</v>
      </c>
      <c r="AB110" s="8">
        <v>561</v>
      </c>
      <c r="AC110" s="8">
        <v>276</v>
      </c>
      <c r="AD110" s="8">
        <v>1554</v>
      </c>
      <c r="AE110" s="8">
        <v>379</v>
      </c>
      <c r="AF110" s="8">
        <v>443</v>
      </c>
      <c r="AG110" s="8">
        <v>1173</v>
      </c>
      <c r="AH110" s="8">
        <v>664</v>
      </c>
      <c r="AI110" s="8">
        <v>180</v>
      </c>
      <c r="AL110" s="8">
        <v>185</v>
      </c>
      <c r="AM110" s="8">
        <v>183</v>
      </c>
      <c r="AN110" s="8">
        <v>37533</v>
      </c>
      <c r="AO110" s="8">
        <v>19612</v>
      </c>
      <c r="AP110" s="8">
        <v>17921</v>
      </c>
      <c r="AQ110" s="8">
        <v>2880</v>
      </c>
      <c r="AR110" s="8">
        <v>1280</v>
      </c>
      <c r="AS110" s="8">
        <v>1146</v>
      </c>
      <c r="AT110" s="8">
        <v>800</v>
      </c>
      <c r="AU110" s="8">
        <v>733</v>
      </c>
      <c r="AV110" s="8">
        <v>470</v>
      </c>
      <c r="AW110" s="8">
        <v>2811</v>
      </c>
      <c r="AX110" s="8">
        <v>1304</v>
      </c>
      <c r="AY110" s="8">
        <v>576</v>
      </c>
      <c r="AZ110" s="8">
        <v>2500</v>
      </c>
      <c r="BA110" s="8">
        <v>800</v>
      </c>
      <c r="BB110" s="8">
        <v>221</v>
      </c>
      <c r="BE110" s="8">
        <v>312</v>
      </c>
      <c r="BF110" s="8">
        <v>266</v>
      </c>
    </row>
    <row r="111" spans="1:58" x14ac:dyDescent="0.2">
      <c r="A111" s="9">
        <v>41061</v>
      </c>
      <c r="B111" s="8">
        <v>29444</v>
      </c>
      <c r="C111" s="8">
        <v>20739</v>
      </c>
      <c r="D111" s="8">
        <v>8705</v>
      </c>
      <c r="E111" s="8">
        <v>1309</v>
      </c>
      <c r="F111" s="8">
        <v>844</v>
      </c>
      <c r="G111" s="8">
        <v>122</v>
      </c>
      <c r="H111" s="8">
        <v>147</v>
      </c>
      <c r="I111" s="8">
        <v>182</v>
      </c>
      <c r="J111" s="8">
        <v>237</v>
      </c>
      <c r="K111" s="8">
        <v>1301</v>
      </c>
      <c r="L111" s="8">
        <v>952</v>
      </c>
      <c r="M111" s="8">
        <v>194</v>
      </c>
      <c r="N111" s="8">
        <v>1775</v>
      </c>
      <c r="O111" s="8">
        <v>108</v>
      </c>
      <c r="P111" s="8">
        <v>53</v>
      </c>
      <c r="S111" s="8">
        <v>160</v>
      </c>
      <c r="T111" s="8">
        <v>112</v>
      </c>
      <c r="U111" s="8">
        <v>16283</v>
      </c>
      <c r="V111" s="8">
        <v>4408</v>
      </c>
      <c r="W111" s="8">
        <v>11874</v>
      </c>
      <c r="X111" s="8">
        <v>1968</v>
      </c>
      <c r="Y111" s="8">
        <v>651</v>
      </c>
      <c r="Z111" s="8">
        <v>1434</v>
      </c>
      <c r="AA111" s="8">
        <v>689</v>
      </c>
      <c r="AB111" s="8">
        <v>695</v>
      </c>
      <c r="AC111" s="8">
        <v>318</v>
      </c>
      <c r="AD111" s="8">
        <v>1762</v>
      </c>
      <c r="AE111" s="8">
        <v>425</v>
      </c>
      <c r="AF111" s="8">
        <v>593</v>
      </c>
      <c r="AG111" s="8">
        <v>1041</v>
      </c>
      <c r="AH111" s="8">
        <v>789</v>
      </c>
      <c r="AI111" s="8">
        <v>268</v>
      </c>
      <c r="AL111" s="8">
        <v>138</v>
      </c>
      <c r="AM111" s="8">
        <v>220</v>
      </c>
      <c r="AN111" s="8">
        <v>45726</v>
      </c>
      <c r="AO111" s="8">
        <v>25147</v>
      </c>
      <c r="AP111" s="8">
        <v>20579</v>
      </c>
      <c r="AQ111" s="8">
        <v>3277</v>
      </c>
      <c r="AR111" s="8">
        <v>1495</v>
      </c>
      <c r="AS111" s="8">
        <v>1556</v>
      </c>
      <c r="AT111" s="8">
        <v>836</v>
      </c>
      <c r="AU111" s="8">
        <v>877</v>
      </c>
      <c r="AV111" s="8">
        <v>555</v>
      </c>
      <c r="AW111" s="8">
        <v>3063</v>
      </c>
      <c r="AX111" s="8">
        <v>1377</v>
      </c>
      <c r="AY111" s="8">
        <v>787</v>
      </c>
      <c r="AZ111" s="8">
        <v>2817</v>
      </c>
      <c r="BA111" s="8">
        <v>897</v>
      </c>
      <c r="BB111" s="8">
        <v>322</v>
      </c>
      <c r="BE111" s="8">
        <v>298</v>
      </c>
      <c r="BF111" s="8">
        <v>332</v>
      </c>
    </row>
    <row r="112" spans="1:58" x14ac:dyDescent="0.2">
      <c r="A112" s="9">
        <v>41153</v>
      </c>
      <c r="B112" s="8">
        <v>27393</v>
      </c>
      <c r="C112" s="8">
        <v>19731</v>
      </c>
      <c r="D112" s="8">
        <v>7662</v>
      </c>
      <c r="E112" s="8">
        <v>772</v>
      </c>
      <c r="F112" s="8">
        <v>747</v>
      </c>
      <c r="G112" s="8">
        <v>170</v>
      </c>
      <c r="H112" s="8">
        <v>200</v>
      </c>
      <c r="I112" s="8">
        <v>234</v>
      </c>
      <c r="J112" s="8">
        <v>267</v>
      </c>
      <c r="K112" s="8">
        <v>1087</v>
      </c>
      <c r="L112" s="8">
        <v>1107</v>
      </c>
      <c r="M112" s="8">
        <v>175</v>
      </c>
      <c r="N112" s="8">
        <v>1370</v>
      </c>
      <c r="O112" s="8">
        <v>134</v>
      </c>
      <c r="P112" s="8">
        <v>15</v>
      </c>
      <c r="S112" s="8">
        <v>134</v>
      </c>
      <c r="T112" s="8">
        <v>125</v>
      </c>
      <c r="U112" s="8">
        <v>14828</v>
      </c>
      <c r="V112" s="8">
        <v>3945</v>
      </c>
      <c r="W112" s="8">
        <v>10883</v>
      </c>
      <c r="X112" s="8">
        <v>1526</v>
      </c>
      <c r="Y112" s="8">
        <v>633</v>
      </c>
      <c r="Z112" s="8">
        <v>1241</v>
      </c>
      <c r="AA112" s="8">
        <v>662</v>
      </c>
      <c r="AB112" s="8">
        <v>576</v>
      </c>
      <c r="AC112" s="8">
        <v>367</v>
      </c>
      <c r="AD112" s="8">
        <v>1711</v>
      </c>
      <c r="AE112" s="8">
        <v>345</v>
      </c>
      <c r="AF112" s="8">
        <v>633</v>
      </c>
      <c r="AG112" s="8">
        <v>1098</v>
      </c>
      <c r="AH112" s="8">
        <v>725</v>
      </c>
      <c r="AI112" s="8">
        <v>155</v>
      </c>
      <c r="AL112" s="8">
        <v>127</v>
      </c>
      <c r="AM112" s="8">
        <v>250</v>
      </c>
      <c r="AN112" s="8">
        <v>42221</v>
      </c>
      <c r="AO112" s="8">
        <v>23676</v>
      </c>
      <c r="AP112" s="8">
        <v>18545</v>
      </c>
      <c r="AQ112" s="8">
        <v>2297</v>
      </c>
      <c r="AR112" s="8">
        <v>1380</v>
      </c>
      <c r="AS112" s="8">
        <v>1411</v>
      </c>
      <c r="AT112" s="8">
        <v>862</v>
      </c>
      <c r="AU112" s="8">
        <v>809</v>
      </c>
      <c r="AV112" s="8">
        <v>634</v>
      </c>
      <c r="AW112" s="8">
        <v>2798</v>
      </c>
      <c r="AX112" s="8">
        <v>1453</v>
      </c>
      <c r="AY112" s="8">
        <v>808</v>
      </c>
      <c r="AZ112" s="8">
        <v>2469</v>
      </c>
      <c r="BA112" s="8">
        <v>859</v>
      </c>
      <c r="BB112" s="8">
        <v>170</v>
      </c>
      <c r="BE112" s="8">
        <v>261</v>
      </c>
      <c r="BF112" s="8">
        <v>376</v>
      </c>
    </row>
    <row r="113" spans="1:58" x14ac:dyDescent="0.2">
      <c r="A113" s="9">
        <v>41244</v>
      </c>
      <c r="B113" s="8">
        <v>29096</v>
      </c>
      <c r="C113" s="8">
        <v>21682</v>
      </c>
      <c r="D113" s="8">
        <v>7414</v>
      </c>
      <c r="E113" s="8">
        <v>824</v>
      </c>
      <c r="F113" s="8">
        <v>815</v>
      </c>
      <c r="G113" s="8">
        <v>84</v>
      </c>
      <c r="H113" s="8">
        <v>222</v>
      </c>
      <c r="I113" s="8">
        <v>239</v>
      </c>
      <c r="J113" s="8">
        <v>324</v>
      </c>
      <c r="K113" s="8">
        <v>1054</v>
      </c>
      <c r="L113" s="8">
        <v>832</v>
      </c>
      <c r="M113" s="8">
        <v>234</v>
      </c>
      <c r="N113" s="8">
        <v>1204</v>
      </c>
      <c r="O113" s="8">
        <v>173</v>
      </c>
      <c r="P113" s="8">
        <v>24</v>
      </c>
      <c r="S113" s="8">
        <v>167</v>
      </c>
      <c r="T113" s="8">
        <v>143</v>
      </c>
      <c r="U113" s="8">
        <v>16719</v>
      </c>
      <c r="V113" s="8">
        <v>4363</v>
      </c>
      <c r="W113" s="8">
        <v>12355</v>
      </c>
      <c r="X113" s="8">
        <v>1820</v>
      </c>
      <c r="Y113" s="8">
        <v>664</v>
      </c>
      <c r="Z113" s="8">
        <v>1391</v>
      </c>
      <c r="AA113" s="8">
        <v>730</v>
      </c>
      <c r="AB113" s="8">
        <v>845</v>
      </c>
      <c r="AC113" s="8">
        <v>326</v>
      </c>
      <c r="AD113" s="8">
        <v>1847</v>
      </c>
      <c r="AE113" s="8">
        <v>297</v>
      </c>
      <c r="AF113" s="8">
        <v>697</v>
      </c>
      <c r="AG113" s="8">
        <v>1485</v>
      </c>
      <c r="AH113" s="8">
        <v>670</v>
      </c>
      <c r="AI113" s="8">
        <v>273</v>
      </c>
      <c r="AL113" s="8">
        <v>114</v>
      </c>
      <c r="AM113" s="8">
        <v>259</v>
      </c>
      <c r="AN113" s="8">
        <v>45815</v>
      </c>
      <c r="AO113" s="8">
        <v>26045</v>
      </c>
      <c r="AP113" s="8">
        <v>19770</v>
      </c>
      <c r="AQ113" s="8">
        <v>2644</v>
      </c>
      <c r="AR113" s="8">
        <v>1479</v>
      </c>
      <c r="AS113" s="8">
        <v>1475</v>
      </c>
      <c r="AT113" s="8">
        <v>952</v>
      </c>
      <c r="AU113" s="8">
        <v>1084</v>
      </c>
      <c r="AV113" s="8">
        <v>650</v>
      </c>
      <c r="AW113" s="8">
        <v>2902</v>
      </c>
      <c r="AX113" s="8">
        <v>1129</v>
      </c>
      <c r="AY113" s="8">
        <v>931</v>
      </c>
      <c r="AZ113" s="8">
        <v>2688</v>
      </c>
      <c r="BA113" s="8">
        <v>843</v>
      </c>
      <c r="BB113" s="8">
        <v>297</v>
      </c>
      <c r="BE113" s="8">
        <v>281</v>
      </c>
      <c r="BF113" s="8">
        <v>401</v>
      </c>
    </row>
    <row r="114" spans="1:58" x14ac:dyDescent="0.2">
      <c r="A114" s="9">
        <v>41334</v>
      </c>
      <c r="B114" s="8">
        <v>23944</v>
      </c>
      <c r="C114" s="8">
        <v>17784</v>
      </c>
      <c r="D114" s="8">
        <v>6160</v>
      </c>
      <c r="E114" s="8">
        <v>667</v>
      </c>
      <c r="F114" s="8">
        <v>739</v>
      </c>
      <c r="G114" s="8">
        <v>42</v>
      </c>
      <c r="H114" s="8">
        <v>128</v>
      </c>
      <c r="I114" s="8">
        <v>161</v>
      </c>
      <c r="J114" s="8">
        <v>196</v>
      </c>
      <c r="K114" s="8">
        <v>885</v>
      </c>
      <c r="L114" s="8"/>
      <c r="M114" s="8">
        <v>130</v>
      </c>
      <c r="N114" s="8">
        <v>980</v>
      </c>
      <c r="O114" s="8"/>
      <c r="P114" s="8">
        <v>12</v>
      </c>
      <c r="S114" s="8">
        <v>115</v>
      </c>
      <c r="T114" s="8">
        <v>138</v>
      </c>
      <c r="U114" s="8">
        <v>12477</v>
      </c>
      <c r="V114" s="8">
        <v>2851</v>
      </c>
      <c r="W114" s="8">
        <v>9626</v>
      </c>
      <c r="X114" s="8">
        <v>1475</v>
      </c>
      <c r="Y114" s="8">
        <v>489</v>
      </c>
      <c r="Z114" s="8">
        <v>962</v>
      </c>
      <c r="AA114" s="8">
        <v>650</v>
      </c>
      <c r="AB114" s="8">
        <v>673</v>
      </c>
      <c r="AC114" s="8">
        <v>436</v>
      </c>
      <c r="AD114" s="8">
        <v>1208</v>
      </c>
      <c r="AE114" s="8"/>
      <c r="AF114" s="8">
        <v>581</v>
      </c>
      <c r="AG114" s="8">
        <v>1179</v>
      </c>
      <c r="AH114" s="8"/>
      <c r="AI114" s="8">
        <v>260</v>
      </c>
      <c r="AL114" s="8">
        <v>75</v>
      </c>
      <c r="AM114" s="8">
        <v>172</v>
      </c>
      <c r="AN114" s="8">
        <v>36421</v>
      </c>
      <c r="AO114" s="8">
        <v>20634</v>
      </c>
      <c r="AP114" s="8">
        <v>15786</v>
      </c>
      <c r="AQ114" s="8">
        <v>2142</v>
      </c>
      <c r="AR114" s="8">
        <v>1228</v>
      </c>
      <c r="AS114" s="8">
        <v>1003</v>
      </c>
      <c r="AT114" s="8">
        <v>778</v>
      </c>
      <c r="AU114" s="8">
        <v>834</v>
      </c>
      <c r="AV114" s="8">
        <v>632</v>
      </c>
      <c r="AW114" s="8">
        <v>2093</v>
      </c>
      <c r="AX114" s="8">
        <v>1194</v>
      </c>
      <c r="AY114" s="8">
        <v>710</v>
      </c>
      <c r="AZ114" s="8">
        <v>2158</v>
      </c>
      <c r="BA114" s="8">
        <v>620</v>
      </c>
      <c r="BB114" s="8">
        <v>272</v>
      </c>
      <c r="BE114" s="8">
        <v>190</v>
      </c>
      <c r="BF114" s="8">
        <v>310</v>
      </c>
    </row>
    <row r="115" spans="1:58" x14ac:dyDescent="0.2">
      <c r="A115" s="9">
        <v>41426</v>
      </c>
      <c r="B115" s="8">
        <v>28108</v>
      </c>
      <c r="C115" s="8">
        <v>21027</v>
      </c>
      <c r="D115" s="8">
        <v>7081</v>
      </c>
      <c r="E115" s="8">
        <v>715</v>
      </c>
      <c r="F115" s="8">
        <v>774</v>
      </c>
      <c r="G115" s="8">
        <v>28</v>
      </c>
      <c r="H115" s="8">
        <v>135</v>
      </c>
      <c r="I115" s="8">
        <v>219</v>
      </c>
      <c r="J115" s="8">
        <v>365</v>
      </c>
      <c r="K115" s="8">
        <v>1034</v>
      </c>
      <c r="L115" s="8">
        <v>938</v>
      </c>
      <c r="M115" s="8">
        <v>187</v>
      </c>
      <c r="N115" s="8">
        <v>1200</v>
      </c>
      <c r="O115" s="8">
        <v>118</v>
      </c>
      <c r="P115" s="8">
        <v>19</v>
      </c>
      <c r="S115" s="8">
        <v>155</v>
      </c>
      <c r="T115" s="8">
        <v>156</v>
      </c>
      <c r="U115" s="8">
        <v>15538</v>
      </c>
      <c r="V115" s="8">
        <v>3327</v>
      </c>
      <c r="W115" s="8">
        <v>12211</v>
      </c>
      <c r="X115" s="8">
        <v>1673</v>
      </c>
      <c r="Y115" s="8">
        <v>621</v>
      </c>
      <c r="Z115" s="8">
        <v>1070</v>
      </c>
      <c r="AA115" s="8">
        <v>662</v>
      </c>
      <c r="AB115" s="8">
        <v>1039</v>
      </c>
      <c r="AC115" s="8">
        <v>403</v>
      </c>
      <c r="AD115" s="8">
        <v>2275</v>
      </c>
      <c r="AE115" s="8">
        <v>294</v>
      </c>
      <c r="AF115" s="8">
        <v>579</v>
      </c>
      <c r="AG115" s="8">
        <v>1252</v>
      </c>
      <c r="AH115" s="8">
        <v>608</v>
      </c>
      <c r="AI115" s="8">
        <v>304</v>
      </c>
      <c r="AL115" s="8">
        <v>148</v>
      </c>
      <c r="AM115" s="8">
        <v>344</v>
      </c>
      <c r="AN115" s="8">
        <v>43646</v>
      </c>
      <c r="AO115" s="8">
        <v>24354</v>
      </c>
      <c r="AP115" s="8">
        <v>19292</v>
      </c>
      <c r="AQ115" s="8">
        <v>2387</v>
      </c>
      <c r="AR115" s="8">
        <v>1395</v>
      </c>
      <c r="AS115" s="8">
        <v>1098</v>
      </c>
      <c r="AT115" s="8">
        <v>797</v>
      </c>
      <c r="AU115" s="8">
        <v>1258</v>
      </c>
      <c r="AV115" s="8">
        <v>769</v>
      </c>
      <c r="AW115" s="8">
        <v>3310</v>
      </c>
      <c r="AX115" s="8">
        <v>1232</v>
      </c>
      <c r="AY115" s="8">
        <v>765</v>
      </c>
      <c r="AZ115" s="8">
        <v>2452</v>
      </c>
      <c r="BA115" s="8">
        <v>726</v>
      </c>
      <c r="BB115" s="8">
        <v>323</v>
      </c>
      <c r="BE115" s="8">
        <v>303</v>
      </c>
      <c r="BF115" s="8">
        <v>500</v>
      </c>
    </row>
    <row r="116" spans="1:58" x14ac:dyDescent="0.2">
      <c r="A116" s="9">
        <v>41518</v>
      </c>
      <c r="B116" s="8">
        <v>28646</v>
      </c>
      <c r="C116" s="8">
        <v>21478</v>
      </c>
      <c r="D116" s="8">
        <v>7168</v>
      </c>
      <c r="E116" s="8">
        <v>665</v>
      </c>
      <c r="F116" s="8">
        <v>879</v>
      </c>
      <c r="G116" s="8">
        <v>28</v>
      </c>
      <c r="H116" s="8">
        <v>147</v>
      </c>
      <c r="I116" s="8">
        <v>300</v>
      </c>
      <c r="J116" s="8">
        <v>323</v>
      </c>
      <c r="K116" s="8">
        <v>911</v>
      </c>
      <c r="L116" s="8">
        <v>1116</v>
      </c>
      <c r="M116" s="8">
        <v>136</v>
      </c>
      <c r="N116" s="8">
        <v>1167</v>
      </c>
      <c r="O116" s="8">
        <v>121</v>
      </c>
      <c r="P116" s="8">
        <v>34</v>
      </c>
      <c r="S116" s="8">
        <v>111</v>
      </c>
      <c r="T116" s="8">
        <v>168</v>
      </c>
      <c r="U116" s="8">
        <v>13941</v>
      </c>
      <c r="V116" s="8">
        <v>2725</v>
      </c>
      <c r="W116" s="8">
        <v>11216</v>
      </c>
      <c r="X116" s="8">
        <v>1545</v>
      </c>
      <c r="Y116" s="8">
        <v>595</v>
      </c>
      <c r="Z116" s="8">
        <v>921</v>
      </c>
      <c r="AA116" s="8">
        <v>595</v>
      </c>
      <c r="AB116" s="8">
        <v>858</v>
      </c>
      <c r="AC116" s="8">
        <v>353</v>
      </c>
      <c r="AD116" s="8">
        <v>2270</v>
      </c>
      <c r="AE116" s="8">
        <v>328</v>
      </c>
      <c r="AF116" s="8">
        <v>671</v>
      </c>
      <c r="AG116" s="8">
        <v>917</v>
      </c>
      <c r="AH116" s="8">
        <v>636</v>
      </c>
      <c r="AI116" s="8">
        <v>215</v>
      </c>
      <c r="AL116" s="8">
        <v>166</v>
      </c>
      <c r="AM116" s="8">
        <v>284</v>
      </c>
      <c r="AN116" s="8">
        <v>42586</v>
      </c>
      <c r="AO116" s="8">
        <v>24203</v>
      </c>
      <c r="AP116" s="8">
        <v>18383</v>
      </c>
      <c r="AQ116" s="8">
        <v>2211</v>
      </c>
      <c r="AR116" s="8">
        <v>1474</v>
      </c>
      <c r="AS116" s="8">
        <v>949</v>
      </c>
      <c r="AT116" s="8">
        <v>742</v>
      </c>
      <c r="AU116" s="8">
        <v>1158</v>
      </c>
      <c r="AV116" s="8">
        <v>676</v>
      </c>
      <c r="AW116" s="8">
        <v>3182</v>
      </c>
      <c r="AX116" s="8">
        <v>1444</v>
      </c>
      <c r="AY116" s="8">
        <v>806</v>
      </c>
      <c r="AZ116" s="8">
        <v>2085</v>
      </c>
      <c r="BA116" s="8">
        <v>757</v>
      </c>
      <c r="BB116" s="8">
        <v>249</v>
      </c>
      <c r="BE116" s="8">
        <v>277</v>
      </c>
      <c r="BF116" s="8">
        <v>452</v>
      </c>
    </row>
    <row r="117" spans="1:58" x14ac:dyDescent="0.2">
      <c r="A117" s="9">
        <v>41609</v>
      </c>
      <c r="B117" s="8">
        <v>29939</v>
      </c>
      <c r="C117" s="8">
        <v>22234</v>
      </c>
      <c r="D117" s="8">
        <v>7705</v>
      </c>
      <c r="E117" s="8">
        <v>755</v>
      </c>
      <c r="F117" s="8">
        <v>966</v>
      </c>
      <c r="G117" s="8">
        <v>59</v>
      </c>
      <c r="H117" s="8">
        <v>236</v>
      </c>
      <c r="I117" s="8">
        <v>342</v>
      </c>
      <c r="J117" s="8">
        <v>191</v>
      </c>
      <c r="K117" s="8">
        <v>987</v>
      </c>
      <c r="L117" s="8">
        <v>1143</v>
      </c>
      <c r="M117" s="8">
        <v>133</v>
      </c>
      <c r="N117" s="8">
        <v>1326</v>
      </c>
      <c r="O117" s="8">
        <v>114</v>
      </c>
      <c r="P117" s="8">
        <v>22</v>
      </c>
      <c r="S117" s="8">
        <v>101</v>
      </c>
      <c r="T117" s="8">
        <v>197</v>
      </c>
      <c r="U117" s="8">
        <v>14520</v>
      </c>
      <c r="V117" s="8">
        <v>2473</v>
      </c>
      <c r="W117" s="8">
        <v>12047</v>
      </c>
      <c r="X117" s="8">
        <v>1789</v>
      </c>
      <c r="Y117" s="8">
        <v>613</v>
      </c>
      <c r="Z117" s="8">
        <v>1104</v>
      </c>
      <c r="AA117" s="8">
        <v>606</v>
      </c>
      <c r="AB117" s="8">
        <v>1018</v>
      </c>
      <c r="AC117" s="8">
        <v>383</v>
      </c>
      <c r="AD117" s="8">
        <v>2156</v>
      </c>
      <c r="AE117" s="8">
        <v>348</v>
      </c>
      <c r="AF117" s="8">
        <v>608</v>
      </c>
      <c r="AG117" s="8">
        <v>1112</v>
      </c>
      <c r="AH117" s="8">
        <v>750</v>
      </c>
      <c r="AI117" s="8">
        <v>179</v>
      </c>
      <c r="AL117" s="8">
        <v>152</v>
      </c>
      <c r="AM117" s="8">
        <v>315</v>
      </c>
      <c r="AN117" s="8">
        <v>44459</v>
      </c>
      <c r="AO117" s="8">
        <v>24707</v>
      </c>
      <c r="AP117" s="8">
        <v>19752</v>
      </c>
      <c r="AQ117" s="8">
        <v>2544</v>
      </c>
      <c r="AR117" s="8">
        <v>1579</v>
      </c>
      <c r="AS117" s="8">
        <v>1163</v>
      </c>
      <c r="AT117" s="8">
        <v>841</v>
      </c>
      <c r="AU117" s="8">
        <v>1360</v>
      </c>
      <c r="AV117" s="8">
        <v>574</v>
      </c>
      <c r="AW117" s="8">
        <v>3143</v>
      </c>
      <c r="AX117" s="8">
        <v>1491</v>
      </c>
      <c r="AY117" s="8">
        <v>741</v>
      </c>
      <c r="AZ117" s="8">
        <v>2438</v>
      </c>
      <c r="BA117" s="8">
        <v>864</v>
      </c>
      <c r="BB117" s="8">
        <v>201</v>
      </c>
      <c r="BE117" s="8">
        <v>253</v>
      </c>
      <c r="BF117" s="8">
        <v>512</v>
      </c>
    </row>
    <row r="118" spans="1:58" x14ac:dyDescent="0.2">
      <c r="A118" s="9">
        <v>41699</v>
      </c>
      <c r="B118" s="8">
        <v>24052</v>
      </c>
      <c r="C118" s="8">
        <v>17124</v>
      </c>
      <c r="D118" s="8">
        <v>6928</v>
      </c>
      <c r="E118" s="8">
        <v>587</v>
      </c>
      <c r="F118" s="8">
        <v>743</v>
      </c>
      <c r="G118" s="8">
        <v>80</v>
      </c>
      <c r="H118" s="8">
        <v>175</v>
      </c>
      <c r="I118" s="8">
        <v>311</v>
      </c>
      <c r="J118" s="8">
        <v>185</v>
      </c>
      <c r="K118" s="8">
        <v>855</v>
      </c>
      <c r="L118" s="8">
        <v>1102</v>
      </c>
      <c r="M118" s="8">
        <v>139</v>
      </c>
      <c r="N118" s="8">
        <v>1318</v>
      </c>
      <c r="O118" s="8">
        <v>118</v>
      </c>
      <c r="P118" s="8">
        <v>35</v>
      </c>
      <c r="S118" s="8">
        <v>79</v>
      </c>
      <c r="T118" s="8">
        <v>166</v>
      </c>
      <c r="U118" s="8">
        <v>11754</v>
      </c>
      <c r="V118" s="8">
        <v>1968</v>
      </c>
      <c r="W118" s="8">
        <v>9786</v>
      </c>
      <c r="X118" s="8">
        <v>1545</v>
      </c>
      <c r="Y118" s="8">
        <v>468</v>
      </c>
      <c r="Z118" s="8">
        <v>863</v>
      </c>
      <c r="AA118" s="8">
        <v>562</v>
      </c>
      <c r="AB118" s="8">
        <v>773</v>
      </c>
      <c r="AC118" s="8">
        <v>443</v>
      </c>
      <c r="AD118" s="8">
        <v>1189</v>
      </c>
      <c r="AE118" s="8">
        <v>341</v>
      </c>
      <c r="AF118" s="8">
        <v>577</v>
      </c>
      <c r="AG118" s="8">
        <v>1022</v>
      </c>
      <c r="AH118" s="8">
        <v>711</v>
      </c>
      <c r="AI118" s="8">
        <v>215</v>
      </c>
      <c r="AL118" s="8">
        <v>136</v>
      </c>
      <c r="AM118" s="8">
        <v>208</v>
      </c>
      <c r="AN118" s="8">
        <v>35807</v>
      </c>
      <c r="AO118" s="8">
        <v>19092</v>
      </c>
      <c r="AP118" s="8">
        <v>16714</v>
      </c>
      <c r="AQ118" s="8">
        <v>2132</v>
      </c>
      <c r="AR118" s="8">
        <v>1210</v>
      </c>
      <c r="AS118" s="8">
        <v>943</v>
      </c>
      <c r="AT118" s="8">
        <v>737</v>
      </c>
      <c r="AU118" s="8">
        <v>1084</v>
      </c>
      <c r="AV118" s="8">
        <v>628</v>
      </c>
      <c r="AW118" s="8">
        <v>2044</v>
      </c>
      <c r="AX118" s="8">
        <v>1443</v>
      </c>
      <c r="AY118" s="8">
        <v>716</v>
      </c>
      <c r="AZ118" s="8">
        <v>2340</v>
      </c>
      <c r="BA118" s="8">
        <v>828</v>
      </c>
      <c r="BB118" s="8">
        <v>250</v>
      </c>
      <c r="BE118" s="8">
        <v>214</v>
      </c>
      <c r="BF118" s="8">
        <v>375</v>
      </c>
    </row>
    <row r="119" spans="1:58" x14ac:dyDescent="0.2">
      <c r="A119" s="9">
        <v>41791</v>
      </c>
      <c r="B119" s="8">
        <v>28708</v>
      </c>
      <c r="C119" s="8">
        <v>20113</v>
      </c>
      <c r="D119" s="8">
        <v>8594</v>
      </c>
      <c r="E119" s="8">
        <v>673</v>
      </c>
      <c r="F119" s="8">
        <v>1025</v>
      </c>
      <c r="G119" s="8">
        <v>147</v>
      </c>
      <c r="H119" s="8">
        <v>180</v>
      </c>
      <c r="I119" s="8">
        <v>411</v>
      </c>
      <c r="J119" s="8">
        <v>234</v>
      </c>
      <c r="K119" s="8">
        <v>1177</v>
      </c>
      <c r="L119" s="8">
        <v>1242</v>
      </c>
      <c r="M119" s="8">
        <v>180</v>
      </c>
      <c r="N119" s="8">
        <v>1696</v>
      </c>
      <c r="O119" s="8">
        <v>83</v>
      </c>
      <c r="P119" s="8">
        <v>49</v>
      </c>
      <c r="S119" s="8">
        <v>132</v>
      </c>
      <c r="T119" s="8">
        <v>72</v>
      </c>
      <c r="U119" s="8">
        <v>14380</v>
      </c>
      <c r="V119" s="8">
        <v>2277</v>
      </c>
      <c r="W119" s="8">
        <v>12103</v>
      </c>
      <c r="X119" s="8">
        <v>1670</v>
      </c>
      <c r="Y119" s="8">
        <v>527</v>
      </c>
      <c r="Z119" s="8">
        <v>1484</v>
      </c>
      <c r="AA119" s="8">
        <v>577</v>
      </c>
      <c r="AB119" s="8">
        <v>1048</v>
      </c>
      <c r="AC119" s="8">
        <v>477</v>
      </c>
      <c r="AD119" s="8">
        <v>1622</v>
      </c>
      <c r="AE119" s="8">
        <v>366</v>
      </c>
      <c r="AF119" s="8">
        <v>708</v>
      </c>
      <c r="AG119" s="8">
        <v>1086</v>
      </c>
      <c r="AH119" s="8">
        <v>776</v>
      </c>
      <c r="AI119" s="8">
        <v>303</v>
      </c>
      <c r="AL119" s="8">
        <v>180</v>
      </c>
      <c r="AM119" s="8">
        <v>350</v>
      </c>
      <c r="AN119" s="8">
        <v>43088</v>
      </c>
      <c r="AO119" s="8">
        <v>22390</v>
      </c>
      <c r="AP119" s="8">
        <v>20698</v>
      </c>
      <c r="AQ119" s="8">
        <v>2343</v>
      </c>
      <c r="AR119" s="8">
        <v>1552</v>
      </c>
      <c r="AS119" s="8">
        <v>1632</v>
      </c>
      <c r="AT119" s="8">
        <v>757</v>
      </c>
      <c r="AU119" s="8">
        <v>1459</v>
      </c>
      <c r="AV119" s="8">
        <v>711</v>
      </c>
      <c r="AW119" s="8">
        <v>2799</v>
      </c>
      <c r="AX119" s="8">
        <v>1608</v>
      </c>
      <c r="AY119" s="8">
        <v>888</v>
      </c>
      <c r="AZ119" s="8">
        <v>2781</v>
      </c>
      <c r="BA119" s="8">
        <v>860</v>
      </c>
      <c r="BB119" s="8">
        <v>352</v>
      </c>
      <c r="BE119" s="8">
        <v>312</v>
      </c>
      <c r="BF119" s="8">
        <v>422</v>
      </c>
    </row>
    <row r="120" spans="1:58" x14ac:dyDescent="0.2">
      <c r="A120" s="9">
        <v>41883</v>
      </c>
      <c r="B120" s="8">
        <v>27475</v>
      </c>
      <c r="C120" s="8">
        <v>18699</v>
      </c>
      <c r="D120" s="8">
        <v>8776</v>
      </c>
      <c r="E120" s="8">
        <v>638</v>
      </c>
      <c r="F120" s="8">
        <v>852</v>
      </c>
      <c r="G120" s="8">
        <v>183</v>
      </c>
      <c r="H120" s="8">
        <v>183</v>
      </c>
      <c r="I120" s="8">
        <v>395</v>
      </c>
      <c r="J120" s="8">
        <v>324</v>
      </c>
      <c r="K120" s="8">
        <v>1225</v>
      </c>
      <c r="L120" s="8">
        <v>1081</v>
      </c>
      <c r="M120" s="8">
        <v>233</v>
      </c>
      <c r="N120" s="8">
        <v>1933</v>
      </c>
      <c r="O120" s="8">
        <v>110</v>
      </c>
      <c r="P120" s="8">
        <v>28</v>
      </c>
      <c r="S120" s="8">
        <v>112</v>
      </c>
      <c r="T120" s="8">
        <v>152</v>
      </c>
      <c r="U120" s="8">
        <v>13818</v>
      </c>
      <c r="V120" s="8">
        <v>2108</v>
      </c>
      <c r="W120" s="8">
        <v>11710</v>
      </c>
      <c r="X120" s="8">
        <v>1317</v>
      </c>
      <c r="Y120" s="8">
        <v>467</v>
      </c>
      <c r="Z120" s="8">
        <v>1109</v>
      </c>
      <c r="AA120" s="8">
        <v>635</v>
      </c>
      <c r="AB120" s="8">
        <v>1051</v>
      </c>
      <c r="AC120" s="8">
        <v>335</v>
      </c>
      <c r="AD120" s="8">
        <v>2252</v>
      </c>
      <c r="AE120" s="8">
        <v>295</v>
      </c>
      <c r="AF120" s="8">
        <v>712</v>
      </c>
      <c r="AG120" s="8">
        <v>1129</v>
      </c>
      <c r="AH120" s="8">
        <v>774</v>
      </c>
      <c r="AI120" s="8">
        <v>168</v>
      </c>
      <c r="AL120" s="8">
        <v>190</v>
      </c>
      <c r="AM120" s="8">
        <v>350</v>
      </c>
      <c r="AN120" s="8">
        <v>41293</v>
      </c>
      <c r="AO120" s="8">
        <v>20807</v>
      </c>
      <c r="AP120" s="8">
        <v>20486</v>
      </c>
      <c r="AQ120" s="8">
        <v>1956</v>
      </c>
      <c r="AR120" s="8">
        <v>1319</v>
      </c>
      <c r="AS120" s="8">
        <v>1291</v>
      </c>
      <c r="AT120" s="8">
        <v>818</v>
      </c>
      <c r="AU120" s="8">
        <v>1447</v>
      </c>
      <c r="AV120" s="8">
        <v>659</v>
      </c>
      <c r="AW120" s="8">
        <v>3477</v>
      </c>
      <c r="AX120" s="8">
        <v>1376</v>
      </c>
      <c r="AY120" s="8">
        <v>945</v>
      </c>
      <c r="AZ120" s="8">
        <v>3062</v>
      </c>
      <c r="BA120" s="8">
        <v>884</v>
      </c>
      <c r="BB120" s="8">
        <v>196</v>
      </c>
      <c r="BE120" s="8">
        <v>302</v>
      </c>
      <c r="BF120" s="8">
        <v>502</v>
      </c>
    </row>
    <row r="121" spans="1:58" x14ac:dyDescent="0.2">
      <c r="A121" s="9">
        <v>41974</v>
      </c>
      <c r="B121" s="8">
        <v>28707</v>
      </c>
      <c r="C121" s="8">
        <v>18563</v>
      </c>
      <c r="D121" s="8">
        <v>10144</v>
      </c>
      <c r="E121" s="8">
        <v>906</v>
      </c>
      <c r="F121" s="8">
        <v>886</v>
      </c>
      <c r="G121" s="8">
        <v>162</v>
      </c>
      <c r="H121" s="8">
        <v>303</v>
      </c>
      <c r="I121" s="8">
        <v>479</v>
      </c>
      <c r="J121" s="8">
        <v>325</v>
      </c>
      <c r="K121" s="8">
        <v>1336</v>
      </c>
      <c r="L121" s="8">
        <v>1333</v>
      </c>
      <c r="M121" s="8">
        <v>257</v>
      </c>
      <c r="N121" s="8">
        <v>2135</v>
      </c>
      <c r="O121" s="8">
        <v>100</v>
      </c>
      <c r="P121" s="8">
        <v>69</v>
      </c>
      <c r="S121" s="8">
        <v>186</v>
      </c>
      <c r="T121" s="8">
        <v>158</v>
      </c>
      <c r="U121" s="8">
        <v>15449</v>
      </c>
      <c r="V121" s="8">
        <v>2694</v>
      </c>
      <c r="W121" s="8">
        <v>12755</v>
      </c>
      <c r="X121" s="8">
        <v>1629</v>
      </c>
      <c r="Y121" s="8">
        <v>529</v>
      </c>
      <c r="Z121" s="8">
        <v>1601</v>
      </c>
      <c r="AA121" s="8">
        <v>821</v>
      </c>
      <c r="AB121" s="8">
        <v>1224</v>
      </c>
      <c r="AC121" s="8">
        <v>448</v>
      </c>
      <c r="AD121" s="8">
        <v>1800</v>
      </c>
      <c r="AE121" s="8">
        <v>322</v>
      </c>
      <c r="AF121" s="8">
        <v>758</v>
      </c>
      <c r="AG121" s="8">
        <v>1196</v>
      </c>
      <c r="AH121" s="8">
        <v>772</v>
      </c>
      <c r="AI121" s="8">
        <v>205</v>
      </c>
      <c r="AL121" s="8">
        <v>167</v>
      </c>
      <c r="AM121" s="8">
        <v>291</v>
      </c>
      <c r="AN121" s="8">
        <v>44156</v>
      </c>
      <c r="AO121" s="8">
        <v>21257</v>
      </c>
      <c r="AP121" s="8">
        <v>22899</v>
      </c>
      <c r="AQ121" s="8">
        <v>2535</v>
      </c>
      <c r="AR121" s="8">
        <v>1415</v>
      </c>
      <c r="AS121" s="8">
        <v>1762</v>
      </c>
      <c r="AT121" s="8">
        <v>1124</v>
      </c>
      <c r="AU121" s="8">
        <v>1704</v>
      </c>
      <c r="AV121" s="8">
        <v>774</v>
      </c>
      <c r="AW121" s="8">
        <v>3136</v>
      </c>
      <c r="AX121" s="8">
        <v>1655</v>
      </c>
      <c r="AY121" s="8">
        <v>1016</v>
      </c>
      <c r="AZ121" s="8">
        <v>3332</v>
      </c>
      <c r="BA121" s="8">
        <v>872</v>
      </c>
      <c r="BB121" s="8">
        <v>274</v>
      </c>
      <c r="BE121" s="8">
        <v>353</v>
      </c>
      <c r="BF121" s="8">
        <v>449</v>
      </c>
    </row>
    <row r="122" spans="1:58" x14ac:dyDescent="0.2">
      <c r="A122" s="9">
        <v>42064</v>
      </c>
      <c r="B122" s="8">
        <v>22241</v>
      </c>
      <c r="C122" s="8">
        <v>15068</v>
      </c>
      <c r="D122" s="8">
        <v>7173</v>
      </c>
      <c r="E122" s="8">
        <v>437</v>
      </c>
      <c r="F122" s="8">
        <v>672</v>
      </c>
      <c r="G122" s="8">
        <v>31</v>
      </c>
      <c r="H122" s="8">
        <v>104</v>
      </c>
      <c r="I122" s="8">
        <v>294</v>
      </c>
      <c r="J122" s="8">
        <v>250</v>
      </c>
      <c r="K122" s="8">
        <v>933</v>
      </c>
      <c r="L122" s="8">
        <v>1195</v>
      </c>
      <c r="M122" s="8">
        <v>260</v>
      </c>
      <c r="N122" s="8">
        <v>1553</v>
      </c>
      <c r="O122" s="8">
        <v>82</v>
      </c>
      <c r="P122" s="8">
        <v>44</v>
      </c>
      <c r="S122" s="8">
        <v>130</v>
      </c>
      <c r="T122" s="8">
        <v>88</v>
      </c>
      <c r="U122" s="8">
        <v>12202</v>
      </c>
      <c r="V122" s="8">
        <v>1743</v>
      </c>
      <c r="W122" s="8">
        <v>10459</v>
      </c>
      <c r="X122" s="8">
        <v>1519</v>
      </c>
      <c r="Y122" s="8">
        <v>379</v>
      </c>
      <c r="Z122" s="8">
        <v>1407</v>
      </c>
      <c r="AA122" s="8">
        <v>504</v>
      </c>
      <c r="AB122" s="8">
        <v>700</v>
      </c>
      <c r="AC122" s="8">
        <v>457</v>
      </c>
      <c r="AD122" s="8">
        <v>1675</v>
      </c>
      <c r="AE122" s="8">
        <v>310</v>
      </c>
      <c r="AF122" s="8">
        <v>593</v>
      </c>
      <c r="AG122" s="8">
        <v>862</v>
      </c>
      <c r="AH122" s="8">
        <v>662</v>
      </c>
      <c r="AI122" s="8">
        <v>182</v>
      </c>
      <c r="AL122" s="8">
        <v>143</v>
      </c>
      <c r="AM122" s="8">
        <v>270</v>
      </c>
      <c r="AN122" s="8">
        <v>34443</v>
      </c>
      <c r="AO122" s="8">
        <v>16811</v>
      </c>
      <c r="AP122" s="8">
        <v>17632</v>
      </c>
      <c r="AQ122" s="8">
        <v>1957</v>
      </c>
      <c r="AR122" s="8">
        <v>1051</v>
      </c>
      <c r="AS122" s="8">
        <v>1438</v>
      </c>
      <c r="AT122" s="8">
        <v>608</v>
      </c>
      <c r="AU122" s="8">
        <v>994</v>
      </c>
      <c r="AV122" s="8">
        <v>708</v>
      </c>
      <c r="AW122" s="8">
        <v>2607</v>
      </c>
      <c r="AX122" s="8">
        <v>1505</v>
      </c>
      <c r="AY122" s="8">
        <v>853</v>
      </c>
      <c r="AZ122" s="8">
        <v>2416</v>
      </c>
      <c r="BA122" s="8">
        <v>744</v>
      </c>
      <c r="BB122" s="8">
        <v>226</v>
      </c>
      <c r="BE122" s="8">
        <v>272</v>
      </c>
      <c r="BF122" s="8">
        <v>358</v>
      </c>
    </row>
    <row r="123" spans="1:58" x14ac:dyDescent="0.2">
      <c r="A123" s="9">
        <v>42156</v>
      </c>
      <c r="B123" s="8">
        <v>24696</v>
      </c>
      <c r="C123" s="8">
        <v>15292</v>
      </c>
      <c r="D123" s="8">
        <v>9404</v>
      </c>
      <c r="E123" s="8">
        <v>501</v>
      </c>
      <c r="F123" s="8">
        <v>842</v>
      </c>
      <c r="G123" s="8">
        <v>63</v>
      </c>
      <c r="H123" s="8">
        <v>134</v>
      </c>
      <c r="I123" s="8">
        <v>473</v>
      </c>
      <c r="J123" s="8">
        <v>414</v>
      </c>
      <c r="K123" s="8">
        <v>1361</v>
      </c>
      <c r="L123" s="8">
        <v>938</v>
      </c>
      <c r="M123" s="8">
        <v>195</v>
      </c>
      <c r="N123" s="8">
        <v>2526</v>
      </c>
      <c r="O123" s="8">
        <v>117</v>
      </c>
      <c r="P123" s="8">
        <v>103</v>
      </c>
      <c r="S123" s="8">
        <v>197</v>
      </c>
      <c r="T123" s="8">
        <v>86</v>
      </c>
      <c r="U123" s="8">
        <v>15199</v>
      </c>
      <c r="V123" s="8">
        <v>1950</v>
      </c>
      <c r="W123" s="8">
        <v>13249</v>
      </c>
      <c r="X123" s="8">
        <v>1679</v>
      </c>
      <c r="Y123" s="8">
        <v>471</v>
      </c>
      <c r="Z123" s="8">
        <v>1724</v>
      </c>
      <c r="AA123" s="8">
        <v>765</v>
      </c>
      <c r="AB123" s="8">
        <v>1062</v>
      </c>
      <c r="AC123" s="8">
        <v>607</v>
      </c>
      <c r="AD123" s="8">
        <v>1914</v>
      </c>
      <c r="AE123" s="8">
        <v>337</v>
      </c>
      <c r="AF123" s="8">
        <v>785</v>
      </c>
      <c r="AG123" s="8">
        <v>857</v>
      </c>
      <c r="AH123" s="8">
        <v>1022</v>
      </c>
      <c r="AI123" s="8">
        <v>371</v>
      </c>
      <c r="AL123" s="8">
        <v>260</v>
      </c>
      <c r="AM123" s="8">
        <v>365</v>
      </c>
      <c r="AN123" s="8">
        <v>39895</v>
      </c>
      <c r="AO123" s="8">
        <v>17242</v>
      </c>
      <c r="AP123" s="8">
        <v>22653</v>
      </c>
      <c r="AQ123" s="8">
        <v>2180</v>
      </c>
      <c r="AR123" s="8">
        <v>1312</v>
      </c>
      <c r="AS123" s="8">
        <v>1787</v>
      </c>
      <c r="AT123" s="8">
        <v>899</v>
      </c>
      <c r="AU123" s="8">
        <v>1535</v>
      </c>
      <c r="AV123" s="8">
        <v>1021</v>
      </c>
      <c r="AW123" s="8">
        <v>3275</v>
      </c>
      <c r="AX123" s="8">
        <v>1275</v>
      </c>
      <c r="AY123" s="8">
        <v>980</v>
      </c>
      <c r="AZ123" s="8">
        <v>3383</v>
      </c>
      <c r="BA123" s="8">
        <v>1139</v>
      </c>
      <c r="BB123" s="8">
        <v>474</v>
      </c>
      <c r="BE123" s="8">
        <v>457</v>
      </c>
      <c r="BF123" s="8">
        <v>451</v>
      </c>
    </row>
    <row r="124" spans="1:58" x14ac:dyDescent="0.2">
      <c r="A124" s="9">
        <v>42248</v>
      </c>
      <c r="B124" s="8">
        <v>21669</v>
      </c>
      <c r="C124" s="8">
        <v>13390</v>
      </c>
      <c r="D124" s="8">
        <v>8279</v>
      </c>
      <c r="E124" s="8">
        <v>451</v>
      </c>
      <c r="F124" s="8">
        <v>881</v>
      </c>
      <c r="G124" s="8">
        <v>42</v>
      </c>
      <c r="H124" s="8">
        <v>201</v>
      </c>
      <c r="I124" s="8">
        <v>388</v>
      </c>
      <c r="J124" s="8">
        <v>473</v>
      </c>
      <c r="K124" s="8">
        <v>775</v>
      </c>
      <c r="L124" s="8">
        <v>1164</v>
      </c>
      <c r="M124" s="8">
        <v>223</v>
      </c>
      <c r="N124" s="8">
        <v>2015</v>
      </c>
      <c r="O124" s="8">
        <v>37</v>
      </c>
      <c r="P124" s="8">
        <v>59</v>
      </c>
      <c r="S124" s="8">
        <v>178</v>
      </c>
      <c r="T124" s="8">
        <v>113</v>
      </c>
      <c r="U124" s="8">
        <v>12885</v>
      </c>
      <c r="V124" s="8">
        <v>1498</v>
      </c>
      <c r="W124" s="8">
        <v>11388</v>
      </c>
      <c r="X124" s="8">
        <v>1644</v>
      </c>
      <c r="Y124" s="8">
        <v>469</v>
      </c>
      <c r="Z124" s="8">
        <v>1033</v>
      </c>
      <c r="AA124" s="8">
        <v>698</v>
      </c>
      <c r="AB124" s="8">
        <v>894</v>
      </c>
      <c r="AC124" s="8">
        <v>442</v>
      </c>
      <c r="AD124" s="8">
        <v>2231</v>
      </c>
      <c r="AE124" s="8">
        <v>370</v>
      </c>
      <c r="AF124" s="8">
        <v>732</v>
      </c>
      <c r="AG124" s="8">
        <v>785</v>
      </c>
      <c r="AH124" s="8">
        <v>639</v>
      </c>
      <c r="AI124" s="8">
        <v>224</v>
      </c>
      <c r="AL124" s="8">
        <v>109</v>
      </c>
      <c r="AM124" s="8">
        <v>250</v>
      </c>
      <c r="AN124" s="8">
        <v>34554</v>
      </c>
      <c r="AO124" s="8">
        <v>14888</v>
      </c>
      <c r="AP124" s="8">
        <v>19666</v>
      </c>
      <c r="AQ124" s="8">
        <v>2095</v>
      </c>
      <c r="AR124" s="8">
        <v>1350</v>
      </c>
      <c r="AS124" s="8">
        <v>1075</v>
      </c>
      <c r="AT124" s="8">
        <v>899</v>
      </c>
      <c r="AU124" s="8">
        <v>1282</v>
      </c>
      <c r="AV124" s="8">
        <v>915</v>
      </c>
      <c r="AW124" s="8">
        <v>3006</v>
      </c>
      <c r="AX124" s="8">
        <v>1535</v>
      </c>
      <c r="AY124" s="8">
        <v>955</v>
      </c>
      <c r="AZ124" s="8">
        <v>2800</v>
      </c>
      <c r="BA124" s="8">
        <v>677</v>
      </c>
      <c r="BB124" s="8">
        <v>282</v>
      </c>
      <c r="BE124" s="8">
        <v>287</v>
      </c>
      <c r="BF124" s="8">
        <v>362</v>
      </c>
    </row>
    <row r="125" spans="1:58" x14ac:dyDescent="0.2">
      <c r="A125" s="9">
        <v>42339</v>
      </c>
      <c r="B125" s="8">
        <v>24009</v>
      </c>
      <c r="C125" s="8">
        <v>14453</v>
      </c>
      <c r="D125" s="8">
        <v>9556</v>
      </c>
      <c r="E125" s="8">
        <v>512</v>
      </c>
      <c r="F125" s="8">
        <v>957</v>
      </c>
      <c r="G125" s="8">
        <v>43</v>
      </c>
      <c r="H125" s="8">
        <v>374</v>
      </c>
      <c r="I125" s="8">
        <v>419</v>
      </c>
      <c r="J125" s="8">
        <v>429</v>
      </c>
      <c r="K125" s="8">
        <v>827</v>
      </c>
      <c r="L125" s="8">
        <v>1290</v>
      </c>
      <c r="M125" s="8">
        <v>232</v>
      </c>
      <c r="N125" s="8">
        <v>2428</v>
      </c>
      <c r="O125" s="8">
        <v>91</v>
      </c>
      <c r="P125" s="8">
        <v>85</v>
      </c>
      <c r="S125" s="8">
        <v>250</v>
      </c>
      <c r="T125" s="8">
        <v>143</v>
      </c>
      <c r="U125" s="8">
        <v>14749</v>
      </c>
      <c r="V125" s="8">
        <v>1773</v>
      </c>
      <c r="W125" s="8">
        <v>12976</v>
      </c>
      <c r="X125" s="8">
        <v>1865</v>
      </c>
      <c r="Y125" s="8">
        <v>587</v>
      </c>
      <c r="Z125" s="8">
        <v>1131</v>
      </c>
      <c r="AA125" s="8">
        <v>768</v>
      </c>
      <c r="AB125" s="8">
        <v>1029</v>
      </c>
      <c r="AC125" s="8">
        <v>436</v>
      </c>
      <c r="AD125" s="8">
        <v>1986</v>
      </c>
      <c r="AE125" s="8">
        <v>411</v>
      </c>
      <c r="AF125" s="8">
        <v>941</v>
      </c>
      <c r="AG125" s="8">
        <v>1081</v>
      </c>
      <c r="AH125" s="8">
        <v>954</v>
      </c>
      <c r="AI125" s="8">
        <v>381</v>
      </c>
      <c r="AL125" s="8">
        <v>144</v>
      </c>
      <c r="AM125" s="8">
        <v>273</v>
      </c>
      <c r="AN125" s="8">
        <v>38759</v>
      </c>
      <c r="AO125" s="8">
        <v>16227</v>
      </c>
      <c r="AP125" s="8">
        <v>22532</v>
      </c>
      <c r="AQ125" s="8">
        <v>2378</v>
      </c>
      <c r="AR125" s="8">
        <v>1543</v>
      </c>
      <c r="AS125" s="8">
        <v>1174</v>
      </c>
      <c r="AT125" s="8">
        <v>1143</v>
      </c>
      <c r="AU125" s="8">
        <v>1447</v>
      </c>
      <c r="AV125" s="8">
        <v>865</v>
      </c>
      <c r="AW125" s="8">
        <v>2813</v>
      </c>
      <c r="AX125" s="8">
        <v>1701</v>
      </c>
      <c r="AY125" s="8">
        <v>1173</v>
      </c>
      <c r="AZ125" s="8">
        <v>3510</v>
      </c>
      <c r="BA125" s="8">
        <v>1045</v>
      </c>
      <c r="BB125" s="8">
        <v>466</v>
      </c>
      <c r="BE125" s="8">
        <v>394</v>
      </c>
      <c r="BF125" s="8">
        <v>416</v>
      </c>
    </row>
    <row r="126" spans="1:58" x14ac:dyDescent="0.2">
      <c r="A126" s="9">
        <v>42430</v>
      </c>
      <c r="B126" s="8">
        <v>18119</v>
      </c>
      <c r="C126" s="8">
        <v>10228</v>
      </c>
      <c r="D126" s="8">
        <v>7890</v>
      </c>
      <c r="E126" s="8">
        <v>403</v>
      </c>
      <c r="F126" s="8">
        <v>709</v>
      </c>
      <c r="G126" s="8">
        <v>47</v>
      </c>
      <c r="H126" s="8">
        <v>360</v>
      </c>
      <c r="I126" s="8">
        <v>278</v>
      </c>
      <c r="J126" s="8">
        <v>307</v>
      </c>
      <c r="K126" s="8">
        <v>782</v>
      </c>
      <c r="L126" s="8"/>
      <c r="M126" s="8"/>
      <c r="N126" s="8">
        <v>1773</v>
      </c>
      <c r="O126" s="8">
        <v>112</v>
      </c>
      <c r="P126" s="8">
        <v>100</v>
      </c>
      <c r="S126" s="8">
        <v>178</v>
      </c>
      <c r="T126" s="8">
        <v>190</v>
      </c>
      <c r="U126" s="8">
        <v>11531</v>
      </c>
      <c r="V126" s="8">
        <v>1172</v>
      </c>
      <c r="W126" s="8">
        <v>10360</v>
      </c>
      <c r="X126" s="8">
        <v>1337</v>
      </c>
      <c r="Y126" s="8">
        <v>425</v>
      </c>
      <c r="Z126" s="8">
        <v>1220</v>
      </c>
      <c r="AA126" s="8">
        <v>669</v>
      </c>
      <c r="AB126" s="8">
        <v>706</v>
      </c>
      <c r="AC126" s="8">
        <v>298</v>
      </c>
      <c r="AD126" s="8">
        <v>1330</v>
      </c>
      <c r="AE126" s="8"/>
      <c r="AF126" s="8"/>
      <c r="AG126" s="8">
        <v>1031</v>
      </c>
      <c r="AH126" s="8">
        <v>857</v>
      </c>
      <c r="AI126" s="8">
        <v>308</v>
      </c>
      <c r="AL126" s="8">
        <v>121</v>
      </c>
      <c r="AM126" s="8">
        <v>238</v>
      </c>
      <c r="AN126" s="8">
        <v>29650</v>
      </c>
      <c r="AO126" s="8">
        <v>11400</v>
      </c>
      <c r="AP126" s="8">
        <v>18250</v>
      </c>
      <c r="AQ126" s="8">
        <v>1740</v>
      </c>
      <c r="AR126" s="8">
        <v>1134</v>
      </c>
      <c r="AS126" s="8">
        <v>1266</v>
      </c>
      <c r="AT126" s="8">
        <v>1030</v>
      </c>
      <c r="AU126" s="8">
        <v>984</v>
      </c>
      <c r="AV126" s="8">
        <v>605</v>
      </c>
      <c r="AW126" s="8">
        <v>2113</v>
      </c>
      <c r="AX126" s="8">
        <v>1671</v>
      </c>
      <c r="AY126" s="8">
        <v>773</v>
      </c>
      <c r="AZ126" s="8">
        <v>2804</v>
      </c>
      <c r="BA126" s="8">
        <v>970</v>
      </c>
      <c r="BB126" s="8">
        <v>408</v>
      </c>
      <c r="BE126" s="8">
        <v>299</v>
      </c>
      <c r="BF126" s="8">
        <v>428</v>
      </c>
    </row>
    <row r="127" spans="1:58" x14ac:dyDescent="0.2">
      <c r="A127" s="9">
        <v>42522</v>
      </c>
      <c r="B127" s="8">
        <v>18708</v>
      </c>
      <c r="C127" s="8">
        <v>9443</v>
      </c>
      <c r="D127" s="8">
        <v>9265</v>
      </c>
      <c r="E127" s="8">
        <v>584</v>
      </c>
      <c r="F127" s="8">
        <v>929</v>
      </c>
      <c r="G127" s="8">
        <v>46</v>
      </c>
      <c r="H127" s="8">
        <v>183</v>
      </c>
      <c r="I127" s="8">
        <v>428</v>
      </c>
      <c r="J127" s="8">
        <v>245</v>
      </c>
      <c r="K127" s="8">
        <v>935</v>
      </c>
      <c r="L127" s="8">
        <v>1076</v>
      </c>
      <c r="M127" s="8">
        <v>142</v>
      </c>
      <c r="N127" s="8">
        <v>2607</v>
      </c>
      <c r="O127" s="8">
        <v>131</v>
      </c>
      <c r="P127" s="8">
        <v>66</v>
      </c>
      <c r="S127" s="8">
        <v>251</v>
      </c>
      <c r="T127" s="8">
        <v>225</v>
      </c>
      <c r="U127" s="8">
        <v>15137</v>
      </c>
      <c r="V127" s="8">
        <v>1432</v>
      </c>
      <c r="W127" s="8">
        <v>13706</v>
      </c>
      <c r="X127" s="8">
        <v>1770</v>
      </c>
      <c r="Y127" s="8">
        <v>449</v>
      </c>
      <c r="Z127" s="8">
        <v>1876</v>
      </c>
      <c r="AA127" s="8">
        <v>989</v>
      </c>
      <c r="AB127" s="8">
        <v>1010</v>
      </c>
      <c r="AC127" s="8">
        <v>552</v>
      </c>
      <c r="AD127" s="8">
        <v>1662</v>
      </c>
      <c r="AE127" s="8">
        <v>429</v>
      </c>
      <c r="AF127" s="8">
        <v>908</v>
      </c>
      <c r="AG127" s="8">
        <v>1179</v>
      </c>
      <c r="AH127" s="8">
        <v>914</v>
      </c>
      <c r="AI127" s="8">
        <v>351</v>
      </c>
      <c r="AL127" s="8">
        <v>145</v>
      </c>
      <c r="AM127" s="8">
        <v>409</v>
      </c>
      <c r="AN127" s="8">
        <v>33846</v>
      </c>
      <c r="AO127" s="8">
        <v>10874</v>
      </c>
      <c r="AP127" s="8">
        <v>22971</v>
      </c>
      <c r="AQ127" s="8">
        <v>2354</v>
      </c>
      <c r="AR127" s="8">
        <v>1378</v>
      </c>
      <c r="AS127" s="8">
        <v>1922</v>
      </c>
      <c r="AT127" s="8">
        <v>1172</v>
      </c>
      <c r="AU127" s="8">
        <v>1438</v>
      </c>
      <c r="AV127" s="8">
        <v>797</v>
      </c>
      <c r="AW127" s="8">
        <v>2597</v>
      </c>
      <c r="AX127" s="8">
        <v>1505</v>
      </c>
      <c r="AY127" s="8">
        <v>1050</v>
      </c>
      <c r="AZ127" s="8">
        <v>3786</v>
      </c>
      <c r="BA127" s="8">
        <v>1044</v>
      </c>
      <c r="BB127" s="8">
        <v>417</v>
      </c>
      <c r="BE127" s="8">
        <v>396</v>
      </c>
      <c r="BF127" s="8">
        <v>634</v>
      </c>
    </row>
    <row r="128" spans="1:58" x14ac:dyDescent="0.2">
      <c r="A128" s="9">
        <v>42614</v>
      </c>
      <c r="B128" s="8">
        <v>17220</v>
      </c>
      <c r="C128" s="8">
        <v>8835</v>
      </c>
      <c r="D128" s="8">
        <v>8385</v>
      </c>
      <c r="E128" s="8">
        <v>449</v>
      </c>
      <c r="F128" s="8">
        <v>791</v>
      </c>
      <c r="G128" s="8">
        <v>52</v>
      </c>
      <c r="H128" s="8">
        <v>213</v>
      </c>
      <c r="I128" s="8">
        <v>456</v>
      </c>
      <c r="J128" s="8">
        <v>243</v>
      </c>
      <c r="K128" s="8">
        <v>829</v>
      </c>
      <c r="L128" s="8">
        <v>1418</v>
      </c>
      <c r="M128" s="8">
        <v>152</v>
      </c>
      <c r="N128" s="8">
        <v>1977</v>
      </c>
      <c r="O128" s="8">
        <v>79</v>
      </c>
      <c r="P128" s="8">
        <v>44</v>
      </c>
      <c r="S128" s="8">
        <v>231</v>
      </c>
      <c r="T128" s="8">
        <v>154</v>
      </c>
      <c r="U128" s="8">
        <v>12863</v>
      </c>
      <c r="V128" s="8">
        <v>1233</v>
      </c>
      <c r="W128" s="8">
        <v>11630</v>
      </c>
      <c r="X128" s="8">
        <v>1467</v>
      </c>
      <c r="Y128" s="8">
        <v>416</v>
      </c>
      <c r="Z128" s="8">
        <v>1254</v>
      </c>
      <c r="AA128" s="8">
        <v>749</v>
      </c>
      <c r="AB128" s="8">
        <v>829</v>
      </c>
      <c r="AC128" s="8">
        <v>493</v>
      </c>
      <c r="AD128" s="8">
        <v>1597</v>
      </c>
      <c r="AE128" s="8">
        <v>386</v>
      </c>
      <c r="AF128" s="8">
        <v>894</v>
      </c>
      <c r="AG128" s="8">
        <v>1269</v>
      </c>
      <c r="AH128" s="8">
        <v>674</v>
      </c>
      <c r="AI128" s="8">
        <v>219</v>
      </c>
      <c r="AL128" s="8">
        <v>165</v>
      </c>
      <c r="AM128" s="8">
        <v>315</v>
      </c>
      <c r="AN128" s="8">
        <v>30084</v>
      </c>
      <c r="AO128" s="8">
        <v>10069</v>
      </c>
      <c r="AP128" s="8">
        <v>20015</v>
      </c>
      <c r="AQ128" s="8">
        <v>1916</v>
      </c>
      <c r="AR128" s="8">
        <v>1207</v>
      </c>
      <c r="AS128" s="8">
        <v>1306</v>
      </c>
      <c r="AT128" s="8">
        <v>962</v>
      </c>
      <c r="AU128" s="8">
        <v>1285</v>
      </c>
      <c r="AV128" s="8">
        <v>736</v>
      </c>
      <c r="AW128" s="8">
        <v>2425</v>
      </c>
      <c r="AX128" s="8">
        <v>1804</v>
      </c>
      <c r="AY128" s="8">
        <v>1046</v>
      </c>
      <c r="AZ128" s="8">
        <v>3246</v>
      </c>
      <c r="BA128" s="8">
        <v>753</v>
      </c>
      <c r="BB128" s="8">
        <v>263</v>
      </c>
      <c r="BE128" s="8">
        <v>396</v>
      </c>
      <c r="BF128" s="8">
        <v>469</v>
      </c>
    </row>
    <row r="129" spans="1:58" x14ac:dyDescent="0.2">
      <c r="A129" s="9">
        <v>42705</v>
      </c>
      <c r="B129" s="8">
        <v>18987</v>
      </c>
      <c r="C129" s="8">
        <v>8879</v>
      </c>
      <c r="D129" s="8">
        <v>10109</v>
      </c>
      <c r="E129" s="8">
        <v>630</v>
      </c>
      <c r="F129" s="8">
        <v>1009</v>
      </c>
      <c r="G129" s="8">
        <v>66</v>
      </c>
      <c r="H129" s="8">
        <v>347</v>
      </c>
      <c r="I129" s="8">
        <v>615</v>
      </c>
      <c r="J129" s="8">
        <v>366</v>
      </c>
      <c r="K129" s="8">
        <v>845</v>
      </c>
      <c r="L129" s="8">
        <v>1585</v>
      </c>
      <c r="M129" s="8">
        <v>199</v>
      </c>
      <c r="N129" s="8">
        <v>2281</v>
      </c>
      <c r="O129" s="8">
        <v>136</v>
      </c>
      <c r="P129" s="8">
        <v>109</v>
      </c>
      <c r="S129" s="8">
        <v>236</v>
      </c>
      <c r="T129" s="8">
        <v>139</v>
      </c>
      <c r="U129" s="8">
        <v>14298</v>
      </c>
      <c r="V129" s="8">
        <v>1704</v>
      </c>
      <c r="W129" s="8">
        <v>12594</v>
      </c>
      <c r="X129" s="8">
        <v>1790</v>
      </c>
      <c r="Y129" s="8">
        <v>401</v>
      </c>
      <c r="Z129" s="8">
        <v>1672</v>
      </c>
      <c r="AA129" s="8">
        <v>894</v>
      </c>
      <c r="AB129" s="8">
        <v>1056</v>
      </c>
      <c r="AC129" s="8">
        <v>536</v>
      </c>
      <c r="AD129" s="8">
        <v>1661</v>
      </c>
      <c r="AE129" s="8">
        <v>377</v>
      </c>
      <c r="AF129" s="8">
        <v>771</v>
      </c>
      <c r="AG129" s="8">
        <v>1182</v>
      </c>
      <c r="AH129" s="8">
        <v>700</v>
      </c>
      <c r="AI129" s="8">
        <v>201</v>
      </c>
      <c r="AL129" s="8">
        <v>144</v>
      </c>
      <c r="AM129" s="8">
        <v>248</v>
      </c>
      <c r="AN129" s="8">
        <v>33285</v>
      </c>
      <c r="AO129" s="8">
        <v>10582</v>
      </c>
      <c r="AP129" s="8">
        <v>22703</v>
      </c>
      <c r="AQ129" s="8">
        <v>2420</v>
      </c>
      <c r="AR129" s="8">
        <v>1410</v>
      </c>
      <c r="AS129" s="8">
        <v>1738</v>
      </c>
      <c r="AT129" s="8">
        <v>1240</v>
      </c>
      <c r="AU129" s="8">
        <v>1671</v>
      </c>
      <c r="AV129" s="8">
        <v>902</v>
      </c>
      <c r="AW129" s="8">
        <v>2506</v>
      </c>
      <c r="AX129" s="8">
        <v>1962</v>
      </c>
      <c r="AY129" s="8">
        <v>970</v>
      </c>
      <c r="AZ129" s="8">
        <v>3463</v>
      </c>
      <c r="BA129" s="8">
        <v>836</v>
      </c>
      <c r="BB129" s="8">
        <v>310</v>
      </c>
      <c r="BE129" s="8">
        <v>380</v>
      </c>
      <c r="BF129" s="8">
        <v>386</v>
      </c>
    </row>
    <row r="130" spans="1:58" x14ac:dyDescent="0.2">
      <c r="A130" s="9">
        <v>42795</v>
      </c>
      <c r="B130" s="8">
        <v>16018</v>
      </c>
      <c r="C130" s="8">
        <v>7498</v>
      </c>
      <c r="D130" s="8">
        <v>8520</v>
      </c>
      <c r="E130" s="8">
        <v>646</v>
      </c>
      <c r="F130" s="8">
        <v>958</v>
      </c>
      <c r="G130" s="8">
        <v>64</v>
      </c>
      <c r="H130" s="8">
        <v>264</v>
      </c>
      <c r="I130" s="8">
        <v>363</v>
      </c>
      <c r="J130" s="8">
        <v>267</v>
      </c>
      <c r="K130" s="8">
        <v>755</v>
      </c>
      <c r="L130" s="8">
        <v>1550</v>
      </c>
      <c r="M130" s="8">
        <v>181</v>
      </c>
      <c r="N130" s="8">
        <v>1701</v>
      </c>
      <c r="O130" s="8">
        <v>143</v>
      </c>
      <c r="P130" s="8">
        <v>45</v>
      </c>
      <c r="S130" s="8">
        <v>158</v>
      </c>
      <c r="T130" s="8">
        <v>138</v>
      </c>
      <c r="U130" s="8">
        <v>11102</v>
      </c>
      <c r="V130" s="8">
        <v>1094</v>
      </c>
      <c r="W130" s="8">
        <v>10009</v>
      </c>
      <c r="X130" s="8">
        <v>1439</v>
      </c>
      <c r="Y130" s="8">
        <v>290</v>
      </c>
      <c r="Z130" s="8">
        <v>1049</v>
      </c>
      <c r="AA130" s="8">
        <v>591</v>
      </c>
      <c r="AB130" s="8">
        <v>809</v>
      </c>
      <c r="AC130" s="8">
        <v>430</v>
      </c>
      <c r="AD130" s="8">
        <v>1417</v>
      </c>
      <c r="AE130" s="8">
        <v>310</v>
      </c>
      <c r="AF130" s="8">
        <v>634</v>
      </c>
      <c r="AG130" s="8">
        <v>1026</v>
      </c>
      <c r="AH130" s="8">
        <v>642</v>
      </c>
      <c r="AI130" s="8">
        <v>186</v>
      </c>
      <c r="AL130" s="8">
        <v>128</v>
      </c>
      <c r="AM130" s="8">
        <v>295</v>
      </c>
      <c r="AN130" s="8">
        <v>27120</v>
      </c>
      <c r="AO130" s="8">
        <v>8591</v>
      </c>
      <c r="AP130" s="8">
        <v>18529</v>
      </c>
      <c r="AQ130" s="8">
        <v>2085</v>
      </c>
      <c r="AR130" s="8">
        <v>1248</v>
      </c>
      <c r="AS130" s="8">
        <v>1113</v>
      </c>
      <c r="AT130" s="8">
        <v>856</v>
      </c>
      <c r="AU130" s="8">
        <v>1172</v>
      </c>
      <c r="AV130" s="8">
        <v>697</v>
      </c>
      <c r="AW130" s="8">
        <v>2172</v>
      </c>
      <c r="AX130" s="8">
        <v>1860</v>
      </c>
      <c r="AY130" s="8">
        <v>815</v>
      </c>
      <c r="AZ130" s="8">
        <v>2727</v>
      </c>
      <c r="BA130" s="8">
        <v>785</v>
      </c>
      <c r="BB130" s="8">
        <v>231</v>
      </c>
      <c r="BE130" s="8">
        <v>286</v>
      </c>
      <c r="BF130" s="8">
        <v>433</v>
      </c>
    </row>
    <row r="131" spans="1:58" x14ac:dyDescent="0.2">
      <c r="A131" s="9">
        <v>42887</v>
      </c>
      <c r="B131" s="8">
        <v>18607</v>
      </c>
      <c r="C131" s="8">
        <v>8065</v>
      </c>
      <c r="D131" s="8">
        <v>10542</v>
      </c>
      <c r="E131" s="8">
        <v>751</v>
      </c>
      <c r="F131" s="8">
        <v>1124</v>
      </c>
      <c r="G131" s="8">
        <v>112</v>
      </c>
      <c r="H131" s="8">
        <v>312</v>
      </c>
      <c r="I131" s="8">
        <v>593</v>
      </c>
      <c r="J131" s="8">
        <v>305</v>
      </c>
      <c r="K131" s="8">
        <v>1111</v>
      </c>
      <c r="L131" s="8">
        <v>1788</v>
      </c>
      <c r="M131" s="8">
        <v>176</v>
      </c>
      <c r="N131" s="8">
        <v>2060</v>
      </c>
      <c r="O131" s="8">
        <v>128</v>
      </c>
      <c r="P131" s="8">
        <v>117</v>
      </c>
      <c r="S131" s="8">
        <v>179</v>
      </c>
      <c r="T131" s="8">
        <v>187</v>
      </c>
      <c r="U131" s="8">
        <v>14695</v>
      </c>
      <c r="V131" s="8">
        <v>1443</v>
      </c>
      <c r="W131" s="8">
        <v>13252</v>
      </c>
      <c r="X131" s="8">
        <v>1701</v>
      </c>
      <c r="Y131" s="8">
        <v>416</v>
      </c>
      <c r="Z131" s="8">
        <v>2017</v>
      </c>
      <c r="AA131" s="8">
        <v>781</v>
      </c>
      <c r="AB131" s="8">
        <v>946</v>
      </c>
      <c r="AC131" s="8">
        <v>553</v>
      </c>
      <c r="AD131" s="8">
        <v>1823</v>
      </c>
      <c r="AE131" s="8">
        <v>395</v>
      </c>
      <c r="AF131" s="8">
        <v>614</v>
      </c>
      <c r="AG131" s="8">
        <v>1270</v>
      </c>
      <c r="AH131" s="8">
        <v>849</v>
      </c>
      <c r="AI131" s="8">
        <v>249</v>
      </c>
      <c r="AL131" s="8">
        <v>219</v>
      </c>
      <c r="AM131" s="8">
        <v>392</v>
      </c>
      <c r="AN131" s="8">
        <v>33302</v>
      </c>
      <c r="AO131" s="8">
        <v>9508</v>
      </c>
      <c r="AP131" s="8">
        <v>23794</v>
      </c>
      <c r="AQ131" s="8">
        <v>2452</v>
      </c>
      <c r="AR131" s="8">
        <v>1540</v>
      </c>
      <c r="AS131" s="8">
        <v>2129</v>
      </c>
      <c r="AT131" s="8">
        <v>1093</v>
      </c>
      <c r="AU131" s="8">
        <v>1539</v>
      </c>
      <c r="AV131" s="8">
        <v>858</v>
      </c>
      <c r="AW131" s="8">
        <v>2934</v>
      </c>
      <c r="AX131" s="8">
        <v>2182</v>
      </c>
      <c r="AY131" s="8">
        <v>790</v>
      </c>
      <c r="AZ131" s="8">
        <v>3329</v>
      </c>
      <c r="BA131" s="8">
        <v>977</v>
      </c>
      <c r="BB131" s="8">
        <v>366</v>
      </c>
      <c r="BE131" s="8">
        <v>398</v>
      </c>
      <c r="BF131" s="8">
        <v>579</v>
      </c>
    </row>
    <row r="132" spans="1:58" x14ac:dyDescent="0.2">
      <c r="A132" s="9">
        <v>42979</v>
      </c>
      <c r="B132" s="8">
        <v>18240</v>
      </c>
      <c r="C132" s="8">
        <v>8084</v>
      </c>
      <c r="D132" s="8">
        <v>10156</v>
      </c>
      <c r="E132" s="8">
        <v>588</v>
      </c>
      <c r="F132" s="8">
        <v>1414</v>
      </c>
      <c r="G132" s="8">
        <v>80</v>
      </c>
      <c r="H132" s="8">
        <v>269</v>
      </c>
      <c r="I132" s="8">
        <v>542</v>
      </c>
      <c r="J132" s="8">
        <v>400</v>
      </c>
      <c r="K132" s="8">
        <v>1130</v>
      </c>
      <c r="L132" s="8">
        <v>1712</v>
      </c>
      <c r="M132" s="8">
        <v>217</v>
      </c>
      <c r="N132" s="8">
        <v>1728</v>
      </c>
      <c r="O132" s="8">
        <v>227</v>
      </c>
      <c r="P132" s="8">
        <v>72</v>
      </c>
      <c r="Q132" s="8">
        <v>461</v>
      </c>
      <c r="R132" s="8">
        <v>965</v>
      </c>
      <c r="S132" s="8">
        <v>194</v>
      </c>
      <c r="T132" s="8">
        <v>157</v>
      </c>
      <c r="U132" s="8">
        <v>12728</v>
      </c>
      <c r="V132" s="8">
        <v>1281</v>
      </c>
      <c r="W132" s="8">
        <v>11447</v>
      </c>
      <c r="X132" s="8">
        <v>1542</v>
      </c>
      <c r="Y132" s="8">
        <v>391</v>
      </c>
      <c r="Z132" s="8">
        <v>1328</v>
      </c>
      <c r="AA132" s="8">
        <v>725</v>
      </c>
      <c r="AB132" s="8">
        <v>828</v>
      </c>
      <c r="AC132" s="8">
        <v>411</v>
      </c>
      <c r="AD132" s="8">
        <v>1646</v>
      </c>
      <c r="AE132" s="8">
        <v>321</v>
      </c>
      <c r="AF132" s="8">
        <v>710</v>
      </c>
      <c r="AG132" s="8">
        <v>1424</v>
      </c>
      <c r="AH132" s="8">
        <v>842</v>
      </c>
      <c r="AI132" s="8">
        <v>208</v>
      </c>
      <c r="AJ132" s="8">
        <v>140</v>
      </c>
      <c r="AK132" s="8">
        <v>500</v>
      </c>
      <c r="AL132" s="8">
        <v>121</v>
      </c>
      <c r="AM132" s="8">
        <v>310</v>
      </c>
      <c r="AN132" s="8">
        <v>30969</v>
      </c>
      <c r="AO132" s="8">
        <v>9365</v>
      </c>
      <c r="AP132" s="8">
        <v>21603</v>
      </c>
      <c r="AQ132" s="8">
        <v>2130</v>
      </c>
      <c r="AR132" s="8">
        <v>1804</v>
      </c>
      <c r="AS132" s="8">
        <v>1408</v>
      </c>
      <c r="AT132" s="8">
        <v>994</v>
      </c>
      <c r="AU132" s="8">
        <v>1370</v>
      </c>
      <c r="AV132" s="8">
        <v>811</v>
      </c>
      <c r="AW132" s="8">
        <v>2775</v>
      </c>
      <c r="AX132" s="8">
        <v>2034</v>
      </c>
      <c r="AY132" s="8">
        <v>927</v>
      </c>
      <c r="AZ132" s="8">
        <v>3151</v>
      </c>
      <c r="BA132" s="8">
        <v>1070</v>
      </c>
      <c r="BB132" s="8">
        <v>280</v>
      </c>
      <c r="BC132" s="8">
        <v>601</v>
      </c>
      <c r="BD132" s="8">
        <v>1465</v>
      </c>
      <c r="BE132" s="8">
        <v>316</v>
      </c>
      <c r="BF132" s="8">
        <v>467</v>
      </c>
    </row>
    <row r="133" spans="1:58" x14ac:dyDescent="0.2">
      <c r="A133" s="9">
        <v>43070</v>
      </c>
      <c r="B133" s="8">
        <v>20057</v>
      </c>
      <c r="C133" s="8">
        <v>7709</v>
      </c>
      <c r="D133" s="8">
        <v>12349</v>
      </c>
      <c r="E133" s="8">
        <v>825</v>
      </c>
      <c r="F133" s="8">
        <v>1788</v>
      </c>
      <c r="G133" s="8">
        <v>131</v>
      </c>
      <c r="H133" s="8">
        <v>345</v>
      </c>
      <c r="I133" s="8">
        <v>521</v>
      </c>
      <c r="J133" s="8">
        <v>416</v>
      </c>
      <c r="K133" s="8">
        <v>1385</v>
      </c>
      <c r="L133" s="8">
        <v>1837</v>
      </c>
      <c r="M133" s="8">
        <v>297</v>
      </c>
      <c r="N133" s="8">
        <v>2346</v>
      </c>
      <c r="O133" s="8">
        <v>249</v>
      </c>
      <c r="P133" s="8">
        <v>107</v>
      </c>
      <c r="Q133" s="8">
        <v>594</v>
      </c>
      <c r="R133" s="8">
        <v>1151</v>
      </c>
      <c r="S133" s="8">
        <v>225</v>
      </c>
      <c r="T133" s="8">
        <v>131</v>
      </c>
      <c r="U133" s="8">
        <v>14777</v>
      </c>
      <c r="V133" s="8">
        <v>2165</v>
      </c>
      <c r="W133" s="8">
        <v>12613</v>
      </c>
      <c r="X133" s="8">
        <v>1846</v>
      </c>
      <c r="Y133" s="8">
        <v>393</v>
      </c>
      <c r="Z133" s="8">
        <v>1341</v>
      </c>
      <c r="AA133" s="8">
        <v>738</v>
      </c>
      <c r="AB133" s="8">
        <v>814</v>
      </c>
      <c r="AC133" s="8">
        <v>460</v>
      </c>
      <c r="AD133" s="8">
        <v>1839</v>
      </c>
      <c r="AE133" s="8">
        <v>326</v>
      </c>
      <c r="AF133" s="8">
        <v>774</v>
      </c>
      <c r="AG133" s="8">
        <v>1492</v>
      </c>
      <c r="AH133" s="8">
        <v>898</v>
      </c>
      <c r="AI133" s="8">
        <v>263</v>
      </c>
      <c r="AJ133" s="8">
        <v>212</v>
      </c>
      <c r="AK133" s="8">
        <v>639</v>
      </c>
      <c r="AL133" s="8">
        <v>260</v>
      </c>
      <c r="AM133" s="8">
        <v>317</v>
      </c>
      <c r="AN133" s="8">
        <v>34835</v>
      </c>
      <c r="AO133" s="8">
        <v>9873</v>
      </c>
      <c r="AP133" s="8">
        <v>24961</v>
      </c>
      <c r="AQ133" s="8">
        <v>2671</v>
      </c>
      <c r="AR133" s="8">
        <v>2181</v>
      </c>
      <c r="AS133" s="8">
        <v>1471</v>
      </c>
      <c r="AT133" s="8">
        <v>1083</v>
      </c>
      <c r="AU133" s="8">
        <v>1336</v>
      </c>
      <c r="AV133" s="8">
        <v>876</v>
      </c>
      <c r="AW133" s="8">
        <v>3225</v>
      </c>
      <c r="AX133" s="8">
        <v>2164</v>
      </c>
      <c r="AY133" s="8">
        <v>1071</v>
      </c>
      <c r="AZ133" s="8">
        <v>3837</v>
      </c>
      <c r="BA133" s="8">
        <v>1146</v>
      </c>
      <c r="BB133" s="8">
        <v>370</v>
      </c>
      <c r="BC133" s="8">
        <v>806</v>
      </c>
      <c r="BD133" s="8">
        <v>1791</v>
      </c>
      <c r="BE133" s="8">
        <v>485</v>
      </c>
      <c r="BF133" s="8">
        <v>448</v>
      </c>
    </row>
    <row r="134" spans="1:58" x14ac:dyDescent="0.2">
      <c r="A134" s="9">
        <v>43160</v>
      </c>
      <c r="B134" s="8">
        <v>16336</v>
      </c>
      <c r="C134" s="8">
        <v>6684</v>
      </c>
      <c r="D134" s="8">
        <v>9652</v>
      </c>
      <c r="E134" s="8">
        <v>543</v>
      </c>
      <c r="F134" s="8">
        <v>1685</v>
      </c>
      <c r="G134" s="8">
        <v>69</v>
      </c>
      <c r="H134" s="8">
        <v>192</v>
      </c>
      <c r="I134" s="8">
        <v>350</v>
      </c>
      <c r="J134" s="8">
        <v>288</v>
      </c>
      <c r="K134" s="8">
        <v>1129</v>
      </c>
      <c r="L134" s="8">
        <v>1670</v>
      </c>
      <c r="M134" s="8">
        <v>200</v>
      </c>
      <c r="N134" s="8">
        <v>1668</v>
      </c>
      <c r="O134" s="8">
        <v>105</v>
      </c>
      <c r="P134" s="8">
        <v>45</v>
      </c>
      <c r="Q134" s="8">
        <v>546</v>
      </c>
      <c r="R134" s="8">
        <v>904</v>
      </c>
      <c r="S134" s="8">
        <v>164</v>
      </c>
      <c r="T134" s="8">
        <v>95</v>
      </c>
      <c r="U134" s="8">
        <v>12137</v>
      </c>
      <c r="V134" s="8">
        <v>1491</v>
      </c>
      <c r="W134" s="8">
        <v>10646</v>
      </c>
      <c r="X134" s="8">
        <v>1535</v>
      </c>
      <c r="Y134" s="8">
        <v>272</v>
      </c>
      <c r="Z134" s="8">
        <v>1246</v>
      </c>
      <c r="AA134" s="8">
        <v>678</v>
      </c>
      <c r="AB134" s="8">
        <v>665</v>
      </c>
      <c r="AC134" s="8">
        <v>432</v>
      </c>
      <c r="AD134" s="8">
        <v>1565</v>
      </c>
      <c r="AE134" s="8">
        <v>377</v>
      </c>
      <c r="AF134" s="8">
        <v>574</v>
      </c>
      <c r="AG134" s="8">
        <v>1185</v>
      </c>
      <c r="AH134" s="8">
        <v>681</v>
      </c>
      <c r="AI134" s="8">
        <v>224</v>
      </c>
      <c r="AJ134" s="8">
        <v>218</v>
      </c>
      <c r="AK134" s="8">
        <v>529</v>
      </c>
      <c r="AL134" s="8">
        <v>121</v>
      </c>
      <c r="AM134" s="8">
        <v>345</v>
      </c>
      <c r="AN134" s="8">
        <v>28473</v>
      </c>
      <c r="AO134" s="8">
        <v>8175</v>
      </c>
      <c r="AP134" s="8">
        <v>20298</v>
      </c>
      <c r="AQ134" s="8">
        <v>2078</v>
      </c>
      <c r="AR134" s="8">
        <v>1957</v>
      </c>
      <c r="AS134" s="8">
        <v>1315</v>
      </c>
      <c r="AT134" s="8">
        <v>870</v>
      </c>
      <c r="AU134" s="8">
        <v>1014</v>
      </c>
      <c r="AV134" s="8">
        <v>720</v>
      </c>
      <c r="AW134" s="8">
        <v>2694</v>
      </c>
      <c r="AX134" s="8">
        <v>2047</v>
      </c>
      <c r="AY134" s="8">
        <v>774</v>
      </c>
      <c r="AZ134" s="8">
        <v>2853</v>
      </c>
      <c r="BA134" s="8">
        <v>786</v>
      </c>
      <c r="BB134" s="8">
        <v>269</v>
      </c>
      <c r="BC134" s="8">
        <v>764</v>
      </c>
      <c r="BD134" s="8">
        <v>1433</v>
      </c>
      <c r="BE134" s="8">
        <v>284</v>
      </c>
      <c r="BF134" s="8">
        <v>440</v>
      </c>
    </row>
    <row r="135" spans="1:58" x14ac:dyDescent="0.2">
      <c r="A135" s="9">
        <v>43252</v>
      </c>
      <c r="B135" s="8">
        <v>18991</v>
      </c>
      <c r="C135" s="8">
        <v>6913</v>
      </c>
      <c r="D135" s="8">
        <v>12078</v>
      </c>
      <c r="E135" s="8">
        <v>641</v>
      </c>
      <c r="F135" s="8">
        <v>2282</v>
      </c>
      <c r="G135" s="8">
        <v>71</v>
      </c>
      <c r="H135" s="8">
        <v>231</v>
      </c>
      <c r="I135" s="8">
        <v>499</v>
      </c>
      <c r="J135" s="8">
        <v>628</v>
      </c>
      <c r="K135" s="8">
        <v>1452</v>
      </c>
      <c r="L135" s="8">
        <v>1462</v>
      </c>
      <c r="M135" s="8">
        <v>239</v>
      </c>
      <c r="N135" s="8">
        <v>2227</v>
      </c>
      <c r="O135" s="8">
        <v>139</v>
      </c>
      <c r="P135" s="8">
        <v>71</v>
      </c>
      <c r="Q135" s="8">
        <v>599</v>
      </c>
      <c r="R135" s="8">
        <v>1218</v>
      </c>
      <c r="S135" s="8">
        <v>173</v>
      </c>
      <c r="T135" s="8">
        <v>145</v>
      </c>
      <c r="U135" s="8">
        <v>15820</v>
      </c>
      <c r="V135" s="8">
        <v>2063</v>
      </c>
      <c r="W135" s="8">
        <v>13758</v>
      </c>
      <c r="X135" s="8">
        <v>1931</v>
      </c>
      <c r="Y135" s="8">
        <v>375</v>
      </c>
      <c r="Z135" s="8">
        <v>1789</v>
      </c>
      <c r="AA135" s="8">
        <v>953</v>
      </c>
      <c r="AB135" s="8">
        <v>1137</v>
      </c>
      <c r="AC135" s="8">
        <v>591</v>
      </c>
      <c r="AD135" s="8">
        <v>1876</v>
      </c>
      <c r="AE135" s="8">
        <v>395</v>
      </c>
      <c r="AF135" s="8">
        <v>813</v>
      </c>
      <c r="AG135" s="8">
        <v>1264</v>
      </c>
      <c r="AH135" s="8">
        <v>773</v>
      </c>
      <c r="AI135" s="8">
        <v>242</v>
      </c>
      <c r="AJ135" s="8">
        <v>210</v>
      </c>
      <c r="AK135" s="8">
        <v>840</v>
      </c>
      <c r="AL135" s="8">
        <v>190</v>
      </c>
      <c r="AM135" s="8">
        <v>379</v>
      </c>
      <c r="AN135" s="8">
        <v>34811</v>
      </c>
      <c r="AO135" s="8">
        <v>8975</v>
      </c>
      <c r="AP135" s="8">
        <v>25836</v>
      </c>
      <c r="AQ135" s="8">
        <v>2572</v>
      </c>
      <c r="AR135" s="8">
        <v>2657</v>
      </c>
      <c r="AS135" s="8">
        <v>1860</v>
      </c>
      <c r="AT135" s="8">
        <v>1184</v>
      </c>
      <c r="AU135" s="8">
        <v>1636</v>
      </c>
      <c r="AV135" s="8">
        <v>1219</v>
      </c>
      <c r="AW135" s="8">
        <v>3328</v>
      </c>
      <c r="AX135" s="8">
        <v>1857</v>
      </c>
      <c r="AY135" s="8">
        <v>1053</v>
      </c>
      <c r="AZ135" s="8">
        <v>3491</v>
      </c>
      <c r="BA135" s="8">
        <v>913</v>
      </c>
      <c r="BB135" s="8">
        <v>313</v>
      </c>
      <c r="BC135" s="8">
        <v>809</v>
      </c>
      <c r="BD135" s="8">
        <v>2058</v>
      </c>
      <c r="BE135" s="8">
        <v>362</v>
      </c>
      <c r="BF135" s="8">
        <v>524</v>
      </c>
    </row>
    <row r="136" spans="1:58" x14ac:dyDescent="0.2">
      <c r="A136" s="9">
        <v>43344</v>
      </c>
      <c r="B136" s="8">
        <v>17667</v>
      </c>
      <c r="C136" s="8">
        <v>6499</v>
      </c>
      <c r="D136" s="8">
        <v>11168</v>
      </c>
      <c r="E136" s="8">
        <v>619</v>
      </c>
      <c r="F136" s="8">
        <v>1955</v>
      </c>
      <c r="G136" s="8">
        <v>67</v>
      </c>
      <c r="H136" s="8">
        <v>228</v>
      </c>
      <c r="I136" s="8">
        <v>596</v>
      </c>
      <c r="J136" s="8">
        <v>486</v>
      </c>
      <c r="K136" s="8">
        <v>1223</v>
      </c>
      <c r="L136" s="8">
        <v>1530</v>
      </c>
      <c r="M136" s="8">
        <v>306</v>
      </c>
      <c r="N136" s="8">
        <v>1949</v>
      </c>
      <c r="O136" s="8">
        <v>227</v>
      </c>
      <c r="P136" s="8">
        <v>92</v>
      </c>
      <c r="Q136" s="8">
        <v>631</v>
      </c>
      <c r="R136" s="8">
        <v>1072</v>
      </c>
      <c r="S136" s="8">
        <v>127</v>
      </c>
      <c r="T136" s="8">
        <v>60</v>
      </c>
      <c r="U136" s="8">
        <v>14365</v>
      </c>
      <c r="V136" s="8">
        <v>1923</v>
      </c>
      <c r="W136" s="8">
        <v>12442</v>
      </c>
      <c r="X136" s="8">
        <v>1702</v>
      </c>
      <c r="Y136" s="8">
        <v>377</v>
      </c>
      <c r="Z136" s="8">
        <v>1593</v>
      </c>
      <c r="AA136" s="8">
        <v>800</v>
      </c>
      <c r="AB136" s="8">
        <v>874</v>
      </c>
      <c r="AC136" s="8">
        <v>461</v>
      </c>
      <c r="AD136" s="8">
        <v>1842</v>
      </c>
      <c r="AE136" s="8">
        <v>367</v>
      </c>
      <c r="AF136" s="8">
        <v>759</v>
      </c>
      <c r="AG136" s="8">
        <v>1295</v>
      </c>
      <c r="AH136" s="8">
        <v>779</v>
      </c>
      <c r="AI136" s="8">
        <v>229</v>
      </c>
      <c r="AJ136" s="8">
        <v>226</v>
      </c>
      <c r="AK136" s="8">
        <v>663</v>
      </c>
      <c r="AL136" s="8">
        <v>139</v>
      </c>
      <c r="AM136" s="8">
        <v>334</v>
      </c>
      <c r="AN136" s="8">
        <v>32033</v>
      </c>
      <c r="AO136" s="8">
        <v>8422</v>
      </c>
      <c r="AP136" s="8">
        <v>23610</v>
      </c>
      <c r="AQ136" s="8">
        <v>2322</v>
      </c>
      <c r="AR136" s="8">
        <v>2332</v>
      </c>
      <c r="AS136" s="8">
        <v>1660</v>
      </c>
      <c r="AT136" s="8">
        <v>1028</v>
      </c>
      <c r="AU136" s="8">
        <v>1471</v>
      </c>
      <c r="AV136" s="8">
        <v>947</v>
      </c>
      <c r="AW136" s="8">
        <v>3065</v>
      </c>
      <c r="AX136" s="8">
        <v>1897</v>
      </c>
      <c r="AY136" s="8">
        <v>1065</v>
      </c>
      <c r="AZ136" s="8">
        <v>3244</v>
      </c>
      <c r="BA136" s="8">
        <v>1007</v>
      </c>
      <c r="BB136" s="8">
        <v>320</v>
      </c>
      <c r="BC136" s="8">
        <v>857</v>
      </c>
      <c r="BD136" s="8">
        <v>1735</v>
      </c>
      <c r="BE136" s="8">
        <v>267</v>
      </c>
      <c r="BF136" s="8">
        <v>394</v>
      </c>
    </row>
    <row r="137" spans="1:58" x14ac:dyDescent="0.2">
      <c r="A137" s="9">
        <v>43435</v>
      </c>
      <c r="B137" s="8">
        <v>20350</v>
      </c>
      <c r="C137" s="8">
        <v>6654</v>
      </c>
      <c r="D137" s="8">
        <v>13697</v>
      </c>
      <c r="E137" s="8">
        <v>725</v>
      </c>
      <c r="F137" s="8">
        <v>2317</v>
      </c>
      <c r="G137" s="8">
        <v>94</v>
      </c>
      <c r="H137" s="8">
        <v>307</v>
      </c>
      <c r="I137" s="8">
        <v>703</v>
      </c>
      <c r="J137" s="8">
        <v>494</v>
      </c>
      <c r="K137" s="8">
        <v>1977</v>
      </c>
      <c r="L137" s="8">
        <v>1490</v>
      </c>
      <c r="M137" s="8">
        <v>387</v>
      </c>
      <c r="N137" s="8">
        <v>2473</v>
      </c>
      <c r="O137" s="8">
        <v>275</v>
      </c>
      <c r="P137" s="8">
        <v>59</v>
      </c>
      <c r="Q137" s="8">
        <v>763</v>
      </c>
      <c r="R137" s="8">
        <v>1353</v>
      </c>
      <c r="S137" s="8">
        <v>172</v>
      </c>
      <c r="T137" s="8">
        <v>109</v>
      </c>
      <c r="U137" s="8">
        <v>16118</v>
      </c>
      <c r="V137" s="8">
        <v>2370</v>
      </c>
      <c r="W137" s="8">
        <v>13749</v>
      </c>
      <c r="X137" s="8">
        <v>1940</v>
      </c>
      <c r="Y137" s="8">
        <v>334</v>
      </c>
      <c r="Z137" s="8">
        <v>1860</v>
      </c>
      <c r="AA137" s="8">
        <v>1037</v>
      </c>
      <c r="AB137" s="8">
        <v>1171</v>
      </c>
      <c r="AC137" s="8">
        <v>406</v>
      </c>
      <c r="AD137" s="8">
        <v>1941</v>
      </c>
      <c r="AE137" s="8">
        <v>382</v>
      </c>
      <c r="AF137" s="8">
        <v>782</v>
      </c>
      <c r="AG137" s="8">
        <v>1326</v>
      </c>
      <c r="AH137" s="8">
        <v>786</v>
      </c>
      <c r="AI137" s="8">
        <v>200</v>
      </c>
      <c r="AJ137" s="8">
        <v>223</v>
      </c>
      <c r="AK137" s="8">
        <v>718</v>
      </c>
      <c r="AL137" s="8">
        <v>218</v>
      </c>
      <c r="AM137" s="8">
        <v>426</v>
      </c>
      <c r="AN137" s="8">
        <v>36469</v>
      </c>
      <c r="AO137" s="8">
        <v>9023</v>
      </c>
      <c r="AP137" s="8">
        <v>27446</v>
      </c>
      <c r="AQ137" s="8">
        <v>2665</v>
      </c>
      <c r="AR137" s="8">
        <v>2651</v>
      </c>
      <c r="AS137" s="8">
        <v>1954</v>
      </c>
      <c r="AT137" s="8">
        <v>1344</v>
      </c>
      <c r="AU137" s="8">
        <v>1873</v>
      </c>
      <c r="AV137" s="8">
        <v>900</v>
      </c>
      <c r="AW137" s="8">
        <v>3918</v>
      </c>
      <c r="AX137" s="8">
        <v>1872</v>
      </c>
      <c r="AY137" s="8">
        <v>1169</v>
      </c>
      <c r="AZ137" s="8">
        <v>3800</v>
      </c>
      <c r="BA137" s="8">
        <v>1061</v>
      </c>
      <c r="BB137" s="8">
        <v>259</v>
      </c>
      <c r="BC137" s="8">
        <v>986</v>
      </c>
      <c r="BD137" s="8">
        <v>2071</v>
      </c>
      <c r="BE137" s="8">
        <v>390</v>
      </c>
      <c r="BF137" s="8">
        <v>535</v>
      </c>
    </row>
    <row r="138" spans="1:58" x14ac:dyDescent="0.2">
      <c r="A138" s="9">
        <v>43525</v>
      </c>
      <c r="B138" s="8">
        <v>16305</v>
      </c>
      <c r="C138" s="8">
        <v>5527</v>
      </c>
      <c r="D138" s="8">
        <v>10778</v>
      </c>
      <c r="E138" s="8">
        <v>496</v>
      </c>
      <c r="F138" s="8">
        <v>1958</v>
      </c>
      <c r="G138" s="8">
        <v>91</v>
      </c>
      <c r="H138" s="8">
        <v>199</v>
      </c>
      <c r="I138" s="8">
        <v>413</v>
      </c>
      <c r="J138" s="8">
        <v>449</v>
      </c>
      <c r="K138" s="8">
        <v>1598</v>
      </c>
      <c r="L138" s="8">
        <v>1138</v>
      </c>
      <c r="M138" s="8">
        <v>140</v>
      </c>
      <c r="N138" s="8">
        <v>1942</v>
      </c>
      <c r="O138" s="8">
        <v>270</v>
      </c>
      <c r="P138" s="8">
        <v>56</v>
      </c>
      <c r="Q138" s="8">
        <v>643</v>
      </c>
      <c r="R138" s="8">
        <v>1122</v>
      </c>
      <c r="S138" s="8">
        <v>141</v>
      </c>
      <c r="T138" s="8">
        <v>120</v>
      </c>
      <c r="U138" s="8">
        <v>12966</v>
      </c>
      <c r="V138" s="8">
        <v>1778</v>
      </c>
      <c r="W138" s="8">
        <v>11188</v>
      </c>
      <c r="X138" s="8">
        <v>1462</v>
      </c>
      <c r="Y138" s="8">
        <v>249</v>
      </c>
      <c r="Z138" s="8">
        <v>1428</v>
      </c>
      <c r="AA138" s="8">
        <v>836</v>
      </c>
      <c r="AB138" s="8">
        <v>858</v>
      </c>
      <c r="AC138" s="8">
        <v>451</v>
      </c>
      <c r="AD138" s="8">
        <v>1358</v>
      </c>
      <c r="AE138" s="8">
        <v>348</v>
      </c>
      <c r="AF138" s="8">
        <v>675</v>
      </c>
      <c r="AG138" s="8">
        <v>1128</v>
      </c>
      <c r="AH138" s="8">
        <v>712</v>
      </c>
      <c r="AI138" s="8">
        <v>263</v>
      </c>
      <c r="AJ138" s="8">
        <v>295</v>
      </c>
      <c r="AK138" s="8">
        <v>681</v>
      </c>
      <c r="AL138" s="8">
        <v>117</v>
      </c>
      <c r="AM138" s="8">
        <v>326</v>
      </c>
      <c r="AN138" s="8">
        <v>29271</v>
      </c>
      <c r="AO138" s="8">
        <v>7305</v>
      </c>
      <c r="AP138" s="8">
        <v>21966</v>
      </c>
      <c r="AQ138" s="8">
        <v>1958</v>
      </c>
      <c r="AR138" s="8">
        <v>2206</v>
      </c>
      <c r="AS138" s="8">
        <v>1520</v>
      </c>
      <c r="AT138" s="8">
        <v>1035</v>
      </c>
      <c r="AU138" s="8">
        <v>1271</v>
      </c>
      <c r="AV138" s="8">
        <v>900</v>
      </c>
      <c r="AW138" s="8">
        <v>2956</v>
      </c>
      <c r="AX138" s="8">
        <v>1486</v>
      </c>
      <c r="AY138" s="8">
        <v>815</v>
      </c>
      <c r="AZ138" s="8">
        <v>3071</v>
      </c>
      <c r="BA138" s="8">
        <v>982</v>
      </c>
      <c r="BB138" s="8">
        <v>320</v>
      </c>
      <c r="BC138" s="8">
        <v>938</v>
      </c>
      <c r="BD138" s="8">
        <v>1803</v>
      </c>
      <c r="BE138" s="8">
        <v>258</v>
      </c>
      <c r="BF138" s="8">
        <v>447</v>
      </c>
    </row>
    <row r="139" spans="1:58" x14ac:dyDescent="0.2">
      <c r="A139" s="9">
        <v>43617</v>
      </c>
      <c r="B139" s="8">
        <v>18615</v>
      </c>
      <c r="C139" s="8">
        <v>6083</v>
      </c>
      <c r="D139" s="8">
        <v>12532</v>
      </c>
      <c r="E139" s="8">
        <v>693</v>
      </c>
      <c r="F139" s="8">
        <v>2385</v>
      </c>
      <c r="G139" s="8">
        <v>71</v>
      </c>
      <c r="H139" s="8">
        <v>184</v>
      </c>
      <c r="I139" s="8">
        <v>538</v>
      </c>
      <c r="J139" s="8">
        <v>525</v>
      </c>
      <c r="K139" s="8">
        <v>1612</v>
      </c>
      <c r="L139" s="8">
        <v>1225</v>
      </c>
      <c r="M139" s="8">
        <v>197</v>
      </c>
      <c r="N139" s="8">
        <v>2559</v>
      </c>
      <c r="O139" s="8">
        <v>143</v>
      </c>
      <c r="P139" s="8">
        <v>83</v>
      </c>
      <c r="Q139" s="8">
        <v>618</v>
      </c>
      <c r="R139" s="8">
        <v>1409</v>
      </c>
      <c r="S139" s="8">
        <v>236</v>
      </c>
      <c r="T139" s="8">
        <v>55</v>
      </c>
      <c r="U139" s="8">
        <v>17324</v>
      </c>
      <c r="V139" s="8">
        <v>2521</v>
      </c>
      <c r="W139" s="8">
        <v>14803</v>
      </c>
      <c r="X139" s="8">
        <v>1954</v>
      </c>
      <c r="Y139" s="8">
        <v>315</v>
      </c>
      <c r="Z139" s="8">
        <v>1845</v>
      </c>
      <c r="AA139" s="8">
        <v>944</v>
      </c>
      <c r="AB139" s="8">
        <v>1220</v>
      </c>
      <c r="AC139" s="8">
        <v>519</v>
      </c>
      <c r="AD139" s="8">
        <v>1877</v>
      </c>
      <c r="AE139" s="8">
        <v>419</v>
      </c>
      <c r="AF139" s="8">
        <v>920</v>
      </c>
      <c r="AG139" s="8">
        <v>1382</v>
      </c>
      <c r="AH139" s="8">
        <v>973</v>
      </c>
      <c r="AI139" s="8">
        <v>400</v>
      </c>
      <c r="AJ139" s="8">
        <v>203</v>
      </c>
      <c r="AK139" s="8">
        <v>1017</v>
      </c>
      <c r="AL139" s="8">
        <v>312</v>
      </c>
      <c r="AM139" s="8">
        <v>504</v>
      </c>
      <c r="AN139" s="8">
        <v>35939</v>
      </c>
      <c r="AO139" s="8">
        <v>8604</v>
      </c>
      <c r="AP139" s="8">
        <v>27335</v>
      </c>
      <c r="AQ139" s="8">
        <v>2647</v>
      </c>
      <c r="AR139" s="8">
        <v>2700</v>
      </c>
      <c r="AS139" s="8">
        <v>1915</v>
      </c>
      <c r="AT139" s="8">
        <v>1128</v>
      </c>
      <c r="AU139" s="8">
        <v>1758</v>
      </c>
      <c r="AV139" s="8">
        <v>1043</v>
      </c>
      <c r="AW139" s="8">
        <v>3489</v>
      </c>
      <c r="AX139" s="8">
        <v>1643</v>
      </c>
      <c r="AY139" s="8">
        <v>1116</v>
      </c>
      <c r="AZ139" s="8">
        <v>3941</v>
      </c>
      <c r="BA139" s="8">
        <v>1117</v>
      </c>
      <c r="BB139" s="8">
        <v>483</v>
      </c>
      <c r="BC139" s="8">
        <v>821</v>
      </c>
      <c r="BD139" s="8">
        <v>2426</v>
      </c>
      <c r="BE139" s="8">
        <v>548</v>
      </c>
      <c r="BF139" s="8">
        <v>559</v>
      </c>
    </row>
    <row r="140" spans="1:58" x14ac:dyDescent="0.2">
      <c r="A140" s="9">
        <v>43709</v>
      </c>
      <c r="B140" s="8">
        <v>17622</v>
      </c>
      <c r="C140" s="8">
        <v>6105</v>
      </c>
      <c r="D140" s="8">
        <v>11517</v>
      </c>
      <c r="E140" s="8">
        <v>606</v>
      </c>
      <c r="F140" s="8">
        <v>2118</v>
      </c>
      <c r="G140" s="8">
        <v>94</v>
      </c>
      <c r="H140" s="8">
        <v>147</v>
      </c>
      <c r="I140" s="8">
        <v>397</v>
      </c>
      <c r="J140" s="8">
        <v>544</v>
      </c>
      <c r="K140" s="8">
        <v>1625</v>
      </c>
      <c r="L140" s="8">
        <v>1238</v>
      </c>
      <c r="M140" s="8">
        <v>263</v>
      </c>
      <c r="N140" s="8">
        <v>2547</v>
      </c>
      <c r="O140" s="8">
        <v>83</v>
      </c>
      <c r="P140" s="8">
        <v>66</v>
      </c>
      <c r="Q140" s="8">
        <v>566</v>
      </c>
      <c r="R140" s="8">
        <v>955</v>
      </c>
      <c r="S140" s="8">
        <v>163</v>
      </c>
      <c r="T140" s="8">
        <v>104</v>
      </c>
      <c r="U140" s="8">
        <v>14370</v>
      </c>
      <c r="V140" s="8">
        <v>2532</v>
      </c>
      <c r="W140" s="8">
        <v>11838</v>
      </c>
      <c r="X140" s="8">
        <v>1863</v>
      </c>
      <c r="Y140" s="8">
        <v>310</v>
      </c>
      <c r="Z140" s="8">
        <v>1304</v>
      </c>
      <c r="AA140" s="8">
        <v>772</v>
      </c>
      <c r="AB140" s="8">
        <v>942</v>
      </c>
      <c r="AC140" s="8">
        <v>514</v>
      </c>
      <c r="AD140" s="8">
        <v>1586</v>
      </c>
      <c r="AE140" s="8">
        <v>399</v>
      </c>
      <c r="AF140" s="8">
        <v>775</v>
      </c>
      <c r="AG140" s="8">
        <v>1242</v>
      </c>
      <c r="AH140" s="8">
        <v>606</v>
      </c>
      <c r="AI140" s="8">
        <v>234</v>
      </c>
      <c r="AJ140" s="8">
        <v>201</v>
      </c>
      <c r="AK140" s="8">
        <v>638</v>
      </c>
      <c r="AL140" s="8">
        <v>192</v>
      </c>
      <c r="AM140" s="8">
        <v>260</v>
      </c>
      <c r="AN140" s="8">
        <v>31992</v>
      </c>
      <c r="AO140" s="8">
        <v>8637</v>
      </c>
      <c r="AP140" s="8">
        <v>23355</v>
      </c>
      <c r="AQ140" s="8">
        <v>2469</v>
      </c>
      <c r="AR140" s="8">
        <v>2428</v>
      </c>
      <c r="AS140" s="8">
        <v>1398</v>
      </c>
      <c r="AT140" s="8">
        <v>919</v>
      </c>
      <c r="AU140" s="8">
        <v>1339</v>
      </c>
      <c r="AV140" s="8">
        <v>1058</v>
      </c>
      <c r="AW140" s="8">
        <v>3212</v>
      </c>
      <c r="AX140" s="8">
        <v>1637</v>
      </c>
      <c r="AY140" s="8">
        <v>1037</v>
      </c>
      <c r="AZ140" s="8">
        <v>3789</v>
      </c>
      <c r="BA140" s="8">
        <v>689</v>
      </c>
      <c r="BB140" s="8">
        <v>300</v>
      </c>
      <c r="BC140" s="8">
        <v>767</v>
      </c>
      <c r="BD140" s="8">
        <v>1593</v>
      </c>
      <c r="BE140" s="8">
        <v>355</v>
      </c>
      <c r="BF140" s="8">
        <v>365</v>
      </c>
    </row>
    <row r="141" spans="1:58" x14ac:dyDescent="0.2">
      <c r="A141" s="9">
        <v>43800</v>
      </c>
      <c r="B141" s="8">
        <v>18743</v>
      </c>
      <c r="C141" s="8">
        <v>6255</v>
      </c>
      <c r="D141" s="8">
        <v>12488</v>
      </c>
      <c r="E141" s="8">
        <v>603</v>
      </c>
      <c r="F141" s="8">
        <v>2435</v>
      </c>
      <c r="G141" s="8">
        <v>64</v>
      </c>
      <c r="H141" s="8">
        <v>167</v>
      </c>
      <c r="I141" s="8">
        <v>687</v>
      </c>
      <c r="J141" s="8">
        <v>390</v>
      </c>
      <c r="K141" s="8">
        <v>1626</v>
      </c>
      <c r="L141" s="8">
        <v>1237</v>
      </c>
      <c r="M141" s="8">
        <v>200</v>
      </c>
      <c r="N141" s="8">
        <v>2629</v>
      </c>
      <c r="O141" s="8">
        <v>133</v>
      </c>
      <c r="P141" s="8">
        <v>50</v>
      </c>
      <c r="Q141" s="8">
        <v>700</v>
      </c>
      <c r="R141" s="8">
        <v>1310</v>
      </c>
      <c r="S141" s="8">
        <v>180</v>
      </c>
      <c r="T141" s="8">
        <v>74</v>
      </c>
      <c r="U141" s="8">
        <v>16414</v>
      </c>
      <c r="V141" s="8">
        <v>3091</v>
      </c>
      <c r="W141" s="8">
        <v>13323</v>
      </c>
      <c r="X141" s="8">
        <v>1965</v>
      </c>
      <c r="Y141" s="8">
        <v>347</v>
      </c>
      <c r="Z141" s="8">
        <v>1424</v>
      </c>
      <c r="AA141" s="8">
        <v>936</v>
      </c>
      <c r="AB141" s="8">
        <v>1089</v>
      </c>
      <c r="AC141" s="8">
        <v>513</v>
      </c>
      <c r="AD141" s="8">
        <v>2201</v>
      </c>
      <c r="AE141" s="8">
        <v>409</v>
      </c>
      <c r="AF141" s="8">
        <v>771</v>
      </c>
      <c r="AG141" s="8">
        <v>1228</v>
      </c>
      <c r="AH141" s="8">
        <v>776</v>
      </c>
      <c r="AI141" s="8">
        <v>220</v>
      </c>
      <c r="AJ141" s="8">
        <v>236</v>
      </c>
      <c r="AK141" s="8">
        <v>719</v>
      </c>
      <c r="AL141" s="8">
        <v>204</v>
      </c>
      <c r="AM141" s="8">
        <v>287</v>
      </c>
      <c r="AN141" s="8">
        <v>35158</v>
      </c>
      <c r="AO141" s="8">
        <v>9346</v>
      </c>
      <c r="AP141" s="8">
        <v>25812</v>
      </c>
      <c r="AQ141" s="8">
        <v>2569</v>
      </c>
      <c r="AR141" s="8">
        <v>2783</v>
      </c>
      <c r="AS141" s="8">
        <v>1487</v>
      </c>
      <c r="AT141" s="8">
        <v>1102</v>
      </c>
      <c r="AU141" s="8">
        <v>1776</v>
      </c>
      <c r="AV141" s="8">
        <v>903</v>
      </c>
      <c r="AW141" s="8">
        <v>3826</v>
      </c>
      <c r="AX141" s="8">
        <v>1647</v>
      </c>
      <c r="AY141" s="8">
        <v>971</v>
      </c>
      <c r="AZ141" s="8">
        <v>3857</v>
      </c>
      <c r="BA141" s="8">
        <v>909</v>
      </c>
      <c r="BB141" s="8">
        <v>270</v>
      </c>
      <c r="BC141" s="8">
        <v>936</v>
      </c>
      <c r="BD141" s="8">
        <v>2029</v>
      </c>
      <c r="BE141" s="8">
        <v>385</v>
      </c>
      <c r="BF141" s="8">
        <v>362</v>
      </c>
    </row>
    <row r="142" spans="1:58" x14ac:dyDescent="0.2">
      <c r="A142" s="9">
        <v>43891</v>
      </c>
      <c r="B142" s="8">
        <v>15259</v>
      </c>
      <c r="C142" s="8">
        <v>5742</v>
      </c>
      <c r="D142" s="8">
        <v>9517</v>
      </c>
      <c r="E142" s="8">
        <v>568</v>
      </c>
      <c r="F142" s="8">
        <v>1906</v>
      </c>
      <c r="G142" s="8">
        <v>44</v>
      </c>
      <c r="H142" s="8">
        <v>165</v>
      </c>
      <c r="I142" s="8">
        <v>264</v>
      </c>
      <c r="J142" s="8">
        <v>226</v>
      </c>
      <c r="K142" s="8">
        <v>1104</v>
      </c>
      <c r="L142" s="8">
        <v>1324</v>
      </c>
      <c r="M142" s="8">
        <v>137</v>
      </c>
      <c r="N142" s="8">
        <v>1790</v>
      </c>
      <c r="O142" s="8">
        <v>136</v>
      </c>
      <c r="P142" s="8">
        <v>19</v>
      </c>
      <c r="Q142" s="8">
        <v>640</v>
      </c>
      <c r="R142" s="8">
        <v>939</v>
      </c>
      <c r="S142" s="8">
        <v>197</v>
      </c>
      <c r="T142" s="8">
        <v>60</v>
      </c>
      <c r="U142" s="8">
        <v>12807</v>
      </c>
      <c r="V142" s="8">
        <v>2249</v>
      </c>
      <c r="W142" s="8">
        <v>10558</v>
      </c>
      <c r="X142" s="8">
        <v>1594</v>
      </c>
      <c r="Y142" s="8">
        <v>265</v>
      </c>
      <c r="Z142" s="8">
        <v>995</v>
      </c>
      <c r="AA142" s="8">
        <v>749</v>
      </c>
      <c r="AB142" s="8">
        <v>669</v>
      </c>
      <c r="AC142" s="8">
        <v>372</v>
      </c>
      <c r="AD142" s="8">
        <v>1650</v>
      </c>
      <c r="AE142" s="8">
        <v>413</v>
      </c>
      <c r="AF142" s="8">
        <v>590</v>
      </c>
      <c r="AG142" s="8">
        <v>880</v>
      </c>
      <c r="AH142" s="8">
        <v>696</v>
      </c>
      <c r="AI142" s="8">
        <v>212</v>
      </c>
      <c r="AJ142" s="8">
        <v>311</v>
      </c>
      <c r="AK142" s="8">
        <v>663</v>
      </c>
      <c r="AL142" s="8">
        <v>192</v>
      </c>
      <c r="AM142" s="8">
        <v>305</v>
      </c>
      <c r="AN142" s="8">
        <v>28066</v>
      </c>
      <c r="AO142" s="8">
        <v>7991</v>
      </c>
      <c r="AP142" s="8">
        <v>20075</v>
      </c>
      <c r="AQ142" s="8">
        <v>2163</v>
      </c>
      <c r="AR142" s="8">
        <v>2171</v>
      </c>
      <c r="AS142" s="8">
        <v>1039</v>
      </c>
      <c r="AT142" s="8">
        <v>914</v>
      </c>
      <c r="AU142" s="8">
        <v>933</v>
      </c>
      <c r="AV142" s="8">
        <v>598</v>
      </c>
      <c r="AW142" s="8">
        <v>2754</v>
      </c>
      <c r="AX142" s="8">
        <v>1737</v>
      </c>
      <c r="AY142" s="8">
        <v>727</v>
      </c>
      <c r="AZ142" s="8">
        <v>2670</v>
      </c>
      <c r="BA142" s="8">
        <v>832</v>
      </c>
      <c r="BB142" s="8">
        <v>231</v>
      </c>
      <c r="BC142" s="8">
        <v>951</v>
      </c>
      <c r="BD142" s="8">
        <v>1602</v>
      </c>
      <c r="BE142" s="8">
        <v>389</v>
      </c>
      <c r="BF142" s="8">
        <v>365</v>
      </c>
    </row>
    <row r="143" spans="1:58" x14ac:dyDescent="0.2">
      <c r="A143" s="9">
        <v>43983</v>
      </c>
      <c r="B143" s="8">
        <v>16888</v>
      </c>
      <c r="C143" s="8">
        <v>6368</v>
      </c>
      <c r="D143" s="8">
        <v>10520</v>
      </c>
      <c r="E143" s="8">
        <v>638</v>
      </c>
      <c r="F143" s="8">
        <v>1952</v>
      </c>
      <c r="G143" s="8">
        <v>53</v>
      </c>
      <c r="H143" s="8">
        <v>218</v>
      </c>
      <c r="I143" s="8">
        <v>353</v>
      </c>
      <c r="J143" s="8">
        <v>181</v>
      </c>
      <c r="K143" s="8">
        <v>1307</v>
      </c>
      <c r="L143" s="8">
        <v>1404</v>
      </c>
      <c r="M143" s="8">
        <v>146</v>
      </c>
      <c r="N143" s="8">
        <v>2078</v>
      </c>
      <c r="O143" s="8">
        <v>143</v>
      </c>
      <c r="P143" s="8">
        <v>31</v>
      </c>
      <c r="Q143" s="8">
        <v>670</v>
      </c>
      <c r="R143" s="8">
        <v>1146</v>
      </c>
      <c r="S143" s="8">
        <v>102</v>
      </c>
      <c r="T143" s="8">
        <v>99</v>
      </c>
      <c r="U143" s="8">
        <v>15581</v>
      </c>
      <c r="V143" s="8">
        <v>2812</v>
      </c>
      <c r="W143" s="8">
        <v>12768</v>
      </c>
      <c r="X143" s="8">
        <v>1899</v>
      </c>
      <c r="Y143" s="8">
        <v>318</v>
      </c>
      <c r="Z143" s="8">
        <v>1921</v>
      </c>
      <c r="AA143" s="8">
        <v>791</v>
      </c>
      <c r="AB143" s="8">
        <v>1174</v>
      </c>
      <c r="AC143" s="8">
        <v>351</v>
      </c>
      <c r="AD143" s="8">
        <v>1652</v>
      </c>
      <c r="AE143" s="8">
        <v>428</v>
      </c>
      <c r="AF143" s="8">
        <v>714</v>
      </c>
      <c r="AG143" s="8">
        <v>758</v>
      </c>
      <c r="AH143" s="8">
        <v>858</v>
      </c>
      <c r="AI143" s="8">
        <v>232</v>
      </c>
      <c r="AJ143" s="8">
        <v>168</v>
      </c>
      <c r="AK143" s="8">
        <v>1039</v>
      </c>
      <c r="AL143" s="8">
        <v>73</v>
      </c>
      <c r="AM143" s="8">
        <v>391</v>
      </c>
      <c r="AN143" s="8">
        <v>32469</v>
      </c>
      <c r="AO143" s="8">
        <v>9181</v>
      </c>
      <c r="AP143" s="8">
        <v>23289</v>
      </c>
      <c r="AQ143" s="8">
        <v>2538</v>
      </c>
      <c r="AR143" s="8">
        <v>2270</v>
      </c>
      <c r="AS143" s="8">
        <v>1974</v>
      </c>
      <c r="AT143" s="8">
        <v>1009</v>
      </c>
      <c r="AU143" s="8">
        <v>1526</v>
      </c>
      <c r="AV143" s="8">
        <v>532</v>
      </c>
      <c r="AW143" s="8">
        <v>2959</v>
      </c>
      <c r="AX143" s="8">
        <v>1833</v>
      </c>
      <c r="AY143" s="8">
        <v>860</v>
      </c>
      <c r="AZ143" s="8">
        <v>2837</v>
      </c>
      <c r="BA143" s="8">
        <v>1000</v>
      </c>
      <c r="BB143" s="8">
        <v>263</v>
      </c>
      <c r="BC143" s="8">
        <v>838</v>
      </c>
      <c r="BD143" s="8">
        <v>2185</v>
      </c>
      <c r="BE143" s="8">
        <v>175</v>
      </c>
      <c r="BF143" s="8">
        <v>491</v>
      </c>
    </row>
    <row r="144" spans="1:58" x14ac:dyDescent="0.2">
      <c r="A144" s="9">
        <v>44075</v>
      </c>
      <c r="B144" s="8">
        <v>15261</v>
      </c>
      <c r="C144" s="8">
        <v>6086</v>
      </c>
      <c r="D144" s="8">
        <v>9175</v>
      </c>
      <c r="E144" s="8">
        <v>547</v>
      </c>
      <c r="F144" s="8">
        <v>1845</v>
      </c>
      <c r="G144" s="8">
        <v>65</v>
      </c>
      <c r="H144" s="8">
        <v>212</v>
      </c>
      <c r="I144" s="8">
        <v>396</v>
      </c>
      <c r="J144" s="8">
        <v>190</v>
      </c>
      <c r="K144" s="8">
        <v>1172</v>
      </c>
      <c r="L144" s="8">
        <v>1086</v>
      </c>
      <c r="M144" s="8">
        <v>219</v>
      </c>
      <c r="N144" s="8">
        <v>1667</v>
      </c>
      <c r="O144" s="8">
        <v>118</v>
      </c>
      <c r="P144" s="8">
        <v>28</v>
      </c>
      <c r="Q144" s="8">
        <v>590</v>
      </c>
      <c r="R144" s="8">
        <v>821</v>
      </c>
      <c r="S144" s="8">
        <v>98</v>
      </c>
      <c r="T144" s="8">
        <v>120</v>
      </c>
      <c r="U144" s="8">
        <v>13036</v>
      </c>
      <c r="V144" s="8">
        <v>2521</v>
      </c>
      <c r="W144" s="8">
        <v>10515</v>
      </c>
      <c r="X144" s="8">
        <v>1696</v>
      </c>
      <c r="Y144" s="8">
        <v>350</v>
      </c>
      <c r="Z144" s="8">
        <v>1156</v>
      </c>
      <c r="AA144" s="8">
        <v>780</v>
      </c>
      <c r="AB144" s="8">
        <v>966</v>
      </c>
      <c r="AC144" s="8">
        <v>370</v>
      </c>
      <c r="AD144" s="8">
        <v>1136</v>
      </c>
      <c r="AE144" s="8">
        <v>311</v>
      </c>
      <c r="AF144" s="8">
        <v>690</v>
      </c>
      <c r="AG144" s="8">
        <v>783</v>
      </c>
      <c r="AH144" s="8">
        <v>773</v>
      </c>
      <c r="AI144" s="8">
        <v>296</v>
      </c>
      <c r="AJ144" s="8">
        <v>247</v>
      </c>
      <c r="AK144" s="8">
        <v>591</v>
      </c>
      <c r="AL144" s="8">
        <v>67</v>
      </c>
      <c r="AM144" s="8">
        <v>305</v>
      </c>
      <c r="AN144" s="8">
        <v>28297</v>
      </c>
      <c r="AO144" s="8">
        <v>8607</v>
      </c>
      <c r="AP144" s="8">
        <v>19690</v>
      </c>
      <c r="AQ144" s="8">
        <v>2243</v>
      </c>
      <c r="AR144" s="8">
        <v>2196</v>
      </c>
      <c r="AS144" s="8">
        <v>1221</v>
      </c>
      <c r="AT144" s="8">
        <v>992</v>
      </c>
      <c r="AU144" s="8">
        <v>1362</v>
      </c>
      <c r="AV144" s="8">
        <v>560</v>
      </c>
      <c r="AW144" s="8">
        <v>2308</v>
      </c>
      <c r="AX144" s="8">
        <v>1397</v>
      </c>
      <c r="AY144" s="8">
        <v>909</v>
      </c>
      <c r="AZ144" s="8">
        <v>2450</v>
      </c>
      <c r="BA144" s="8">
        <v>891</v>
      </c>
      <c r="BB144" s="8">
        <v>323</v>
      </c>
      <c r="BC144" s="8">
        <v>837</v>
      </c>
      <c r="BD144" s="8">
        <v>1412</v>
      </c>
      <c r="BE144" s="8">
        <v>165</v>
      </c>
      <c r="BF144" s="8">
        <v>425</v>
      </c>
    </row>
    <row r="145" spans="1:58" x14ac:dyDescent="0.2">
      <c r="A145" s="9">
        <v>44166</v>
      </c>
      <c r="B145" s="8">
        <v>17090</v>
      </c>
      <c r="C145" s="8">
        <v>6505</v>
      </c>
      <c r="D145" s="8">
        <v>10585</v>
      </c>
      <c r="E145" s="8">
        <v>657</v>
      </c>
      <c r="F145" s="8">
        <v>2023</v>
      </c>
      <c r="G145" s="8">
        <v>59</v>
      </c>
      <c r="H145" s="8">
        <v>208</v>
      </c>
      <c r="I145" s="8">
        <v>470</v>
      </c>
      <c r="J145" s="8">
        <v>307</v>
      </c>
      <c r="K145" s="8">
        <v>1249</v>
      </c>
      <c r="L145" s="8">
        <v>1256</v>
      </c>
      <c r="M145" s="8">
        <v>124</v>
      </c>
      <c r="N145" s="8">
        <v>1984</v>
      </c>
      <c r="O145" s="8">
        <v>161</v>
      </c>
      <c r="P145" s="8">
        <v>83</v>
      </c>
      <c r="Q145" s="8">
        <v>672</v>
      </c>
      <c r="R145" s="8">
        <v>1095</v>
      </c>
      <c r="S145" s="8">
        <v>88</v>
      </c>
      <c r="T145" s="8">
        <v>150</v>
      </c>
      <c r="U145" s="8">
        <v>15738</v>
      </c>
      <c r="V145" s="8">
        <v>2874</v>
      </c>
      <c r="W145" s="8">
        <v>12864</v>
      </c>
      <c r="X145" s="8">
        <v>2018</v>
      </c>
      <c r="Y145" s="8">
        <v>277</v>
      </c>
      <c r="Z145" s="8">
        <v>1608</v>
      </c>
      <c r="AA145" s="8">
        <v>1002</v>
      </c>
      <c r="AB145" s="8">
        <v>1182</v>
      </c>
      <c r="AC145" s="8">
        <v>456</v>
      </c>
      <c r="AD145" s="8">
        <v>1803</v>
      </c>
      <c r="AE145" s="8">
        <v>344</v>
      </c>
      <c r="AF145" s="8">
        <v>659</v>
      </c>
      <c r="AG145" s="8">
        <v>971</v>
      </c>
      <c r="AH145" s="8">
        <v>794</v>
      </c>
      <c r="AI145" s="8">
        <v>309</v>
      </c>
      <c r="AJ145" s="8">
        <v>196</v>
      </c>
      <c r="AK145" s="8">
        <v>777</v>
      </c>
      <c r="AL145" s="8">
        <v>89</v>
      </c>
      <c r="AM145" s="8">
        <v>379</v>
      </c>
      <c r="AN145" s="8">
        <v>32828</v>
      </c>
      <c r="AO145" s="8">
        <v>9379</v>
      </c>
      <c r="AP145" s="8">
        <v>23448</v>
      </c>
      <c r="AQ145" s="8">
        <v>2675</v>
      </c>
      <c r="AR145" s="8">
        <v>2300</v>
      </c>
      <c r="AS145" s="8">
        <v>1667</v>
      </c>
      <c r="AT145" s="8">
        <v>1210</v>
      </c>
      <c r="AU145" s="8">
        <v>1652</v>
      </c>
      <c r="AV145" s="8">
        <v>762</v>
      </c>
      <c r="AW145" s="8">
        <v>3052</v>
      </c>
      <c r="AX145" s="8">
        <v>1600</v>
      </c>
      <c r="AY145" s="8">
        <v>783</v>
      </c>
      <c r="AZ145" s="8">
        <v>2955</v>
      </c>
      <c r="BA145" s="8">
        <v>954</v>
      </c>
      <c r="BB145" s="8">
        <v>393</v>
      </c>
      <c r="BC145" s="8">
        <v>868</v>
      </c>
      <c r="BD145" s="8">
        <v>1872</v>
      </c>
      <c r="BE145" s="8">
        <v>177</v>
      </c>
      <c r="BF145" s="8">
        <v>529</v>
      </c>
    </row>
    <row r="146" spans="1:58" x14ac:dyDescent="0.2">
      <c r="A146" s="9">
        <v>44256</v>
      </c>
      <c r="B146" s="8">
        <v>14762</v>
      </c>
      <c r="C146" s="8">
        <v>5853</v>
      </c>
      <c r="D146" s="8">
        <v>8909</v>
      </c>
      <c r="E146" s="8">
        <v>680</v>
      </c>
      <c r="F146" s="8">
        <v>1738</v>
      </c>
      <c r="G146" s="8">
        <v>68</v>
      </c>
      <c r="H146" s="8">
        <v>154</v>
      </c>
      <c r="I146" s="8">
        <v>307</v>
      </c>
      <c r="J146" s="8">
        <v>211</v>
      </c>
      <c r="K146" s="8">
        <v>1112</v>
      </c>
      <c r="L146" s="8">
        <v>1221</v>
      </c>
      <c r="M146" s="8">
        <v>110</v>
      </c>
      <c r="N146" s="8">
        <v>1519</v>
      </c>
      <c r="O146" s="8">
        <v>167</v>
      </c>
      <c r="P146" s="8">
        <v>90</v>
      </c>
      <c r="Q146" s="8">
        <v>551</v>
      </c>
      <c r="R146" s="8">
        <v>741</v>
      </c>
      <c r="S146" s="8">
        <v>77</v>
      </c>
      <c r="T146" s="8">
        <v>163</v>
      </c>
      <c r="U146" s="8">
        <v>13453</v>
      </c>
      <c r="V146" s="8">
        <v>2208</v>
      </c>
      <c r="W146" s="8">
        <v>11245</v>
      </c>
      <c r="X146" s="8">
        <v>1804</v>
      </c>
      <c r="Y146" s="8">
        <v>268</v>
      </c>
      <c r="Z146" s="8">
        <v>1540</v>
      </c>
      <c r="AA146" s="8">
        <v>912</v>
      </c>
      <c r="AB146" s="8">
        <v>871</v>
      </c>
      <c r="AC146" s="8">
        <v>523</v>
      </c>
      <c r="AD146" s="8">
        <v>1431</v>
      </c>
      <c r="AE146" s="8">
        <v>244</v>
      </c>
      <c r="AF146" s="8">
        <v>611</v>
      </c>
      <c r="AG146" s="8">
        <v>802</v>
      </c>
      <c r="AH146" s="8">
        <v>733</v>
      </c>
      <c r="AI146" s="8">
        <v>214</v>
      </c>
      <c r="AJ146" s="8">
        <v>276</v>
      </c>
      <c r="AK146" s="8">
        <v>585</v>
      </c>
      <c r="AL146" s="8">
        <v>76</v>
      </c>
      <c r="AM146" s="8">
        <v>354</v>
      </c>
      <c r="AN146" s="8">
        <v>28215</v>
      </c>
      <c r="AO146" s="8">
        <v>8060</v>
      </c>
      <c r="AP146" s="8">
        <v>20154</v>
      </c>
      <c r="AQ146" s="8">
        <v>2483</v>
      </c>
      <c r="AR146" s="8">
        <v>2006</v>
      </c>
      <c r="AS146" s="8">
        <v>1608</v>
      </c>
      <c r="AT146" s="8">
        <v>1067</v>
      </c>
      <c r="AU146" s="8">
        <v>1178</v>
      </c>
      <c r="AV146" s="8">
        <v>734</v>
      </c>
      <c r="AW146" s="8">
        <v>2543</v>
      </c>
      <c r="AX146" s="8">
        <v>1464</v>
      </c>
      <c r="AY146" s="8">
        <v>721</v>
      </c>
      <c r="AZ146" s="8">
        <v>2321</v>
      </c>
      <c r="BA146" s="8">
        <v>900</v>
      </c>
      <c r="BB146" s="8">
        <v>305</v>
      </c>
      <c r="BC146" s="8">
        <v>827</v>
      </c>
      <c r="BD146" s="8">
        <v>1326</v>
      </c>
      <c r="BE146" s="8">
        <v>152</v>
      </c>
      <c r="BF146" s="8">
        <v>517</v>
      </c>
    </row>
    <row r="147" spans="1:58" x14ac:dyDescent="0.2">
      <c r="A147" s="9">
        <v>44348</v>
      </c>
      <c r="B147" s="8">
        <v>18219</v>
      </c>
      <c r="C147" s="8">
        <v>6609</v>
      </c>
      <c r="D147" s="8">
        <v>11609</v>
      </c>
      <c r="E147" s="8">
        <v>782</v>
      </c>
      <c r="F147" s="8">
        <v>2347</v>
      </c>
      <c r="G147" s="8">
        <v>93</v>
      </c>
      <c r="H147" s="8">
        <v>273</v>
      </c>
      <c r="I147" s="8">
        <v>393</v>
      </c>
      <c r="J147" s="8">
        <v>246</v>
      </c>
      <c r="K147" s="8">
        <v>1576</v>
      </c>
      <c r="L147" s="8">
        <v>1452</v>
      </c>
      <c r="M147" s="8">
        <v>247</v>
      </c>
      <c r="N147" s="8">
        <v>2187</v>
      </c>
      <c r="O147" s="8">
        <v>107</v>
      </c>
      <c r="P147" s="8">
        <v>92</v>
      </c>
      <c r="Q147" s="8">
        <v>631</v>
      </c>
      <c r="R147" s="8">
        <v>928</v>
      </c>
      <c r="S147" s="8">
        <v>102</v>
      </c>
      <c r="T147" s="8">
        <v>155</v>
      </c>
      <c r="U147" s="8">
        <v>18118</v>
      </c>
      <c r="V147" s="8">
        <v>2805</v>
      </c>
      <c r="W147" s="8">
        <v>15313</v>
      </c>
      <c r="X147" s="8">
        <v>2056</v>
      </c>
      <c r="Y147" s="8">
        <v>347</v>
      </c>
      <c r="Z147" s="8">
        <v>2155</v>
      </c>
      <c r="AA147" s="8">
        <v>955</v>
      </c>
      <c r="AB147" s="8">
        <v>1838</v>
      </c>
      <c r="AC147" s="8">
        <v>528</v>
      </c>
      <c r="AD147" s="8">
        <v>1587</v>
      </c>
      <c r="AE147" s="8">
        <v>435</v>
      </c>
      <c r="AF147" s="8">
        <v>708</v>
      </c>
      <c r="AG147" s="8">
        <v>1229</v>
      </c>
      <c r="AH147" s="8">
        <v>1038</v>
      </c>
      <c r="AI147" s="8">
        <v>379</v>
      </c>
      <c r="AJ147" s="8">
        <v>254</v>
      </c>
      <c r="AK147" s="8">
        <v>955</v>
      </c>
      <c r="AL147" s="8">
        <v>144</v>
      </c>
      <c r="AM147" s="8">
        <v>705</v>
      </c>
      <c r="AN147" s="8">
        <v>36336</v>
      </c>
      <c r="AO147" s="8">
        <v>9414</v>
      </c>
      <c r="AP147" s="8">
        <v>26922</v>
      </c>
      <c r="AQ147" s="8">
        <v>2838</v>
      </c>
      <c r="AR147" s="8">
        <v>2694</v>
      </c>
      <c r="AS147" s="8">
        <v>2248</v>
      </c>
      <c r="AT147" s="8">
        <v>1228</v>
      </c>
      <c r="AU147" s="8">
        <v>2230</v>
      </c>
      <c r="AV147" s="8">
        <v>774</v>
      </c>
      <c r="AW147" s="8">
        <v>3162</v>
      </c>
      <c r="AX147" s="8">
        <v>1887</v>
      </c>
      <c r="AY147" s="8">
        <v>955</v>
      </c>
      <c r="AZ147" s="8">
        <v>3416</v>
      </c>
      <c r="BA147" s="8">
        <v>1144</v>
      </c>
      <c r="BB147" s="8">
        <v>471</v>
      </c>
      <c r="BC147" s="8">
        <v>885</v>
      </c>
      <c r="BD147" s="8">
        <v>1884</v>
      </c>
      <c r="BE147" s="8">
        <v>245</v>
      </c>
      <c r="BF147" s="8">
        <v>860</v>
      </c>
    </row>
    <row r="148" spans="1:58" x14ac:dyDescent="0.2">
      <c r="A148" s="9">
        <v>44440</v>
      </c>
      <c r="B148" s="8">
        <v>17390</v>
      </c>
      <c r="C148" s="8">
        <v>6946</v>
      </c>
      <c r="D148" s="8">
        <v>10444</v>
      </c>
      <c r="E148" s="8">
        <v>577</v>
      </c>
      <c r="F148" s="8">
        <v>2090</v>
      </c>
      <c r="G148" s="8">
        <v>25</v>
      </c>
      <c r="H148" s="8">
        <v>337</v>
      </c>
      <c r="I148" s="8">
        <v>478</v>
      </c>
      <c r="J148" s="8">
        <v>285</v>
      </c>
      <c r="K148" s="8">
        <v>1447</v>
      </c>
      <c r="L148" s="8">
        <v>1331</v>
      </c>
      <c r="M148" s="8">
        <v>256</v>
      </c>
      <c r="N148" s="8">
        <v>1849</v>
      </c>
      <c r="O148" s="8">
        <v>103</v>
      </c>
      <c r="P148" s="8">
        <v>38</v>
      </c>
      <c r="Q148" s="8">
        <v>598</v>
      </c>
      <c r="R148" s="8">
        <v>837</v>
      </c>
      <c r="S148" s="8">
        <v>95</v>
      </c>
      <c r="T148" s="8">
        <v>100</v>
      </c>
      <c r="U148" s="8">
        <v>15325</v>
      </c>
      <c r="V148" s="8">
        <v>2452</v>
      </c>
      <c r="W148" s="8">
        <v>12873</v>
      </c>
      <c r="X148" s="8">
        <v>1885</v>
      </c>
      <c r="Y148" s="8">
        <v>340</v>
      </c>
      <c r="Z148" s="8">
        <v>1637</v>
      </c>
      <c r="AA148" s="8">
        <v>961</v>
      </c>
      <c r="AB148" s="8">
        <v>1063</v>
      </c>
      <c r="AC148" s="8">
        <v>440</v>
      </c>
      <c r="AD148" s="8">
        <v>1781</v>
      </c>
      <c r="AE148" s="8">
        <v>346</v>
      </c>
      <c r="AF148" s="8">
        <v>702</v>
      </c>
      <c r="AG148" s="8">
        <v>1191</v>
      </c>
      <c r="AH148" s="8">
        <v>814</v>
      </c>
      <c r="AI148" s="8">
        <v>274</v>
      </c>
      <c r="AJ148" s="8">
        <v>183</v>
      </c>
      <c r="AK148" s="8">
        <v>689</v>
      </c>
      <c r="AL148" s="8">
        <v>150</v>
      </c>
      <c r="AM148" s="8">
        <v>418</v>
      </c>
      <c r="AN148" s="8">
        <v>32715</v>
      </c>
      <c r="AO148" s="8">
        <v>9398</v>
      </c>
      <c r="AP148" s="8">
        <v>23317</v>
      </c>
      <c r="AQ148" s="8">
        <v>2462</v>
      </c>
      <c r="AR148" s="8">
        <v>2430</v>
      </c>
      <c r="AS148" s="8">
        <v>1662</v>
      </c>
      <c r="AT148" s="8">
        <v>1298</v>
      </c>
      <c r="AU148" s="8">
        <v>1540</v>
      </c>
      <c r="AV148" s="8">
        <v>725</v>
      </c>
      <c r="AW148" s="8">
        <v>3228</v>
      </c>
      <c r="AX148" s="8">
        <v>1677</v>
      </c>
      <c r="AY148" s="8">
        <v>958</v>
      </c>
      <c r="AZ148" s="8">
        <v>3039</v>
      </c>
      <c r="BA148" s="8">
        <v>917</v>
      </c>
      <c r="BB148" s="8">
        <v>312</v>
      </c>
      <c r="BC148" s="8">
        <v>781</v>
      </c>
      <c r="BD148" s="8">
        <v>1525</v>
      </c>
      <c r="BE148" s="8">
        <v>245</v>
      </c>
      <c r="BF148" s="8">
        <v>518</v>
      </c>
    </row>
    <row r="149" spans="1:58" x14ac:dyDescent="0.2">
      <c r="A149" s="9">
        <v>44531</v>
      </c>
      <c r="B149" s="8">
        <v>20197</v>
      </c>
      <c r="C149" s="8">
        <v>8117</v>
      </c>
      <c r="D149" s="8">
        <v>12080</v>
      </c>
      <c r="E149" s="8">
        <v>760</v>
      </c>
      <c r="F149" s="8">
        <v>2170</v>
      </c>
      <c r="G149" s="8">
        <v>116</v>
      </c>
      <c r="H149" s="8">
        <v>291</v>
      </c>
      <c r="I149" s="8">
        <v>561</v>
      </c>
      <c r="J149" s="8">
        <v>311</v>
      </c>
      <c r="K149" s="8">
        <v>1504</v>
      </c>
      <c r="L149" s="8">
        <v>1662</v>
      </c>
      <c r="M149" s="8">
        <v>190</v>
      </c>
      <c r="N149" s="8">
        <v>2074</v>
      </c>
      <c r="O149" s="8">
        <v>225</v>
      </c>
      <c r="P149" s="8">
        <v>104</v>
      </c>
      <c r="Q149" s="8">
        <v>830</v>
      </c>
      <c r="R149" s="8">
        <v>978</v>
      </c>
      <c r="S149" s="8">
        <v>175</v>
      </c>
      <c r="T149" s="8">
        <v>129</v>
      </c>
      <c r="U149" s="8">
        <v>17645</v>
      </c>
      <c r="V149" s="8">
        <v>3074</v>
      </c>
      <c r="W149" s="8">
        <v>14571</v>
      </c>
      <c r="X149" s="8">
        <v>2277</v>
      </c>
      <c r="Y149" s="8">
        <v>346</v>
      </c>
      <c r="Z149" s="8">
        <v>1835</v>
      </c>
      <c r="AA149" s="8">
        <v>1064</v>
      </c>
      <c r="AB149" s="8">
        <v>1277</v>
      </c>
      <c r="AC149" s="8">
        <v>670</v>
      </c>
      <c r="AD149" s="8">
        <v>2018</v>
      </c>
      <c r="AE149" s="8">
        <v>429</v>
      </c>
      <c r="AF149" s="8">
        <v>718</v>
      </c>
      <c r="AG149" s="8">
        <v>1238</v>
      </c>
      <c r="AH149" s="8">
        <v>671</v>
      </c>
      <c r="AI149" s="8">
        <v>352</v>
      </c>
      <c r="AJ149" s="8">
        <v>264</v>
      </c>
      <c r="AK149" s="8">
        <v>883</v>
      </c>
      <c r="AL149" s="8">
        <v>146</v>
      </c>
      <c r="AM149" s="8">
        <v>383</v>
      </c>
      <c r="AN149" s="8">
        <v>37842</v>
      </c>
      <c r="AO149" s="8">
        <v>11191</v>
      </c>
      <c r="AP149" s="8">
        <v>26651</v>
      </c>
      <c r="AQ149" s="8">
        <v>3036</v>
      </c>
      <c r="AR149" s="8">
        <v>2515</v>
      </c>
      <c r="AS149" s="8">
        <v>1951</v>
      </c>
      <c r="AT149" s="8">
        <v>1355</v>
      </c>
      <c r="AU149" s="8">
        <v>1838</v>
      </c>
      <c r="AV149" s="8">
        <v>981</v>
      </c>
      <c r="AW149" s="8">
        <v>3523</v>
      </c>
      <c r="AX149" s="8">
        <v>2091</v>
      </c>
      <c r="AY149" s="8">
        <v>909</v>
      </c>
      <c r="AZ149" s="8">
        <v>3312</v>
      </c>
      <c r="BA149" s="8">
        <v>896</v>
      </c>
      <c r="BB149" s="8">
        <v>456</v>
      </c>
      <c r="BC149" s="8">
        <v>1094</v>
      </c>
      <c r="BD149" s="8">
        <v>1861</v>
      </c>
      <c r="BE149" s="8">
        <v>320</v>
      </c>
      <c r="BF149" s="8">
        <v>512</v>
      </c>
    </row>
    <row r="150" spans="1:58" x14ac:dyDescent="0.2">
      <c r="A150" s="9">
        <v>44621</v>
      </c>
      <c r="B150" s="8">
        <v>17071</v>
      </c>
      <c r="C150" s="8">
        <v>7099</v>
      </c>
      <c r="D150" s="8">
        <v>9971</v>
      </c>
      <c r="E150" s="8">
        <v>642</v>
      </c>
      <c r="F150" s="8">
        <v>2075</v>
      </c>
      <c r="G150" s="8">
        <v>54</v>
      </c>
      <c r="H150" s="8">
        <v>250</v>
      </c>
      <c r="I150" s="8">
        <v>286</v>
      </c>
      <c r="J150" s="8">
        <v>269</v>
      </c>
      <c r="K150" s="8">
        <v>1314</v>
      </c>
      <c r="L150" s="8">
        <v>1567</v>
      </c>
      <c r="M150" s="8">
        <v>124</v>
      </c>
      <c r="N150" s="8">
        <v>1598</v>
      </c>
      <c r="O150" s="8">
        <v>141</v>
      </c>
      <c r="P150" s="8">
        <v>74</v>
      </c>
      <c r="Q150" s="8">
        <v>562</v>
      </c>
      <c r="R150" s="8">
        <v>807</v>
      </c>
      <c r="S150" s="8">
        <v>101</v>
      </c>
      <c r="T150" s="8">
        <v>108</v>
      </c>
      <c r="U150" s="8">
        <v>14589</v>
      </c>
      <c r="V150" s="8">
        <v>2523</v>
      </c>
      <c r="W150" s="8">
        <v>12066</v>
      </c>
      <c r="X150" s="8">
        <v>1825</v>
      </c>
      <c r="Y150" s="8">
        <v>246</v>
      </c>
      <c r="Z150" s="8">
        <v>1611</v>
      </c>
      <c r="AA150" s="8">
        <v>957</v>
      </c>
      <c r="AB150" s="8">
        <v>890</v>
      </c>
      <c r="AC150" s="8">
        <v>540</v>
      </c>
      <c r="AD150" s="8">
        <v>1586</v>
      </c>
      <c r="AE150" s="8">
        <v>250</v>
      </c>
      <c r="AF150" s="8">
        <v>685</v>
      </c>
      <c r="AG150" s="8">
        <v>1144</v>
      </c>
      <c r="AH150" s="8">
        <v>731</v>
      </c>
      <c r="AI150" s="8">
        <v>257</v>
      </c>
      <c r="AJ150" s="8">
        <v>234</v>
      </c>
      <c r="AK150" s="8">
        <v>693</v>
      </c>
      <c r="AL150" s="8">
        <v>117</v>
      </c>
      <c r="AM150" s="8">
        <v>301</v>
      </c>
      <c r="AN150" s="8">
        <v>31660</v>
      </c>
      <c r="AO150" s="8">
        <v>9622</v>
      </c>
      <c r="AP150" s="8">
        <v>22037</v>
      </c>
      <c r="AQ150" s="8">
        <v>2467</v>
      </c>
      <c r="AR150" s="8">
        <v>2322</v>
      </c>
      <c r="AS150" s="8">
        <v>1665</v>
      </c>
      <c r="AT150" s="8">
        <v>1207</v>
      </c>
      <c r="AU150" s="8">
        <v>1176</v>
      </c>
      <c r="AV150" s="8">
        <v>808</v>
      </c>
      <c r="AW150" s="8">
        <v>2900</v>
      </c>
      <c r="AX150" s="8">
        <v>1817</v>
      </c>
      <c r="AY150" s="8">
        <v>808</v>
      </c>
      <c r="AZ150" s="8">
        <v>2742</v>
      </c>
      <c r="BA150" s="8">
        <v>872</v>
      </c>
      <c r="BB150" s="8">
        <v>331</v>
      </c>
      <c r="BC150" s="8">
        <v>797</v>
      </c>
      <c r="BD150" s="8">
        <v>1500</v>
      </c>
      <c r="BE150" s="8">
        <v>218</v>
      </c>
      <c r="BF150" s="8">
        <v>409</v>
      </c>
    </row>
    <row r="151" spans="1:58" x14ac:dyDescent="0.2">
      <c r="A151" s="9">
        <v>44713</v>
      </c>
      <c r="B151" s="8">
        <v>20121</v>
      </c>
      <c r="C151" s="8">
        <v>7974</v>
      </c>
      <c r="D151" s="8">
        <v>12147</v>
      </c>
      <c r="E151" s="8">
        <v>858</v>
      </c>
      <c r="F151" s="8">
        <v>2413</v>
      </c>
      <c r="G151" s="8">
        <v>118</v>
      </c>
      <c r="H151" s="8">
        <v>343</v>
      </c>
      <c r="I151" s="8">
        <v>370</v>
      </c>
      <c r="J151" s="8">
        <v>389</v>
      </c>
      <c r="K151" s="8">
        <v>1498</v>
      </c>
      <c r="L151" s="8">
        <v>1438</v>
      </c>
      <c r="M151" s="8">
        <v>186</v>
      </c>
      <c r="N151" s="8">
        <v>2495</v>
      </c>
      <c r="O151" s="8">
        <v>138</v>
      </c>
      <c r="P151" s="8">
        <v>52</v>
      </c>
      <c r="Q151" s="8">
        <v>639</v>
      </c>
      <c r="R151" s="8">
        <v>946</v>
      </c>
      <c r="S151" s="8">
        <v>134</v>
      </c>
      <c r="T151" s="8">
        <v>132</v>
      </c>
      <c r="U151" s="8">
        <v>20087</v>
      </c>
      <c r="V151" s="8">
        <v>3503</v>
      </c>
      <c r="W151" s="8">
        <v>16584</v>
      </c>
      <c r="X151" s="8">
        <v>2314</v>
      </c>
      <c r="Y151" s="8">
        <v>369</v>
      </c>
      <c r="Z151" s="8">
        <v>2403</v>
      </c>
      <c r="AA151" s="8">
        <v>1006</v>
      </c>
      <c r="AB151" s="8">
        <v>1671</v>
      </c>
      <c r="AC151" s="8">
        <v>602</v>
      </c>
      <c r="AD151" s="8">
        <v>2291</v>
      </c>
      <c r="AE151" s="8">
        <v>427</v>
      </c>
      <c r="AF151" s="8">
        <v>873</v>
      </c>
      <c r="AG151" s="8">
        <v>1481</v>
      </c>
      <c r="AH151" s="8">
        <v>1146</v>
      </c>
      <c r="AI151" s="8">
        <v>389</v>
      </c>
      <c r="AJ151" s="8">
        <v>220</v>
      </c>
      <c r="AK151" s="8">
        <v>914</v>
      </c>
      <c r="AL151" s="8">
        <v>195</v>
      </c>
      <c r="AM151" s="8">
        <v>283</v>
      </c>
      <c r="AN151" s="8">
        <v>40208</v>
      </c>
      <c r="AO151" s="8">
        <v>11477</v>
      </c>
      <c r="AP151" s="8">
        <v>28732</v>
      </c>
      <c r="AQ151" s="8">
        <v>3171</v>
      </c>
      <c r="AR151" s="8">
        <v>2782</v>
      </c>
      <c r="AS151" s="8">
        <v>2521</v>
      </c>
      <c r="AT151" s="8">
        <v>1348</v>
      </c>
      <c r="AU151" s="8">
        <v>2041</v>
      </c>
      <c r="AV151" s="8">
        <v>991</v>
      </c>
      <c r="AW151" s="8">
        <v>3789</v>
      </c>
      <c r="AX151" s="8">
        <v>1865</v>
      </c>
      <c r="AY151" s="8">
        <v>1059</v>
      </c>
      <c r="AZ151" s="8">
        <v>3976</v>
      </c>
      <c r="BA151" s="8">
        <v>1284</v>
      </c>
      <c r="BB151" s="8">
        <v>441</v>
      </c>
      <c r="BC151" s="8">
        <v>859</v>
      </c>
      <c r="BD151" s="8">
        <v>1860</v>
      </c>
      <c r="BE151" s="8">
        <v>329</v>
      </c>
      <c r="BF151" s="8">
        <v>414</v>
      </c>
    </row>
    <row r="152" spans="1:58" x14ac:dyDescent="0.2">
      <c r="A152" s="9">
        <v>44805</v>
      </c>
      <c r="B152" s="8">
        <v>19487</v>
      </c>
      <c r="C152" s="8">
        <v>7559</v>
      </c>
      <c r="D152" s="8">
        <v>11929</v>
      </c>
      <c r="E152" s="8">
        <v>742</v>
      </c>
      <c r="F152" s="8">
        <v>2478</v>
      </c>
      <c r="G152" s="8">
        <v>39</v>
      </c>
      <c r="H152" s="8">
        <v>304</v>
      </c>
      <c r="I152" s="8">
        <v>371</v>
      </c>
      <c r="J152" s="8">
        <v>321</v>
      </c>
      <c r="K152" s="8">
        <v>1728</v>
      </c>
      <c r="L152" s="8">
        <v>1462</v>
      </c>
      <c r="M152" s="8">
        <v>138</v>
      </c>
      <c r="N152" s="8">
        <v>2322</v>
      </c>
      <c r="O152" s="8">
        <v>118</v>
      </c>
      <c r="P152" s="8">
        <v>37</v>
      </c>
      <c r="Q152" s="8">
        <v>696</v>
      </c>
      <c r="R152" s="8">
        <v>952</v>
      </c>
      <c r="S152" s="8">
        <v>144</v>
      </c>
      <c r="T152" s="8">
        <v>76</v>
      </c>
      <c r="U152" s="8">
        <v>17085</v>
      </c>
      <c r="V152" s="8">
        <v>3026</v>
      </c>
      <c r="W152" s="8">
        <v>14059</v>
      </c>
      <c r="X152" s="8">
        <v>2172</v>
      </c>
      <c r="Y152" s="8">
        <v>380</v>
      </c>
      <c r="Z152" s="8">
        <v>1918</v>
      </c>
      <c r="AA152" s="8">
        <v>941</v>
      </c>
      <c r="AB152" s="8">
        <v>1118</v>
      </c>
      <c r="AC152" s="8">
        <v>526</v>
      </c>
      <c r="AD152" s="8">
        <v>2239</v>
      </c>
      <c r="AE152" s="8">
        <v>352</v>
      </c>
      <c r="AF152" s="8">
        <v>819</v>
      </c>
      <c r="AG152" s="8">
        <v>1195</v>
      </c>
      <c r="AH152" s="8">
        <v>868</v>
      </c>
      <c r="AI152" s="8">
        <v>269</v>
      </c>
      <c r="AJ152" s="8">
        <v>175</v>
      </c>
      <c r="AK152" s="8">
        <v>597</v>
      </c>
      <c r="AL152" s="8">
        <v>143</v>
      </c>
      <c r="AM152" s="8">
        <v>347</v>
      </c>
      <c r="AN152" s="8">
        <v>36573</v>
      </c>
      <c r="AO152" s="8">
        <v>10585</v>
      </c>
      <c r="AP152" s="8">
        <v>25988</v>
      </c>
      <c r="AQ152" s="8">
        <v>2914</v>
      </c>
      <c r="AR152" s="8">
        <v>2857</v>
      </c>
      <c r="AS152" s="8">
        <v>1957</v>
      </c>
      <c r="AT152" s="8">
        <v>1245</v>
      </c>
      <c r="AU152" s="8">
        <v>1489</v>
      </c>
      <c r="AV152" s="8">
        <v>847</v>
      </c>
      <c r="AW152" s="8">
        <v>3966</v>
      </c>
      <c r="AX152" s="8">
        <v>1814</v>
      </c>
      <c r="AY152" s="8">
        <v>956</v>
      </c>
      <c r="AZ152" s="8">
        <v>3517</v>
      </c>
      <c r="BA152" s="8">
        <v>986</v>
      </c>
      <c r="BB152" s="8">
        <v>306</v>
      </c>
      <c r="BC152" s="8">
        <v>872</v>
      </c>
      <c r="BD152" s="8">
        <v>1549</v>
      </c>
      <c r="BE152" s="8">
        <v>287</v>
      </c>
      <c r="BF152" s="8">
        <v>423</v>
      </c>
    </row>
    <row r="153" spans="1:58" x14ac:dyDescent="0.2">
      <c r="A153" s="9">
        <v>44896</v>
      </c>
      <c r="B153" s="8">
        <v>23310</v>
      </c>
      <c r="C153" s="8">
        <v>8907</v>
      </c>
      <c r="D153" s="8">
        <v>14403</v>
      </c>
      <c r="E153" s="8">
        <v>1100</v>
      </c>
      <c r="F153" s="8">
        <v>2863</v>
      </c>
      <c r="G153" s="8">
        <v>44</v>
      </c>
      <c r="H153" s="8">
        <v>318</v>
      </c>
      <c r="I153" s="8">
        <v>451</v>
      </c>
      <c r="J153" s="8">
        <v>486</v>
      </c>
      <c r="K153" s="8">
        <v>2002</v>
      </c>
      <c r="L153" s="8">
        <v>1642</v>
      </c>
      <c r="M153" s="8">
        <v>194</v>
      </c>
      <c r="N153" s="8">
        <v>2677</v>
      </c>
      <c r="O153" s="8">
        <v>167</v>
      </c>
      <c r="P153" s="8">
        <v>54</v>
      </c>
      <c r="Q153" s="8">
        <v>931</v>
      </c>
      <c r="R153" s="8">
        <v>1152</v>
      </c>
      <c r="S153" s="8">
        <v>151</v>
      </c>
      <c r="T153" s="8">
        <v>171</v>
      </c>
      <c r="U153" s="8">
        <v>20148</v>
      </c>
      <c r="V153" s="8">
        <v>3641</v>
      </c>
      <c r="W153" s="8">
        <v>16507</v>
      </c>
      <c r="X153" s="8">
        <v>2360</v>
      </c>
      <c r="Y153" s="8">
        <v>373</v>
      </c>
      <c r="Z153" s="8">
        <v>1860</v>
      </c>
      <c r="AA153" s="8">
        <v>1082</v>
      </c>
      <c r="AB153" s="8">
        <v>1602</v>
      </c>
      <c r="AC153" s="8">
        <v>777</v>
      </c>
      <c r="AD153" s="8">
        <v>2535</v>
      </c>
      <c r="AE153" s="8">
        <v>456</v>
      </c>
      <c r="AF153" s="8">
        <v>832</v>
      </c>
      <c r="AG153" s="8">
        <v>1370</v>
      </c>
      <c r="AH153" s="8">
        <v>1017</v>
      </c>
      <c r="AI153" s="8">
        <v>349</v>
      </c>
      <c r="AJ153" s="8">
        <v>298</v>
      </c>
      <c r="AK153" s="8">
        <v>817</v>
      </c>
      <c r="AL153" s="8">
        <v>188</v>
      </c>
      <c r="AM153" s="8">
        <v>593</v>
      </c>
      <c r="AN153" s="8">
        <v>43458</v>
      </c>
      <c r="AO153" s="8">
        <v>12548</v>
      </c>
      <c r="AP153" s="8">
        <v>30910</v>
      </c>
      <c r="AQ153" s="8">
        <v>3460</v>
      </c>
      <c r="AR153" s="8">
        <v>3236</v>
      </c>
      <c r="AS153" s="8">
        <v>1904</v>
      </c>
      <c r="AT153" s="8">
        <v>1400</v>
      </c>
      <c r="AU153" s="8">
        <v>2052</v>
      </c>
      <c r="AV153" s="8">
        <v>1263</v>
      </c>
      <c r="AW153" s="8">
        <v>4536</v>
      </c>
      <c r="AX153" s="8">
        <v>2098</v>
      </c>
      <c r="AY153" s="8">
        <v>1026</v>
      </c>
      <c r="AZ153" s="8">
        <v>4047</v>
      </c>
      <c r="BA153" s="8">
        <v>1184</v>
      </c>
      <c r="BB153" s="8">
        <v>404</v>
      </c>
      <c r="BC153" s="8">
        <v>1229</v>
      </c>
      <c r="BD153" s="8">
        <v>1969</v>
      </c>
      <c r="BE153" s="8">
        <v>338</v>
      </c>
      <c r="BF153" s="8">
        <v>764</v>
      </c>
    </row>
    <row r="154" spans="1:58" x14ac:dyDescent="0.2">
      <c r="A154" s="9">
        <v>44986</v>
      </c>
      <c r="B154" s="8">
        <v>20061</v>
      </c>
      <c r="C154" s="8">
        <v>7903</v>
      </c>
      <c r="D154" s="8">
        <v>12158</v>
      </c>
      <c r="E154" s="8">
        <v>951</v>
      </c>
      <c r="F154" s="8">
        <v>2541</v>
      </c>
      <c r="G154" s="8">
        <v>115</v>
      </c>
      <c r="H154" s="8">
        <v>225</v>
      </c>
      <c r="I154" s="8">
        <v>343</v>
      </c>
      <c r="J154" s="8">
        <v>390</v>
      </c>
      <c r="K154" s="8">
        <v>1554</v>
      </c>
      <c r="L154" s="8">
        <v>1523</v>
      </c>
      <c r="M154" s="8">
        <v>87</v>
      </c>
      <c r="N154" s="8">
        <v>2203</v>
      </c>
      <c r="O154" s="8">
        <v>183</v>
      </c>
      <c r="P154" s="8">
        <v>52</v>
      </c>
      <c r="Q154" s="8">
        <v>830</v>
      </c>
      <c r="R154" s="8">
        <v>954</v>
      </c>
      <c r="S154" s="8">
        <v>127</v>
      </c>
      <c r="T154" s="8">
        <v>82</v>
      </c>
      <c r="U154" s="8">
        <v>16724</v>
      </c>
      <c r="V154" s="8">
        <v>2888</v>
      </c>
      <c r="W154" s="8">
        <v>13836</v>
      </c>
      <c r="X154" s="8">
        <v>2200</v>
      </c>
      <c r="Y154" s="8">
        <v>383</v>
      </c>
      <c r="Z154" s="8">
        <v>1226</v>
      </c>
      <c r="AA154" s="8">
        <v>965</v>
      </c>
      <c r="AB154" s="8">
        <v>1159</v>
      </c>
      <c r="AC154" s="8">
        <v>610</v>
      </c>
      <c r="AD154" s="8">
        <v>2090</v>
      </c>
      <c r="AE154" s="8">
        <v>397</v>
      </c>
      <c r="AF154" s="8">
        <v>721</v>
      </c>
      <c r="AG154" s="8">
        <v>1177</v>
      </c>
      <c r="AH154" s="8">
        <v>744</v>
      </c>
      <c r="AI154" s="8">
        <v>307</v>
      </c>
      <c r="AJ154" s="8">
        <v>310</v>
      </c>
      <c r="AK154" s="8">
        <v>680</v>
      </c>
      <c r="AL154" s="8">
        <v>161</v>
      </c>
      <c r="AM154" s="8">
        <v>707</v>
      </c>
      <c r="AN154" s="8">
        <v>36784</v>
      </c>
      <c r="AO154" s="8">
        <v>10790</v>
      </c>
      <c r="AP154" s="8">
        <v>25994</v>
      </c>
      <c r="AQ154" s="8">
        <v>3151</v>
      </c>
      <c r="AR154" s="8">
        <v>2924</v>
      </c>
      <c r="AS154" s="8">
        <v>1341</v>
      </c>
      <c r="AT154" s="8">
        <v>1190</v>
      </c>
      <c r="AU154" s="8">
        <v>1501</v>
      </c>
      <c r="AV154" s="8">
        <v>999</v>
      </c>
      <c r="AW154" s="8">
        <v>3644</v>
      </c>
      <c r="AX154" s="8">
        <v>1920</v>
      </c>
      <c r="AY154" s="8">
        <v>808</v>
      </c>
      <c r="AZ154" s="8">
        <v>3380</v>
      </c>
      <c r="BA154" s="8">
        <v>926</v>
      </c>
      <c r="BB154" s="8">
        <v>360</v>
      </c>
      <c r="BC154" s="8">
        <v>1140</v>
      </c>
      <c r="BD154" s="8">
        <v>1634</v>
      </c>
      <c r="BE154" s="8">
        <v>288</v>
      </c>
      <c r="BF154" s="8">
        <v>789</v>
      </c>
    </row>
    <row r="155" spans="1:58" x14ac:dyDescent="0.2">
      <c r="A155" s="9">
        <v>45078</v>
      </c>
      <c r="B155" s="8">
        <v>24872</v>
      </c>
      <c r="C155" s="8">
        <v>9170</v>
      </c>
      <c r="D155" s="8">
        <v>15702</v>
      </c>
      <c r="E155" s="8">
        <v>1383</v>
      </c>
      <c r="F155" s="8">
        <v>2943</v>
      </c>
      <c r="G155" s="8">
        <v>139</v>
      </c>
      <c r="H155" s="8">
        <v>368</v>
      </c>
      <c r="I155" s="8">
        <v>376</v>
      </c>
      <c r="J155" s="8">
        <v>679</v>
      </c>
      <c r="K155" s="8">
        <v>1939</v>
      </c>
      <c r="L155" s="8">
        <v>1758</v>
      </c>
      <c r="M155" s="8">
        <v>190</v>
      </c>
      <c r="N155" s="8">
        <v>3037</v>
      </c>
      <c r="O155" s="8">
        <v>211</v>
      </c>
      <c r="P155" s="8">
        <v>70</v>
      </c>
      <c r="Q155" s="8">
        <v>1021</v>
      </c>
      <c r="R155" s="8">
        <v>1183</v>
      </c>
      <c r="S155" s="8">
        <v>271</v>
      </c>
      <c r="T155" s="8">
        <v>135</v>
      </c>
      <c r="U155" s="8">
        <v>23418</v>
      </c>
      <c r="V155" s="8">
        <v>3663</v>
      </c>
      <c r="W155" s="8">
        <v>19755</v>
      </c>
      <c r="X155" s="8">
        <v>2668</v>
      </c>
      <c r="Y155" s="8">
        <v>467</v>
      </c>
      <c r="Z155" s="8">
        <v>2450</v>
      </c>
      <c r="AA155" s="8">
        <v>1225</v>
      </c>
      <c r="AB155" s="8">
        <v>1760</v>
      </c>
      <c r="AC155" s="8">
        <v>872</v>
      </c>
      <c r="AD155" s="8">
        <v>3334</v>
      </c>
      <c r="AE155" s="8">
        <v>496</v>
      </c>
      <c r="AF155" s="8">
        <v>1001</v>
      </c>
      <c r="AG155" s="8">
        <v>1555</v>
      </c>
      <c r="AH155" s="8">
        <v>1204</v>
      </c>
      <c r="AI155" s="8">
        <v>332</v>
      </c>
      <c r="AJ155" s="8">
        <v>218</v>
      </c>
      <c r="AK155" s="8">
        <v>1207</v>
      </c>
      <c r="AL155" s="8">
        <v>193</v>
      </c>
      <c r="AM155" s="8">
        <v>773</v>
      </c>
      <c r="AN155" s="8">
        <v>48290</v>
      </c>
      <c r="AO155" s="8">
        <v>12833</v>
      </c>
      <c r="AP155" s="8">
        <v>35457</v>
      </c>
      <c r="AQ155" s="8">
        <v>4051</v>
      </c>
      <c r="AR155" s="8">
        <v>3411</v>
      </c>
      <c r="AS155" s="8">
        <v>2589</v>
      </c>
      <c r="AT155" s="8">
        <v>1594</v>
      </c>
      <c r="AU155" s="8">
        <v>2136</v>
      </c>
      <c r="AV155" s="8">
        <v>1551</v>
      </c>
      <c r="AW155" s="8">
        <v>5273</v>
      </c>
      <c r="AX155" s="8">
        <v>2254</v>
      </c>
      <c r="AY155" s="8">
        <v>1191</v>
      </c>
      <c r="AZ155" s="8">
        <v>4591</v>
      </c>
      <c r="BA155" s="8">
        <v>1414</v>
      </c>
      <c r="BB155" s="8">
        <v>402</v>
      </c>
      <c r="BC155" s="8">
        <v>1239</v>
      </c>
      <c r="BD155" s="8">
        <v>2389</v>
      </c>
      <c r="BE155" s="8">
        <v>464</v>
      </c>
      <c r="BF155" s="8">
        <v>908</v>
      </c>
    </row>
    <row r="156" spans="1:58" x14ac:dyDescent="0.2">
      <c r="A156" s="9">
        <v>45170</v>
      </c>
      <c r="B156" s="8">
        <v>23191</v>
      </c>
      <c r="C156" s="8">
        <v>9530</v>
      </c>
      <c r="D156" s="8">
        <v>13661</v>
      </c>
      <c r="E156" s="8">
        <v>1071</v>
      </c>
      <c r="F156" s="8">
        <v>2569</v>
      </c>
      <c r="G156" s="8">
        <v>109</v>
      </c>
      <c r="H156" s="8">
        <v>298</v>
      </c>
      <c r="I156" s="8">
        <v>327</v>
      </c>
      <c r="J156" s="8">
        <v>481</v>
      </c>
      <c r="K156" s="8">
        <v>1965</v>
      </c>
      <c r="L156" s="8">
        <v>1521</v>
      </c>
      <c r="M156" s="8">
        <v>271</v>
      </c>
      <c r="N156" s="8">
        <v>2228</v>
      </c>
      <c r="O156" s="8">
        <v>228</v>
      </c>
      <c r="P156" s="8">
        <v>62</v>
      </c>
      <c r="Q156" s="8">
        <v>1241</v>
      </c>
      <c r="R156" s="8">
        <v>1008</v>
      </c>
      <c r="S156" s="8">
        <v>184</v>
      </c>
      <c r="T156" s="8">
        <v>97</v>
      </c>
      <c r="U156" s="8">
        <v>19475</v>
      </c>
      <c r="V156" s="8">
        <v>3371</v>
      </c>
      <c r="W156" s="8">
        <v>16104</v>
      </c>
      <c r="X156" s="8">
        <v>2437</v>
      </c>
      <c r="Y156" s="8">
        <v>477</v>
      </c>
      <c r="Z156" s="8">
        <v>2145</v>
      </c>
      <c r="AA156" s="8">
        <v>947</v>
      </c>
      <c r="AB156" s="8">
        <v>1284</v>
      </c>
      <c r="AC156" s="8">
        <v>740</v>
      </c>
      <c r="AD156" s="8">
        <v>2755</v>
      </c>
      <c r="AE156" s="8">
        <v>534</v>
      </c>
      <c r="AF156" s="8">
        <v>924</v>
      </c>
      <c r="AG156" s="8">
        <v>1190</v>
      </c>
      <c r="AH156" s="8">
        <v>800</v>
      </c>
      <c r="AI156" s="8">
        <v>224</v>
      </c>
      <c r="AJ156" s="8">
        <v>218</v>
      </c>
      <c r="AK156" s="8">
        <v>798</v>
      </c>
      <c r="AL156" s="8">
        <v>132</v>
      </c>
      <c r="AM156" s="8">
        <v>500</v>
      </c>
      <c r="AN156" s="8">
        <v>42665</v>
      </c>
      <c r="AO156" s="8">
        <v>12901</v>
      </c>
      <c r="AP156" s="8">
        <v>29765</v>
      </c>
      <c r="AQ156" s="8">
        <v>3508</v>
      </c>
      <c r="AR156" s="8">
        <v>3046</v>
      </c>
      <c r="AS156" s="8">
        <v>2254</v>
      </c>
      <c r="AT156" s="8">
        <v>1245</v>
      </c>
      <c r="AU156" s="8">
        <v>1610</v>
      </c>
      <c r="AV156" s="8">
        <v>1221</v>
      </c>
      <c r="AW156" s="8">
        <v>4720</v>
      </c>
      <c r="AX156" s="8">
        <v>2056</v>
      </c>
      <c r="AY156" s="8">
        <v>1195</v>
      </c>
      <c r="AZ156" s="8">
        <v>3418</v>
      </c>
      <c r="BA156" s="8">
        <v>1028</v>
      </c>
      <c r="BB156" s="8">
        <v>286</v>
      </c>
      <c r="BC156" s="8">
        <v>1459</v>
      </c>
      <c r="BD156" s="8">
        <v>1805</v>
      </c>
      <c r="BE156" s="8">
        <v>316</v>
      </c>
      <c r="BF156" s="8">
        <v>597</v>
      </c>
    </row>
    <row r="157" spans="1:58" x14ac:dyDescent="0.2">
      <c r="A157" s="9">
        <v>45261</v>
      </c>
      <c r="B157" s="8">
        <v>26594</v>
      </c>
      <c r="C157" s="8">
        <v>10604</v>
      </c>
      <c r="D157" s="8">
        <v>15990</v>
      </c>
      <c r="E157" s="8">
        <v>1468</v>
      </c>
      <c r="F157" s="8">
        <v>3408</v>
      </c>
      <c r="G157" s="8">
        <v>158</v>
      </c>
      <c r="H157" s="8">
        <v>298</v>
      </c>
      <c r="I157" s="8">
        <v>437</v>
      </c>
      <c r="J157" s="8">
        <v>681</v>
      </c>
      <c r="K157" s="8">
        <v>1708</v>
      </c>
      <c r="L157" s="8">
        <v>1909</v>
      </c>
      <c r="M157" s="8">
        <v>132</v>
      </c>
      <c r="N157" s="8">
        <v>2602</v>
      </c>
      <c r="O157" s="8">
        <v>184</v>
      </c>
      <c r="P157" s="8">
        <v>54</v>
      </c>
      <c r="Q157" s="8">
        <v>1397</v>
      </c>
      <c r="R157" s="8">
        <v>1200</v>
      </c>
      <c r="S157" s="8">
        <v>166</v>
      </c>
      <c r="T157" s="8">
        <v>187</v>
      </c>
      <c r="U157" s="8">
        <v>22129</v>
      </c>
      <c r="V157" s="8">
        <v>4042</v>
      </c>
      <c r="W157" s="8">
        <v>18087</v>
      </c>
      <c r="X157" s="8">
        <v>2836</v>
      </c>
      <c r="Y157" s="8">
        <v>432</v>
      </c>
      <c r="Z157" s="8">
        <v>2298</v>
      </c>
      <c r="AA157" s="8">
        <v>1152</v>
      </c>
      <c r="AB157" s="8">
        <v>1485</v>
      </c>
      <c r="AC157" s="8">
        <v>915</v>
      </c>
      <c r="AD157" s="8">
        <v>2842</v>
      </c>
      <c r="AE157" s="8">
        <v>604</v>
      </c>
      <c r="AF157" s="8">
        <v>953</v>
      </c>
      <c r="AG157" s="8">
        <v>1506</v>
      </c>
      <c r="AH157" s="8">
        <v>954</v>
      </c>
      <c r="AI157" s="8">
        <v>175</v>
      </c>
      <c r="AJ157" s="8">
        <v>371</v>
      </c>
      <c r="AK157" s="8">
        <v>936</v>
      </c>
      <c r="AL157" s="8">
        <v>158</v>
      </c>
      <c r="AM157" s="8">
        <v>470</v>
      </c>
      <c r="AN157" s="8">
        <v>48723</v>
      </c>
      <c r="AO157" s="8">
        <v>14646</v>
      </c>
      <c r="AP157" s="8">
        <v>34077</v>
      </c>
      <c r="AQ157" s="8">
        <v>4304</v>
      </c>
      <c r="AR157" s="8">
        <v>3840</v>
      </c>
      <c r="AS157" s="8">
        <v>2456</v>
      </c>
      <c r="AT157" s="8">
        <v>1450</v>
      </c>
      <c r="AU157" s="8">
        <v>1922</v>
      </c>
      <c r="AV157" s="8">
        <v>1596</v>
      </c>
      <c r="AW157" s="8">
        <v>4550</v>
      </c>
      <c r="AX157" s="8">
        <v>2513</v>
      </c>
      <c r="AY157" s="8">
        <v>1086</v>
      </c>
      <c r="AZ157" s="8">
        <v>4108</v>
      </c>
      <c r="BA157" s="8">
        <v>1138</v>
      </c>
      <c r="BB157" s="8">
        <v>229</v>
      </c>
      <c r="BC157" s="8">
        <v>1767</v>
      </c>
      <c r="BD157" s="8">
        <v>2136</v>
      </c>
      <c r="BE157" s="8">
        <v>324</v>
      </c>
      <c r="BF157" s="8">
        <v>657</v>
      </c>
    </row>
    <row r="158" spans="1:58" x14ac:dyDescent="0.2">
      <c r="A158" s="9">
        <v>45352</v>
      </c>
      <c r="B158" s="8">
        <v>22423</v>
      </c>
      <c r="C158" s="8">
        <v>8559</v>
      </c>
      <c r="D158" s="8">
        <v>13864</v>
      </c>
      <c r="E158" s="8">
        <v>1321</v>
      </c>
      <c r="F158" s="8">
        <v>2868</v>
      </c>
      <c r="G158" s="8">
        <v>168</v>
      </c>
      <c r="H158" s="8">
        <v>164</v>
      </c>
      <c r="I158" s="8">
        <v>302</v>
      </c>
      <c r="J158" s="8">
        <v>555</v>
      </c>
      <c r="K158" s="8">
        <v>1691</v>
      </c>
      <c r="L158" s="8">
        <v>1941</v>
      </c>
      <c r="M158" s="8">
        <v>178</v>
      </c>
      <c r="N158" s="8">
        <v>1907</v>
      </c>
      <c r="O158" s="8">
        <v>186</v>
      </c>
      <c r="P158" s="8">
        <v>30</v>
      </c>
      <c r="Q158" s="8">
        <v>1089</v>
      </c>
      <c r="R158" s="8">
        <v>1050</v>
      </c>
      <c r="S158" s="8">
        <v>236</v>
      </c>
      <c r="T158" s="8">
        <v>178</v>
      </c>
      <c r="U158" s="8">
        <v>18385</v>
      </c>
      <c r="V158" s="8">
        <v>2934</v>
      </c>
      <c r="W158" s="8">
        <v>15451</v>
      </c>
      <c r="X158" s="8">
        <v>2031</v>
      </c>
      <c r="Y158" s="8">
        <v>372</v>
      </c>
      <c r="Z158" s="8">
        <v>2016</v>
      </c>
      <c r="AA158" s="8">
        <v>807</v>
      </c>
      <c r="AB158" s="8">
        <v>1259</v>
      </c>
      <c r="AC158" s="8">
        <v>711</v>
      </c>
      <c r="AD158" s="8">
        <v>2516</v>
      </c>
      <c r="AE158" s="8">
        <v>859</v>
      </c>
      <c r="AF158" s="8">
        <v>727</v>
      </c>
      <c r="AG158" s="8">
        <v>1259</v>
      </c>
      <c r="AH158" s="8">
        <v>935</v>
      </c>
      <c r="AI158" s="8">
        <v>186</v>
      </c>
      <c r="AJ158" s="8">
        <v>336</v>
      </c>
      <c r="AK158" s="8">
        <v>914</v>
      </c>
      <c r="AL158" s="8">
        <v>137</v>
      </c>
      <c r="AM158" s="8">
        <v>385</v>
      </c>
      <c r="AN158" s="8">
        <v>40808</v>
      </c>
      <c r="AO158" s="8">
        <v>11493</v>
      </c>
      <c r="AP158" s="8">
        <v>29315</v>
      </c>
      <c r="AQ158" s="8">
        <v>3352</v>
      </c>
      <c r="AR158" s="8">
        <v>3240</v>
      </c>
      <c r="AS158" s="8">
        <v>2184</v>
      </c>
      <c r="AT158" s="8">
        <v>970</v>
      </c>
      <c r="AU158" s="8">
        <v>1560</v>
      </c>
      <c r="AV158" s="8">
        <v>1266</v>
      </c>
      <c r="AW158" s="8">
        <v>4207</v>
      </c>
      <c r="AX158" s="8">
        <v>2800</v>
      </c>
      <c r="AY158" s="8">
        <v>905</v>
      </c>
      <c r="AZ158" s="8">
        <v>3167</v>
      </c>
      <c r="BA158" s="8">
        <v>1122</v>
      </c>
      <c r="BB158" s="8">
        <v>216</v>
      </c>
      <c r="BC158" s="8">
        <v>1425</v>
      </c>
      <c r="BD158" s="8">
        <v>1964</v>
      </c>
      <c r="BE158" s="8">
        <v>373</v>
      </c>
      <c r="BF158" s="8">
        <v>563</v>
      </c>
    </row>
    <row r="159" spans="1:58" x14ac:dyDescent="0.2">
      <c r="A159" s="9">
        <v>45444</v>
      </c>
      <c r="B159" s="8">
        <v>25432</v>
      </c>
      <c r="C159" s="8">
        <v>9911</v>
      </c>
      <c r="D159" s="8">
        <v>15521</v>
      </c>
      <c r="E159" s="8">
        <v>1234</v>
      </c>
      <c r="F159" s="8">
        <v>3537</v>
      </c>
      <c r="G159" s="8">
        <v>221</v>
      </c>
      <c r="H159" s="8">
        <v>247</v>
      </c>
      <c r="I159" s="8">
        <v>528</v>
      </c>
      <c r="J159" s="8">
        <v>689</v>
      </c>
      <c r="K159" s="8">
        <v>1677</v>
      </c>
      <c r="L159" s="8">
        <v>1682</v>
      </c>
      <c r="M159" s="8">
        <v>207</v>
      </c>
      <c r="N159" s="8">
        <v>2405</v>
      </c>
      <c r="O159" s="8">
        <v>296</v>
      </c>
      <c r="P159" s="8">
        <v>72</v>
      </c>
      <c r="Q159" s="8">
        <v>1134</v>
      </c>
      <c r="R159" s="8">
        <v>1122</v>
      </c>
      <c r="S159" s="8">
        <v>250</v>
      </c>
      <c r="T159" s="8">
        <v>221</v>
      </c>
      <c r="U159" s="8">
        <v>24266</v>
      </c>
      <c r="V159" s="8">
        <v>3611</v>
      </c>
      <c r="W159" s="8">
        <v>20655</v>
      </c>
      <c r="X159" s="8">
        <v>2541</v>
      </c>
      <c r="Y159" s="8">
        <v>483</v>
      </c>
      <c r="Z159" s="8">
        <v>3117</v>
      </c>
      <c r="AA159" s="8">
        <v>896</v>
      </c>
      <c r="AB159" s="8">
        <v>1585</v>
      </c>
      <c r="AC159" s="8">
        <v>838</v>
      </c>
      <c r="AD159" s="8">
        <v>3442</v>
      </c>
      <c r="AE159" s="8">
        <v>1158</v>
      </c>
      <c r="AF159" s="8">
        <v>938</v>
      </c>
      <c r="AG159" s="8">
        <v>1487</v>
      </c>
      <c r="AH159" s="8">
        <v>1477</v>
      </c>
      <c r="AI159" s="8">
        <v>322</v>
      </c>
      <c r="AJ159" s="8">
        <v>234</v>
      </c>
      <c r="AK159" s="8">
        <v>1269</v>
      </c>
      <c r="AL159" s="8">
        <v>266</v>
      </c>
      <c r="AM159" s="8">
        <v>602</v>
      </c>
      <c r="AN159" s="8">
        <v>49698</v>
      </c>
      <c r="AO159" s="8">
        <v>13522</v>
      </c>
      <c r="AP159" s="8">
        <v>36176</v>
      </c>
      <c r="AQ159" s="8">
        <v>3775</v>
      </c>
      <c r="AR159" s="8">
        <v>4020</v>
      </c>
      <c r="AS159" s="8">
        <v>3338</v>
      </c>
      <c r="AT159" s="8">
        <v>1143</v>
      </c>
      <c r="AU159" s="8">
        <v>2113</v>
      </c>
      <c r="AV159" s="8">
        <v>1527</v>
      </c>
      <c r="AW159" s="8">
        <v>5119</v>
      </c>
      <c r="AX159" s="8">
        <v>2841</v>
      </c>
      <c r="AY159" s="8">
        <v>1144</v>
      </c>
      <c r="AZ159" s="8">
        <v>3892</v>
      </c>
      <c r="BA159" s="8">
        <v>1773</v>
      </c>
      <c r="BB159" s="8">
        <v>393</v>
      </c>
      <c r="BC159" s="8">
        <v>1369</v>
      </c>
      <c r="BD159" s="8">
        <v>2391</v>
      </c>
      <c r="BE159" s="8">
        <v>516</v>
      </c>
      <c r="BF159" s="8">
        <v>823</v>
      </c>
    </row>
    <row r="160" spans="1:58" x14ac:dyDescent="0.2">
      <c r="A160" s="9">
        <v>45536</v>
      </c>
      <c r="B160" s="8">
        <v>24219</v>
      </c>
      <c r="C160" s="8">
        <v>9477</v>
      </c>
      <c r="D160" s="8">
        <v>14742</v>
      </c>
      <c r="E160" s="8">
        <v>1259</v>
      </c>
      <c r="F160" s="8">
        <v>3367</v>
      </c>
      <c r="G160" s="8">
        <v>114</v>
      </c>
      <c r="H160" s="8">
        <v>284</v>
      </c>
      <c r="I160" s="8">
        <v>439</v>
      </c>
      <c r="J160" s="8">
        <v>525</v>
      </c>
      <c r="K160" s="8">
        <v>1741</v>
      </c>
      <c r="L160" s="8">
        <v>1747</v>
      </c>
      <c r="M160" s="8">
        <v>228</v>
      </c>
      <c r="N160" s="8">
        <v>2031</v>
      </c>
      <c r="O160" s="8">
        <v>261</v>
      </c>
      <c r="P160" s="8">
        <v>66</v>
      </c>
      <c r="Q160" s="8">
        <v>1175</v>
      </c>
      <c r="R160" s="8">
        <v>1093</v>
      </c>
      <c r="S160" s="8">
        <v>238</v>
      </c>
      <c r="T160" s="8">
        <v>172</v>
      </c>
      <c r="U160" s="8">
        <v>20330</v>
      </c>
      <c r="V160" s="8">
        <v>3169</v>
      </c>
      <c r="W160" s="8">
        <v>17160</v>
      </c>
      <c r="X160" s="8">
        <v>2390</v>
      </c>
      <c r="Y160" s="8">
        <v>495</v>
      </c>
      <c r="Z160" s="8">
        <v>2404</v>
      </c>
      <c r="AA160" s="8">
        <v>903</v>
      </c>
      <c r="AB160" s="8">
        <v>1098</v>
      </c>
      <c r="AC160" s="8">
        <v>665</v>
      </c>
      <c r="AD160" s="8">
        <v>2802</v>
      </c>
      <c r="AE160" s="8">
        <v>1056</v>
      </c>
      <c r="AF160" s="8">
        <v>1028</v>
      </c>
      <c r="AG160" s="8">
        <v>1241</v>
      </c>
      <c r="AH160" s="8">
        <v>1067</v>
      </c>
      <c r="AI160" s="8">
        <v>252</v>
      </c>
      <c r="AJ160" s="8">
        <v>223</v>
      </c>
      <c r="AK160" s="8">
        <v>936</v>
      </c>
      <c r="AL160" s="8">
        <v>142</v>
      </c>
      <c r="AM160" s="8">
        <v>458</v>
      </c>
      <c r="AN160" s="8">
        <v>44549</v>
      </c>
      <c r="AO160" s="8">
        <v>12647</v>
      </c>
      <c r="AP160" s="8">
        <v>31902</v>
      </c>
      <c r="AQ160" s="8">
        <v>3650</v>
      </c>
      <c r="AR160" s="8">
        <v>3862</v>
      </c>
      <c r="AS160" s="8">
        <v>2519</v>
      </c>
      <c r="AT160" s="8">
        <v>1187</v>
      </c>
      <c r="AU160" s="8">
        <v>1537</v>
      </c>
      <c r="AV160" s="8">
        <v>1190</v>
      </c>
      <c r="AW160" s="8">
        <v>4543</v>
      </c>
      <c r="AX160" s="8">
        <v>2803</v>
      </c>
      <c r="AY160" s="8">
        <v>1257</v>
      </c>
      <c r="AZ160" s="8">
        <v>3272</v>
      </c>
      <c r="BA160" s="8">
        <v>1328</v>
      </c>
      <c r="BB160" s="8">
        <v>318</v>
      </c>
      <c r="BC160" s="8">
        <v>1398</v>
      </c>
      <c r="BD160" s="8">
        <v>2030</v>
      </c>
      <c r="BE160" s="8">
        <v>380</v>
      </c>
      <c r="BF160" s="8">
        <v>630</v>
      </c>
    </row>
    <row r="161" spans="1:58" x14ac:dyDescent="0.2">
      <c r="A161" s="9">
        <v>45627</v>
      </c>
      <c r="B161" s="8">
        <v>27838</v>
      </c>
      <c r="C161" s="8">
        <v>10495</v>
      </c>
      <c r="D161" s="8">
        <v>17343</v>
      </c>
      <c r="E161" s="8">
        <v>1437</v>
      </c>
      <c r="F161" s="8">
        <v>4265</v>
      </c>
      <c r="G161" s="8">
        <v>104</v>
      </c>
      <c r="H161" s="8">
        <v>396</v>
      </c>
      <c r="I161" s="8">
        <v>558</v>
      </c>
      <c r="J161" s="8">
        <v>761</v>
      </c>
      <c r="K161" s="8">
        <v>1774</v>
      </c>
      <c r="L161" s="8">
        <v>2000</v>
      </c>
      <c r="M161" s="8">
        <v>233</v>
      </c>
      <c r="N161" s="8">
        <v>2575</v>
      </c>
      <c r="O161" s="8">
        <v>314</v>
      </c>
      <c r="P161" s="8">
        <v>84</v>
      </c>
      <c r="Q161" s="8">
        <v>1286</v>
      </c>
      <c r="R161" s="8">
        <v>1179</v>
      </c>
      <c r="S161" s="8">
        <v>193</v>
      </c>
      <c r="T161" s="8">
        <v>184</v>
      </c>
      <c r="U161" s="8">
        <v>22608</v>
      </c>
      <c r="V161" s="8">
        <v>3951</v>
      </c>
      <c r="W161" s="8">
        <v>18658</v>
      </c>
      <c r="X161" s="8">
        <v>2452</v>
      </c>
      <c r="Y161" s="8">
        <v>506</v>
      </c>
      <c r="Z161" s="8">
        <v>2173</v>
      </c>
      <c r="AA161" s="8">
        <v>1060</v>
      </c>
      <c r="AB161" s="8">
        <v>1437</v>
      </c>
      <c r="AC161" s="8">
        <v>716</v>
      </c>
      <c r="AD161" s="8">
        <v>2822</v>
      </c>
      <c r="AE161" s="8">
        <v>1485</v>
      </c>
      <c r="AF161" s="8">
        <v>938</v>
      </c>
      <c r="AG161" s="8">
        <v>1191</v>
      </c>
      <c r="AH161" s="8">
        <v>1282</v>
      </c>
      <c r="AI161" s="8">
        <v>372</v>
      </c>
      <c r="AJ161" s="8">
        <v>332</v>
      </c>
      <c r="AK161" s="8">
        <v>1012</v>
      </c>
      <c r="AL161" s="8">
        <v>250</v>
      </c>
      <c r="AM161" s="8">
        <v>631</v>
      </c>
      <c r="AN161" s="8">
        <v>50446</v>
      </c>
      <c r="AO161" s="8">
        <v>14446</v>
      </c>
      <c r="AP161" s="8">
        <v>36000</v>
      </c>
      <c r="AQ161" s="8">
        <v>3889</v>
      </c>
      <c r="AR161" s="8">
        <v>4771</v>
      </c>
      <c r="AS161" s="8">
        <v>2277</v>
      </c>
      <c r="AT161" s="8">
        <v>1456</v>
      </c>
      <c r="AU161" s="8">
        <v>1995</v>
      </c>
      <c r="AV161" s="8">
        <v>1477</v>
      </c>
      <c r="AW161" s="8">
        <v>4595</v>
      </c>
      <c r="AX161" s="8">
        <v>3485</v>
      </c>
      <c r="AY161" s="8">
        <v>1171</v>
      </c>
      <c r="AZ161" s="8">
        <v>3765</v>
      </c>
      <c r="BA161" s="8">
        <v>1596</v>
      </c>
      <c r="BB161" s="8">
        <v>456</v>
      </c>
      <c r="BC161" s="8">
        <v>1618</v>
      </c>
      <c r="BD161" s="8">
        <v>2191</v>
      </c>
      <c r="BE161" s="8">
        <v>443</v>
      </c>
      <c r="BF161" s="8">
        <v>815</v>
      </c>
    </row>
    <row r="162" spans="1:58" x14ac:dyDescent="0.2">
      <c r="A162" s="9">
        <v>45717</v>
      </c>
      <c r="B162" s="8">
        <v>23330</v>
      </c>
      <c r="C162" s="8">
        <v>8992</v>
      </c>
      <c r="D162" s="8">
        <v>14338</v>
      </c>
      <c r="E162" s="8">
        <v>1113</v>
      </c>
      <c r="F162" s="8">
        <v>3516</v>
      </c>
      <c r="G162" s="8">
        <v>95</v>
      </c>
      <c r="H162" s="8">
        <v>305</v>
      </c>
      <c r="I162" s="8">
        <v>370</v>
      </c>
      <c r="J162" s="8">
        <v>617</v>
      </c>
      <c r="K162" s="8">
        <v>1482</v>
      </c>
      <c r="L162" s="8">
        <v>2010</v>
      </c>
      <c r="M162" s="8">
        <v>161</v>
      </c>
      <c r="N162" s="8">
        <v>1900</v>
      </c>
      <c r="O162" s="8">
        <v>201</v>
      </c>
      <c r="P162" s="8">
        <v>76</v>
      </c>
      <c r="Q162" s="8">
        <v>948</v>
      </c>
      <c r="R162" s="8">
        <v>1142</v>
      </c>
      <c r="S162" s="8">
        <v>208</v>
      </c>
      <c r="T162" s="8">
        <v>194</v>
      </c>
      <c r="U162" s="8">
        <v>18519</v>
      </c>
      <c r="V162" s="8">
        <v>3192</v>
      </c>
      <c r="W162" s="8">
        <v>15328</v>
      </c>
      <c r="X162" s="8">
        <v>2198</v>
      </c>
      <c r="Y162" s="8">
        <v>372</v>
      </c>
      <c r="Z162" s="8">
        <v>1936</v>
      </c>
      <c r="AA162" s="8">
        <v>838</v>
      </c>
      <c r="AB162" s="8">
        <v>1001</v>
      </c>
      <c r="AC162" s="8">
        <v>556</v>
      </c>
      <c r="AD162" s="8">
        <v>2462</v>
      </c>
      <c r="AE162" s="8">
        <v>902</v>
      </c>
      <c r="AF162" s="8">
        <v>687</v>
      </c>
      <c r="AG162" s="8">
        <v>1158</v>
      </c>
      <c r="AH162" s="8">
        <v>1013</v>
      </c>
      <c r="AI162" s="8">
        <v>362</v>
      </c>
      <c r="AJ162" s="8">
        <v>373</v>
      </c>
      <c r="AK162" s="8">
        <v>887</v>
      </c>
      <c r="AL162" s="8">
        <v>139</v>
      </c>
      <c r="AM162" s="8">
        <v>444</v>
      </c>
      <c r="AN162" s="8">
        <v>41850</v>
      </c>
      <c r="AO162" s="8">
        <v>12184</v>
      </c>
      <c r="AP162" s="8">
        <v>29666</v>
      </c>
      <c r="AQ162" s="8">
        <v>3311</v>
      </c>
      <c r="AR162" s="8">
        <v>3888</v>
      </c>
      <c r="AS162" s="8">
        <v>2031</v>
      </c>
      <c r="AT162" s="8">
        <v>1143</v>
      </c>
      <c r="AU162" s="8">
        <v>1371</v>
      </c>
      <c r="AV162" s="8">
        <v>1173</v>
      </c>
      <c r="AW162" s="8">
        <v>3944</v>
      </c>
      <c r="AX162" s="8">
        <v>2912</v>
      </c>
      <c r="AY162" s="8">
        <v>847</v>
      </c>
      <c r="AZ162" s="8">
        <v>3058</v>
      </c>
      <c r="BA162" s="8">
        <v>1214</v>
      </c>
      <c r="BB162" s="8">
        <v>438</v>
      </c>
      <c r="BC162" s="8">
        <v>1320</v>
      </c>
      <c r="BD162" s="8">
        <v>2030</v>
      </c>
      <c r="BE162" s="8">
        <v>347</v>
      </c>
      <c r="BF162" s="8">
        <v>638</v>
      </c>
    </row>
    <row r="163" spans="1:58" x14ac:dyDescent="0.2">
      <c r="A163" s="9">
        <v>45809</v>
      </c>
      <c r="B163" s="8">
        <v>27205</v>
      </c>
      <c r="C163" s="8">
        <v>9935</v>
      </c>
      <c r="D163" s="8">
        <v>17270</v>
      </c>
      <c r="E163" s="8">
        <v>1583</v>
      </c>
      <c r="F163" s="8">
        <v>3945</v>
      </c>
      <c r="G163" s="8">
        <v>192</v>
      </c>
      <c r="H163" s="8">
        <v>330</v>
      </c>
      <c r="I163" s="8">
        <v>555</v>
      </c>
      <c r="J163" s="8">
        <v>779</v>
      </c>
      <c r="K163" s="8">
        <v>1975</v>
      </c>
      <c r="L163" s="8">
        <v>2217</v>
      </c>
      <c r="M163" s="8">
        <v>276</v>
      </c>
      <c r="N163" s="8">
        <v>2170</v>
      </c>
      <c r="O163" s="8">
        <v>254</v>
      </c>
      <c r="P163" s="8">
        <v>69</v>
      </c>
      <c r="Q163" s="8">
        <v>1093</v>
      </c>
      <c r="R163" s="8">
        <v>1422</v>
      </c>
      <c r="S163" s="8">
        <v>209</v>
      </c>
      <c r="T163" s="8">
        <v>200</v>
      </c>
      <c r="U163" s="8">
        <v>24693</v>
      </c>
      <c r="V163" s="8">
        <v>4021</v>
      </c>
      <c r="W163" s="8">
        <v>20673</v>
      </c>
      <c r="X163" s="8">
        <v>2598</v>
      </c>
      <c r="Y163" s="8">
        <v>468</v>
      </c>
      <c r="Z163" s="8">
        <v>2245</v>
      </c>
      <c r="AA163" s="8">
        <v>1012</v>
      </c>
      <c r="AB163" s="8">
        <v>1936</v>
      </c>
      <c r="AC163" s="8">
        <v>827</v>
      </c>
      <c r="AD163" s="8">
        <v>3134</v>
      </c>
      <c r="AE163" s="8">
        <v>1587</v>
      </c>
      <c r="AF163" s="8">
        <v>1006</v>
      </c>
      <c r="AG163" s="8">
        <v>1276</v>
      </c>
      <c r="AH163" s="8">
        <v>1705</v>
      </c>
      <c r="AI163" s="8">
        <v>558</v>
      </c>
      <c r="AJ163" s="8">
        <v>239</v>
      </c>
      <c r="AK163" s="8">
        <v>1365</v>
      </c>
      <c r="AL163" s="8">
        <v>255</v>
      </c>
      <c r="AM163" s="8">
        <v>462</v>
      </c>
      <c r="AN163" s="8">
        <v>51898</v>
      </c>
      <c r="AO163" s="8">
        <v>13956</v>
      </c>
      <c r="AP163" s="8">
        <v>37943</v>
      </c>
      <c r="AQ163" s="8">
        <v>4181</v>
      </c>
      <c r="AR163" s="8">
        <v>4414</v>
      </c>
      <c r="AS163" s="8">
        <v>2437</v>
      </c>
      <c r="AT163" s="8">
        <v>1342</v>
      </c>
      <c r="AU163" s="8">
        <v>2492</v>
      </c>
      <c r="AV163" s="8">
        <v>1606</v>
      </c>
      <c r="AW163" s="8">
        <v>5109</v>
      </c>
      <c r="AX163" s="8">
        <v>3804</v>
      </c>
      <c r="AY163" s="8">
        <v>1282</v>
      </c>
      <c r="AZ163" s="8">
        <v>3446</v>
      </c>
      <c r="BA163" s="8">
        <v>1959</v>
      </c>
      <c r="BB163" s="8">
        <v>626</v>
      </c>
      <c r="BC163" s="8">
        <v>1332</v>
      </c>
      <c r="BD163" s="8">
        <v>2787</v>
      </c>
      <c r="BE163" s="8">
        <v>464</v>
      </c>
      <c r="BF163" s="8">
        <v>662</v>
      </c>
    </row>
    <row r="164" spans="1:58" x14ac:dyDescent="0.2">
      <c r="A164" s="9">
        <v>45901</v>
      </c>
      <c r="B164" s="8">
        <v>25862</v>
      </c>
      <c r="C164" s="8">
        <v>9691</v>
      </c>
      <c r="D164" s="8">
        <v>16171</v>
      </c>
      <c r="E164" s="8">
        <v>1497</v>
      </c>
      <c r="F164" s="8">
        <v>3584</v>
      </c>
      <c r="G164" s="8">
        <v>117</v>
      </c>
      <c r="H164" s="8">
        <v>420</v>
      </c>
      <c r="I164" s="8">
        <v>561</v>
      </c>
      <c r="J164" s="8">
        <v>744</v>
      </c>
      <c r="K164" s="8">
        <v>1918</v>
      </c>
      <c r="L164" s="8">
        <v>2191</v>
      </c>
      <c r="M164" s="8">
        <v>176</v>
      </c>
      <c r="N164" s="8">
        <v>1812</v>
      </c>
      <c r="O164" s="8">
        <v>228</v>
      </c>
      <c r="P164" s="8">
        <v>64</v>
      </c>
      <c r="Q164" s="8">
        <v>1167</v>
      </c>
      <c r="R164" s="8">
        <v>1316</v>
      </c>
      <c r="S164" s="8">
        <v>210</v>
      </c>
      <c r="T164" s="8">
        <v>165</v>
      </c>
      <c r="U164" s="8">
        <v>22680</v>
      </c>
      <c r="V164" s="8">
        <v>3627</v>
      </c>
      <c r="W164" s="8">
        <v>19053</v>
      </c>
      <c r="X164" s="8">
        <v>2387</v>
      </c>
      <c r="Y164" s="8">
        <v>486</v>
      </c>
      <c r="Z164" s="8">
        <v>1656</v>
      </c>
      <c r="AA164" s="8">
        <v>953</v>
      </c>
      <c r="AB164" s="8">
        <v>1198</v>
      </c>
      <c r="AC164" s="8">
        <v>762</v>
      </c>
      <c r="AD164" s="8">
        <v>3903</v>
      </c>
      <c r="AE164" s="8">
        <v>2567</v>
      </c>
      <c r="AF164" s="8">
        <v>933</v>
      </c>
      <c r="AG164" s="8">
        <v>1086</v>
      </c>
      <c r="AH164" s="8">
        <v>999</v>
      </c>
      <c r="AI164" s="8">
        <v>451</v>
      </c>
      <c r="AJ164" s="8">
        <v>235</v>
      </c>
      <c r="AK164" s="8">
        <v>948</v>
      </c>
      <c r="AL164" s="8">
        <v>172</v>
      </c>
      <c r="AM164" s="8">
        <v>318</v>
      </c>
      <c r="AN164" s="8">
        <v>48542</v>
      </c>
      <c r="AO164" s="8">
        <v>13318</v>
      </c>
      <c r="AP164" s="8">
        <v>35224</v>
      </c>
      <c r="AQ164" s="8">
        <v>3883</v>
      </c>
      <c r="AR164" s="8">
        <v>4070</v>
      </c>
      <c r="AS164" s="8">
        <v>1773</v>
      </c>
      <c r="AT164" s="8">
        <v>1373</v>
      </c>
      <c r="AU164" s="8">
        <v>1759</v>
      </c>
      <c r="AV164" s="8">
        <v>1507</v>
      </c>
      <c r="AW164" s="8">
        <v>5821</v>
      </c>
      <c r="AX164" s="8">
        <v>4758</v>
      </c>
      <c r="AY164" s="8">
        <v>1108</v>
      </c>
      <c r="AZ164" s="8">
        <v>2898</v>
      </c>
      <c r="BA164" s="8">
        <v>1227</v>
      </c>
      <c r="BB164" s="8">
        <v>515</v>
      </c>
      <c r="BC164" s="8">
        <v>1402</v>
      </c>
      <c r="BD164" s="8">
        <v>2263</v>
      </c>
      <c r="BE164" s="8">
        <v>383</v>
      </c>
      <c r="BF164" s="8">
        <v>483</v>
      </c>
    </row>
    <row r="165" spans="1:58" x14ac:dyDescent="0.2">
      <c r="A165" s="9">
        <v>45992</v>
      </c>
      <c r="B165" s="8">
        <v>30528</v>
      </c>
      <c r="C165" s="8">
        <v>10720</v>
      </c>
      <c r="D165" s="8">
        <v>19809</v>
      </c>
      <c r="E165" s="8">
        <v>1848</v>
      </c>
      <c r="F165" s="8">
        <v>4739</v>
      </c>
      <c r="G165" s="8">
        <v>151</v>
      </c>
      <c r="H165" s="8">
        <v>442</v>
      </c>
      <c r="I165" s="8">
        <v>762</v>
      </c>
      <c r="J165" s="8">
        <v>991</v>
      </c>
      <c r="K165" s="8">
        <v>1810</v>
      </c>
      <c r="L165" s="8">
        <v>2682</v>
      </c>
      <c r="M165" s="8">
        <v>157</v>
      </c>
      <c r="N165" s="8">
        <v>2430</v>
      </c>
      <c r="O165" s="8">
        <v>321</v>
      </c>
      <c r="P165" s="8">
        <v>104</v>
      </c>
      <c r="Q165" s="8">
        <v>1505</v>
      </c>
      <c r="R165" s="8">
        <v>1389</v>
      </c>
      <c r="S165" s="8">
        <v>288</v>
      </c>
      <c r="T165" s="8">
        <v>192</v>
      </c>
      <c r="U165" s="8">
        <v>25047</v>
      </c>
      <c r="V165" s="8">
        <v>4183</v>
      </c>
      <c r="W165" s="8">
        <v>20864</v>
      </c>
      <c r="X165" s="8">
        <v>2695</v>
      </c>
      <c r="Y165" s="8">
        <v>544</v>
      </c>
      <c r="Z165" s="8">
        <v>1843</v>
      </c>
      <c r="AA165" s="8">
        <v>1081</v>
      </c>
      <c r="AB165" s="8">
        <v>1550</v>
      </c>
      <c r="AC165" s="8">
        <v>786</v>
      </c>
      <c r="AD165" s="8">
        <v>3838</v>
      </c>
      <c r="AE165" s="8">
        <v>2230</v>
      </c>
      <c r="AF165" s="8">
        <v>821</v>
      </c>
      <c r="AG165" s="8">
        <v>1247</v>
      </c>
      <c r="AH165" s="8">
        <v>1328</v>
      </c>
      <c r="AI165" s="8">
        <v>492</v>
      </c>
      <c r="AJ165" s="8">
        <v>349</v>
      </c>
      <c r="AK165" s="8">
        <v>1248</v>
      </c>
      <c r="AL165" s="8">
        <v>261</v>
      </c>
      <c r="AM165" s="8">
        <v>548</v>
      </c>
      <c r="AN165" s="8">
        <v>55575</v>
      </c>
      <c r="AO165" s="8">
        <v>14902</v>
      </c>
      <c r="AP165" s="8">
        <v>40673</v>
      </c>
      <c r="AQ165" s="8">
        <v>4543</v>
      </c>
      <c r="AR165" s="8">
        <v>5283</v>
      </c>
      <c r="AS165" s="8">
        <v>1995</v>
      </c>
      <c r="AT165" s="8">
        <v>1523</v>
      </c>
      <c r="AU165" s="8">
        <v>2311</v>
      </c>
      <c r="AV165" s="8">
        <v>1777</v>
      </c>
      <c r="AW165" s="8">
        <v>5648</v>
      </c>
      <c r="AX165" s="8">
        <v>4912</v>
      </c>
      <c r="AY165" s="8">
        <v>978</v>
      </c>
      <c r="AZ165" s="8">
        <v>3677</v>
      </c>
      <c r="BA165" s="8">
        <v>1649</v>
      </c>
      <c r="BB165" s="8">
        <v>597</v>
      </c>
      <c r="BC165" s="8">
        <v>1854</v>
      </c>
      <c r="BD165" s="8">
        <v>2637</v>
      </c>
      <c r="BE165" s="8">
        <v>548</v>
      </c>
      <c r="BF165" s="8">
        <v>740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6715-DA7A-4021-BB58-C25B440ECC0F}">
  <dimension ref="B2:K160"/>
  <sheetViews>
    <sheetView tabSelected="1" topLeftCell="D9" workbookViewId="0">
      <selection activeCell="I19" sqref="I19"/>
    </sheetView>
  </sheetViews>
  <sheetFormatPr defaultRowHeight="15" outlineLevelCol="1" x14ac:dyDescent="0.25"/>
  <cols>
    <col min="2" max="2" width="28.5703125" customWidth="1"/>
    <col min="3" max="5" width="31.42578125" customWidth="1"/>
    <col min="8" max="11" width="9.140625" outlineLevel="1"/>
  </cols>
  <sheetData>
    <row r="2" spans="2:11" ht="18.75" x14ac:dyDescent="0.3">
      <c r="B2" s="20" t="s">
        <v>138</v>
      </c>
    </row>
    <row r="3" spans="2:11" x14ac:dyDescent="0.25">
      <c r="B3" s="21" t="s">
        <v>139</v>
      </c>
    </row>
    <row r="5" spans="2:11" ht="15.75" x14ac:dyDescent="0.25">
      <c r="B5" s="22" t="s">
        <v>140</v>
      </c>
      <c r="H5" s="23" t="s">
        <v>69</v>
      </c>
      <c r="I5" s="23" t="s">
        <v>142</v>
      </c>
      <c r="J5" s="23" t="s">
        <v>143</v>
      </c>
      <c r="K5" s="23" t="s">
        <v>144</v>
      </c>
    </row>
    <row r="6" spans="2:11" x14ac:dyDescent="0.25">
      <c r="B6" s="24" t="s">
        <v>141</v>
      </c>
      <c r="C6" s="25" t="s">
        <v>142</v>
      </c>
      <c r="D6" s="25" t="s">
        <v>143</v>
      </c>
      <c r="E6" s="25" t="s">
        <v>144</v>
      </c>
      <c r="H6" s="26">
        <f>Data1!A11</f>
        <v>31929</v>
      </c>
      <c r="I6" s="28">
        <f>Data1!F11</f>
        <v>16</v>
      </c>
      <c r="J6" s="28">
        <f>Data1!Y11</f>
        <v>5</v>
      </c>
      <c r="K6" s="28">
        <f>Data1!AR11</f>
        <v>21</v>
      </c>
    </row>
    <row r="7" spans="2:11" x14ac:dyDescent="0.25">
      <c r="B7" t="s">
        <v>65</v>
      </c>
      <c r="C7" t="str">
        <f>Data1!F10</f>
        <v>A3517174R</v>
      </c>
      <c r="D7" t="str">
        <f>Data1!Y10</f>
        <v>A3517216A</v>
      </c>
      <c r="E7" t="str">
        <f>Data1!AR10</f>
        <v>A3517258X</v>
      </c>
      <c r="H7" s="26">
        <f>Data1!A12</f>
        <v>32021</v>
      </c>
      <c r="I7" s="28">
        <f>Data1!F12</f>
        <v>12</v>
      </c>
      <c r="J7" s="28">
        <f>Data1!Y12</f>
        <v>5</v>
      </c>
      <c r="K7" s="28">
        <f>Data1!AR12</f>
        <v>17</v>
      </c>
    </row>
    <row r="8" spans="2:11" x14ac:dyDescent="0.25">
      <c r="B8" t="s">
        <v>145</v>
      </c>
      <c r="C8">
        <f>COUNT(Data1!F11:F165)</f>
        <v>155</v>
      </c>
      <c r="D8">
        <f>COUNT(Data1!Y11:Y165)</f>
        <v>155</v>
      </c>
      <c r="E8">
        <f>COUNT(Data1!AR11:AR165)</f>
        <v>155</v>
      </c>
      <c r="H8" s="26">
        <f>Data1!A13</f>
        <v>32112</v>
      </c>
      <c r="I8" s="28">
        <f>Data1!F13</f>
        <v>15</v>
      </c>
      <c r="J8" s="28">
        <f>Data1!Y13</f>
        <v>6</v>
      </c>
      <c r="K8" s="28">
        <f>Data1!AR13</f>
        <v>21</v>
      </c>
    </row>
    <row r="9" spans="2:11" x14ac:dyDescent="0.25">
      <c r="B9" t="s">
        <v>146</v>
      </c>
      <c r="C9" s="26">
        <f>Data1!F7</f>
        <v>31929</v>
      </c>
      <c r="D9" s="26">
        <f>Data1!Y7</f>
        <v>31929</v>
      </c>
      <c r="E9" s="26">
        <f>Data1!AR7</f>
        <v>31929</v>
      </c>
      <c r="H9" s="26">
        <f>Data1!A14</f>
        <v>32203</v>
      </c>
      <c r="I9" s="28">
        <f>Data1!F14</f>
        <v>13</v>
      </c>
      <c r="J9" s="28">
        <f>Data1!Y14</f>
        <v>4</v>
      </c>
      <c r="K9" s="28">
        <f>Data1!AR14</f>
        <v>17</v>
      </c>
    </row>
    <row r="10" spans="2:11" x14ac:dyDescent="0.25">
      <c r="B10" t="s">
        <v>147</v>
      </c>
      <c r="C10" s="26">
        <f>Data1!F8</f>
        <v>45992</v>
      </c>
      <c r="D10" s="26">
        <f>Data1!Y8</f>
        <v>45992</v>
      </c>
      <c r="E10" s="26">
        <f>Data1!AR8</f>
        <v>45992</v>
      </c>
      <c r="H10" s="26">
        <f>Data1!A15</f>
        <v>32295</v>
      </c>
      <c r="I10" s="28">
        <f>Data1!F15</f>
        <v>15</v>
      </c>
      <c r="J10" s="28">
        <f>Data1!Y15</f>
        <v>9</v>
      </c>
      <c r="K10" s="28">
        <f>Data1!AR15</f>
        <v>24</v>
      </c>
    </row>
    <row r="11" spans="2:11" x14ac:dyDescent="0.25">
      <c r="B11" t="s">
        <v>148</v>
      </c>
      <c r="C11" s="27">
        <f>AVERAGE(Data1!F11:F165)</f>
        <v>860.85806451612905</v>
      </c>
      <c r="D11" s="27">
        <f>AVERAGE(Data1!Y11:Y165)</f>
        <v>268.14193548387095</v>
      </c>
      <c r="E11" s="27">
        <f>AVERAGE(Data1!AR11:AR165)</f>
        <v>1129.0322580645161</v>
      </c>
      <c r="H11" s="26">
        <f>Data1!A16</f>
        <v>32387</v>
      </c>
      <c r="I11" s="28">
        <f>Data1!F16</f>
        <v>11</v>
      </c>
      <c r="J11" s="28">
        <f>Data1!Y16</f>
        <v>9</v>
      </c>
      <c r="K11" s="28">
        <f>Data1!AR16</f>
        <v>20</v>
      </c>
    </row>
    <row r="12" spans="2:11" x14ac:dyDescent="0.25">
      <c r="B12" t="s">
        <v>149</v>
      </c>
      <c r="C12" s="27">
        <f>MEDIAN(Data1!F11:F165)</f>
        <v>438</v>
      </c>
      <c r="D12" s="27">
        <f>MEDIAN(Data1!Y11:Y165)</f>
        <v>273</v>
      </c>
      <c r="E12" s="27">
        <f>MEDIAN(Data1!AR11:AR165)</f>
        <v>703</v>
      </c>
      <c r="H12" s="26">
        <f>Data1!A17</f>
        <v>32478</v>
      </c>
      <c r="I12" s="28">
        <f>Data1!F17</f>
        <v>11</v>
      </c>
      <c r="J12" s="28">
        <f>Data1!Y17</f>
        <v>7</v>
      </c>
      <c r="K12" s="28">
        <f>Data1!AR17</f>
        <v>18</v>
      </c>
    </row>
    <row r="13" spans="2:11" x14ac:dyDescent="0.25">
      <c r="B13" t="s">
        <v>150</v>
      </c>
      <c r="C13" s="27">
        <f>_xlfn.STDEV.S(Data1!F11:F165)</f>
        <v>1046.9043633289855</v>
      </c>
      <c r="D13" s="27">
        <f>_xlfn.STDEV.S(Data1!Y11:Y165)</f>
        <v>182.59060866554159</v>
      </c>
      <c r="E13" s="27">
        <f>_xlfn.STDEV.S(Data1!AR11:AR165)</f>
        <v>1160.7250612370826</v>
      </c>
      <c r="H13" s="26">
        <f>Data1!A18</f>
        <v>32568</v>
      </c>
      <c r="I13" s="28">
        <f>Data1!F18</f>
        <v>11</v>
      </c>
      <c r="J13" s="28">
        <f>Data1!Y18</f>
        <v>6</v>
      </c>
      <c r="K13" s="28">
        <f>Data1!AR18</f>
        <v>17</v>
      </c>
    </row>
    <row r="14" spans="2:11" x14ac:dyDescent="0.25">
      <c r="B14" t="s">
        <v>151</v>
      </c>
      <c r="C14" s="28">
        <f>MIN(Data1!F11:F165)</f>
        <v>5</v>
      </c>
      <c r="D14" s="28">
        <f>MIN(Data1!Y11:Y165)</f>
        <v>1</v>
      </c>
      <c r="E14" s="28">
        <f>MIN(Data1!AR11:AR165)</f>
        <v>13</v>
      </c>
      <c r="H14" s="26">
        <f>Data1!A19</f>
        <v>32660</v>
      </c>
      <c r="I14" s="28">
        <f>Data1!F19</f>
        <v>14</v>
      </c>
      <c r="J14" s="28">
        <f>Data1!Y19</f>
        <v>3</v>
      </c>
      <c r="K14" s="28">
        <f>Data1!AR19</f>
        <v>17</v>
      </c>
    </row>
    <row r="15" spans="2:11" x14ac:dyDescent="0.25">
      <c r="B15" t="s">
        <v>152</v>
      </c>
      <c r="C15" s="28">
        <f>MAX(Data1!F11:F165)</f>
        <v>4739</v>
      </c>
      <c r="D15" s="28">
        <f>MAX(Data1!Y11:Y165)</f>
        <v>664</v>
      </c>
      <c r="E15" s="28">
        <f>MAX(Data1!AR11:AR165)</f>
        <v>5283</v>
      </c>
      <c r="H15" s="26">
        <f>Data1!A20</f>
        <v>32752</v>
      </c>
      <c r="I15" s="28">
        <f>Data1!F20</f>
        <v>8</v>
      </c>
      <c r="J15" s="28">
        <f>Data1!Y20</f>
        <v>26</v>
      </c>
      <c r="K15" s="28">
        <f>Data1!AR20</f>
        <v>34</v>
      </c>
    </row>
    <row r="16" spans="2:11" x14ac:dyDescent="0.25">
      <c r="B16" t="s">
        <v>153</v>
      </c>
      <c r="C16" s="27">
        <f>_xlfn.PERCENTILE.INC(Data1!F11:F165,0.25)</f>
        <v>54</v>
      </c>
      <c r="D16" s="27">
        <f>_xlfn.PERCENTILE.INC(Data1!Y11:Y165,0.25)</f>
        <v>127.5</v>
      </c>
      <c r="E16" s="27">
        <f>_xlfn.PERCENTILE.INC(Data1!AR11:AR165,0.25)</f>
        <v>183.5</v>
      </c>
      <c r="H16" s="26">
        <f>Data1!A21</f>
        <v>32843</v>
      </c>
      <c r="I16" s="28">
        <f>Data1!F21</f>
        <v>8</v>
      </c>
      <c r="J16" s="28">
        <f>Data1!Y21</f>
        <v>27</v>
      </c>
      <c r="K16" s="28">
        <f>Data1!AR21</f>
        <v>35</v>
      </c>
    </row>
    <row r="17" spans="2:11" x14ac:dyDescent="0.25">
      <c r="B17" t="s">
        <v>154</v>
      </c>
      <c r="C17" s="27">
        <f>_xlfn.PERCENTILE.INC(Data1!F11:F165,0.75)</f>
        <v>1202.5</v>
      </c>
      <c r="D17" s="27">
        <f>_xlfn.PERCENTILE.INC(Data1!Y11:Y165,0.75)</f>
        <v>392</v>
      </c>
      <c r="E17" s="27">
        <f>_xlfn.PERCENTILE.INC(Data1!AR11:AR165,0.75)</f>
        <v>1578</v>
      </c>
      <c r="H17" s="26">
        <f>Data1!A22</f>
        <v>32933</v>
      </c>
      <c r="I17" s="28">
        <f>Data1!F22</f>
        <v>14</v>
      </c>
      <c r="J17" s="28">
        <f>Data1!Y22</f>
        <v>8</v>
      </c>
      <c r="K17" s="28">
        <f>Data1!AR22</f>
        <v>22</v>
      </c>
    </row>
    <row r="18" spans="2:11" x14ac:dyDescent="0.25">
      <c r="B18" t="s">
        <v>155</v>
      </c>
      <c r="C18" s="28" cm="1">
        <f t="array" ref="C18">INDEX(Data1!F11:F165,COUNT(Data1!F11:F165))</f>
        <v>4739</v>
      </c>
      <c r="D18" s="28" cm="1">
        <f t="array" ref="D18">INDEX(Data1!Y11:Y165,COUNT(Data1!Y11:Y165))</f>
        <v>544</v>
      </c>
      <c r="E18" s="28" cm="1">
        <f t="array" ref="E18">INDEX(Data1!AR11:AR165,COUNT(Data1!AR11:AR165))</f>
        <v>5283</v>
      </c>
      <c r="H18" s="26">
        <f>Data1!A23</f>
        <v>33025</v>
      </c>
      <c r="I18" s="28">
        <f>Data1!F23</f>
        <v>23</v>
      </c>
      <c r="J18" s="28">
        <f>Data1!Y23</f>
        <v>7</v>
      </c>
      <c r="K18" s="28">
        <f>Data1!AR23</f>
        <v>31</v>
      </c>
    </row>
    <row r="19" spans="2:11" x14ac:dyDescent="0.25">
      <c r="B19" t="s">
        <v>156</v>
      </c>
      <c r="C19" s="28">
        <f>SUM(Data1!F11:F165)</f>
        <v>133433</v>
      </c>
      <c r="D19" s="28">
        <f>SUM(Data1!Y11:Y165)</f>
        <v>41562</v>
      </c>
      <c r="E19" s="28">
        <f>SUM(Data1!AR11:AR165)</f>
        <v>175000</v>
      </c>
      <c r="H19" s="26">
        <f>Data1!A24</f>
        <v>33117</v>
      </c>
      <c r="I19" s="28">
        <f>Data1!F24</f>
        <v>9</v>
      </c>
      <c r="J19" s="28">
        <f>Data1!Y24</f>
        <v>7</v>
      </c>
      <c r="K19" s="28">
        <f>Data1!AR24</f>
        <v>17</v>
      </c>
    </row>
    <row r="20" spans="2:11" x14ac:dyDescent="0.25">
      <c r="H20" s="26">
        <f>Data1!A25</f>
        <v>33208</v>
      </c>
      <c r="I20" s="28">
        <f>Data1!F25</f>
        <v>8</v>
      </c>
      <c r="J20" s="28">
        <f>Data1!Y25</f>
        <v>5</v>
      </c>
      <c r="K20" s="28">
        <f>Data1!AR25</f>
        <v>14</v>
      </c>
    </row>
    <row r="21" spans="2:11" ht="15.75" x14ac:dyDescent="0.25">
      <c r="B21" s="22" t="s">
        <v>157</v>
      </c>
      <c r="H21" s="26">
        <f>Data1!A26</f>
        <v>33298</v>
      </c>
      <c r="I21" s="28">
        <f>Data1!F26</f>
        <v>11</v>
      </c>
      <c r="J21" s="28">
        <f>Data1!Y26</f>
        <v>3</v>
      </c>
      <c r="K21" s="28">
        <f>Data1!AR26</f>
        <v>14</v>
      </c>
    </row>
    <row r="22" spans="2:11" x14ac:dyDescent="0.25">
      <c r="B22" s="23" t="s">
        <v>158</v>
      </c>
      <c r="C22" s="25" t="s">
        <v>142</v>
      </c>
      <c r="D22" s="25" t="s">
        <v>143</v>
      </c>
      <c r="E22" s="25" t="s">
        <v>144</v>
      </c>
      <c r="H22" s="26">
        <f>Data1!A27</f>
        <v>33390</v>
      </c>
      <c r="I22" s="28">
        <f>Data1!F27</f>
        <v>7</v>
      </c>
      <c r="J22" s="28">
        <f>Data1!Y27</f>
        <v>11</v>
      </c>
      <c r="K22" s="28">
        <f>Data1!AR27</f>
        <v>18</v>
      </c>
    </row>
    <row r="23" spans="2:11" x14ac:dyDescent="0.25">
      <c r="B23">
        <v>1988</v>
      </c>
      <c r="C23" s="28">
        <f>SUMIFS(Data1!F$11:F$165,Data1!$A$11:$A$165,"&gt;="&amp;DATE($B23,1,1),Data1!$A$11:$A$165,"&lt;="&amp;DATE($B23,12,31))</f>
        <v>50</v>
      </c>
      <c r="D23" s="28">
        <f>SUMIFS(Data1!Y$11:Y$165,Data1!$A$11:$A$165,"&gt;="&amp;DATE($B23,1,1),Data1!$A$11:$A$165,"&lt;="&amp;DATE($B23,12,31))</f>
        <v>29</v>
      </c>
      <c r="E23" s="28">
        <f>SUMIFS(Data1!AR$11:AR$165,Data1!$A$11:$A$165,"&gt;="&amp;DATE($B23,1,1),Data1!$A$11:$A$165,"&lt;="&amp;DATE($B23,12,31))</f>
        <v>79</v>
      </c>
      <c r="H23" s="26">
        <f>Data1!A28</f>
        <v>33482</v>
      </c>
      <c r="I23" s="28">
        <f>Data1!F28</f>
        <v>7</v>
      </c>
      <c r="J23" s="28">
        <f>Data1!Y28</f>
        <v>8</v>
      </c>
      <c r="K23" s="28">
        <f>Data1!AR28</f>
        <v>15</v>
      </c>
    </row>
    <row r="24" spans="2:11" x14ac:dyDescent="0.25">
      <c r="B24">
        <v>1989</v>
      </c>
      <c r="C24" s="28">
        <f>SUMIFS(Data1!F$11:F$165,Data1!$A$11:$A$165,"&gt;="&amp;DATE($B24,1,1),Data1!$A$11:$A$165,"&lt;="&amp;DATE($B24,12,31))</f>
        <v>41</v>
      </c>
      <c r="D24" s="28">
        <f>SUMIFS(Data1!Y$11:Y$165,Data1!$A$11:$A$165,"&gt;="&amp;DATE($B24,1,1),Data1!$A$11:$A$165,"&lt;="&amp;DATE($B24,12,31))</f>
        <v>62</v>
      </c>
      <c r="E24" s="28">
        <f>SUMIFS(Data1!AR$11:AR$165,Data1!$A$11:$A$165,"&gt;="&amp;DATE($B24,1,1),Data1!$A$11:$A$165,"&lt;="&amp;DATE($B24,12,31))</f>
        <v>103</v>
      </c>
      <c r="H24" s="26">
        <f>Data1!A29</f>
        <v>33573</v>
      </c>
      <c r="I24" s="28">
        <f>Data1!F29</f>
        <v>8</v>
      </c>
      <c r="J24" s="28">
        <f>Data1!Y29</f>
        <v>12</v>
      </c>
      <c r="K24" s="28">
        <f>Data1!AR29</f>
        <v>19</v>
      </c>
    </row>
    <row r="25" spans="2:11" x14ac:dyDescent="0.25">
      <c r="B25">
        <v>1990</v>
      </c>
      <c r="C25" s="28">
        <f>SUMIFS(Data1!F$11:F$165,Data1!$A$11:$A$165,"&gt;="&amp;DATE($B25,1,1),Data1!$A$11:$A$165,"&lt;="&amp;DATE($B25,12,31))</f>
        <v>54</v>
      </c>
      <c r="D25" s="28">
        <f>SUMIFS(Data1!Y$11:Y$165,Data1!$A$11:$A$165,"&gt;="&amp;DATE($B25,1,1),Data1!$A$11:$A$165,"&lt;="&amp;DATE($B25,12,31))</f>
        <v>27</v>
      </c>
      <c r="E25" s="28">
        <f>SUMIFS(Data1!AR$11:AR$165,Data1!$A$11:$A$165,"&gt;="&amp;DATE($B25,1,1),Data1!$A$11:$A$165,"&lt;="&amp;DATE($B25,12,31))</f>
        <v>84</v>
      </c>
      <c r="H25" s="26">
        <f>Data1!A30</f>
        <v>33664</v>
      </c>
      <c r="I25" s="28">
        <f>Data1!F30</f>
        <v>5</v>
      </c>
      <c r="J25" s="28">
        <f>Data1!Y30</f>
        <v>10</v>
      </c>
      <c r="K25" s="28">
        <f>Data1!AR30</f>
        <v>15</v>
      </c>
    </row>
    <row r="26" spans="2:11" x14ac:dyDescent="0.25">
      <c r="B26">
        <v>1991</v>
      </c>
      <c r="C26" s="28">
        <f>SUMIFS(Data1!F$11:F$165,Data1!$A$11:$A$165,"&gt;="&amp;DATE($B26,1,1),Data1!$A$11:$A$165,"&lt;="&amp;DATE($B26,12,31))</f>
        <v>33</v>
      </c>
      <c r="D26" s="28">
        <f>SUMIFS(Data1!Y$11:Y$165,Data1!$A$11:$A$165,"&gt;="&amp;DATE($B26,1,1),Data1!$A$11:$A$165,"&lt;="&amp;DATE($B26,12,31))</f>
        <v>34</v>
      </c>
      <c r="E26" s="28">
        <f>SUMIFS(Data1!AR$11:AR$165,Data1!$A$11:$A$165,"&gt;="&amp;DATE($B26,1,1),Data1!$A$11:$A$165,"&lt;="&amp;DATE($B26,12,31))</f>
        <v>66</v>
      </c>
      <c r="H26" s="26">
        <f>Data1!A31</f>
        <v>33756</v>
      </c>
      <c r="I26" s="28">
        <f>Data1!F31</f>
        <v>10</v>
      </c>
      <c r="J26" s="28">
        <f>Data1!Y31</f>
        <v>6</v>
      </c>
      <c r="K26" s="28">
        <f>Data1!AR31</f>
        <v>16</v>
      </c>
    </row>
    <row r="27" spans="2:11" x14ac:dyDescent="0.25">
      <c r="B27">
        <v>1992</v>
      </c>
      <c r="C27" s="28">
        <f>SUMIFS(Data1!F$11:F$165,Data1!$A$11:$A$165,"&gt;="&amp;DATE($B27,1,1),Data1!$A$11:$A$165,"&lt;="&amp;DATE($B27,12,31))</f>
        <v>40</v>
      </c>
      <c r="D27" s="28">
        <f>SUMIFS(Data1!Y$11:Y$165,Data1!$A$11:$A$165,"&gt;="&amp;DATE($B27,1,1),Data1!$A$11:$A$165,"&lt;="&amp;DATE($B27,12,31))</f>
        <v>27</v>
      </c>
      <c r="E27" s="28">
        <f>SUMIFS(Data1!AR$11:AR$165,Data1!$A$11:$A$165,"&gt;="&amp;DATE($B27,1,1),Data1!$A$11:$A$165,"&lt;="&amp;DATE($B27,12,31))</f>
        <v>67</v>
      </c>
      <c r="H27" s="26">
        <f>Data1!A32</f>
        <v>33848</v>
      </c>
      <c r="I27" s="28">
        <f>Data1!F32</f>
        <v>10</v>
      </c>
      <c r="J27" s="28">
        <f>Data1!Y32</f>
        <v>5</v>
      </c>
      <c r="K27" s="28">
        <f>Data1!AR32</f>
        <v>15</v>
      </c>
    </row>
    <row r="28" spans="2:11" x14ac:dyDescent="0.25">
      <c r="B28">
        <v>1993</v>
      </c>
      <c r="C28" s="28">
        <f>SUMIFS(Data1!F$11:F$165,Data1!$A$11:$A$165,"&gt;="&amp;DATE($B28,1,1),Data1!$A$11:$A$165,"&lt;="&amp;DATE($B28,12,31))</f>
        <v>42</v>
      </c>
      <c r="D28" s="28">
        <f>SUMIFS(Data1!Y$11:Y$165,Data1!$A$11:$A$165,"&gt;="&amp;DATE($B28,1,1),Data1!$A$11:$A$165,"&lt;="&amp;DATE($B28,12,31))</f>
        <v>28</v>
      </c>
      <c r="E28" s="28">
        <f>SUMIFS(Data1!AR$11:AR$165,Data1!$A$11:$A$165,"&gt;="&amp;DATE($B28,1,1),Data1!$A$11:$A$165,"&lt;="&amp;DATE($B28,12,31))</f>
        <v>70</v>
      </c>
      <c r="H28" s="26">
        <f>Data1!A33</f>
        <v>33939</v>
      </c>
      <c r="I28" s="28">
        <f>Data1!F33</f>
        <v>15</v>
      </c>
      <c r="J28" s="28">
        <f>Data1!Y33</f>
        <v>6</v>
      </c>
      <c r="K28" s="28">
        <f>Data1!AR33</f>
        <v>21</v>
      </c>
    </row>
    <row r="29" spans="2:11" x14ac:dyDescent="0.25">
      <c r="B29">
        <v>1994</v>
      </c>
      <c r="C29" s="28">
        <f>SUMIFS(Data1!F$11:F$165,Data1!$A$11:$A$165,"&gt;="&amp;DATE($B29,1,1),Data1!$A$11:$A$165,"&lt;="&amp;DATE($B29,12,31))</f>
        <v>67</v>
      </c>
      <c r="D29" s="28">
        <f>SUMIFS(Data1!Y$11:Y$165,Data1!$A$11:$A$165,"&gt;="&amp;DATE($B29,1,1),Data1!$A$11:$A$165,"&lt;="&amp;DATE($B29,12,31))</f>
        <v>25</v>
      </c>
      <c r="E29" s="28">
        <f>SUMIFS(Data1!AR$11:AR$165,Data1!$A$11:$A$165,"&gt;="&amp;DATE($B29,1,1),Data1!$A$11:$A$165,"&lt;="&amp;DATE($B29,12,31))</f>
        <v>92</v>
      </c>
      <c r="H29" s="26">
        <f>Data1!A34</f>
        <v>34029</v>
      </c>
      <c r="I29" s="28">
        <f>Data1!F34</f>
        <v>13</v>
      </c>
      <c r="J29" s="28">
        <f>Data1!Y34</f>
        <v>5</v>
      </c>
      <c r="K29" s="28">
        <f>Data1!AR34</f>
        <v>18</v>
      </c>
    </row>
    <row r="30" spans="2:11" x14ac:dyDescent="0.25">
      <c r="B30">
        <v>1995</v>
      </c>
      <c r="C30" s="28">
        <f>SUMIFS(Data1!F$11:F$165,Data1!$A$11:$A$165,"&gt;="&amp;DATE($B30,1,1),Data1!$A$11:$A$165,"&lt;="&amp;DATE($B30,12,31))</f>
        <v>123</v>
      </c>
      <c r="D30" s="28">
        <f>SUMIFS(Data1!Y$11:Y$165,Data1!$A$11:$A$165,"&gt;="&amp;DATE($B30,1,1),Data1!$A$11:$A$165,"&lt;="&amp;DATE($B30,12,31))</f>
        <v>93</v>
      </c>
      <c r="E30" s="28">
        <f>SUMIFS(Data1!AR$11:AR$165,Data1!$A$11:$A$165,"&gt;="&amp;DATE($B30,1,1),Data1!$A$11:$A$165,"&lt;="&amp;DATE($B30,12,31))</f>
        <v>217</v>
      </c>
      <c r="H30" s="26">
        <f>Data1!A35</f>
        <v>34121</v>
      </c>
      <c r="I30" s="28">
        <f>Data1!F35</f>
        <v>6</v>
      </c>
      <c r="J30" s="28">
        <f>Data1!Y35</f>
        <v>7</v>
      </c>
      <c r="K30" s="28">
        <f>Data1!AR35</f>
        <v>13</v>
      </c>
    </row>
    <row r="31" spans="2:11" x14ac:dyDescent="0.25">
      <c r="B31">
        <v>1996</v>
      </c>
      <c r="C31" s="28">
        <f>SUMIFS(Data1!F$11:F$165,Data1!$A$11:$A$165,"&gt;="&amp;DATE($B31,1,1),Data1!$A$11:$A$165,"&lt;="&amp;DATE($B31,12,31))</f>
        <v>240</v>
      </c>
      <c r="D31" s="28">
        <f>SUMIFS(Data1!Y$11:Y$165,Data1!$A$11:$A$165,"&gt;="&amp;DATE($B31,1,1),Data1!$A$11:$A$165,"&lt;="&amp;DATE($B31,12,31))</f>
        <v>510</v>
      </c>
      <c r="E31" s="28">
        <f>SUMIFS(Data1!AR$11:AR$165,Data1!$A$11:$A$165,"&gt;="&amp;DATE($B31,1,1),Data1!$A$11:$A$165,"&lt;="&amp;DATE($B31,12,31))</f>
        <v>751</v>
      </c>
      <c r="H31" s="26">
        <f>Data1!A36</f>
        <v>34213</v>
      </c>
      <c r="I31" s="28">
        <f>Data1!F36</f>
        <v>13</v>
      </c>
      <c r="J31" s="28">
        <f>Data1!Y36</f>
        <v>6</v>
      </c>
      <c r="K31" s="28">
        <f>Data1!AR36</f>
        <v>19</v>
      </c>
    </row>
    <row r="32" spans="2:11" x14ac:dyDescent="0.25">
      <c r="B32">
        <v>1997</v>
      </c>
      <c r="C32" s="28">
        <f>SUMIFS(Data1!F$11:F$165,Data1!$A$11:$A$165,"&gt;="&amp;DATE($B32,1,1),Data1!$A$11:$A$165,"&lt;="&amp;DATE($B32,12,31))</f>
        <v>226</v>
      </c>
      <c r="D32" s="28">
        <f>SUMIFS(Data1!Y$11:Y$165,Data1!$A$11:$A$165,"&gt;="&amp;DATE($B32,1,1),Data1!$A$11:$A$165,"&lt;="&amp;DATE($B32,12,31))</f>
        <v>565</v>
      </c>
      <c r="E32" s="28">
        <f>SUMIFS(Data1!AR$11:AR$165,Data1!$A$11:$A$165,"&gt;="&amp;DATE($B32,1,1),Data1!$A$11:$A$165,"&lt;="&amp;DATE($B32,12,31))</f>
        <v>790</v>
      </c>
      <c r="H32" s="26">
        <f>Data1!A37</f>
        <v>34304</v>
      </c>
      <c r="I32" s="28">
        <f>Data1!F37</f>
        <v>10</v>
      </c>
      <c r="J32" s="28">
        <f>Data1!Y37</f>
        <v>10</v>
      </c>
      <c r="K32" s="28">
        <f>Data1!AR37</f>
        <v>20</v>
      </c>
    </row>
    <row r="33" spans="2:11" x14ac:dyDescent="0.25">
      <c r="B33">
        <v>1998</v>
      </c>
      <c r="C33" s="28">
        <f>SUMIFS(Data1!F$11:F$165,Data1!$A$11:$A$165,"&gt;="&amp;DATE($B33,1,1),Data1!$A$11:$A$165,"&lt;="&amp;DATE($B33,12,31))</f>
        <v>239</v>
      </c>
      <c r="D33" s="28">
        <f>SUMIFS(Data1!Y$11:Y$165,Data1!$A$11:$A$165,"&gt;="&amp;DATE($B33,1,1),Data1!$A$11:$A$165,"&lt;="&amp;DATE($B33,12,31))</f>
        <v>623</v>
      </c>
      <c r="E33" s="28">
        <f>SUMIFS(Data1!AR$11:AR$165,Data1!$A$11:$A$165,"&gt;="&amp;DATE($B33,1,1),Data1!$A$11:$A$165,"&lt;="&amp;DATE($B33,12,31))</f>
        <v>863</v>
      </c>
      <c r="H33" s="26">
        <f>Data1!A38</f>
        <v>34394</v>
      </c>
      <c r="I33" s="28">
        <f>Data1!F38</f>
        <v>8</v>
      </c>
      <c r="J33" s="28">
        <f>Data1!Y38</f>
        <v>7</v>
      </c>
      <c r="K33" s="28">
        <f>Data1!AR38</f>
        <v>15</v>
      </c>
    </row>
    <row r="34" spans="2:11" x14ac:dyDescent="0.25">
      <c r="B34">
        <v>1999</v>
      </c>
      <c r="C34" s="28">
        <f>SUMIFS(Data1!F$11:F$165,Data1!$A$11:$A$165,"&gt;="&amp;DATE($B34,1,1),Data1!$A$11:$A$165,"&lt;="&amp;DATE($B34,12,31))</f>
        <v>432</v>
      </c>
      <c r="D34" s="28">
        <f>SUMIFS(Data1!Y$11:Y$165,Data1!$A$11:$A$165,"&gt;="&amp;DATE($B34,1,1),Data1!$A$11:$A$165,"&lt;="&amp;DATE($B34,12,31))</f>
        <v>1057</v>
      </c>
      <c r="E34" s="28">
        <f>SUMIFS(Data1!AR$11:AR$165,Data1!$A$11:$A$165,"&gt;="&amp;DATE($B34,1,1),Data1!$A$11:$A$165,"&lt;="&amp;DATE($B34,12,31))</f>
        <v>1490</v>
      </c>
      <c r="H34" s="26">
        <f>Data1!A39</f>
        <v>34486</v>
      </c>
      <c r="I34" s="28">
        <f>Data1!F39</f>
        <v>12</v>
      </c>
      <c r="J34" s="28">
        <f>Data1!Y39</f>
        <v>13</v>
      </c>
      <c r="K34" s="28">
        <f>Data1!AR39</f>
        <v>25</v>
      </c>
    </row>
    <row r="35" spans="2:11" x14ac:dyDescent="0.25">
      <c r="B35">
        <v>2000</v>
      </c>
      <c r="C35" s="28">
        <f>SUMIFS(Data1!F$11:F$165,Data1!$A$11:$A$165,"&gt;="&amp;DATE($B35,1,1),Data1!$A$11:$A$165,"&lt;="&amp;DATE($B35,12,31))</f>
        <v>399</v>
      </c>
      <c r="D35" s="28">
        <f>SUMIFS(Data1!Y$11:Y$165,Data1!$A$11:$A$165,"&gt;="&amp;DATE($B35,1,1),Data1!$A$11:$A$165,"&lt;="&amp;DATE($B35,12,31))</f>
        <v>917</v>
      </c>
      <c r="E35" s="28">
        <f>SUMIFS(Data1!AR$11:AR$165,Data1!$A$11:$A$165,"&gt;="&amp;DATE($B35,1,1),Data1!$A$11:$A$165,"&lt;="&amp;DATE($B35,12,31))</f>
        <v>1316</v>
      </c>
      <c r="H35" s="26">
        <f>Data1!A40</f>
        <v>34578</v>
      </c>
      <c r="I35" s="28">
        <f>Data1!F40</f>
        <v>24</v>
      </c>
      <c r="J35" s="28">
        <f>Data1!Y40</f>
        <v>2</v>
      </c>
      <c r="K35" s="28">
        <f>Data1!AR40</f>
        <v>26</v>
      </c>
    </row>
    <row r="36" spans="2:11" x14ac:dyDescent="0.25">
      <c r="B36">
        <v>2001</v>
      </c>
      <c r="C36" s="28">
        <f>SUMIFS(Data1!F$11:F$165,Data1!$A$11:$A$165,"&gt;="&amp;DATE($B36,1,1),Data1!$A$11:$A$165,"&lt;="&amp;DATE($B36,12,31))</f>
        <v>543</v>
      </c>
      <c r="D36" s="28">
        <f>SUMIFS(Data1!Y$11:Y$165,Data1!$A$11:$A$165,"&gt;="&amp;DATE($B36,1,1),Data1!$A$11:$A$165,"&lt;="&amp;DATE($B36,12,31))</f>
        <v>1444</v>
      </c>
      <c r="E36" s="28">
        <f>SUMIFS(Data1!AR$11:AR$165,Data1!$A$11:$A$165,"&gt;="&amp;DATE($B36,1,1),Data1!$A$11:$A$165,"&lt;="&amp;DATE($B36,12,31))</f>
        <v>1988</v>
      </c>
      <c r="H36" s="26">
        <f>Data1!A41</f>
        <v>34669</v>
      </c>
      <c r="I36" s="28">
        <f>Data1!F41</f>
        <v>23</v>
      </c>
      <c r="J36" s="28">
        <f>Data1!Y41</f>
        <v>3</v>
      </c>
      <c r="K36" s="28">
        <f>Data1!AR41</f>
        <v>26</v>
      </c>
    </row>
    <row r="37" spans="2:11" x14ac:dyDescent="0.25">
      <c r="B37">
        <v>2002</v>
      </c>
      <c r="C37" s="28">
        <f>SUMIFS(Data1!F$11:F$165,Data1!$A$11:$A$165,"&gt;="&amp;DATE($B37,1,1),Data1!$A$11:$A$165,"&lt;="&amp;DATE($B37,12,31))</f>
        <v>854</v>
      </c>
      <c r="D37" s="28">
        <f>SUMIFS(Data1!Y$11:Y$165,Data1!$A$11:$A$165,"&gt;="&amp;DATE($B37,1,1),Data1!$A$11:$A$165,"&lt;="&amp;DATE($B37,12,31))</f>
        <v>1287</v>
      </c>
      <c r="E37" s="28">
        <f>SUMIFS(Data1!AR$11:AR$165,Data1!$A$11:$A$165,"&gt;="&amp;DATE($B37,1,1),Data1!$A$11:$A$165,"&lt;="&amp;DATE($B37,12,31))</f>
        <v>2140</v>
      </c>
      <c r="H37" s="26">
        <f>Data1!A42</f>
        <v>34759</v>
      </c>
      <c r="I37" s="28">
        <f>Data1!F42</f>
        <v>22</v>
      </c>
      <c r="J37" s="28">
        <f>Data1!Y42</f>
        <v>1</v>
      </c>
      <c r="K37" s="28">
        <f>Data1!AR42</f>
        <v>23</v>
      </c>
    </row>
    <row r="38" spans="2:11" x14ac:dyDescent="0.25">
      <c r="B38">
        <v>2003</v>
      </c>
      <c r="C38" s="28">
        <f>SUMIFS(Data1!F$11:F$165,Data1!$A$11:$A$165,"&gt;="&amp;DATE($B38,1,1),Data1!$A$11:$A$165,"&lt;="&amp;DATE($B38,12,31))</f>
        <v>738</v>
      </c>
      <c r="D38" s="28">
        <f>SUMIFS(Data1!Y$11:Y$165,Data1!$A$11:$A$165,"&gt;="&amp;DATE($B38,1,1),Data1!$A$11:$A$165,"&lt;="&amp;DATE($B38,12,31))</f>
        <v>1272</v>
      </c>
      <c r="E38" s="28">
        <f>SUMIFS(Data1!AR$11:AR$165,Data1!$A$11:$A$165,"&gt;="&amp;DATE($B38,1,1),Data1!$A$11:$A$165,"&lt;="&amp;DATE($B38,12,31))</f>
        <v>2010</v>
      </c>
      <c r="H38" s="26">
        <f>Data1!A43</f>
        <v>34851</v>
      </c>
      <c r="I38" s="28">
        <f>Data1!F43</f>
        <v>18</v>
      </c>
      <c r="J38" s="28">
        <f>Data1!Y43</f>
        <v>42</v>
      </c>
      <c r="K38" s="28">
        <f>Data1!AR43</f>
        <v>60</v>
      </c>
    </row>
    <row r="39" spans="2:11" x14ac:dyDescent="0.25">
      <c r="B39">
        <v>2004</v>
      </c>
      <c r="C39" s="28">
        <f>SUMIFS(Data1!F$11:F$165,Data1!$A$11:$A$165,"&gt;="&amp;DATE($B39,1,1),Data1!$A$11:$A$165,"&lt;="&amp;DATE($B39,12,31))</f>
        <v>1261</v>
      </c>
      <c r="D39" s="28">
        <f>SUMIFS(Data1!Y$11:Y$165,Data1!$A$11:$A$165,"&gt;="&amp;DATE($B39,1,1),Data1!$A$11:$A$165,"&lt;="&amp;DATE($B39,12,31))</f>
        <v>928</v>
      </c>
      <c r="E39" s="28">
        <f>SUMIFS(Data1!AR$11:AR$165,Data1!$A$11:$A$165,"&gt;="&amp;DATE($B39,1,1),Data1!$A$11:$A$165,"&lt;="&amp;DATE($B39,12,31))</f>
        <v>2189</v>
      </c>
      <c r="H39" s="26">
        <f>Data1!A44</f>
        <v>34943</v>
      </c>
      <c r="I39" s="28">
        <f>Data1!F44</f>
        <v>35</v>
      </c>
      <c r="J39" s="28">
        <f>Data1!Y44</f>
        <v>17</v>
      </c>
      <c r="K39" s="28">
        <f>Data1!AR44</f>
        <v>53</v>
      </c>
    </row>
    <row r="40" spans="2:11" x14ac:dyDescent="0.25">
      <c r="B40">
        <v>2005</v>
      </c>
      <c r="C40" s="28">
        <f>SUMIFS(Data1!F$11:F$165,Data1!$A$11:$A$165,"&gt;="&amp;DATE($B40,1,1),Data1!$A$11:$A$165,"&lt;="&amp;DATE($B40,12,31))</f>
        <v>1364</v>
      </c>
      <c r="D40" s="28">
        <f>SUMIFS(Data1!Y$11:Y$165,Data1!$A$11:$A$165,"&gt;="&amp;DATE($B40,1,1),Data1!$A$11:$A$165,"&lt;="&amp;DATE($B40,12,31))</f>
        <v>848</v>
      </c>
      <c r="E40" s="28">
        <f>SUMIFS(Data1!AR$11:AR$165,Data1!$A$11:$A$165,"&gt;="&amp;DATE($B40,1,1),Data1!$A$11:$A$165,"&lt;="&amp;DATE($B40,12,31))</f>
        <v>2212</v>
      </c>
      <c r="H40" s="26">
        <f>Data1!A45</f>
        <v>35034</v>
      </c>
      <c r="I40" s="28">
        <f>Data1!F45</f>
        <v>48</v>
      </c>
      <c r="J40" s="28">
        <f>Data1!Y45</f>
        <v>33</v>
      </c>
      <c r="K40" s="28">
        <f>Data1!AR45</f>
        <v>81</v>
      </c>
    </row>
    <row r="41" spans="2:11" x14ac:dyDescent="0.25">
      <c r="B41">
        <v>2006</v>
      </c>
      <c r="C41" s="28">
        <f>SUMIFS(Data1!F$11:F$165,Data1!$A$11:$A$165,"&gt;="&amp;DATE($B41,1,1),Data1!$A$11:$A$165,"&lt;="&amp;DATE($B41,12,31))</f>
        <v>1638</v>
      </c>
      <c r="D41" s="28">
        <f>SUMIFS(Data1!Y$11:Y$165,Data1!$A$11:$A$165,"&gt;="&amp;DATE($B41,1,1),Data1!$A$11:$A$165,"&lt;="&amp;DATE($B41,12,31))</f>
        <v>1020</v>
      </c>
      <c r="E41" s="28">
        <f>SUMIFS(Data1!AR$11:AR$165,Data1!$A$11:$A$165,"&gt;="&amp;DATE($B41,1,1),Data1!$A$11:$A$165,"&lt;="&amp;DATE($B41,12,31))</f>
        <v>2659</v>
      </c>
      <c r="H41" s="26">
        <f>Data1!A46</f>
        <v>35125</v>
      </c>
      <c r="I41" s="28">
        <f>Data1!F46</f>
        <v>42</v>
      </c>
      <c r="J41" s="28">
        <f>Data1!Y46</f>
        <v>117</v>
      </c>
      <c r="K41" s="28">
        <f>Data1!AR46</f>
        <v>159</v>
      </c>
    </row>
    <row r="42" spans="2:11" x14ac:dyDescent="0.25">
      <c r="B42">
        <v>2007</v>
      </c>
      <c r="C42" s="28">
        <f>SUMIFS(Data1!F$11:F$165,Data1!$A$11:$A$165,"&gt;="&amp;DATE($B42,1,1),Data1!$A$11:$A$165,"&lt;="&amp;DATE($B42,12,31))</f>
        <v>2463</v>
      </c>
      <c r="D42" s="28">
        <f>SUMIFS(Data1!Y$11:Y$165,Data1!$A$11:$A$165,"&gt;="&amp;DATE($B42,1,1),Data1!$A$11:$A$165,"&lt;="&amp;DATE($B42,12,31))</f>
        <v>946</v>
      </c>
      <c r="E42" s="28">
        <f>SUMIFS(Data1!AR$11:AR$165,Data1!$A$11:$A$165,"&gt;="&amp;DATE($B42,1,1),Data1!$A$11:$A$165,"&lt;="&amp;DATE($B42,12,31))</f>
        <v>3410</v>
      </c>
      <c r="H42" s="26">
        <f>Data1!A47</f>
        <v>35217</v>
      </c>
      <c r="I42" s="28">
        <f>Data1!F47</f>
        <v>78</v>
      </c>
      <c r="J42" s="28">
        <f>Data1!Y47</f>
        <v>88</v>
      </c>
      <c r="K42" s="28">
        <f>Data1!AR47</f>
        <v>167</v>
      </c>
    </row>
    <row r="43" spans="2:11" x14ac:dyDescent="0.25">
      <c r="B43">
        <v>2008</v>
      </c>
      <c r="C43" s="28">
        <f>SUMIFS(Data1!F$11:F$165,Data1!$A$11:$A$165,"&gt;="&amp;DATE($B43,1,1),Data1!$A$11:$A$165,"&lt;="&amp;DATE($B43,12,31))</f>
        <v>3236</v>
      </c>
      <c r="D43" s="28">
        <f>SUMIFS(Data1!Y$11:Y$165,Data1!$A$11:$A$165,"&gt;="&amp;DATE($B43,1,1),Data1!$A$11:$A$165,"&lt;="&amp;DATE($B43,12,31))</f>
        <v>1397</v>
      </c>
      <c r="E43" s="28">
        <f>SUMIFS(Data1!AR$11:AR$165,Data1!$A$11:$A$165,"&gt;="&amp;DATE($B43,1,1),Data1!$A$11:$A$165,"&lt;="&amp;DATE($B43,12,31))</f>
        <v>4633</v>
      </c>
      <c r="H43" s="26">
        <f>Data1!A48</f>
        <v>35309</v>
      </c>
      <c r="I43" s="28">
        <f>Data1!F48</f>
        <v>65</v>
      </c>
      <c r="J43" s="28">
        <f>Data1!Y48</f>
        <v>128</v>
      </c>
      <c r="K43" s="28">
        <f>Data1!AR48</f>
        <v>193</v>
      </c>
    </row>
    <row r="44" spans="2:11" x14ac:dyDescent="0.25">
      <c r="B44">
        <v>2009</v>
      </c>
      <c r="C44" s="28">
        <f>SUMIFS(Data1!F$11:F$165,Data1!$A$11:$A$165,"&gt;="&amp;DATE($B44,1,1),Data1!$A$11:$A$165,"&lt;="&amp;DATE($B44,12,31))</f>
        <v>4448</v>
      </c>
      <c r="D44" s="28">
        <f>SUMIFS(Data1!Y$11:Y$165,Data1!$A$11:$A$165,"&gt;="&amp;DATE($B44,1,1),Data1!$A$11:$A$165,"&lt;="&amp;DATE($B44,12,31))</f>
        <v>1271</v>
      </c>
      <c r="E44" s="28">
        <f>SUMIFS(Data1!AR$11:AR$165,Data1!$A$11:$A$165,"&gt;="&amp;DATE($B44,1,1),Data1!$A$11:$A$165,"&lt;="&amp;DATE($B44,12,31))</f>
        <v>5720</v>
      </c>
      <c r="H44" s="26">
        <f>Data1!A49</f>
        <v>35400</v>
      </c>
      <c r="I44" s="28">
        <f>Data1!F49</f>
        <v>55</v>
      </c>
      <c r="J44" s="28">
        <f>Data1!Y49</f>
        <v>177</v>
      </c>
      <c r="K44" s="28">
        <f>Data1!AR49</f>
        <v>232</v>
      </c>
    </row>
    <row r="45" spans="2:11" x14ac:dyDescent="0.25">
      <c r="B45">
        <v>2010</v>
      </c>
      <c r="C45" s="28">
        <f>SUMIFS(Data1!F$11:F$165,Data1!$A$11:$A$165,"&gt;="&amp;DATE($B45,1,1),Data1!$A$11:$A$165,"&lt;="&amp;DATE($B45,12,31))</f>
        <v>4862</v>
      </c>
      <c r="D45" s="28">
        <f>SUMIFS(Data1!Y$11:Y$165,Data1!$A$11:$A$165,"&gt;="&amp;DATE($B45,1,1),Data1!$A$11:$A$165,"&lt;="&amp;DATE($B45,12,31))</f>
        <v>1381</v>
      </c>
      <c r="E45" s="28">
        <f>SUMIFS(Data1!AR$11:AR$165,Data1!$A$11:$A$165,"&gt;="&amp;DATE($B45,1,1),Data1!$A$11:$A$165,"&lt;="&amp;DATE($B45,12,31))</f>
        <v>6242</v>
      </c>
      <c r="H45" s="26">
        <f>Data1!A50</f>
        <v>35490</v>
      </c>
      <c r="I45" s="28">
        <f>Data1!F50</f>
        <v>51</v>
      </c>
      <c r="J45" s="28">
        <f>Data1!Y50</f>
        <v>93</v>
      </c>
      <c r="K45" s="28">
        <f>Data1!AR50</f>
        <v>144</v>
      </c>
    </row>
    <row r="46" spans="2:11" x14ac:dyDescent="0.25">
      <c r="B46">
        <v>2011</v>
      </c>
      <c r="C46" s="28">
        <f>SUMIFS(Data1!F$11:F$165,Data1!$A$11:$A$165,"&gt;="&amp;DATE($B46,1,1),Data1!$A$11:$A$165,"&lt;="&amp;DATE($B46,12,31))</f>
        <v>3518</v>
      </c>
      <c r="D46" s="28">
        <f>SUMIFS(Data1!Y$11:Y$165,Data1!$A$11:$A$165,"&gt;="&amp;DATE($B46,1,1),Data1!$A$11:$A$165,"&lt;="&amp;DATE($B46,12,31))</f>
        <v>2006</v>
      </c>
      <c r="E46" s="28">
        <f>SUMIFS(Data1!AR$11:AR$165,Data1!$A$11:$A$165,"&gt;="&amp;DATE($B46,1,1),Data1!$A$11:$A$165,"&lt;="&amp;DATE($B46,12,31))</f>
        <v>5524</v>
      </c>
      <c r="H46" s="26">
        <f>Data1!A51</f>
        <v>35582</v>
      </c>
      <c r="I46" s="28">
        <f>Data1!F51</f>
        <v>63</v>
      </c>
      <c r="J46" s="28">
        <f>Data1!Y51</f>
        <v>127</v>
      </c>
      <c r="K46" s="28">
        <f>Data1!AR51</f>
        <v>189</v>
      </c>
    </row>
    <row r="47" spans="2:11" x14ac:dyDescent="0.25">
      <c r="B47">
        <v>2012</v>
      </c>
      <c r="C47" s="28">
        <f>SUMIFS(Data1!F$11:F$165,Data1!$A$11:$A$165,"&gt;="&amp;DATE($B47,1,1),Data1!$A$11:$A$165,"&lt;="&amp;DATE($B47,12,31))</f>
        <v>3224</v>
      </c>
      <c r="D47" s="28">
        <f>SUMIFS(Data1!Y$11:Y$165,Data1!$A$11:$A$165,"&gt;="&amp;DATE($B47,1,1),Data1!$A$11:$A$165,"&lt;="&amp;DATE($B47,12,31))</f>
        <v>2410</v>
      </c>
      <c r="E47" s="28">
        <f>SUMIFS(Data1!AR$11:AR$165,Data1!$A$11:$A$165,"&gt;="&amp;DATE($B47,1,1),Data1!$A$11:$A$165,"&lt;="&amp;DATE($B47,12,31))</f>
        <v>5634</v>
      </c>
      <c r="H47" s="26">
        <f>Data1!A52</f>
        <v>35674</v>
      </c>
      <c r="I47" s="28">
        <f>Data1!F52</f>
        <v>45</v>
      </c>
      <c r="J47" s="28">
        <f>Data1!Y52</f>
        <v>138</v>
      </c>
      <c r="K47" s="28">
        <f>Data1!AR52</f>
        <v>183</v>
      </c>
    </row>
    <row r="48" spans="2:11" x14ac:dyDescent="0.25">
      <c r="B48">
        <v>2013</v>
      </c>
      <c r="C48" s="28">
        <f>SUMIFS(Data1!F$11:F$165,Data1!$A$11:$A$165,"&gt;="&amp;DATE($B48,1,1),Data1!$A$11:$A$165,"&lt;="&amp;DATE($B48,12,31))</f>
        <v>3358</v>
      </c>
      <c r="D48" s="28">
        <f>SUMIFS(Data1!Y$11:Y$165,Data1!$A$11:$A$165,"&gt;="&amp;DATE($B48,1,1),Data1!$A$11:$A$165,"&lt;="&amp;DATE($B48,12,31))</f>
        <v>2318</v>
      </c>
      <c r="E48" s="28">
        <f>SUMIFS(Data1!AR$11:AR$165,Data1!$A$11:$A$165,"&gt;="&amp;DATE($B48,1,1),Data1!$A$11:$A$165,"&lt;="&amp;DATE($B48,12,31))</f>
        <v>5676</v>
      </c>
      <c r="H48" s="26">
        <f>Data1!A53</f>
        <v>35765</v>
      </c>
      <c r="I48" s="28">
        <f>Data1!F53</f>
        <v>67</v>
      </c>
      <c r="J48" s="28">
        <f>Data1!Y53</f>
        <v>207</v>
      </c>
      <c r="K48" s="28">
        <f>Data1!AR53</f>
        <v>274</v>
      </c>
    </row>
    <row r="49" spans="2:11" x14ac:dyDescent="0.25">
      <c r="B49">
        <v>2014</v>
      </c>
      <c r="C49" s="28">
        <f>SUMIFS(Data1!F$11:F$165,Data1!$A$11:$A$165,"&gt;="&amp;DATE($B49,1,1),Data1!$A$11:$A$165,"&lt;="&amp;DATE($B49,12,31))</f>
        <v>3506</v>
      </c>
      <c r="D49" s="28">
        <f>SUMIFS(Data1!Y$11:Y$165,Data1!$A$11:$A$165,"&gt;="&amp;DATE($B49,1,1),Data1!$A$11:$A$165,"&lt;="&amp;DATE($B49,12,31))</f>
        <v>1991</v>
      </c>
      <c r="E49" s="28">
        <f>SUMIFS(Data1!AR$11:AR$165,Data1!$A$11:$A$165,"&gt;="&amp;DATE($B49,1,1),Data1!$A$11:$A$165,"&lt;="&amp;DATE($B49,12,31))</f>
        <v>5496</v>
      </c>
      <c r="H49" s="26">
        <f>Data1!A54</f>
        <v>35855</v>
      </c>
      <c r="I49" s="28">
        <f>Data1!F54</f>
        <v>53</v>
      </c>
      <c r="J49" s="28">
        <f>Data1!Y54</f>
        <v>131</v>
      </c>
      <c r="K49" s="28">
        <f>Data1!AR54</f>
        <v>184</v>
      </c>
    </row>
    <row r="50" spans="2:11" x14ac:dyDescent="0.25">
      <c r="B50">
        <v>2015</v>
      </c>
      <c r="C50" s="28">
        <f>SUMIFS(Data1!F$11:F$165,Data1!$A$11:$A$165,"&gt;="&amp;DATE($B50,1,1),Data1!$A$11:$A$165,"&lt;="&amp;DATE($B50,12,31))</f>
        <v>3352</v>
      </c>
      <c r="D50" s="28">
        <f>SUMIFS(Data1!Y$11:Y$165,Data1!$A$11:$A$165,"&gt;="&amp;DATE($B50,1,1),Data1!$A$11:$A$165,"&lt;="&amp;DATE($B50,12,31))</f>
        <v>1906</v>
      </c>
      <c r="E50" s="28">
        <f>SUMIFS(Data1!AR$11:AR$165,Data1!$A$11:$A$165,"&gt;="&amp;DATE($B50,1,1),Data1!$A$11:$A$165,"&lt;="&amp;DATE($B50,12,31))</f>
        <v>5256</v>
      </c>
      <c r="H50" s="26">
        <f>Data1!A55</f>
        <v>35947</v>
      </c>
      <c r="I50" s="28">
        <f>Data1!F55</f>
        <v>55</v>
      </c>
      <c r="J50" s="28">
        <f>Data1!Y55</f>
        <v>158</v>
      </c>
      <c r="K50" s="28">
        <f>Data1!AR55</f>
        <v>213</v>
      </c>
    </row>
    <row r="51" spans="2:11" x14ac:dyDescent="0.25">
      <c r="B51">
        <v>2016</v>
      </c>
      <c r="C51" s="28">
        <f>SUMIFS(Data1!F$11:F$165,Data1!$A$11:$A$165,"&gt;="&amp;DATE($B51,1,1),Data1!$A$11:$A$165,"&lt;="&amp;DATE($B51,12,31))</f>
        <v>3438</v>
      </c>
      <c r="D51" s="28">
        <f>SUMIFS(Data1!Y$11:Y$165,Data1!$A$11:$A$165,"&gt;="&amp;DATE($B51,1,1),Data1!$A$11:$A$165,"&lt;="&amp;DATE($B51,12,31))</f>
        <v>1691</v>
      </c>
      <c r="E51" s="28">
        <f>SUMIFS(Data1!AR$11:AR$165,Data1!$A$11:$A$165,"&gt;="&amp;DATE($B51,1,1),Data1!$A$11:$A$165,"&lt;="&amp;DATE($B51,12,31))</f>
        <v>5129</v>
      </c>
      <c r="H51" s="26">
        <f>Data1!A56</f>
        <v>36039</v>
      </c>
      <c r="I51" s="28">
        <f>Data1!F56</f>
        <v>55</v>
      </c>
      <c r="J51" s="28">
        <f>Data1!Y56</f>
        <v>149</v>
      </c>
      <c r="K51" s="28">
        <f>Data1!AR56</f>
        <v>205</v>
      </c>
    </row>
    <row r="52" spans="2:11" x14ac:dyDescent="0.25">
      <c r="B52">
        <v>2017</v>
      </c>
      <c r="C52" s="28">
        <f>SUMIFS(Data1!F$11:F$165,Data1!$A$11:$A$165,"&gt;="&amp;DATE($B52,1,1),Data1!$A$11:$A$165,"&lt;="&amp;DATE($B52,12,31))</f>
        <v>5284</v>
      </c>
      <c r="D52" s="28">
        <f>SUMIFS(Data1!Y$11:Y$165,Data1!$A$11:$A$165,"&gt;="&amp;DATE($B52,1,1),Data1!$A$11:$A$165,"&lt;="&amp;DATE($B52,12,31))</f>
        <v>1490</v>
      </c>
      <c r="E52" s="28">
        <f>SUMIFS(Data1!AR$11:AR$165,Data1!$A$11:$A$165,"&gt;="&amp;DATE($B52,1,1),Data1!$A$11:$A$165,"&lt;="&amp;DATE($B52,12,31))</f>
        <v>6773</v>
      </c>
      <c r="H52" s="26">
        <f>Data1!A57</f>
        <v>36130</v>
      </c>
      <c r="I52" s="28">
        <f>Data1!F57</f>
        <v>76</v>
      </c>
      <c r="J52" s="28">
        <f>Data1!Y57</f>
        <v>185</v>
      </c>
      <c r="K52" s="28">
        <f>Data1!AR57</f>
        <v>261</v>
      </c>
    </row>
    <row r="53" spans="2:11" x14ac:dyDescent="0.25">
      <c r="B53">
        <v>2018</v>
      </c>
      <c r="C53" s="28">
        <f>SUMIFS(Data1!F$11:F$165,Data1!$A$11:$A$165,"&gt;="&amp;DATE($B53,1,1),Data1!$A$11:$A$165,"&lt;="&amp;DATE($B53,12,31))</f>
        <v>8239</v>
      </c>
      <c r="D53" s="28">
        <f>SUMIFS(Data1!Y$11:Y$165,Data1!$A$11:$A$165,"&gt;="&amp;DATE($B53,1,1),Data1!$A$11:$A$165,"&lt;="&amp;DATE($B53,12,31))</f>
        <v>1358</v>
      </c>
      <c r="E53" s="28">
        <f>SUMIFS(Data1!AR$11:AR$165,Data1!$A$11:$A$165,"&gt;="&amp;DATE($B53,1,1),Data1!$A$11:$A$165,"&lt;="&amp;DATE($B53,12,31))</f>
        <v>9597</v>
      </c>
      <c r="H53" s="26">
        <f>Data1!A58</f>
        <v>36220</v>
      </c>
      <c r="I53" s="28">
        <f>Data1!F58</f>
        <v>77</v>
      </c>
      <c r="J53" s="28">
        <f>Data1!Y58</f>
        <v>242</v>
      </c>
      <c r="K53" s="28">
        <f>Data1!AR58</f>
        <v>319</v>
      </c>
    </row>
    <row r="54" spans="2:11" x14ac:dyDescent="0.25">
      <c r="B54">
        <v>2019</v>
      </c>
      <c r="C54" s="28">
        <f>SUMIFS(Data1!F$11:F$165,Data1!$A$11:$A$165,"&gt;="&amp;DATE($B54,1,1),Data1!$A$11:$A$165,"&lt;="&amp;DATE($B54,12,31))</f>
        <v>8896</v>
      </c>
      <c r="D54" s="28">
        <f>SUMIFS(Data1!Y$11:Y$165,Data1!$A$11:$A$165,"&gt;="&amp;DATE($B54,1,1),Data1!$A$11:$A$165,"&lt;="&amp;DATE($B54,12,31))</f>
        <v>1221</v>
      </c>
      <c r="E54" s="28">
        <f>SUMIFS(Data1!AR$11:AR$165,Data1!$A$11:$A$165,"&gt;="&amp;DATE($B54,1,1),Data1!$A$11:$A$165,"&lt;="&amp;DATE($B54,12,31))</f>
        <v>10117</v>
      </c>
      <c r="H54" s="26">
        <f>Data1!A59</f>
        <v>36312</v>
      </c>
      <c r="I54" s="28">
        <f>Data1!F59</f>
        <v>151</v>
      </c>
      <c r="J54" s="28">
        <f>Data1!Y59</f>
        <v>207</v>
      </c>
      <c r="K54" s="28">
        <f>Data1!AR59</f>
        <v>358</v>
      </c>
    </row>
    <row r="55" spans="2:11" x14ac:dyDescent="0.25">
      <c r="B55">
        <v>2020</v>
      </c>
      <c r="C55" s="28">
        <f>SUMIFS(Data1!F$11:F$165,Data1!$A$11:$A$165,"&gt;="&amp;DATE($B55,1,1),Data1!$A$11:$A$165,"&lt;="&amp;DATE($B55,12,31))</f>
        <v>7726</v>
      </c>
      <c r="D55" s="28">
        <f>SUMIFS(Data1!Y$11:Y$165,Data1!$A$11:$A$165,"&gt;="&amp;DATE($B55,1,1),Data1!$A$11:$A$165,"&lt;="&amp;DATE($B55,12,31))</f>
        <v>1210</v>
      </c>
      <c r="E55" s="28">
        <f>SUMIFS(Data1!AR$11:AR$165,Data1!$A$11:$A$165,"&gt;="&amp;DATE($B55,1,1),Data1!$A$11:$A$165,"&lt;="&amp;DATE($B55,12,31))</f>
        <v>8937</v>
      </c>
      <c r="H55" s="26">
        <f>Data1!A60</f>
        <v>36404</v>
      </c>
      <c r="I55" s="28">
        <f>Data1!F60</f>
        <v>104</v>
      </c>
      <c r="J55" s="28">
        <f>Data1!Y60</f>
        <v>386</v>
      </c>
      <c r="K55" s="28">
        <f>Data1!AR60</f>
        <v>491</v>
      </c>
    </row>
    <row r="56" spans="2:11" x14ac:dyDescent="0.25">
      <c r="B56">
        <v>2021</v>
      </c>
      <c r="C56" s="28">
        <f>SUMIFS(Data1!F$11:F$165,Data1!$A$11:$A$165,"&gt;="&amp;DATE($B56,1,1),Data1!$A$11:$A$165,"&lt;="&amp;DATE($B56,12,31))</f>
        <v>8345</v>
      </c>
      <c r="D56" s="28">
        <f>SUMIFS(Data1!Y$11:Y$165,Data1!$A$11:$A$165,"&gt;="&amp;DATE($B56,1,1),Data1!$A$11:$A$165,"&lt;="&amp;DATE($B56,12,31))</f>
        <v>1301</v>
      </c>
      <c r="E56" s="28">
        <f>SUMIFS(Data1!AR$11:AR$165,Data1!$A$11:$A$165,"&gt;="&amp;DATE($B56,1,1),Data1!$A$11:$A$165,"&lt;="&amp;DATE($B56,12,31))</f>
        <v>9645</v>
      </c>
      <c r="H56" s="26">
        <f>Data1!A61</f>
        <v>36495</v>
      </c>
      <c r="I56" s="28">
        <f>Data1!F61</f>
        <v>100</v>
      </c>
      <c r="J56" s="28">
        <f>Data1!Y61</f>
        <v>222</v>
      </c>
      <c r="K56" s="28">
        <f>Data1!AR61</f>
        <v>322</v>
      </c>
    </row>
    <row r="57" spans="2:11" x14ac:dyDescent="0.25">
      <c r="B57">
        <v>2022</v>
      </c>
      <c r="C57" s="28">
        <f>SUMIFS(Data1!F$11:F$165,Data1!$A$11:$A$165,"&gt;="&amp;DATE($B57,1,1),Data1!$A$11:$A$165,"&lt;="&amp;DATE($B57,12,31))</f>
        <v>9829</v>
      </c>
      <c r="D57" s="28">
        <f>SUMIFS(Data1!Y$11:Y$165,Data1!$A$11:$A$165,"&gt;="&amp;DATE($B57,1,1),Data1!$A$11:$A$165,"&lt;="&amp;DATE($B57,12,31))</f>
        <v>1368</v>
      </c>
      <c r="E57" s="28">
        <f>SUMIFS(Data1!AR$11:AR$165,Data1!$A$11:$A$165,"&gt;="&amp;DATE($B57,1,1),Data1!$A$11:$A$165,"&lt;="&amp;DATE($B57,12,31))</f>
        <v>11197</v>
      </c>
      <c r="H57" s="26">
        <f>Data1!A62</f>
        <v>36586</v>
      </c>
      <c r="I57" s="28">
        <f>Data1!F62</f>
        <v>89</v>
      </c>
      <c r="J57" s="28">
        <f>Data1!Y62</f>
        <v>130</v>
      </c>
      <c r="K57" s="28">
        <f>Data1!AR62</f>
        <v>218</v>
      </c>
    </row>
    <row r="58" spans="2:11" x14ac:dyDescent="0.25">
      <c r="B58">
        <v>2023</v>
      </c>
      <c r="C58" s="28">
        <f>SUMIFS(Data1!F$11:F$165,Data1!$A$11:$A$165,"&gt;="&amp;DATE($B58,1,1),Data1!$A$11:$A$165,"&lt;="&amp;DATE($B58,12,31))</f>
        <v>11461</v>
      </c>
      <c r="D58" s="28">
        <f>SUMIFS(Data1!Y$11:Y$165,Data1!$A$11:$A$165,"&gt;="&amp;DATE($B58,1,1),Data1!$A$11:$A$165,"&lt;="&amp;DATE($B58,12,31))</f>
        <v>1759</v>
      </c>
      <c r="E58" s="28">
        <f>SUMIFS(Data1!AR$11:AR$165,Data1!$A$11:$A$165,"&gt;="&amp;DATE($B58,1,1),Data1!$A$11:$A$165,"&lt;="&amp;DATE($B58,12,31))</f>
        <v>13221</v>
      </c>
      <c r="H58" s="26">
        <f>Data1!A63</f>
        <v>36678</v>
      </c>
      <c r="I58" s="28">
        <f>Data1!F63</f>
        <v>103</v>
      </c>
      <c r="J58" s="28">
        <f>Data1!Y63</f>
        <v>250</v>
      </c>
      <c r="K58" s="28">
        <f>Data1!AR63</f>
        <v>353</v>
      </c>
    </row>
    <row r="59" spans="2:11" x14ac:dyDescent="0.25">
      <c r="B59">
        <v>2024</v>
      </c>
      <c r="C59" s="28">
        <f>SUMIFS(Data1!F$11:F$165,Data1!$A$11:$A$165,"&gt;="&amp;DATE($B59,1,1),Data1!$A$11:$A$165,"&lt;="&amp;DATE($B59,12,31))</f>
        <v>14037</v>
      </c>
      <c r="D59" s="28">
        <f>SUMIFS(Data1!Y$11:Y$165,Data1!$A$11:$A$165,"&gt;="&amp;DATE($B59,1,1),Data1!$A$11:$A$165,"&lt;="&amp;DATE($B59,12,31))</f>
        <v>1856</v>
      </c>
      <c r="E59" s="28">
        <f>SUMIFS(Data1!AR$11:AR$165,Data1!$A$11:$A$165,"&gt;="&amp;DATE($B59,1,1),Data1!$A$11:$A$165,"&lt;="&amp;DATE($B59,12,31))</f>
        <v>15893</v>
      </c>
      <c r="H59" s="26">
        <f>Data1!A64</f>
        <v>36770</v>
      </c>
      <c r="I59" s="28">
        <f>Data1!F64</f>
        <v>92</v>
      </c>
      <c r="J59" s="28">
        <f>Data1!Y64</f>
        <v>310</v>
      </c>
      <c r="K59" s="28">
        <f>Data1!AR64</f>
        <v>402</v>
      </c>
    </row>
    <row r="60" spans="2:11" x14ac:dyDescent="0.25">
      <c r="B60">
        <v>2025</v>
      </c>
      <c r="C60" s="28">
        <f>SUMIFS(Data1!F$11:F$165,Data1!$A$11:$A$165,"&gt;="&amp;DATE($B60,1,1),Data1!$A$11:$A$165,"&lt;="&amp;DATE($B60,12,31))</f>
        <v>15784</v>
      </c>
      <c r="D60" s="28">
        <f>SUMIFS(Data1!Y$11:Y$165,Data1!$A$11:$A$165,"&gt;="&amp;DATE($B60,1,1),Data1!$A$11:$A$165,"&lt;="&amp;DATE($B60,12,31))</f>
        <v>1870</v>
      </c>
      <c r="E60" s="28">
        <f>SUMIFS(Data1!AR$11:AR$165,Data1!$A$11:$A$165,"&gt;="&amp;DATE($B60,1,1),Data1!$A$11:$A$165,"&lt;="&amp;DATE($B60,12,31))</f>
        <v>17655</v>
      </c>
      <c r="F60" s="29" t="s">
        <v>159</v>
      </c>
      <c r="H60" s="26">
        <f>Data1!A65</f>
        <v>36861</v>
      </c>
      <c r="I60" s="28">
        <f>Data1!F65</f>
        <v>115</v>
      </c>
      <c r="J60" s="28">
        <f>Data1!Y65</f>
        <v>227</v>
      </c>
      <c r="K60" s="28">
        <f>Data1!AR65</f>
        <v>343</v>
      </c>
    </row>
    <row r="61" spans="2:11" x14ac:dyDescent="0.25">
      <c r="H61" s="26">
        <f>Data1!A66</f>
        <v>36951</v>
      </c>
      <c r="I61" s="28">
        <f>Data1!F66</f>
        <v>95</v>
      </c>
      <c r="J61" s="28">
        <f>Data1!Y66</f>
        <v>261</v>
      </c>
      <c r="K61" s="28">
        <f>Data1!AR66</f>
        <v>356</v>
      </c>
    </row>
    <row r="62" spans="2:11" x14ac:dyDescent="0.25">
      <c r="H62" s="26">
        <f>Data1!A67</f>
        <v>37043</v>
      </c>
      <c r="I62" s="28">
        <f>Data1!F67</f>
        <v>99</v>
      </c>
      <c r="J62" s="28">
        <f>Data1!Y67</f>
        <v>310</v>
      </c>
      <c r="K62" s="28">
        <f>Data1!AR67</f>
        <v>409</v>
      </c>
    </row>
    <row r="63" spans="2:11" x14ac:dyDescent="0.25">
      <c r="H63" s="26">
        <f>Data1!A68</f>
        <v>37135</v>
      </c>
      <c r="I63" s="28">
        <f>Data1!F68</f>
        <v>143</v>
      </c>
      <c r="J63" s="28">
        <f>Data1!Y68</f>
        <v>344</v>
      </c>
      <c r="K63" s="28">
        <f>Data1!AR68</f>
        <v>488</v>
      </c>
    </row>
    <row r="64" spans="2:11" x14ac:dyDescent="0.25">
      <c r="H64" s="26">
        <f>Data1!A69</f>
        <v>37226</v>
      </c>
      <c r="I64" s="28">
        <f>Data1!F69</f>
        <v>206</v>
      </c>
      <c r="J64" s="28">
        <f>Data1!Y69</f>
        <v>529</v>
      </c>
      <c r="K64" s="28">
        <f>Data1!AR69</f>
        <v>735</v>
      </c>
    </row>
    <row r="65" spans="8:11" x14ac:dyDescent="0.25">
      <c r="H65" s="26">
        <f>Data1!A70</f>
        <v>37316</v>
      </c>
      <c r="I65" s="28">
        <f>Data1!F70</f>
        <v>228</v>
      </c>
      <c r="J65" s="28">
        <f>Data1!Y70</f>
        <v>300</v>
      </c>
      <c r="K65" s="28">
        <f>Data1!AR70</f>
        <v>528</v>
      </c>
    </row>
    <row r="66" spans="8:11" x14ac:dyDescent="0.25">
      <c r="H66" s="26">
        <f>Data1!A71</f>
        <v>37408</v>
      </c>
      <c r="I66" s="28">
        <f>Data1!F71</f>
        <v>270</v>
      </c>
      <c r="J66" s="28">
        <f>Data1!Y71</f>
        <v>343</v>
      </c>
      <c r="K66" s="28">
        <f>Data1!AR71</f>
        <v>613</v>
      </c>
    </row>
    <row r="67" spans="8:11" x14ac:dyDescent="0.25">
      <c r="H67" s="26">
        <f>Data1!A72</f>
        <v>37500</v>
      </c>
      <c r="I67" s="28">
        <f>Data1!F72</f>
        <v>190</v>
      </c>
      <c r="J67" s="28">
        <f>Data1!Y72</f>
        <v>273</v>
      </c>
      <c r="K67" s="28">
        <f>Data1!AR72</f>
        <v>463</v>
      </c>
    </row>
    <row r="68" spans="8:11" x14ac:dyDescent="0.25">
      <c r="H68" s="26">
        <f>Data1!A73</f>
        <v>37591</v>
      </c>
      <c r="I68" s="28">
        <f>Data1!F73</f>
        <v>166</v>
      </c>
      <c r="J68" s="28">
        <f>Data1!Y73</f>
        <v>371</v>
      </c>
      <c r="K68" s="28">
        <f>Data1!AR73</f>
        <v>536</v>
      </c>
    </row>
    <row r="69" spans="8:11" x14ac:dyDescent="0.25">
      <c r="H69" s="26">
        <f>Data1!A74</f>
        <v>37681</v>
      </c>
      <c r="I69" s="28">
        <f>Data1!F74</f>
        <v>140</v>
      </c>
      <c r="J69" s="28">
        <f>Data1!Y74</f>
        <v>280</v>
      </c>
      <c r="K69" s="28">
        <f>Data1!AR74</f>
        <v>420</v>
      </c>
    </row>
    <row r="70" spans="8:11" x14ac:dyDescent="0.25">
      <c r="H70" s="26">
        <f>Data1!A75</f>
        <v>37773</v>
      </c>
      <c r="I70" s="28">
        <f>Data1!F75</f>
        <v>178</v>
      </c>
      <c r="J70" s="28">
        <f>Data1!Y75</f>
        <v>288</v>
      </c>
      <c r="K70" s="28">
        <f>Data1!AR75</f>
        <v>466</v>
      </c>
    </row>
    <row r="71" spans="8:11" x14ac:dyDescent="0.25">
      <c r="H71" s="26">
        <f>Data1!A76</f>
        <v>37865</v>
      </c>
      <c r="I71" s="28">
        <f>Data1!F76</f>
        <v>194</v>
      </c>
      <c r="J71" s="28">
        <f>Data1!Y76</f>
        <v>306</v>
      </c>
      <c r="K71" s="28">
        <f>Data1!AR76</f>
        <v>500</v>
      </c>
    </row>
    <row r="72" spans="8:11" x14ac:dyDescent="0.25">
      <c r="H72" s="26">
        <f>Data1!A77</f>
        <v>37956</v>
      </c>
      <c r="I72" s="28">
        <f>Data1!F77</f>
        <v>226</v>
      </c>
      <c r="J72" s="28">
        <f>Data1!Y77</f>
        <v>398</v>
      </c>
      <c r="K72" s="28">
        <f>Data1!AR77</f>
        <v>624</v>
      </c>
    </row>
    <row r="73" spans="8:11" x14ac:dyDescent="0.25">
      <c r="H73" s="26">
        <f>Data1!A78</f>
        <v>38047</v>
      </c>
      <c r="I73" s="28">
        <f>Data1!F78</f>
        <v>284</v>
      </c>
      <c r="J73" s="28">
        <f>Data1!Y78</f>
        <v>198</v>
      </c>
      <c r="K73" s="28">
        <f>Data1!AR78</f>
        <v>482</v>
      </c>
    </row>
    <row r="74" spans="8:11" x14ac:dyDescent="0.25">
      <c r="H74" s="26">
        <f>Data1!A79</f>
        <v>38139</v>
      </c>
      <c r="I74" s="28">
        <f>Data1!F79</f>
        <v>362</v>
      </c>
      <c r="J74" s="28">
        <f>Data1!Y79</f>
        <v>219</v>
      </c>
      <c r="K74" s="28">
        <f>Data1!AR79</f>
        <v>581</v>
      </c>
    </row>
    <row r="75" spans="8:11" x14ac:dyDescent="0.25">
      <c r="H75" s="26">
        <f>Data1!A80</f>
        <v>38231</v>
      </c>
      <c r="I75" s="28">
        <f>Data1!F80</f>
        <v>293</v>
      </c>
      <c r="J75" s="28">
        <f>Data1!Y80</f>
        <v>201</v>
      </c>
      <c r="K75" s="28">
        <f>Data1!AR80</f>
        <v>494</v>
      </c>
    </row>
    <row r="76" spans="8:11" x14ac:dyDescent="0.25">
      <c r="H76" s="26">
        <f>Data1!A81</f>
        <v>38322</v>
      </c>
      <c r="I76" s="28">
        <f>Data1!F81</f>
        <v>322</v>
      </c>
      <c r="J76" s="28">
        <f>Data1!Y81</f>
        <v>310</v>
      </c>
      <c r="K76" s="28">
        <f>Data1!AR81</f>
        <v>632</v>
      </c>
    </row>
    <row r="77" spans="8:11" x14ac:dyDescent="0.25">
      <c r="H77" s="26">
        <f>Data1!A82</f>
        <v>38412</v>
      </c>
      <c r="I77" s="28">
        <f>Data1!F82</f>
        <v>350</v>
      </c>
      <c r="J77" s="28">
        <f>Data1!Y82</f>
        <v>184</v>
      </c>
      <c r="K77" s="28">
        <f>Data1!AR82</f>
        <v>534</v>
      </c>
    </row>
    <row r="78" spans="8:11" x14ac:dyDescent="0.25">
      <c r="H78" s="26">
        <f>Data1!A83</f>
        <v>38504</v>
      </c>
      <c r="I78" s="28">
        <f>Data1!F83</f>
        <v>308</v>
      </c>
      <c r="J78" s="28">
        <f>Data1!Y83</f>
        <v>226</v>
      </c>
      <c r="K78" s="28">
        <f>Data1!AR83</f>
        <v>534</v>
      </c>
    </row>
    <row r="79" spans="8:11" x14ac:dyDescent="0.25">
      <c r="H79" s="26">
        <f>Data1!A84</f>
        <v>38596</v>
      </c>
      <c r="I79" s="28">
        <f>Data1!F84</f>
        <v>324</v>
      </c>
      <c r="J79" s="28">
        <f>Data1!Y84</f>
        <v>220</v>
      </c>
      <c r="K79" s="28">
        <f>Data1!AR84</f>
        <v>544</v>
      </c>
    </row>
    <row r="80" spans="8:11" x14ac:dyDescent="0.25">
      <c r="H80" s="26">
        <f>Data1!A85</f>
        <v>38687</v>
      </c>
      <c r="I80" s="28">
        <f>Data1!F85</f>
        <v>382</v>
      </c>
      <c r="J80" s="28">
        <f>Data1!Y85</f>
        <v>218</v>
      </c>
      <c r="K80" s="28">
        <f>Data1!AR85</f>
        <v>600</v>
      </c>
    </row>
    <row r="81" spans="8:11" x14ac:dyDescent="0.25">
      <c r="H81" s="26">
        <f>Data1!A86</f>
        <v>38777</v>
      </c>
      <c r="I81" s="28">
        <f>Data1!F86</f>
        <v>271</v>
      </c>
      <c r="J81" s="28">
        <f>Data1!Y86</f>
        <v>217</v>
      </c>
      <c r="K81" s="28">
        <f>Data1!AR86</f>
        <v>488</v>
      </c>
    </row>
    <row r="82" spans="8:11" x14ac:dyDescent="0.25">
      <c r="H82" s="26">
        <f>Data1!A87</f>
        <v>38869</v>
      </c>
      <c r="I82" s="28">
        <f>Data1!F87</f>
        <v>386</v>
      </c>
      <c r="J82" s="28">
        <f>Data1!Y87</f>
        <v>245</v>
      </c>
      <c r="K82" s="28">
        <f>Data1!AR87</f>
        <v>631</v>
      </c>
    </row>
    <row r="83" spans="8:11" x14ac:dyDescent="0.25">
      <c r="H83" s="26">
        <f>Data1!A88</f>
        <v>38961</v>
      </c>
      <c r="I83" s="28">
        <f>Data1!F88</f>
        <v>445</v>
      </c>
      <c r="J83" s="28">
        <f>Data1!Y88</f>
        <v>253</v>
      </c>
      <c r="K83" s="28">
        <f>Data1!AR88</f>
        <v>698</v>
      </c>
    </row>
    <row r="84" spans="8:11" x14ac:dyDescent="0.25">
      <c r="H84" s="26">
        <f>Data1!A89</f>
        <v>39052</v>
      </c>
      <c r="I84" s="28">
        <f>Data1!F89</f>
        <v>536</v>
      </c>
      <c r="J84" s="28">
        <f>Data1!Y89</f>
        <v>305</v>
      </c>
      <c r="K84" s="28">
        <f>Data1!AR89</f>
        <v>842</v>
      </c>
    </row>
    <row r="85" spans="8:11" x14ac:dyDescent="0.25">
      <c r="H85" s="26">
        <f>Data1!A90</f>
        <v>39142</v>
      </c>
      <c r="I85" s="28">
        <f>Data1!F90</f>
        <v>438</v>
      </c>
      <c r="J85" s="28">
        <f>Data1!Y90</f>
        <v>264</v>
      </c>
      <c r="K85" s="28">
        <f>Data1!AR90</f>
        <v>703</v>
      </c>
    </row>
    <row r="86" spans="8:11" x14ac:dyDescent="0.25">
      <c r="H86" s="26">
        <f>Data1!A91</f>
        <v>39234</v>
      </c>
      <c r="I86" s="28">
        <f>Data1!F91</f>
        <v>691</v>
      </c>
      <c r="J86" s="28">
        <f>Data1!Y91</f>
        <v>196</v>
      </c>
      <c r="K86" s="28">
        <f>Data1!AR91</f>
        <v>887</v>
      </c>
    </row>
    <row r="87" spans="8:11" x14ac:dyDescent="0.25">
      <c r="H87" s="26">
        <f>Data1!A92</f>
        <v>39326</v>
      </c>
      <c r="I87" s="28">
        <f>Data1!F92</f>
        <v>582</v>
      </c>
      <c r="J87" s="28">
        <f>Data1!Y92</f>
        <v>196</v>
      </c>
      <c r="K87" s="28">
        <f>Data1!AR92</f>
        <v>778</v>
      </c>
    </row>
    <row r="88" spans="8:11" x14ac:dyDescent="0.25">
      <c r="H88" s="26">
        <f>Data1!A93</f>
        <v>39417</v>
      </c>
      <c r="I88" s="28">
        <f>Data1!F93</f>
        <v>752</v>
      </c>
      <c r="J88" s="28">
        <f>Data1!Y93</f>
        <v>290</v>
      </c>
      <c r="K88" s="28">
        <f>Data1!AR93</f>
        <v>1042</v>
      </c>
    </row>
    <row r="89" spans="8:11" x14ac:dyDescent="0.25">
      <c r="H89" s="26">
        <f>Data1!A94</f>
        <v>39508</v>
      </c>
      <c r="I89" s="28">
        <f>Data1!F94</f>
        <v>710</v>
      </c>
      <c r="J89" s="28">
        <f>Data1!Y94</f>
        <v>268</v>
      </c>
      <c r="K89" s="28">
        <f>Data1!AR94</f>
        <v>978</v>
      </c>
    </row>
    <row r="90" spans="8:11" x14ac:dyDescent="0.25">
      <c r="H90" s="26">
        <f>Data1!A95</f>
        <v>39600</v>
      </c>
      <c r="I90" s="28">
        <f>Data1!F95</f>
        <v>568</v>
      </c>
      <c r="J90" s="28">
        <f>Data1!Y95</f>
        <v>458</v>
      </c>
      <c r="K90" s="28">
        <f>Data1!AR95</f>
        <v>1026</v>
      </c>
    </row>
    <row r="91" spans="8:11" x14ac:dyDescent="0.25">
      <c r="H91" s="26">
        <f>Data1!A96</f>
        <v>39692</v>
      </c>
      <c r="I91" s="28">
        <f>Data1!F96</f>
        <v>735</v>
      </c>
      <c r="J91" s="28">
        <f>Data1!Y96</f>
        <v>232</v>
      </c>
      <c r="K91" s="28">
        <f>Data1!AR96</f>
        <v>967</v>
      </c>
    </row>
    <row r="92" spans="8:11" x14ac:dyDescent="0.25">
      <c r="H92" s="26">
        <f>Data1!A97</f>
        <v>39783</v>
      </c>
      <c r="I92" s="28">
        <f>Data1!F97</f>
        <v>1223</v>
      </c>
      <c r="J92" s="28">
        <f>Data1!Y97</f>
        <v>439</v>
      </c>
      <c r="K92" s="28">
        <f>Data1!AR97</f>
        <v>1662</v>
      </c>
    </row>
    <row r="93" spans="8:11" x14ac:dyDescent="0.25">
      <c r="H93" s="26">
        <f>Data1!A98</f>
        <v>39873</v>
      </c>
      <c r="I93" s="28">
        <f>Data1!F98</f>
        <v>955</v>
      </c>
      <c r="J93" s="28">
        <f>Data1!Y98</f>
        <v>263</v>
      </c>
      <c r="K93" s="28">
        <f>Data1!AR98</f>
        <v>1218</v>
      </c>
    </row>
    <row r="94" spans="8:11" x14ac:dyDescent="0.25">
      <c r="H94" s="26">
        <f>Data1!A99</f>
        <v>39965</v>
      </c>
      <c r="I94" s="28">
        <f>Data1!F99</f>
        <v>1377</v>
      </c>
      <c r="J94" s="28">
        <f>Data1!Y99</f>
        <v>332</v>
      </c>
      <c r="K94" s="28">
        <f>Data1!AR99</f>
        <v>1710</v>
      </c>
    </row>
    <row r="95" spans="8:11" x14ac:dyDescent="0.25">
      <c r="H95" s="26">
        <f>Data1!A100</f>
        <v>40057</v>
      </c>
      <c r="I95" s="28">
        <f>Data1!F100</f>
        <v>932</v>
      </c>
      <c r="J95" s="28">
        <f>Data1!Y100</f>
        <v>311</v>
      </c>
      <c r="K95" s="28">
        <f>Data1!AR100</f>
        <v>1243</v>
      </c>
    </row>
    <row r="96" spans="8:11" x14ac:dyDescent="0.25">
      <c r="H96" s="26">
        <f>Data1!A101</f>
        <v>40148</v>
      </c>
      <c r="I96" s="28">
        <f>Data1!F101</f>
        <v>1184</v>
      </c>
      <c r="J96" s="28">
        <f>Data1!Y101</f>
        <v>365</v>
      </c>
      <c r="K96" s="28">
        <f>Data1!AR101</f>
        <v>1549</v>
      </c>
    </row>
    <row r="97" spans="8:11" x14ac:dyDescent="0.25">
      <c r="H97" s="26">
        <f>Data1!A102</f>
        <v>40238</v>
      </c>
      <c r="I97" s="28">
        <f>Data1!F102</f>
        <v>928</v>
      </c>
      <c r="J97" s="28">
        <f>Data1!Y102</f>
        <v>255</v>
      </c>
      <c r="K97" s="28">
        <f>Data1!AR102</f>
        <v>1183</v>
      </c>
    </row>
    <row r="98" spans="8:11" x14ac:dyDescent="0.25">
      <c r="H98" s="26">
        <f>Data1!A103</f>
        <v>40330</v>
      </c>
      <c r="I98" s="28">
        <f>Data1!F103</f>
        <v>1405</v>
      </c>
      <c r="J98" s="28">
        <f>Data1!Y103</f>
        <v>347</v>
      </c>
      <c r="K98" s="28">
        <f>Data1!AR103</f>
        <v>1752</v>
      </c>
    </row>
    <row r="99" spans="8:11" x14ac:dyDescent="0.25">
      <c r="H99" s="26">
        <f>Data1!A104</f>
        <v>40422</v>
      </c>
      <c r="I99" s="28">
        <f>Data1!F104</f>
        <v>1308</v>
      </c>
      <c r="J99" s="28">
        <f>Data1!Y104</f>
        <v>269</v>
      </c>
      <c r="K99" s="28">
        <f>Data1!AR104</f>
        <v>1577</v>
      </c>
    </row>
    <row r="100" spans="8:11" x14ac:dyDescent="0.25">
      <c r="H100" s="26">
        <f>Data1!A105</f>
        <v>40513</v>
      </c>
      <c r="I100" s="28">
        <f>Data1!F105</f>
        <v>1221</v>
      </c>
      <c r="J100" s="28">
        <f>Data1!Y105</f>
        <v>510</v>
      </c>
      <c r="K100" s="28">
        <f>Data1!AR105</f>
        <v>1730</v>
      </c>
    </row>
    <row r="101" spans="8:11" x14ac:dyDescent="0.25">
      <c r="H101" s="26">
        <f>Data1!A106</f>
        <v>40603</v>
      </c>
      <c r="I101" s="28">
        <f>Data1!F106</f>
        <v>958</v>
      </c>
      <c r="J101" s="28">
        <f>Data1!Y106</f>
        <v>433</v>
      </c>
      <c r="K101" s="28">
        <f>Data1!AR106</f>
        <v>1391</v>
      </c>
    </row>
    <row r="102" spans="8:11" x14ac:dyDescent="0.25">
      <c r="H102" s="26">
        <f>Data1!A107</f>
        <v>40695</v>
      </c>
      <c r="I102" s="28">
        <f>Data1!F107</f>
        <v>1039</v>
      </c>
      <c r="J102" s="28">
        <f>Data1!Y107</f>
        <v>456</v>
      </c>
      <c r="K102" s="28">
        <f>Data1!AR107</f>
        <v>1495</v>
      </c>
    </row>
    <row r="103" spans="8:11" x14ac:dyDescent="0.25">
      <c r="H103" s="26">
        <f>Data1!A108</f>
        <v>40787</v>
      </c>
      <c r="I103" s="28">
        <f>Data1!F108</f>
        <v>750</v>
      </c>
      <c r="J103" s="28">
        <f>Data1!Y108</f>
        <v>464</v>
      </c>
      <c r="K103" s="28">
        <f>Data1!AR108</f>
        <v>1214</v>
      </c>
    </row>
    <row r="104" spans="8:11" x14ac:dyDescent="0.25">
      <c r="H104" s="26">
        <f>Data1!A109</f>
        <v>40878</v>
      </c>
      <c r="I104" s="28">
        <f>Data1!F109</f>
        <v>771</v>
      </c>
      <c r="J104" s="28">
        <f>Data1!Y109</f>
        <v>653</v>
      </c>
      <c r="K104" s="28">
        <f>Data1!AR109</f>
        <v>1424</v>
      </c>
    </row>
    <row r="105" spans="8:11" x14ac:dyDescent="0.25">
      <c r="H105" s="26">
        <f>Data1!A110</f>
        <v>40969</v>
      </c>
      <c r="I105" s="28">
        <f>Data1!F110</f>
        <v>818</v>
      </c>
      <c r="J105" s="28">
        <f>Data1!Y110</f>
        <v>462</v>
      </c>
      <c r="K105" s="28">
        <f>Data1!AR110</f>
        <v>1280</v>
      </c>
    </row>
    <row r="106" spans="8:11" x14ac:dyDescent="0.25">
      <c r="H106" s="26">
        <f>Data1!A111</f>
        <v>41061</v>
      </c>
      <c r="I106" s="28">
        <f>Data1!F111</f>
        <v>844</v>
      </c>
      <c r="J106" s="28">
        <f>Data1!Y111</f>
        <v>651</v>
      </c>
      <c r="K106" s="28">
        <f>Data1!AR111</f>
        <v>1495</v>
      </c>
    </row>
    <row r="107" spans="8:11" x14ac:dyDescent="0.25">
      <c r="H107" s="26">
        <f>Data1!A112</f>
        <v>41153</v>
      </c>
      <c r="I107" s="28">
        <f>Data1!F112</f>
        <v>747</v>
      </c>
      <c r="J107" s="28">
        <f>Data1!Y112</f>
        <v>633</v>
      </c>
      <c r="K107" s="28">
        <f>Data1!AR112</f>
        <v>1380</v>
      </c>
    </row>
    <row r="108" spans="8:11" x14ac:dyDescent="0.25">
      <c r="H108" s="26">
        <f>Data1!A113</f>
        <v>41244</v>
      </c>
      <c r="I108" s="28">
        <f>Data1!F113</f>
        <v>815</v>
      </c>
      <c r="J108" s="28">
        <f>Data1!Y113</f>
        <v>664</v>
      </c>
      <c r="K108" s="28">
        <f>Data1!AR113</f>
        <v>1479</v>
      </c>
    </row>
    <row r="109" spans="8:11" x14ac:dyDescent="0.25">
      <c r="H109" s="26">
        <f>Data1!A114</f>
        <v>41334</v>
      </c>
      <c r="I109" s="28">
        <f>Data1!F114</f>
        <v>739</v>
      </c>
      <c r="J109" s="28">
        <f>Data1!Y114</f>
        <v>489</v>
      </c>
      <c r="K109" s="28">
        <f>Data1!AR114</f>
        <v>1228</v>
      </c>
    </row>
    <row r="110" spans="8:11" x14ac:dyDescent="0.25">
      <c r="H110" s="26">
        <f>Data1!A115</f>
        <v>41426</v>
      </c>
      <c r="I110" s="28">
        <f>Data1!F115</f>
        <v>774</v>
      </c>
      <c r="J110" s="28">
        <f>Data1!Y115</f>
        <v>621</v>
      </c>
      <c r="K110" s="28">
        <f>Data1!AR115</f>
        <v>1395</v>
      </c>
    </row>
    <row r="111" spans="8:11" x14ac:dyDescent="0.25">
      <c r="H111" s="26">
        <f>Data1!A116</f>
        <v>41518</v>
      </c>
      <c r="I111" s="28">
        <f>Data1!F116</f>
        <v>879</v>
      </c>
      <c r="J111" s="28">
        <f>Data1!Y116</f>
        <v>595</v>
      </c>
      <c r="K111" s="28">
        <f>Data1!AR116</f>
        <v>1474</v>
      </c>
    </row>
    <row r="112" spans="8:11" x14ac:dyDescent="0.25">
      <c r="H112" s="26">
        <f>Data1!A117</f>
        <v>41609</v>
      </c>
      <c r="I112" s="28">
        <f>Data1!F117</f>
        <v>966</v>
      </c>
      <c r="J112" s="28">
        <f>Data1!Y117</f>
        <v>613</v>
      </c>
      <c r="K112" s="28">
        <f>Data1!AR117</f>
        <v>1579</v>
      </c>
    </row>
    <row r="113" spans="8:11" x14ac:dyDescent="0.25">
      <c r="H113" s="26">
        <f>Data1!A118</f>
        <v>41699</v>
      </c>
      <c r="I113" s="28">
        <f>Data1!F118</f>
        <v>743</v>
      </c>
      <c r="J113" s="28">
        <f>Data1!Y118</f>
        <v>468</v>
      </c>
      <c r="K113" s="28">
        <f>Data1!AR118</f>
        <v>1210</v>
      </c>
    </row>
    <row r="114" spans="8:11" x14ac:dyDescent="0.25">
      <c r="H114" s="26">
        <f>Data1!A119</f>
        <v>41791</v>
      </c>
      <c r="I114" s="28">
        <f>Data1!F119</f>
        <v>1025</v>
      </c>
      <c r="J114" s="28">
        <f>Data1!Y119</f>
        <v>527</v>
      </c>
      <c r="K114" s="28">
        <f>Data1!AR119</f>
        <v>1552</v>
      </c>
    </row>
    <row r="115" spans="8:11" x14ac:dyDescent="0.25">
      <c r="H115" s="26">
        <f>Data1!A120</f>
        <v>41883</v>
      </c>
      <c r="I115" s="28">
        <f>Data1!F120</f>
        <v>852</v>
      </c>
      <c r="J115" s="28">
        <f>Data1!Y120</f>
        <v>467</v>
      </c>
      <c r="K115" s="28">
        <f>Data1!AR120</f>
        <v>1319</v>
      </c>
    </row>
    <row r="116" spans="8:11" x14ac:dyDescent="0.25">
      <c r="H116" s="26">
        <f>Data1!A121</f>
        <v>41974</v>
      </c>
      <c r="I116" s="28">
        <f>Data1!F121</f>
        <v>886</v>
      </c>
      <c r="J116" s="28">
        <f>Data1!Y121</f>
        <v>529</v>
      </c>
      <c r="K116" s="28">
        <f>Data1!AR121</f>
        <v>1415</v>
      </c>
    </row>
    <row r="117" spans="8:11" x14ac:dyDescent="0.25">
      <c r="H117" s="26">
        <f>Data1!A122</f>
        <v>42064</v>
      </c>
      <c r="I117" s="28">
        <f>Data1!F122</f>
        <v>672</v>
      </c>
      <c r="J117" s="28">
        <f>Data1!Y122</f>
        <v>379</v>
      </c>
      <c r="K117" s="28">
        <f>Data1!AR122</f>
        <v>1051</v>
      </c>
    </row>
    <row r="118" spans="8:11" x14ac:dyDescent="0.25">
      <c r="H118" s="26">
        <f>Data1!A123</f>
        <v>42156</v>
      </c>
      <c r="I118" s="28">
        <f>Data1!F123</f>
        <v>842</v>
      </c>
      <c r="J118" s="28">
        <f>Data1!Y123</f>
        <v>471</v>
      </c>
      <c r="K118" s="28">
        <f>Data1!AR123</f>
        <v>1312</v>
      </c>
    </row>
    <row r="119" spans="8:11" x14ac:dyDescent="0.25">
      <c r="H119" s="26">
        <f>Data1!A124</f>
        <v>42248</v>
      </c>
      <c r="I119" s="28">
        <f>Data1!F124</f>
        <v>881</v>
      </c>
      <c r="J119" s="28">
        <f>Data1!Y124</f>
        <v>469</v>
      </c>
      <c r="K119" s="28">
        <f>Data1!AR124</f>
        <v>1350</v>
      </c>
    </row>
    <row r="120" spans="8:11" x14ac:dyDescent="0.25">
      <c r="H120" s="26">
        <f>Data1!A125</f>
        <v>42339</v>
      </c>
      <c r="I120" s="28">
        <f>Data1!F125</f>
        <v>957</v>
      </c>
      <c r="J120" s="28">
        <f>Data1!Y125</f>
        <v>587</v>
      </c>
      <c r="K120" s="28">
        <f>Data1!AR125</f>
        <v>1543</v>
      </c>
    </row>
    <row r="121" spans="8:11" x14ac:dyDescent="0.25">
      <c r="H121" s="26">
        <f>Data1!A126</f>
        <v>42430</v>
      </c>
      <c r="I121" s="28">
        <f>Data1!F126</f>
        <v>709</v>
      </c>
      <c r="J121" s="28">
        <f>Data1!Y126</f>
        <v>425</v>
      </c>
      <c r="K121" s="28">
        <f>Data1!AR126</f>
        <v>1134</v>
      </c>
    </row>
    <row r="122" spans="8:11" x14ac:dyDescent="0.25">
      <c r="H122" s="26">
        <f>Data1!A127</f>
        <v>42522</v>
      </c>
      <c r="I122" s="28">
        <f>Data1!F127</f>
        <v>929</v>
      </c>
      <c r="J122" s="28">
        <f>Data1!Y127</f>
        <v>449</v>
      </c>
      <c r="K122" s="28">
        <f>Data1!AR127</f>
        <v>1378</v>
      </c>
    </row>
    <row r="123" spans="8:11" x14ac:dyDescent="0.25">
      <c r="H123" s="26">
        <f>Data1!A128</f>
        <v>42614</v>
      </c>
      <c r="I123" s="28">
        <f>Data1!F128</f>
        <v>791</v>
      </c>
      <c r="J123" s="28">
        <f>Data1!Y128</f>
        <v>416</v>
      </c>
      <c r="K123" s="28">
        <f>Data1!AR128</f>
        <v>1207</v>
      </c>
    </row>
    <row r="124" spans="8:11" x14ac:dyDescent="0.25">
      <c r="H124" s="26">
        <f>Data1!A129</f>
        <v>42705</v>
      </c>
      <c r="I124" s="28">
        <f>Data1!F129</f>
        <v>1009</v>
      </c>
      <c r="J124" s="28">
        <f>Data1!Y129</f>
        <v>401</v>
      </c>
      <c r="K124" s="28">
        <f>Data1!AR129</f>
        <v>1410</v>
      </c>
    </row>
    <row r="125" spans="8:11" x14ac:dyDescent="0.25">
      <c r="H125" s="26">
        <f>Data1!A130</f>
        <v>42795</v>
      </c>
      <c r="I125" s="28">
        <f>Data1!F130</f>
        <v>958</v>
      </c>
      <c r="J125" s="28">
        <f>Data1!Y130</f>
        <v>290</v>
      </c>
      <c r="K125" s="28">
        <f>Data1!AR130</f>
        <v>1248</v>
      </c>
    </row>
    <row r="126" spans="8:11" x14ac:dyDescent="0.25">
      <c r="H126" s="26">
        <f>Data1!A131</f>
        <v>42887</v>
      </c>
      <c r="I126" s="28">
        <f>Data1!F131</f>
        <v>1124</v>
      </c>
      <c r="J126" s="28">
        <f>Data1!Y131</f>
        <v>416</v>
      </c>
      <c r="K126" s="28">
        <f>Data1!AR131</f>
        <v>1540</v>
      </c>
    </row>
    <row r="127" spans="8:11" x14ac:dyDescent="0.25">
      <c r="H127" s="26">
        <f>Data1!A132</f>
        <v>42979</v>
      </c>
      <c r="I127" s="28">
        <f>Data1!F132</f>
        <v>1414</v>
      </c>
      <c r="J127" s="28">
        <f>Data1!Y132</f>
        <v>391</v>
      </c>
      <c r="K127" s="28">
        <f>Data1!AR132</f>
        <v>1804</v>
      </c>
    </row>
    <row r="128" spans="8:11" x14ac:dyDescent="0.25">
      <c r="H128" s="26">
        <f>Data1!A133</f>
        <v>43070</v>
      </c>
      <c r="I128" s="28">
        <f>Data1!F133</f>
        <v>1788</v>
      </c>
      <c r="J128" s="28">
        <f>Data1!Y133</f>
        <v>393</v>
      </c>
      <c r="K128" s="28">
        <f>Data1!AR133</f>
        <v>2181</v>
      </c>
    </row>
    <row r="129" spans="8:11" x14ac:dyDescent="0.25">
      <c r="H129" s="26">
        <f>Data1!A134</f>
        <v>43160</v>
      </c>
      <c r="I129" s="28">
        <f>Data1!F134</f>
        <v>1685</v>
      </c>
      <c r="J129" s="28">
        <f>Data1!Y134</f>
        <v>272</v>
      </c>
      <c r="K129" s="28">
        <f>Data1!AR134</f>
        <v>1957</v>
      </c>
    </row>
    <row r="130" spans="8:11" x14ac:dyDescent="0.25">
      <c r="H130" s="26">
        <f>Data1!A135</f>
        <v>43252</v>
      </c>
      <c r="I130" s="28">
        <f>Data1!F135</f>
        <v>2282</v>
      </c>
      <c r="J130" s="28">
        <f>Data1!Y135</f>
        <v>375</v>
      </c>
      <c r="K130" s="28">
        <f>Data1!AR135</f>
        <v>2657</v>
      </c>
    </row>
    <row r="131" spans="8:11" x14ac:dyDescent="0.25">
      <c r="H131" s="26">
        <f>Data1!A136</f>
        <v>43344</v>
      </c>
      <c r="I131" s="28">
        <f>Data1!F136</f>
        <v>1955</v>
      </c>
      <c r="J131" s="28">
        <f>Data1!Y136</f>
        <v>377</v>
      </c>
      <c r="K131" s="28">
        <f>Data1!AR136</f>
        <v>2332</v>
      </c>
    </row>
    <row r="132" spans="8:11" x14ac:dyDescent="0.25">
      <c r="H132" s="26">
        <f>Data1!A137</f>
        <v>43435</v>
      </c>
      <c r="I132" s="28">
        <f>Data1!F137</f>
        <v>2317</v>
      </c>
      <c r="J132" s="28">
        <f>Data1!Y137</f>
        <v>334</v>
      </c>
      <c r="K132" s="28">
        <f>Data1!AR137</f>
        <v>2651</v>
      </c>
    </row>
    <row r="133" spans="8:11" x14ac:dyDescent="0.25">
      <c r="H133" s="26">
        <f>Data1!A138</f>
        <v>43525</v>
      </c>
      <c r="I133" s="28">
        <f>Data1!F138</f>
        <v>1958</v>
      </c>
      <c r="J133" s="28">
        <f>Data1!Y138</f>
        <v>249</v>
      </c>
      <c r="K133" s="28">
        <f>Data1!AR138</f>
        <v>2206</v>
      </c>
    </row>
    <row r="134" spans="8:11" x14ac:dyDescent="0.25">
      <c r="H134" s="26">
        <f>Data1!A139</f>
        <v>43617</v>
      </c>
      <c r="I134" s="28">
        <f>Data1!F139</f>
        <v>2385</v>
      </c>
      <c r="J134" s="28">
        <f>Data1!Y139</f>
        <v>315</v>
      </c>
      <c r="K134" s="28">
        <f>Data1!AR139</f>
        <v>2700</v>
      </c>
    </row>
    <row r="135" spans="8:11" x14ac:dyDescent="0.25">
      <c r="H135" s="26">
        <f>Data1!A140</f>
        <v>43709</v>
      </c>
      <c r="I135" s="28">
        <f>Data1!F140</f>
        <v>2118</v>
      </c>
      <c r="J135" s="28">
        <f>Data1!Y140</f>
        <v>310</v>
      </c>
      <c r="K135" s="28">
        <f>Data1!AR140</f>
        <v>2428</v>
      </c>
    </row>
    <row r="136" spans="8:11" x14ac:dyDescent="0.25">
      <c r="H136" s="26">
        <f>Data1!A141</f>
        <v>43800</v>
      </c>
      <c r="I136" s="28">
        <f>Data1!F141</f>
        <v>2435</v>
      </c>
      <c r="J136" s="28">
        <f>Data1!Y141</f>
        <v>347</v>
      </c>
      <c r="K136" s="28">
        <f>Data1!AR141</f>
        <v>2783</v>
      </c>
    </row>
    <row r="137" spans="8:11" x14ac:dyDescent="0.25">
      <c r="H137" s="26">
        <f>Data1!A142</f>
        <v>43891</v>
      </c>
      <c r="I137" s="28">
        <f>Data1!F142</f>
        <v>1906</v>
      </c>
      <c r="J137" s="28">
        <f>Data1!Y142</f>
        <v>265</v>
      </c>
      <c r="K137" s="28">
        <f>Data1!AR142</f>
        <v>2171</v>
      </c>
    </row>
    <row r="138" spans="8:11" x14ac:dyDescent="0.25">
      <c r="H138" s="26">
        <f>Data1!A143</f>
        <v>43983</v>
      </c>
      <c r="I138" s="28">
        <f>Data1!F143</f>
        <v>1952</v>
      </c>
      <c r="J138" s="28">
        <f>Data1!Y143</f>
        <v>318</v>
      </c>
      <c r="K138" s="28">
        <f>Data1!AR143</f>
        <v>2270</v>
      </c>
    </row>
    <row r="139" spans="8:11" x14ac:dyDescent="0.25">
      <c r="H139" s="26">
        <f>Data1!A144</f>
        <v>44075</v>
      </c>
      <c r="I139" s="28">
        <f>Data1!F144</f>
        <v>1845</v>
      </c>
      <c r="J139" s="28">
        <f>Data1!Y144</f>
        <v>350</v>
      </c>
      <c r="K139" s="28">
        <f>Data1!AR144</f>
        <v>2196</v>
      </c>
    </row>
    <row r="140" spans="8:11" x14ac:dyDescent="0.25">
      <c r="H140" s="26">
        <f>Data1!A145</f>
        <v>44166</v>
      </c>
      <c r="I140" s="28">
        <f>Data1!F145</f>
        <v>2023</v>
      </c>
      <c r="J140" s="28">
        <f>Data1!Y145</f>
        <v>277</v>
      </c>
      <c r="K140" s="28">
        <f>Data1!AR145</f>
        <v>2300</v>
      </c>
    </row>
    <row r="141" spans="8:11" x14ac:dyDescent="0.25">
      <c r="H141" s="26">
        <f>Data1!A146</f>
        <v>44256</v>
      </c>
      <c r="I141" s="28">
        <f>Data1!F146</f>
        <v>1738</v>
      </c>
      <c r="J141" s="28">
        <f>Data1!Y146</f>
        <v>268</v>
      </c>
      <c r="K141" s="28">
        <f>Data1!AR146</f>
        <v>2006</v>
      </c>
    </row>
    <row r="142" spans="8:11" x14ac:dyDescent="0.25">
      <c r="H142" s="26">
        <f>Data1!A147</f>
        <v>44348</v>
      </c>
      <c r="I142" s="28">
        <f>Data1!F147</f>
        <v>2347</v>
      </c>
      <c r="J142" s="28">
        <f>Data1!Y147</f>
        <v>347</v>
      </c>
      <c r="K142" s="28">
        <f>Data1!AR147</f>
        <v>2694</v>
      </c>
    </row>
    <row r="143" spans="8:11" x14ac:dyDescent="0.25">
      <c r="H143" s="26">
        <f>Data1!A148</f>
        <v>44440</v>
      </c>
      <c r="I143" s="28">
        <f>Data1!F148</f>
        <v>2090</v>
      </c>
      <c r="J143" s="28">
        <f>Data1!Y148</f>
        <v>340</v>
      </c>
      <c r="K143" s="28">
        <f>Data1!AR148</f>
        <v>2430</v>
      </c>
    </row>
    <row r="144" spans="8:11" x14ac:dyDescent="0.25">
      <c r="H144" s="26">
        <f>Data1!A149</f>
        <v>44531</v>
      </c>
      <c r="I144" s="28">
        <f>Data1!F149</f>
        <v>2170</v>
      </c>
      <c r="J144" s="28">
        <f>Data1!Y149</f>
        <v>346</v>
      </c>
      <c r="K144" s="28">
        <f>Data1!AR149</f>
        <v>2515</v>
      </c>
    </row>
    <row r="145" spans="8:11" x14ac:dyDescent="0.25">
      <c r="H145" s="26">
        <f>Data1!A150</f>
        <v>44621</v>
      </c>
      <c r="I145" s="28">
        <f>Data1!F150</f>
        <v>2075</v>
      </c>
      <c r="J145" s="28">
        <f>Data1!Y150</f>
        <v>246</v>
      </c>
      <c r="K145" s="28">
        <f>Data1!AR150</f>
        <v>2322</v>
      </c>
    </row>
    <row r="146" spans="8:11" x14ac:dyDescent="0.25">
      <c r="H146" s="26">
        <f>Data1!A151</f>
        <v>44713</v>
      </c>
      <c r="I146" s="28">
        <f>Data1!F151</f>
        <v>2413</v>
      </c>
      <c r="J146" s="28">
        <f>Data1!Y151</f>
        <v>369</v>
      </c>
      <c r="K146" s="28">
        <f>Data1!AR151</f>
        <v>2782</v>
      </c>
    </row>
    <row r="147" spans="8:11" x14ac:dyDescent="0.25">
      <c r="H147" s="26">
        <f>Data1!A152</f>
        <v>44805</v>
      </c>
      <c r="I147" s="28">
        <f>Data1!F152</f>
        <v>2478</v>
      </c>
      <c r="J147" s="28">
        <f>Data1!Y152</f>
        <v>380</v>
      </c>
      <c r="K147" s="28">
        <f>Data1!AR152</f>
        <v>2857</v>
      </c>
    </row>
    <row r="148" spans="8:11" x14ac:dyDescent="0.25">
      <c r="H148" s="26">
        <f>Data1!A153</f>
        <v>44896</v>
      </c>
      <c r="I148" s="28">
        <f>Data1!F153</f>
        <v>2863</v>
      </c>
      <c r="J148" s="28">
        <f>Data1!Y153</f>
        <v>373</v>
      </c>
      <c r="K148" s="28">
        <f>Data1!AR153</f>
        <v>3236</v>
      </c>
    </row>
    <row r="149" spans="8:11" x14ac:dyDescent="0.25">
      <c r="H149" s="26">
        <f>Data1!A154</f>
        <v>44986</v>
      </c>
      <c r="I149" s="28">
        <f>Data1!F154</f>
        <v>2541</v>
      </c>
      <c r="J149" s="28">
        <f>Data1!Y154</f>
        <v>383</v>
      </c>
      <c r="K149" s="28">
        <f>Data1!AR154</f>
        <v>2924</v>
      </c>
    </row>
    <row r="150" spans="8:11" x14ac:dyDescent="0.25">
      <c r="H150" s="26">
        <f>Data1!A155</f>
        <v>45078</v>
      </c>
      <c r="I150" s="28">
        <f>Data1!F155</f>
        <v>2943</v>
      </c>
      <c r="J150" s="28">
        <f>Data1!Y155</f>
        <v>467</v>
      </c>
      <c r="K150" s="28">
        <f>Data1!AR155</f>
        <v>3411</v>
      </c>
    </row>
    <row r="151" spans="8:11" x14ac:dyDescent="0.25">
      <c r="H151" s="26">
        <f>Data1!A156</f>
        <v>45170</v>
      </c>
      <c r="I151" s="28">
        <f>Data1!F156</f>
        <v>2569</v>
      </c>
      <c r="J151" s="28">
        <f>Data1!Y156</f>
        <v>477</v>
      </c>
      <c r="K151" s="28">
        <f>Data1!AR156</f>
        <v>3046</v>
      </c>
    </row>
    <row r="152" spans="8:11" x14ac:dyDescent="0.25">
      <c r="H152" s="26">
        <f>Data1!A157</f>
        <v>45261</v>
      </c>
      <c r="I152" s="28">
        <f>Data1!F157</f>
        <v>3408</v>
      </c>
      <c r="J152" s="28">
        <f>Data1!Y157</f>
        <v>432</v>
      </c>
      <c r="K152" s="28">
        <f>Data1!AR157</f>
        <v>3840</v>
      </c>
    </row>
    <row r="153" spans="8:11" x14ac:dyDescent="0.25">
      <c r="H153" s="26">
        <f>Data1!A158</f>
        <v>45352</v>
      </c>
      <c r="I153" s="28">
        <f>Data1!F158</f>
        <v>2868</v>
      </c>
      <c r="J153" s="28">
        <f>Data1!Y158</f>
        <v>372</v>
      </c>
      <c r="K153" s="28">
        <f>Data1!AR158</f>
        <v>3240</v>
      </c>
    </row>
    <row r="154" spans="8:11" x14ac:dyDescent="0.25">
      <c r="H154" s="26">
        <f>Data1!A159</f>
        <v>45444</v>
      </c>
      <c r="I154" s="28">
        <f>Data1!F159</f>
        <v>3537</v>
      </c>
      <c r="J154" s="28">
        <f>Data1!Y159</f>
        <v>483</v>
      </c>
      <c r="K154" s="28">
        <f>Data1!AR159</f>
        <v>4020</v>
      </c>
    </row>
    <row r="155" spans="8:11" x14ac:dyDescent="0.25">
      <c r="H155" s="26">
        <f>Data1!A160</f>
        <v>45536</v>
      </c>
      <c r="I155" s="28">
        <f>Data1!F160</f>
        <v>3367</v>
      </c>
      <c r="J155" s="28">
        <f>Data1!Y160</f>
        <v>495</v>
      </c>
      <c r="K155" s="28">
        <f>Data1!AR160</f>
        <v>3862</v>
      </c>
    </row>
    <row r="156" spans="8:11" x14ac:dyDescent="0.25">
      <c r="H156" s="26">
        <f>Data1!A161</f>
        <v>45627</v>
      </c>
      <c r="I156" s="28">
        <f>Data1!F161</f>
        <v>4265</v>
      </c>
      <c r="J156" s="28">
        <f>Data1!Y161</f>
        <v>506</v>
      </c>
      <c r="K156" s="28">
        <f>Data1!AR161</f>
        <v>4771</v>
      </c>
    </row>
    <row r="157" spans="8:11" x14ac:dyDescent="0.25">
      <c r="H157" s="26">
        <f>Data1!A162</f>
        <v>45717</v>
      </c>
      <c r="I157" s="28">
        <f>Data1!F162</f>
        <v>3516</v>
      </c>
      <c r="J157" s="28">
        <f>Data1!Y162</f>
        <v>372</v>
      </c>
      <c r="K157" s="28">
        <f>Data1!AR162</f>
        <v>3888</v>
      </c>
    </row>
    <row r="158" spans="8:11" x14ac:dyDescent="0.25">
      <c r="H158" s="26">
        <f>Data1!A163</f>
        <v>45809</v>
      </c>
      <c r="I158" s="28">
        <f>Data1!F163</f>
        <v>3945</v>
      </c>
      <c r="J158" s="28">
        <f>Data1!Y163</f>
        <v>468</v>
      </c>
      <c r="K158" s="28">
        <f>Data1!AR163</f>
        <v>4414</v>
      </c>
    </row>
    <row r="159" spans="8:11" x14ac:dyDescent="0.25">
      <c r="H159" s="26">
        <f>Data1!A164</f>
        <v>45901</v>
      </c>
      <c r="I159" s="28">
        <f>Data1!F164</f>
        <v>3584</v>
      </c>
      <c r="J159" s="28">
        <f>Data1!Y164</f>
        <v>486</v>
      </c>
      <c r="K159" s="28">
        <f>Data1!AR164</f>
        <v>4070</v>
      </c>
    </row>
    <row r="160" spans="8:11" x14ac:dyDescent="0.25">
      <c r="H160" s="26">
        <f>Data1!A165</f>
        <v>45992</v>
      </c>
      <c r="I160" s="28">
        <f>Data1!F165</f>
        <v>4739</v>
      </c>
      <c r="J160" s="28">
        <f>Data1!Y165</f>
        <v>544</v>
      </c>
      <c r="K160" s="28">
        <f>Data1!AR165</f>
        <v>5283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127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128</v>
      </c>
    </row>
    <row r="6" spans="2:26" ht="15.75" customHeight="1" x14ac:dyDescent="0.2">
      <c r="B6" s="19" t="s">
        <v>129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130</v>
      </c>
    </row>
    <row r="11" spans="2:26" x14ac:dyDescent="0.2">
      <c r="B11" s="10" t="s">
        <v>131</v>
      </c>
    </row>
    <row r="12" spans="2:26" x14ac:dyDescent="0.2">
      <c r="B12" s="10" t="s">
        <v>132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173</vt:i4>
      </vt:variant>
    </vt:vector>
  </HeadingPairs>
  <TitlesOfParts>
    <vt:vector size="177" baseType="lpstr">
      <vt:lpstr>Index</vt:lpstr>
      <vt:lpstr>Data1</vt:lpstr>
      <vt:lpstr>Energy Utilities</vt:lpstr>
      <vt:lpstr>Enquiries</vt:lpstr>
      <vt:lpstr>A124792079W</vt:lpstr>
      <vt:lpstr>A124792079W_Data</vt:lpstr>
      <vt:lpstr>A124792079W_Latest</vt:lpstr>
      <vt:lpstr>A124792081J</vt:lpstr>
      <vt:lpstr>A124792081J_Data</vt:lpstr>
      <vt:lpstr>A124792081J_Latest</vt:lpstr>
      <vt:lpstr>A124792083L</vt:lpstr>
      <vt:lpstr>A124792083L_Data</vt:lpstr>
      <vt:lpstr>A124792083L_Latest</vt:lpstr>
      <vt:lpstr>A124792377V</vt:lpstr>
      <vt:lpstr>A124792377V_Data</vt:lpstr>
      <vt:lpstr>A124792377V_Latest</vt:lpstr>
      <vt:lpstr>A124792395X</vt:lpstr>
      <vt:lpstr>A124792395X_Data</vt:lpstr>
      <vt:lpstr>A124792395X_Latest</vt:lpstr>
      <vt:lpstr>A124792413T</vt:lpstr>
      <vt:lpstr>A124792413T_Data</vt:lpstr>
      <vt:lpstr>A124792413T_Latest</vt:lpstr>
      <vt:lpstr>A3517168V</vt:lpstr>
      <vt:lpstr>A3517168V_Data</vt:lpstr>
      <vt:lpstr>A3517168V_Latest</vt:lpstr>
      <vt:lpstr>A3517171J</vt:lpstr>
      <vt:lpstr>A3517171J_Data</vt:lpstr>
      <vt:lpstr>A3517171J_Latest</vt:lpstr>
      <vt:lpstr>A3517174R</vt:lpstr>
      <vt:lpstr>A3517174R_Data</vt:lpstr>
      <vt:lpstr>A3517174R_Latest</vt:lpstr>
      <vt:lpstr>A3517177W</vt:lpstr>
      <vt:lpstr>A3517177W_Data</vt:lpstr>
      <vt:lpstr>A3517177W_Latest</vt:lpstr>
      <vt:lpstr>A3517180K</vt:lpstr>
      <vt:lpstr>A3517180K_Data</vt:lpstr>
      <vt:lpstr>A3517180K_Latest</vt:lpstr>
      <vt:lpstr>A3517183T</vt:lpstr>
      <vt:lpstr>A3517183T_Data</vt:lpstr>
      <vt:lpstr>A3517183T_Latest</vt:lpstr>
      <vt:lpstr>A3517186X</vt:lpstr>
      <vt:lpstr>A3517186X_Data</vt:lpstr>
      <vt:lpstr>A3517186X_Latest</vt:lpstr>
      <vt:lpstr>A3517189F</vt:lpstr>
      <vt:lpstr>A3517189F_Data</vt:lpstr>
      <vt:lpstr>A3517189F_Latest</vt:lpstr>
      <vt:lpstr>A3517192V</vt:lpstr>
      <vt:lpstr>A3517192V_Data</vt:lpstr>
      <vt:lpstr>A3517192V_Latest</vt:lpstr>
      <vt:lpstr>A3517195A</vt:lpstr>
      <vt:lpstr>A3517195A_Data</vt:lpstr>
      <vt:lpstr>A3517195A_Latest</vt:lpstr>
      <vt:lpstr>A3517198J</vt:lpstr>
      <vt:lpstr>A3517198J_Data</vt:lpstr>
      <vt:lpstr>A3517198J_Latest</vt:lpstr>
      <vt:lpstr>A3517210L</vt:lpstr>
      <vt:lpstr>A3517210L_Data</vt:lpstr>
      <vt:lpstr>A3517210L_Latest</vt:lpstr>
      <vt:lpstr>A3517213V</vt:lpstr>
      <vt:lpstr>A3517213V_Data</vt:lpstr>
      <vt:lpstr>A3517213V_Latest</vt:lpstr>
      <vt:lpstr>A3517216A</vt:lpstr>
      <vt:lpstr>A3517216A_Data</vt:lpstr>
      <vt:lpstr>A3517216A_Latest</vt:lpstr>
      <vt:lpstr>A3517219J</vt:lpstr>
      <vt:lpstr>A3517219J_Data</vt:lpstr>
      <vt:lpstr>A3517219J_Latest</vt:lpstr>
      <vt:lpstr>A3517222W</vt:lpstr>
      <vt:lpstr>A3517222W_Data</vt:lpstr>
      <vt:lpstr>A3517222W_Latest</vt:lpstr>
      <vt:lpstr>A3517225C</vt:lpstr>
      <vt:lpstr>A3517225C_Data</vt:lpstr>
      <vt:lpstr>A3517225C_Latest</vt:lpstr>
      <vt:lpstr>A3517228K</vt:lpstr>
      <vt:lpstr>A3517228K_Data</vt:lpstr>
      <vt:lpstr>A3517228K_Latest</vt:lpstr>
      <vt:lpstr>A3517231X</vt:lpstr>
      <vt:lpstr>A3517231X_Data</vt:lpstr>
      <vt:lpstr>A3517231X_Latest</vt:lpstr>
      <vt:lpstr>A3517234F</vt:lpstr>
      <vt:lpstr>A3517234F_Data</vt:lpstr>
      <vt:lpstr>A3517234F_Latest</vt:lpstr>
      <vt:lpstr>A3517237L</vt:lpstr>
      <vt:lpstr>A3517237L_Data</vt:lpstr>
      <vt:lpstr>A3517237L_Latest</vt:lpstr>
      <vt:lpstr>A3517240A</vt:lpstr>
      <vt:lpstr>A3517240A_Data</vt:lpstr>
      <vt:lpstr>A3517240A_Latest</vt:lpstr>
      <vt:lpstr>A3517252K</vt:lpstr>
      <vt:lpstr>A3517252K_Data</vt:lpstr>
      <vt:lpstr>A3517252K_Latest</vt:lpstr>
      <vt:lpstr>A3517255T</vt:lpstr>
      <vt:lpstr>A3517255T_Data</vt:lpstr>
      <vt:lpstr>A3517255T_Latest</vt:lpstr>
      <vt:lpstr>A3517258X</vt:lpstr>
      <vt:lpstr>A3517258X_Data</vt:lpstr>
      <vt:lpstr>A3517258X_Latest</vt:lpstr>
      <vt:lpstr>A3517261L</vt:lpstr>
      <vt:lpstr>A3517261L_Data</vt:lpstr>
      <vt:lpstr>A3517261L_Latest</vt:lpstr>
      <vt:lpstr>A3517264V</vt:lpstr>
      <vt:lpstr>A3517264V_Data</vt:lpstr>
      <vt:lpstr>A3517264V_Latest</vt:lpstr>
      <vt:lpstr>A3517267A</vt:lpstr>
      <vt:lpstr>A3517267A_Data</vt:lpstr>
      <vt:lpstr>A3517267A_Latest</vt:lpstr>
      <vt:lpstr>A3517270R</vt:lpstr>
      <vt:lpstr>A3517270R_Data</vt:lpstr>
      <vt:lpstr>A3517270R_Latest</vt:lpstr>
      <vt:lpstr>A3517273W</vt:lpstr>
      <vt:lpstr>A3517273W_Data</vt:lpstr>
      <vt:lpstr>A3517273W_Latest</vt:lpstr>
      <vt:lpstr>A3517276C</vt:lpstr>
      <vt:lpstr>A3517276C_Data</vt:lpstr>
      <vt:lpstr>A3517276C_Latest</vt:lpstr>
      <vt:lpstr>A3517279K</vt:lpstr>
      <vt:lpstr>A3517279K_Data</vt:lpstr>
      <vt:lpstr>A3517279K_Latest</vt:lpstr>
      <vt:lpstr>A3517282X</vt:lpstr>
      <vt:lpstr>A3517282X_Data</vt:lpstr>
      <vt:lpstr>A3517282X_Latest</vt:lpstr>
      <vt:lpstr>A83728707W</vt:lpstr>
      <vt:lpstr>A83728707W_Data</vt:lpstr>
      <vt:lpstr>A83728707W_Latest</vt:lpstr>
      <vt:lpstr>A83728708X</vt:lpstr>
      <vt:lpstr>A83728708X_Data</vt:lpstr>
      <vt:lpstr>A83728708X_Latest</vt:lpstr>
      <vt:lpstr>A83728709A</vt:lpstr>
      <vt:lpstr>A83728709A_Data</vt:lpstr>
      <vt:lpstr>A83728709A_Latest</vt:lpstr>
      <vt:lpstr>A83728710K</vt:lpstr>
      <vt:lpstr>A83728710K_Data</vt:lpstr>
      <vt:lpstr>A83728710K_Latest</vt:lpstr>
      <vt:lpstr>A83728711L</vt:lpstr>
      <vt:lpstr>A83728711L_Data</vt:lpstr>
      <vt:lpstr>A83728711L_Latest</vt:lpstr>
      <vt:lpstr>A83728712R</vt:lpstr>
      <vt:lpstr>A83728712R_Data</vt:lpstr>
      <vt:lpstr>A83728712R_Latest</vt:lpstr>
      <vt:lpstr>A83728713T</vt:lpstr>
      <vt:lpstr>A83728713T_Data</vt:lpstr>
      <vt:lpstr>A83728713T_Latest</vt:lpstr>
      <vt:lpstr>A83728714V</vt:lpstr>
      <vt:lpstr>A83728714V_Data</vt:lpstr>
      <vt:lpstr>A83728714V_Latest</vt:lpstr>
      <vt:lpstr>A83728715W</vt:lpstr>
      <vt:lpstr>A83728715W_Data</vt:lpstr>
      <vt:lpstr>A83728715W_Latest</vt:lpstr>
      <vt:lpstr>A83728716X</vt:lpstr>
      <vt:lpstr>A83728716X_Data</vt:lpstr>
      <vt:lpstr>A83728716X_Latest</vt:lpstr>
      <vt:lpstr>A83728717A</vt:lpstr>
      <vt:lpstr>A83728717A_Data</vt:lpstr>
      <vt:lpstr>A83728717A_Latest</vt:lpstr>
      <vt:lpstr>A83728718C</vt:lpstr>
      <vt:lpstr>A83728718C_Data</vt:lpstr>
      <vt:lpstr>A83728718C_Latest</vt:lpstr>
      <vt:lpstr>A85301896V</vt:lpstr>
      <vt:lpstr>A85301896V_Data</vt:lpstr>
      <vt:lpstr>A85301896V_Latest</vt:lpstr>
      <vt:lpstr>A85301904J</vt:lpstr>
      <vt:lpstr>A85301904J_Data</vt:lpstr>
      <vt:lpstr>A85301904J_Latest</vt:lpstr>
      <vt:lpstr>A85301921K</vt:lpstr>
      <vt:lpstr>A85301921K_Data</vt:lpstr>
      <vt:lpstr>A85301921K_Latest</vt:lpstr>
      <vt:lpstr>A85301930L</vt:lpstr>
      <vt:lpstr>A85301930L_Data</vt:lpstr>
      <vt:lpstr>A85301930L_Latest</vt:lpstr>
      <vt:lpstr>A85301942W</vt:lpstr>
      <vt:lpstr>A85301942W_Data</vt:lpstr>
      <vt:lpstr>A85301942W_Latest</vt:lpstr>
      <vt:lpstr>A85301951X</vt:lpstr>
      <vt:lpstr>A85301951X_Data</vt:lpstr>
      <vt:lpstr>A85301951X_Latest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2026-02-19T00:09:38Z</dcterms:created>
  <dcterms:modified xsi:type="dcterms:W3CDTF">2026-05-14T05:29:51Z</dcterms:modified>
</cp:coreProperties>
</file>